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Состав заявки" sheetId="2" state="visible" r:id="rId2"/>
    <sheet xmlns:r="http://schemas.openxmlformats.org/officeDocument/2006/relationships" name="Лот 11201" sheetId="3" state="visible" r:id="rId3"/>
    <sheet xmlns:r="http://schemas.openxmlformats.org/officeDocument/2006/relationships" name="Лот 112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9" fontId="0" fillId="3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9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70" customWidth="1" min="4" max="4"/>
  </cols>
  <sheetData>
    <row r="1" ht="18" customHeight="1">
      <c r="A1" s="1" t="inlineStr">
        <is>
          <t>ПАО «Сахалинэнерго» (РусГидро) — запрос предложений в эл. форме, 2 лота: трубопроводная арматура среднего и низкого давления</t>
        </is>
      </c>
      <c r="B1" s="2" t="n"/>
      <c r="C1" s="2" t="n"/>
      <c r="D1" s="2" t="n"/>
    </row>
    <row r="2" ht="18" customHeight="1">
      <c r="A2" s="2" t="inlineStr">
        <is>
          <t>Площадка: rushydro.roseltorg.ru. Подача до 05.11.2026 10:00 МСК. Извещение 22.10.2026. Итоги — не позднее 01.12.2026. Переторжки нет.</t>
        </is>
      </c>
      <c r="B2" s="2" t="n"/>
      <c r="C2" s="2" t="n"/>
      <c r="D2" s="2" t="n"/>
    </row>
    <row r="3" ht="48" customHeight="1">
      <c r="A3" s="3" t="inlineStr">
        <is>
          <t>Условие</t>
        </is>
      </c>
      <c r="B3" s="3" t="inlineStr">
        <is>
          <t>Лот 1 № 11201</t>
        </is>
      </c>
      <c r="C3" s="3" t="inlineStr">
        <is>
          <t>Лот 2 № 11202</t>
        </is>
      </c>
      <c r="D3" s="3" t="inlineStr">
        <is>
          <t>Что значит для нас</t>
        </is>
      </c>
    </row>
    <row r="4" ht="36" customHeight="1">
      <c r="A4" s="4" t="inlineStr">
        <is>
          <t>Для кого</t>
        </is>
      </c>
      <c r="B4" s="4" t="inlineStr">
        <is>
          <t>ОП «Сахалинская ГРЭС», филиал «Распределительные сети»</t>
        </is>
      </c>
      <c r="C4" s="4" t="inlineStr">
        <is>
          <t>ОП «Южно-Сахалинская ТЭЦ-1»</t>
        </is>
      </c>
      <c r="D4" s="4" t="inlineStr"/>
    </row>
    <row r="5" ht="36" customHeight="1">
      <c r="A5" s="4" t="inlineStr">
        <is>
          <t>НМЦ без НДС</t>
        </is>
      </c>
      <c r="B5" s="5" t="n">
        <v>12269140</v>
      </c>
      <c r="C5" s="5" t="n">
        <v>16153216.67</v>
      </c>
      <c r="D5" s="4" t="inlineStr">
        <is>
          <t>Мы на УСН: наша цена = цена без НДС и не выше НМЦ без НДС. Закупаем с НДС — маржа считается от НМЦ без НДС</t>
        </is>
      </c>
    </row>
    <row r="6" ht="36" customHeight="1">
      <c r="A6" s="4" t="inlineStr">
        <is>
          <t>НМЦ с НДС 22% (справочно)</t>
        </is>
      </c>
      <c r="B6" s="5" t="n">
        <v>14968350.8</v>
      </c>
      <c r="C6" s="5" t="n">
        <v>19706924.3374</v>
      </c>
      <c r="D6" s="4" t="inlineStr">
        <is>
          <t>сравнение заявок — по цене без НДС</t>
        </is>
      </c>
    </row>
    <row r="7" ht="36" customHeight="1">
      <c r="A7" s="4" t="inlineStr">
        <is>
          <t>Позиций</t>
        </is>
      </c>
      <c r="B7" s="6" t="n">
        <v>83</v>
      </c>
      <c r="C7" s="6" t="n">
        <v>87</v>
      </c>
      <c r="D7" s="4" t="inlineStr">
        <is>
          <t>все позиции лота — подавать на весь лот, частично нельзя</t>
        </is>
      </c>
    </row>
    <row r="8" ht="36" customHeight="1">
      <c r="A8" s="4" t="inlineStr">
        <is>
          <t>Обеспечение заявки</t>
        </is>
      </c>
      <c r="B8" s="5" t="n">
        <v>350273.32</v>
      </c>
      <c r="C8" s="5" t="n">
        <v>401910.65</v>
      </c>
      <c r="D8" s="4" t="inlineStr">
        <is>
          <t>деньги на счёт площадки (за 2 раб. дня до 05.11) или банковская гарантия</t>
        </is>
      </c>
    </row>
    <row r="9" ht="36" customHeight="1">
      <c r="A9" s="4" t="inlineStr">
        <is>
          <t>Обеспечение исполнения договора</t>
        </is>
      </c>
      <c r="B9" s="4" t="inlineStr">
        <is>
          <t>не требуется</t>
        </is>
      </c>
      <c r="C9" s="4" t="inlineStr">
        <is>
          <t>не требуется</t>
        </is>
      </c>
      <c r="D9" s="4" t="inlineStr"/>
    </row>
    <row r="10" ht="36" customHeight="1">
      <c r="A10" s="4" t="inlineStr">
        <is>
          <t>Аванс</t>
        </is>
      </c>
      <c r="B10" s="4" t="inlineStr">
        <is>
          <t>нет</t>
        </is>
      </c>
      <c r="C10" s="4" t="inlineStr">
        <is>
          <t>нет</t>
        </is>
      </c>
      <c r="D10" s="4" t="inlineStr">
        <is>
          <t>закупка за свои деньги</t>
        </is>
      </c>
    </row>
    <row r="11" ht="36" customHeight="1">
      <c r="A11" s="4" t="inlineStr">
        <is>
          <t>Оплата</t>
        </is>
      </c>
      <c r="B11" s="4" t="inlineStr">
        <is>
          <t>100% в течение 7 раб. дн. / 20 кал. дн. после подписания УПД</t>
        </is>
      </c>
      <c r="C11" s="4" t="inlineStr">
        <is>
          <t>то же</t>
        </is>
      </c>
      <c r="D11" s="4" t="inlineStr">
        <is>
          <t>деньги вернутся ≈ через месяц после поставки</t>
        </is>
      </c>
    </row>
    <row r="12" ht="36" customHeight="1">
      <c r="A12" s="4" t="inlineStr">
        <is>
          <t>Срок поставки</t>
        </is>
      </c>
      <c r="B12" s="4" t="inlineStr">
        <is>
          <t>до 230 кал. дн. с даты договора, досрочно можно</t>
        </is>
      </c>
      <c r="C12" s="4" t="inlineStr">
        <is>
          <t>до 220 кал. дн. с даты договора, досрочно можно</t>
        </is>
      </c>
      <c r="D12" s="4" t="inlineStr">
        <is>
          <t>успеваем с запасом; можно отгрузить одним контейнером</t>
        </is>
      </c>
    </row>
    <row r="13" ht="36" customHeight="1">
      <c r="A13" s="4" t="inlineStr">
        <is>
          <t>Место поставки</t>
        </is>
      </c>
      <c r="B13" s="4" t="inlineStr">
        <is>
          <t>г. Южно-Сахалинск, ул. Бумажная, 26</t>
        </is>
      </c>
      <c r="C13" s="4" t="inlineStr">
        <is>
          <t>г. Южно-Сахалинск, пер. Энергетиков, 1 (контейнеры); ул. Бумажная, 26 (сборные грузы)</t>
        </is>
      </c>
      <c r="D13" s="4" t="inlineStr">
        <is>
          <t>доставка до Южно-Сахалинска — за наш счёт, включена в цену</t>
        </is>
      </c>
    </row>
    <row r="14" ht="36" customHeight="1">
      <c r="A14" s="4" t="inlineStr">
        <is>
          <t>Нацрежим</t>
        </is>
      </c>
      <c r="B14" s="4" t="inlineStr">
        <is>
          <t>ПП 1875 — ОГРАНИЧЕНИЕ (прил. 2, ОКПД2 28.14.13)</t>
        </is>
      </c>
      <c r="C14" s="4" t="inlineStr">
        <is>
          <t>то же</t>
        </is>
      </c>
      <c r="D14" s="4" t="inlineStr">
        <is>
          <t>нужен номер записи в реестре российской промпродукции/ЕАЭС и производитель как в реестре; иностранный товар отклонят, если есть заявка с российским</t>
        </is>
      </c>
    </row>
    <row r="15" ht="36" customHeight="1">
      <c r="A15" s="4" t="inlineStr">
        <is>
          <t>Документы на товар</t>
        </is>
      </c>
      <c r="B15" s="4" t="inlineStr">
        <is>
          <t>сертификаты/декларации ТР ТС 032/2013 и ТР ТС 010/2011</t>
        </is>
      </c>
      <c r="C15" s="4" t="inlineStr">
        <is>
          <t>то же</t>
        </is>
      </c>
      <c r="D15" s="4" t="inlineStr">
        <is>
          <t>запросить у заводов при КП</t>
        </is>
      </c>
    </row>
    <row r="16" ht="36" customHeight="1">
      <c r="A16" s="4" t="inlineStr">
        <is>
          <t>Год выпуска</t>
        </is>
      </c>
      <c r="B16" s="4" t="inlineStr">
        <is>
          <t>новый, 2026–2027 гг.</t>
        </is>
      </c>
      <c r="C16" s="4" t="inlineStr">
        <is>
          <t>то же</t>
        </is>
      </c>
      <c r="D16" s="4" t="inlineStr"/>
    </row>
    <row r="17" ht="36" customHeight="1">
      <c r="A17" s="4" t="inlineStr">
        <is>
          <t>Гарантия</t>
        </is>
      </c>
      <c r="B17" s="4" t="inlineStr">
        <is>
          <t>по паспорту завода, с даты подписания УПД</t>
        </is>
      </c>
      <c r="C17" s="4" t="inlineStr">
        <is>
          <t>то же</t>
        </is>
      </c>
      <c r="D17" s="4" t="inlineStr"/>
    </row>
    <row r="18" ht="36" customHeight="1">
      <c r="A18" s="4" t="inlineStr">
        <is>
          <t>Эквиваленты</t>
        </is>
      </c>
      <c r="B18" s="4" t="inlineStr">
        <is>
          <t>допускаются, с подробным техописанием</t>
        </is>
      </c>
      <c r="C18" s="4" t="inlineStr">
        <is>
          <t>то же</t>
        </is>
      </c>
      <c r="D18" s="4" t="inlineStr">
        <is>
          <t>марки в ТЗ носят описательный характер</t>
        </is>
      </c>
    </row>
    <row r="19" ht="36" customHeight="1">
      <c r="A19" s="4" t="inlineStr">
        <is>
          <t>Требование к опыту (отборочное!)</t>
        </is>
      </c>
      <c r="B19" s="4" t="inlineStr">
        <is>
          <t>поставки арматуры СиНД за 5 лет ≥ 30% НМЦ: ≥ 3 680 742 ₽</t>
        </is>
      </c>
      <c r="C19" s="4" t="inlineStr">
        <is>
          <t>≥ 4 845 965 ₽</t>
        </is>
      </c>
      <c r="D19" s="4" t="inlineStr">
        <is>
          <t>нужны договоры + УПД с обеих сторон. Если своего опыта нет — коллективный участник (соглашение с партнёром, у кого есть опыт)</t>
        </is>
      </c>
    </row>
    <row r="20" ht="36" customHeight="1">
      <c r="A20" s="4" t="inlineStr">
        <is>
          <t>Критерии оценки</t>
        </is>
      </c>
      <c r="B20" s="4" t="inlineStr">
        <is>
          <t>цена 90%, опыт сверх минимума 5%, финансовое состояние 5%</t>
        </is>
      </c>
      <c r="C20" s="4" t="inlineStr">
        <is>
          <t>то же</t>
        </is>
      </c>
      <c r="D20" s="4" t="inlineStr">
        <is>
          <t>решает цена</t>
        </is>
      </c>
    </row>
    <row r="21" ht="36" customHeight="1">
      <c r="A21" s="4" t="inlineStr">
        <is>
          <t>Аккредитация</t>
        </is>
      </c>
      <c r="B21" s="4" t="inlineStr">
        <is>
          <t>статус «аккредитован» в РусГидро (Прил. 10 — заявка на аккредитацию) или п. 3.11 Положения</t>
        </is>
      </c>
      <c r="C21" s="4" t="inlineStr">
        <is>
          <t>то же</t>
        </is>
      </c>
      <c r="D21" s="4" t="inlineStr">
        <is>
          <t>подать заявку на аккредитацию вместе с заявкой (форма — Прил. 10)</t>
        </is>
      </c>
    </row>
    <row r="22" ht="36" customHeight="1">
      <c r="A22" s="4" t="inlineStr">
        <is>
          <t>Неустойка</t>
        </is>
      </c>
      <c r="B22" s="4" t="inlineStr">
        <is>
          <t>0,1% в день от цены партии за просрочку</t>
        </is>
      </c>
      <c r="C22" s="4" t="inlineStr">
        <is>
          <t>то же</t>
        </is>
      </c>
      <c r="D22" s="4" t="inlineStr"/>
    </row>
    <row r="23" ht="36" customHeight="1">
      <c r="A23" s="4" t="inlineStr">
        <is>
          <t>Бухотчётность</t>
        </is>
      </c>
      <c r="B23" s="4" t="inlineStr">
        <is>
          <t>баланс и ОФР за последний год (если нет в ГИР БО)</t>
        </is>
      </c>
      <c r="C23" s="4" t="inlineStr">
        <is>
          <t>то же</t>
        </is>
      </c>
      <c r="D23" s="4" t="inlineStr">
        <is>
          <t>для оценки финансового состояния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80" customWidth="1" min="3" max="3"/>
    <col width="10" customWidth="1" min="4" max="4"/>
  </cols>
  <sheetData>
    <row r="1" ht="48" customHeight="1">
      <c r="A1" s="7" t="inlineStr">
        <is>
          <t>№</t>
        </is>
      </c>
      <c r="B1" s="7" t="inlineStr">
        <is>
          <t>Документ</t>
        </is>
      </c>
      <c r="C1" s="7" t="inlineStr">
        <is>
          <t>Где взять / что сделать</t>
        </is>
      </c>
      <c r="D1" s="7" t="inlineStr">
        <is>
          <t>Готово?</t>
        </is>
      </c>
    </row>
    <row r="2" ht="36" customHeight="1">
      <c r="A2" s="6" t="n">
        <v>1</v>
      </c>
      <c r="B2" s="4" t="inlineStr">
        <is>
          <t>Письмо о подаче оферты (форма 2)</t>
        </is>
      </c>
      <c r="C2" s="4" t="inlineStr">
        <is>
          <t>Прил. 4 «Формы документов заявки»</t>
        </is>
      </c>
      <c r="D2" s="6" t="n"/>
    </row>
    <row r="3" ht="36" customHeight="1">
      <c r="A3" s="6" t="n">
        <v>2</v>
      </c>
      <c r="B3" s="4" t="inlineStr">
        <is>
          <t>Коммерческое предложение + Структура НМЦ (форма 3)</t>
        </is>
      </c>
      <c r="C3" s="4" t="inlineStr">
        <is>
          <t>Прил. 4, xlsx: цена за ед., страна, № реестра МПТ, производитель — по каждой позиции</t>
        </is>
      </c>
      <c r="D3" s="6" t="n"/>
    </row>
    <row r="4" ht="36" customHeight="1">
      <c r="A4" s="6" t="n">
        <v>3</v>
      </c>
      <c r="B4" s="4" t="inlineStr">
        <is>
          <t>Техническое предложение (форма 4)</t>
        </is>
      </c>
      <c r="C4" s="4" t="inlineStr">
        <is>
          <t>по каждой позиции — марка, производитель, характеристики по ТТ (Прил. 1, колонка «Предложение участника»)</t>
        </is>
      </c>
      <c r="D4" s="6" t="n"/>
    </row>
    <row r="5" ht="36" customHeight="1">
      <c r="A5" s="6" t="n">
        <v>4</v>
      </c>
      <c r="B5" s="4" t="inlineStr">
        <is>
          <t>Календарный график (форма 5)</t>
        </is>
      </c>
      <c r="C5" s="4" t="inlineStr">
        <is>
          <t>срок ≤ 230 / 220 дней</t>
        </is>
      </c>
      <c r="D5" s="6" t="n"/>
    </row>
    <row r="6" ht="36" customHeight="1">
      <c r="A6" s="6" t="n">
        <v>5</v>
      </c>
      <c r="B6" s="4" t="inlineStr">
        <is>
          <t>Анкета Участника (форма 6)</t>
        </is>
      </c>
      <c r="C6" s="4" t="inlineStr">
        <is>
          <t>реквизиты, ОКВЭД, МСП</t>
        </is>
      </c>
      <c r="D6" s="6" t="n"/>
    </row>
    <row r="7" ht="36" customHeight="1">
      <c r="A7" s="6" t="n">
        <v>6</v>
      </c>
      <c r="B7" s="4" t="inlineStr">
        <is>
          <t>Справка об опыте (форма 7) + копии договоров и УПД</t>
        </is>
      </c>
      <c r="C7" s="4" t="inlineStr">
        <is>
          <t>опыт поставок арматуры СиНД ≥ 30% НМЦ лота за 5 лет — ОБЯЗАТЕЛЬНО</t>
        </is>
      </c>
      <c r="D7" s="6" t="n"/>
    </row>
    <row r="8" ht="36" customHeight="1">
      <c r="A8" s="6" t="n">
        <v>7</v>
      </c>
      <c r="B8" s="4" t="inlineStr">
        <is>
          <t>Сертификаты/декларации ТР ТС 032/2013, 010/2011</t>
        </is>
      </c>
      <c r="C8" s="4" t="inlineStr">
        <is>
          <t>от заводов-изготовителей по каждой позиции</t>
        </is>
      </c>
      <c r="D8" s="6" t="n"/>
    </row>
    <row r="9" ht="36" customHeight="1">
      <c r="A9" s="6" t="n">
        <v>8</v>
      </c>
      <c r="B9" s="4" t="inlineStr">
        <is>
          <t>Номера реестровых записей (ПП 719 / ЕАЭС)</t>
        </is>
      </c>
      <c r="C9" s="4" t="inlineStr">
        <is>
          <t>по каждой позиции — от заводов</t>
        </is>
      </c>
      <c r="D9" s="6" t="n"/>
    </row>
    <row r="10" ht="36" customHeight="1">
      <c r="A10" s="6" t="n">
        <v>9</v>
      </c>
      <c r="B10" s="4" t="inlineStr">
        <is>
          <t>Доверенность на подписанта (если не директор)</t>
        </is>
      </c>
      <c r="C10" s="4" t="inlineStr"/>
      <c r="D10" s="6" t="n"/>
    </row>
    <row r="11" ht="36" customHeight="1">
      <c r="A11" s="6" t="n">
        <v>10</v>
      </c>
      <c r="B11" s="4" t="inlineStr">
        <is>
          <t>Заявка на аккредитацию в РусГидро (Прил. 10)</t>
        </is>
      </c>
      <c r="C11" s="4" t="inlineStr">
        <is>
          <t>если ещё не аккредитованы</t>
        </is>
      </c>
      <c r="D11" s="6" t="n"/>
    </row>
    <row r="12" ht="36" customHeight="1">
      <c r="A12" s="6" t="n">
        <v>11</v>
      </c>
      <c r="B12" s="4" t="inlineStr">
        <is>
          <t>Баланс и ОФР за 2025 г.</t>
        </is>
      </c>
      <c r="C12" s="4" t="inlineStr">
        <is>
          <t>если нет в ГИР БО</t>
        </is>
      </c>
      <c r="D12" s="6" t="n"/>
    </row>
    <row r="13" ht="36" customHeight="1">
      <c r="A13" s="6" t="n">
        <v>12</v>
      </c>
      <c r="B13" s="4" t="inlineStr">
        <is>
          <t>Обеспечение заявки</t>
        </is>
      </c>
      <c r="C13" s="4" t="inlineStr">
        <is>
          <t>350 273,32 ₽ (лот 1) и 401 910,65 ₽ (лот 2) — на счёт площадки за 2 раб. дня или БГ</t>
        </is>
      </c>
      <c r="D13" s="6" t="n"/>
    </row>
    <row r="14" ht="36" customHeight="1">
      <c r="A14" s="6" t="n">
        <v>13</v>
      </c>
      <c r="B14" s="4" t="inlineStr">
        <is>
          <t>Справка об аффилированности с изготовителем (форма 10)</t>
        </is>
      </c>
      <c r="C14" s="4" t="inlineStr">
        <is>
          <t>только если есть признаки аффилированности</t>
        </is>
      </c>
      <c r="D14" s="6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54" customWidth="1" min="3" max="3"/>
    <col width="5" customWidth="1" min="4" max="4"/>
    <col width="7" customWidth="1" min="5" max="5"/>
    <col width="13" customWidth="1" min="6" max="6"/>
    <col width="13" customWidth="1" min="7" max="7"/>
    <col width="14" customWidth="1" min="8" max="8"/>
    <col width="14" customWidth="1" min="9" max="9"/>
    <col width="9" customWidth="1" min="10" max="10"/>
    <col width="40" customWidth="1" min="11" max="11"/>
    <col width="34" customWidth="1" min="12" max="12"/>
  </cols>
  <sheetData>
    <row r="1" ht="51" customHeight="1">
      <c r="A1" s="7" t="inlineStr">
        <is>
          <t>Партия</t>
        </is>
      </c>
      <c r="B1" s="7" t="inlineStr">
        <is>
          <t>№</t>
        </is>
      </c>
      <c r="C1" s="7" t="inlineStr">
        <is>
          <t>Позиция (как в форме 3)</t>
        </is>
      </c>
      <c r="D1" s="7" t="inlineStr">
        <is>
          <t>Ед.</t>
        </is>
      </c>
      <c r="E1" s="7" t="inlineStr">
        <is>
          <t>Кол-во</t>
        </is>
      </c>
      <c r="F1" s="7" t="inlineStr">
        <is>
          <t>НМЦ за ед. без НДС, ₽</t>
        </is>
      </c>
      <c r="G1" s="7" t="inlineStr">
        <is>
          <t>НМЦ сумма, ₽</t>
        </is>
      </c>
      <c r="H1" s="7" t="inlineStr">
        <is>
          <t>Себестоимость за ед. (с НДС, −10%), ₽</t>
        </is>
      </c>
      <c r="I1" s="7" t="inlineStr">
        <is>
          <t>Себестоимость сумма, ₽</t>
        </is>
      </c>
      <c r="J1" s="7" t="inlineStr">
        <is>
          <t>Маржа позиции</t>
        </is>
      </c>
      <c r="K1" s="7" t="inlineStr">
        <is>
          <t>Источник цены</t>
        </is>
      </c>
      <c r="L1" s="7" t="inlineStr">
        <is>
          <t>Российский аналог (если импорт)</t>
        </is>
      </c>
    </row>
    <row r="2" ht="36" customHeight="1">
      <c r="A2" s="4" t="inlineStr">
        <is>
          <t>ПАРТИЯ № 1</t>
        </is>
      </c>
      <c r="B2" s="6" t="n">
        <v>1</v>
      </c>
      <c r="C2" s="4" t="inlineStr">
        <is>
          <t>Кран шаровый LD КШЦП из стали 20 Ду15 Ру4,0МПа</t>
        </is>
      </c>
      <c r="D2" s="4" t="inlineStr">
        <is>
          <t>шт</t>
        </is>
      </c>
      <c r="E2" s="6" t="n">
        <v>10</v>
      </c>
      <c r="F2" s="5" t="n">
        <v>1728</v>
      </c>
      <c r="G2" s="5" t="n">
        <v>17280</v>
      </c>
      <c r="H2" s="5" t="n">
        <v>1354.93</v>
      </c>
      <c r="I2" s="5" t="n">
        <v>13549.3</v>
      </c>
      <c r="J2" s="8" t="n">
        <v>0.2158969907407408</v>
      </c>
      <c r="K2" s="4" t="inlineStr">
        <is>
          <t>Камчатка verify (dn.ru, LD КШ.Ц.П.015.040.Н/П.02 ст20 Ру40), цена dn.ru на 02.11.2026</t>
        </is>
      </c>
      <c r="L2" s="4" t="inlineStr"/>
    </row>
    <row r="3" ht="36" customHeight="1">
      <c r="A3" s="4" t="inlineStr">
        <is>
          <t>ПАРТИЯ № 1</t>
        </is>
      </c>
      <c r="B3" s="6" t="n">
        <v>2</v>
      </c>
      <c r="C3" s="4" t="inlineStr">
        <is>
          <t>Кран шаровый LD КШЦП из стали 20 Ду20 Ру4,0МПа</t>
        </is>
      </c>
      <c r="D3" s="4" t="inlineStr">
        <is>
          <t>шт</t>
        </is>
      </c>
      <c r="E3" s="6" t="n">
        <v>18</v>
      </c>
      <c r="F3" s="5" t="n">
        <v>1796.67</v>
      </c>
      <c r="G3" s="5" t="n">
        <v>32340.06</v>
      </c>
      <c r="H3" s="5" t="n">
        <v>1452.11</v>
      </c>
      <c r="I3" s="5" t="n">
        <v>26137.98</v>
      </c>
      <c r="J3" s="8" t="n">
        <v>0.1917770096901491</v>
      </c>
      <c r="K3" s="4" t="inlineStr">
        <is>
          <t>dn.ru, LD КШ.Ц.П.020.040.Н/П.02 ст20 Ру40, цена на 02.11.2026</t>
        </is>
      </c>
      <c r="L3" s="4" t="inlineStr"/>
    </row>
    <row r="4" ht="36" customHeight="1">
      <c r="A4" s="4" t="inlineStr">
        <is>
          <t>ПАРТИЯ № 1</t>
        </is>
      </c>
      <c r="B4" s="6" t="n">
        <v>3</v>
      </c>
      <c r="C4" s="4" t="inlineStr">
        <is>
          <t>Кран шаровый LD КШЦП из стали 20 Ду25 Ру4,0МПа</t>
        </is>
      </c>
      <c r="D4" s="4" t="inlineStr">
        <is>
          <t>шт</t>
        </is>
      </c>
      <c r="E4" s="6" t="n">
        <v>18</v>
      </c>
      <c r="F4" s="5" t="n">
        <v>1833.33</v>
      </c>
      <c r="G4" s="5" t="n">
        <v>32999.94</v>
      </c>
      <c r="H4" s="5" t="n">
        <v>1480.5</v>
      </c>
      <c r="I4" s="5" t="n">
        <v>26649</v>
      </c>
      <c r="J4" s="8" t="n">
        <v>0.192453077187413</v>
      </c>
      <c r="K4" s="4" t="inlineStr">
        <is>
          <t>Камчатка verify (dn.ru, LD КШЦП ст20 Ду25)</t>
        </is>
      </c>
      <c r="L4" s="4" t="inlineStr"/>
    </row>
    <row r="5" ht="36" customHeight="1">
      <c r="A5" s="4" t="inlineStr">
        <is>
          <t>ПАРТИЯ № 1</t>
        </is>
      </c>
      <c r="B5" s="6" t="n">
        <v>4</v>
      </c>
      <c r="C5" s="4" t="inlineStr">
        <is>
          <t>Кран шаровый LD КШЦП из стали 20 Ду50 Ру4,0МПа</t>
        </is>
      </c>
      <c r="D5" s="4" t="inlineStr">
        <is>
          <t>шт</t>
        </is>
      </c>
      <c r="E5" s="6" t="n">
        <v>25</v>
      </c>
      <c r="F5" s="5" t="n">
        <v>3520</v>
      </c>
      <c r="G5" s="5" t="n">
        <v>88000</v>
      </c>
      <c r="H5" s="5" t="n">
        <v>2178</v>
      </c>
      <c r="I5" s="5" t="n">
        <v>54450</v>
      </c>
      <c r="J5" s="9" t="n">
        <v>0.38125</v>
      </c>
      <c r="K5" s="4" t="inlineStr">
        <is>
          <t>Камчатка verify (dn.ru, LD КШЦП ст20 Ду50)</t>
        </is>
      </c>
      <c r="L5" s="4" t="inlineStr"/>
    </row>
    <row r="6" ht="36" customHeight="1">
      <c r="A6" s="4" t="inlineStr">
        <is>
          <t>ПАРТИЯ № 1</t>
        </is>
      </c>
      <c r="B6" s="6" t="n">
        <v>5</v>
      </c>
      <c r="C6" s="4" t="inlineStr">
        <is>
          <t>Фланец ГОСТ 33259-2015 (ГОСТ 12820-80)  Ду 100 Ру 6 исп.B (1исп.)</t>
        </is>
      </c>
      <c r="D6" s="4" t="inlineStr">
        <is>
          <t>шт</t>
        </is>
      </c>
      <c r="E6" s="6" t="n">
        <v>40</v>
      </c>
      <c r="F6" s="5" t="n">
        <v>1190</v>
      </c>
      <c r="G6" s="5" t="n">
        <v>47600</v>
      </c>
      <c r="H6" s="5" t="n">
        <v>832.83</v>
      </c>
      <c r="I6" s="5" t="n">
        <v>33313.2</v>
      </c>
      <c r="J6" s="9" t="n">
        <v>0.3001428571428572</v>
      </c>
      <c r="K6" s="4" t="inlineStr">
        <is>
          <t>dn.ru, фланец плоский Россия Ду100 Ру6 ст20 тип 01 исп.B ГОСТ 33259-2015, на 02.11.2026</t>
        </is>
      </c>
      <c r="L6" s="4" t="inlineStr"/>
    </row>
    <row r="7" ht="36" customHeight="1">
      <c r="A7" s="4" t="inlineStr">
        <is>
          <t>ПАРТИЯ № 1</t>
        </is>
      </c>
      <c r="B7" s="6" t="n">
        <v>6</v>
      </c>
      <c r="C7" s="4" t="inlineStr">
        <is>
          <t>Кран шаровый Стандарт 1/2" ВВ бабочка VALTEC Артикул:VT. 122. GN. 04</t>
        </is>
      </c>
      <c r="D7" s="4" t="inlineStr">
        <is>
          <t>шт</t>
        </is>
      </c>
      <c r="E7" s="6" t="n">
        <v>20</v>
      </c>
      <c r="F7" s="5" t="n">
        <v>410</v>
      </c>
      <c r="G7" s="5" t="n">
        <v>8200</v>
      </c>
      <c r="H7" s="5" t="n">
        <v>241.56</v>
      </c>
      <c r="I7" s="5" t="n">
        <v>4831.2</v>
      </c>
      <c r="J7" s="9" t="n">
        <v>0.410829268292683</v>
      </c>
      <c r="K7" s="4" t="inlineStr">
        <is>
          <t>dn.ru, LD Pride 47.15.В-В.Б 1/2" (бабочка), на 21.10.2026</t>
        </is>
      </c>
      <c r="L7" s="4" t="inlineStr">
        <is>
          <t>LD Pride 47.15.В-В.Б (ООО «ЛД», Челябинск) вместо VALTEC VT.122.GN.04 (Италия/КНР)</t>
        </is>
      </c>
    </row>
    <row r="8" ht="36" customHeight="1">
      <c r="A8" s="4" t="inlineStr">
        <is>
          <t>ПАРТИЯ № 1</t>
        </is>
      </c>
      <c r="B8" s="6" t="n">
        <v>7</v>
      </c>
      <c r="C8" s="4" t="inlineStr">
        <is>
          <t>Пожарный клапан из чугуна угловой 125° ПК65 Ду 65, 1,6 МПа, ВР-НР, Цветлит ZW80003</t>
        </is>
      </c>
      <c r="D8" s="4" t="inlineStr">
        <is>
          <t>шт</t>
        </is>
      </c>
      <c r="E8" s="6" t="n">
        <v>10</v>
      </c>
      <c r="F8" s="5" t="n">
        <v>2076.67</v>
      </c>
      <c r="G8" s="5" t="n">
        <v>20766.7</v>
      </c>
      <c r="H8" s="5" t="n">
        <v>1938.16</v>
      </c>
      <c r="I8" s="5" t="n">
        <v>19381.6</v>
      </c>
      <c r="J8" s="8" t="n">
        <v>0.06669812729032532</v>
      </c>
      <c r="K8" s="4" t="inlineStr">
        <is>
          <t>[ОЦЕНКА] цена с НДС = НМЦ×1,22×0.85 (публичной цены нет; ПК65 Цветлит ZW80003 (Беларусь, ЕАЭС) — цена только у дилеров п</t>
        </is>
      </c>
      <c r="L8" s="4" t="inlineStr"/>
    </row>
    <row r="9" ht="36" customHeight="1">
      <c r="A9" s="4" t="inlineStr">
        <is>
          <t>ПАРТИЯ № 1</t>
        </is>
      </c>
      <c r="B9" s="6" t="n">
        <v>8</v>
      </c>
      <c r="C9" s="4" t="inlineStr">
        <is>
          <t>ГРАНВЭЛ® Затвор Поворотный Дисковый ЗПВС - FL(w)-3-080-MN-Е, Ду080, Ру16, межфланцевый, рукоятка, корпус - GG25, диск - GGG40, седло - EPDM, Траб=-15...+95°С</t>
        </is>
      </c>
      <c r="D9" s="4" t="inlineStr">
        <is>
          <t>шт</t>
        </is>
      </c>
      <c r="E9" s="6" t="n">
        <v>14</v>
      </c>
      <c r="F9" s="5" t="n">
        <v>6703.33</v>
      </c>
      <c r="G9" s="5" t="n">
        <v>93846.62</v>
      </c>
      <c r="H9" s="5" t="n">
        <v>5903.13</v>
      </c>
      <c r="I9" s="5" t="n">
        <v>82643.82000000001</v>
      </c>
      <c r="J9" s="8" t="n">
        <v>0.1193735054070141</v>
      </c>
      <c r="K9" s="4" t="inlineStr">
        <is>
          <t>Камчатка verify: прайс АДЛ BD01I12791 ЗПВС-FL(W)-3-080-MN-E = 55,03 у.е. × 119,19 (EUR ЦБ+5%, с НДС 22%)</t>
        </is>
      </c>
      <c r="L9" s="4" t="inlineStr"/>
    </row>
    <row r="10" ht="36" customHeight="1">
      <c r="A10" s="4" t="inlineStr">
        <is>
          <t>ПАРТИЯ № 1</t>
        </is>
      </c>
      <c r="B10" s="6" t="n">
        <v>9</v>
      </c>
      <c r="C10" s="4" t="inlineStr">
        <is>
          <t>Задвижка стальная 30с41нж DN 150 PN 16 1исп.</t>
        </is>
      </c>
      <c r="D10" s="4" t="inlineStr">
        <is>
          <t>шт</t>
        </is>
      </c>
      <c r="E10" s="6" t="n">
        <v>7</v>
      </c>
      <c r="F10" s="5" t="n">
        <v>21593.33</v>
      </c>
      <c r="G10" s="5" t="n">
        <v>151153.31</v>
      </c>
      <c r="H10" s="5" t="n">
        <v>16529.4</v>
      </c>
      <c r="I10" s="5" t="n">
        <v>115705.8</v>
      </c>
      <c r="J10" s="8" t="n">
        <v>0.2345136206411887</v>
      </c>
      <c r="K10" s="4" t="inlineStr">
        <is>
          <t>БК-Арматура, прайс «30с41нж литые клиновые PN16» DN150, с НДС, ©2026</t>
        </is>
      </c>
      <c r="L10" s="4" t="inlineStr"/>
    </row>
    <row r="11" ht="36" customHeight="1">
      <c r="A11" s="4" t="inlineStr">
        <is>
          <t>ПАРТИЯ № 1</t>
        </is>
      </c>
      <c r="B11" s="6" t="n">
        <v>10</v>
      </c>
      <c r="C11" s="4" t="inlineStr">
        <is>
          <t>Фланец ГОСТ 33259-2015 (ГОСТ 12820-80)  Ду 200 Ру 16 исп.B (1исп.)</t>
        </is>
      </c>
      <c r="D11" s="4" t="inlineStr">
        <is>
          <t>шт</t>
        </is>
      </c>
      <c r="E11" s="6" t="n">
        <v>10</v>
      </c>
      <c r="F11" s="5" t="n">
        <v>3280</v>
      </c>
      <c r="G11" s="5" t="n">
        <v>32800</v>
      </c>
      <c r="H11" s="5" t="n">
        <v>2415.6</v>
      </c>
      <c r="I11" s="5" t="n">
        <v>24156</v>
      </c>
      <c r="J11" s="9" t="n">
        <v>0.2635365853658537</v>
      </c>
      <c r="K11" s="4" t="inlineStr">
        <is>
          <t>dn.ru, фланец КЗТШ Ду200 Ру16 ст20 тип 01 исп.B, на 18.02.2027(дата цены сайта)</t>
        </is>
      </c>
      <c r="L11" s="4" t="inlineStr"/>
    </row>
    <row r="12" ht="36" customHeight="1">
      <c r="A12" s="4" t="inlineStr">
        <is>
          <t>ПАРТИЯ № 1</t>
        </is>
      </c>
      <c r="B12" s="6" t="n">
        <v>11</v>
      </c>
      <c r="C12" s="4" t="inlineStr">
        <is>
          <t>Шпилька специальная для Т-229б м20х165 ст20Х1М1Ф1ТР     ДТКЗ.04.002.02.005</t>
        </is>
      </c>
      <c r="D12" s="4" t="inlineStr">
        <is>
          <t>шт</t>
        </is>
      </c>
      <c r="E12" s="6" t="n">
        <v>70</v>
      </c>
      <c r="F12" s="5" t="n">
        <v>5620</v>
      </c>
      <c r="G12" s="5" t="n">
        <v>393400</v>
      </c>
      <c r="H12" s="5" t="n">
        <v>5245.15</v>
      </c>
      <c r="I12" s="5" t="n">
        <v>367160.5</v>
      </c>
      <c r="J12" s="8" t="n">
        <v>0.06669928825622784</v>
      </c>
      <c r="K12" s="4" t="inlineStr">
        <is>
          <t xml:space="preserve">[ОЦЕНКА] цена с НДС = НМЦ×1,22×0.85 (публичной цены нет; спецдеталь к указателю уровня Т-229Б (ДТКЗ, Дорогобужкотломаш) </t>
        </is>
      </c>
      <c r="L12" s="4" t="inlineStr"/>
    </row>
    <row r="13" ht="36" customHeight="1">
      <c r="A13" s="4" t="inlineStr">
        <is>
          <t>ПАРТИЯ № 1</t>
        </is>
      </c>
      <c r="B13" s="6" t="n">
        <v>12</v>
      </c>
      <c r="C13" s="4" t="inlineStr">
        <is>
          <t>Гайка специальная Т-229б  ст 30ХМА ДТКЗ АМ20 -6Н</t>
        </is>
      </c>
      <c r="D13" s="4" t="inlineStr">
        <is>
          <t>шт</t>
        </is>
      </c>
      <c r="E13" s="6" t="n">
        <v>140</v>
      </c>
      <c r="F13" s="5" t="n">
        <v>636.67</v>
      </c>
      <c r="G13" s="5" t="n">
        <v>89133.8</v>
      </c>
      <c r="H13" s="5" t="n">
        <v>594.21</v>
      </c>
      <c r="I13" s="5" t="n">
        <v>83189.40000000001</v>
      </c>
      <c r="J13" s="8" t="n">
        <v>0.06669075031020766</v>
      </c>
      <c r="K13" s="4" t="inlineStr">
        <is>
          <t xml:space="preserve">[ОЦЕНКА] цена с НДС = НМЦ×1,22×0.85 (публичной цены нет; спецдеталь к указателю уровня Т-229Б (ДТКЗ, Дорогобужкотломаш) </t>
        </is>
      </c>
      <c r="L13" s="4" t="inlineStr"/>
    </row>
    <row r="14" ht="36" customHeight="1">
      <c r="A14" s="4" t="inlineStr">
        <is>
          <t>ПАРТИЯ № 1</t>
        </is>
      </c>
      <c r="B14" s="6" t="n">
        <v>13</v>
      </c>
      <c r="C14" s="4" t="inlineStr">
        <is>
          <t>Пневмопривод RAT052-DA (функция: двойного действия, упр. давление: 2…8 бар, присоед. фланец: F04 (опция), присоед. отверстие: зв. 11 мм)  с пневмораспределителем и блоком концевых выключателей</t>
        </is>
      </c>
      <c r="D14" s="4" t="inlineStr">
        <is>
          <t>шт</t>
        </is>
      </c>
      <c r="E14" s="6" t="n">
        <v>4</v>
      </c>
      <c r="F14" s="5" t="n">
        <v>11926.67</v>
      </c>
      <c r="G14" s="5" t="n">
        <v>47706.68</v>
      </c>
      <c r="H14" s="5" t="n">
        <v>15015.7</v>
      </c>
      <c r="I14" s="5" t="n">
        <v>60062.8</v>
      </c>
      <c r="J14" s="10" t="n">
        <v>-0.2590018840128887</v>
      </c>
      <c r="K14" s="4" t="inlineStr">
        <is>
          <t>[ПРОКСИ] dn.ru на 27.10.2026: PA-DA-052 (F03/F05, кв.11) 6 791,13 + пневмораспределитель 4M310-08 DC24V 3 753,33 + БКВ A</t>
        </is>
      </c>
      <c r="L14" s="4" t="inlineStr">
        <is>
          <t>DN.ru PA-DA-052 + 4M310-08 DC24V + ALS200D (КНР)</t>
        </is>
      </c>
    </row>
    <row r="15" ht="36" customHeight="1">
      <c r="A15" s="4" t="inlineStr">
        <is>
          <t>ПАРТИЯ № 1</t>
        </is>
      </c>
      <c r="B15" s="6" t="n">
        <v>14</v>
      </c>
      <c r="C15" s="4" t="inlineStr">
        <is>
          <t>Пневмопривод RAT075-DA (функция: двойного действия, упр. давление: 2…8 бар, присоед. фланец: F05/F07, присоед. отверстие: зв. 14 мм)  с пневмораспределителем и блоком концевых выключателей</t>
        </is>
      </c>
      <c r="D15" s="4" t="inlineStr">
        <is>
          <t>шт</t>
        </is>
      </c>
      <c r="E15" s="6" t="n">
        <v>4</v>
      </c>
      <c r="F15" s="5" t="n">
        <v>15613.33</v>
      </c>
      <c r="G15" s="5" t="n">
        <v>62453.32</v>
      </c>
      <c r="H15" s="5" t="n">
        <v>19368.72</v>
      </c>
      <c r="I15" s="5" t="n">
        <v>77474.88</v>
      </c>
      <c r="J15" s="10" t="n">
        <v>-0.2405246030155004</v>
      </c>
      <c r="K15" s="4" t="inlineStr">
        <is>
          <t>[ПРОКСИ] dn.ru на 27.10.2026: PA-DA-083 (F05/F07, кв.17, нужна втулка на кв.14) 11 627,82 + 4M310-08 DC24V 3 753,33 + AL</t>
        </is>
      </c>
      <c r="L15" s="4" t="inlineStr">
        <is>
          <t>DN.ru PA-DA-083 + 4M310-08 DC24V + ALS200D (КНР)</t>
        </is>
      </c>
    </row>
    <row r="16" ht="36" customHeight="1">
      <c r="A16" s="4" t="inlineStr">
        <is>
          <t>ПАРТИЯ № 1</t>
        </is>
      </c>
      <c r="B16" s="6" t="n">
        <v>15</v>
      </c>
      <c r="C16" s="4" t="inlineStr">
        <is>
          <t>Клапан обратный чугун шаровой фланцевый Ду 150 Ру16</t>
        </is>
      </c>
      <c r="D16" s="4" t="inlineStr">
        <is>
          <t>шт</t>
        </is>
      </c>
      <c r="E16" s="6" t="n">
        <v>4</v>
      </c>
      <c r="F16" s="5" t="n">
        <v>34090</v>
      </c>
      <c r="G16" s="5" t="n">
        <v>136360</v>
      </c>
      <c r="H16" s="5" t="n">
        <v>27762.38</v>
      </c>
      <c r="I16" s="5" t="n">
        <v>111049.52</v>
      </c>
      <c r="J16" s="8" t="n">
        <v>0.1856151364036374</v>
      </c>
      <c r="K16" s="4" t="inlineStr">
        <is>
          <t>dn.ru, Benarmo обратный шаровой Ду150 Ру16 чугун/сталь NBR, на 30.10.2026</t>
        </is>
      </c>
      <c r="L16" s="4" t="inlineStr"/>
    </row>
    <row r="17" ht="36" customHeight="1">
      <c r="A17" s="4" t="inlineStr">
        <is>
          <t>ПАРТИЯ № 1</t>
        </is>
      </c>
      <c r="B17" s="6" t="n">
        <v>16</v>
      </c>
      <c r="C17" s="4" t="inlineStr">
        <is>
          <t>Клапан обратный чугун шаровой фланцевый Ду 100 Ру16</t>
        </is>
      </c>
      <c r="D17" s="4" t="inlineStr">
        <is>
          <t>шт</t>
        </is>
      </c>
      <c r="E17" s="6" t="n">
        <v>8</v>
      </c>
      <c r="F17" s="5" t="n">
        <v>17266.67</v>
      </c>
      <c r="G17" s="5" t="n">
        <v>138133.36</v>
      </c>
      <c r="H17" s="5" t="n">
        <v>13974.25</v>
      </c>
      <c r="I17" s="5" t="n">
        <v>111794</v>
      </c>
      <c r="J17" s="8" t="n">
        <v>0.190680658169757</v>
      </c>
      <c r="K17" s="4" t="inlineStr">
        <is>
          <t>dn.ru, Benarmo обратный шаровой Ду100 Ру16, на 30.10.2026</t>
        </is>
      </c>
      <c r="L17" s="4" t="inlineStr"/>
    </row>
    <row r="18" ht="36" customHeight="1">
      <c r="A18" s="4" t="inlineStr">
        <is>
          <t>ПАРТИЯ № 1</t>
        </is>
      </c>
      <c r="B18" s="6" t="n">
        <v>17</v>
      </c>
      <c r="C18" s="4" t="inlineStr">
        <is>
          <t>Клапан обратный чугун шаровой фланцевый Ду 80 Ру16</t>
        </is>
      </c>
      <c r="D18" s="4" t="inlineStr">
        <is>
          <t>шт</t>
        </is>
      </c>
      <c r="E18" s="6" t="n">
        <v>8</v>
      </c>
      <c r="F18" s="5" t="n">
        <v>12373.33</v>
      </c>
      <c r="G18" s="5" t="n">
        <v>98986.64</v>
      </c>
      <c r="H18" s="5" t="n">
        <v>10299.24</v>
      </c>
      <c r="I18" s="5" t="n">
        <v>82393.92</v>
      </c>
      <c r="J18" s="8" t="n">
        <v>0.167625853347482</v>
      </c>
      <c r="K18" s="4" t="inlineStr">
        <is>
          <t>dn.ru, Benarmo обратный шаровой Ду80 Ру16, на 30.10.2026</t>
        </is>
      </c>
      <c r="L18" s="4" t="inlineStr"/>
    </row>
    <row r="19" ht="36" customHeight="1">
      <c r="A19" s="4" t="inlineStr">
        <is>
          <t>ПАРТИЯ № 1</t>
        </is>
      </c>
      <c r="B19" s="6" t="n">
        <v>18</v>
      </c>
      <c r="C19" s="4" t="inlineStr">
        <is>
          <t>Задвижка чугун 30ч39р МЗВ обрезиненный клин EPDM Ду 80 Ру10/16 фл</t>
        </is>
      </c>
      <c r="D19" s="4" t="inlineStr">
        <is>
          <t>шт</t>
        </is>
      </c>
      <c r="E19" s="6" t="n">
        <v>4</v>
      </c>
      <c r="F19" s="5" t="n">
        <v>3886.67</v>
      </c>
      <c r="G19" s="5" t="n">
        <v>15546.68</v>
      </c>
      <c r="H19" s="5" t="n">
        <v>2664.9</v>
      </c>
      <c r="I19" s="5" t="n">
        <v>10659.6</v>
      </c>
      <c r="J19" s="9" t="n">
        <v>0.3143487870079014</v>
      </c>
      <c r="K19" s="4" t="inlineStr">
        <is>
          <t>БК-Арматура, 30ч39р SL14 DN80 (Семёновский ЛМЗ), с НДС</t>
        </is>
      </c>
      <c r="L19" s="4" t="inlineStr">
        <is>
          <t>30ч39р ЛМЗ SL14 (обрезиненный клин) вместо МЗВ</t>
        </is>
      </c>
    </row>
    <row r="20" ht="36" customHeight="1">
      <c r="A20" s="4" t="inlineStr">
        <is>
          <t>ПАРТИЯ № 1</t>
        </is>
      </c>
      <c r="B20" s="6" t="n">
        <v>19</v>
      </c>
      <c r="C20" s="4" t="inlineStr">
        <is>
          <t>Затвор чуг/нерж упл. EPDM Ду150 Ру16</t>
        </is>
      </c>
      <c r="D20" s="4" t="inlineStr">
        <is>
          <t>шт</t>
        </is>
      </c>
      <c r="E20" s="6" t="n">
        <v>10</v>
      </c>
      <c r="F20" s="5" t="n">
        <v>4660</v>
      </c>
      <c r="G20" s="5" t="n">
        <v>46600</v>
      </c>
      <c r="H20" s="5" t="n">
        <v>14941.8</v>
      </c>
      <c r="I20" s="5" t="n">
        <v>149418</v>
      </c>
      <c r="J20" s="10" t="n">
        <v>-2.206394849785408</v>
      </c>
      <c r="K20" s="4" t="inlineStr">
        <is>
          <t>СИБЗТА прайс 12.01.2026: затвор 32ч1р Ду150 Ру16 ручной, диск нерж</t>
        </is>
      </c>
      <c r="L20" s="4" t="inlineStr"/>
    </row>
    <row r="21" ht="36" customHeight="1">
      <c r="A21" s="4" t="inlineStr">
        <is>
          <t>ПАРТИЯ № 1</t>
        </is>
      </c>
      <c r="B21" s="6" t="n">
        <v>20</v>
      </c>
      <c r="C21" s="4" t="inlineStr">
        <is>
          <t>Затвор чуг/нерж упл. EPDM Ду100 Ру16</t>
        </is>
      </c>
      <c r="D21" s="4" t="inlineStr">
        <is>
          <t>шт</t>
        </is>
      </c>
      <c r="E21" s="6" t="n">
        <v>4</v>
      </c>
      <c r="F21" s="5" t="n">
        <v>2866.67</v>
      </c>
      <c r="G21" s="5" t="n">
        <v>11466.68</v>
      </c>
      <c r="H21" s="5" t="n">
        <v>8806.5</v>
      </c>
      <c r="I21" s="5" t="n">
        <v>35226</v>
      </c>
      <c r="J21" s="10" t="n">
        <v>-2.072031311591498</v>
      </c>
      <c r="K21" s="4" t="inlineStr">
        <is>
          <t>СИБЗТА прайс: затвор 32ч1р Ду100 Ру16, диск нерж</t>
        </is>
      </c>
      <c r="L21" s="4" t="inlineStr"/>
    </row>
    <row r="22" ht="36" customHeight="1">
      <c r="A22" s="4" t="inlineStr">
        <is>
          <t>ПАРТИЯ № 1</t>
        </is>
      </c>
      <c r="B22" s="6" t="n">
        <v>21</v>
      </c>
      <c r="C22" s="4" t="inlineStr">
        <is>
          <t>Шаровой кран ПВХ общего применения с внутренней резьбой, 2" DN50, PN16, EPDM</t>
        </is>
      </c>
      <c r="D22" s="4" t="inlineStr">
        <is>
          <t>шт</t>
        </is>
      </c>
      <c r="E22" s="6" t="n">
        <v>5</v>
      </c>
      <c r="F22" s="5" t="n">
        <v>5290</v>
      </c>
      <c r="G22" s="5" t="n">
        <v>26450</v>
      </c>
      <c r="H22" s="5" t="n">
        <v>4603.96</v>
      </c>
      <c r="I22" s="5" t="n">
        <v>23019.8</v>
      </c>
      <c r="J22" s="8" t="n">
        <v>0.1296862003780719</v>
      </c>
      <c r="K22" s="4" t="inlineStr">
        <is>
          <t>[ПРОКСИ] pimtasplast.ru на 27.10.2026: кран ПВХ Pimtas PN16 EPDM&amp;PTFE d63 (DN50) 5 115,51 (клеевой; резьбовой ВР — уточн</t>
        </is>
      </c>
      <c r="L22" s="4" t="inlineStr">
        <is>
          <t>Pimtas PVC-U PN16 EPDM</t>
        </is>
      </c>
    </row>
    <row r="23" ht="36" customHeight="1">
      <c r="A23" s="4" t="inlineStr">
        <is>
          <t>ПАРТИЯ № 1</t>
        </is>
      </c>
      <c r="B23" s="6" t="n">
        <v>22</v>
      </c>
      <c r="C23" s="4" t="inlineStr">
        <is>
          <t>Шаровой кран ПВХ общего применения с внутренней резьбой, 1/2" DN15, PN16, EPDM</t>
        </is>
      </c>
      <c r="D23" s="4" t="inlineStr">
        <is>
          <t>шт</t>
        </is>
      </c>
      <c r="E23" s="6" t="n">
        <v>5</v>
      </c>
      <c r="F23" s="5" t="n">
        <v>1793.33</v>
      </c>
      <c r="G23" s="5" t="n">
        <v>8966.65</v>
      </c>
      <c r="H23" s="5" t="n">
        <v>1548.71</v>
      </c>
      <c r="I23" s="5" t="n">
        <v>7743.55</v>
      </c>
      <c r="J23" s="8" t="n">
        <v>0.13640545800271</v>
      </c>
      <c r="K23" s="4" t="inlineStr">
        <is>
          <t>[ПРОКСИ] pimtasplast.ru на 27.10.2026: кран ПВХ Pimtas PN16 EPDM&amp;PTFE d20 (DN15) 1 720,79</t>
        </is>
      </c>
      <c r="L23" s="4" t="inlineStr">
        <is>
          <t>Pimtas PVC-U PN16 EPDM</t>
        </is>
      </c>
    </row>
    <row r="24" ht="36" customHeight="1">
      <c r="A24" s="4" t="inlineStr">
        <is>
          <t>ПАРТИЯ № 1</t>
        </is>
      </c>
      <c r="B24" s="6" t="n">
        <v>23</v>
      </c>
      <c r="C24" s="4" t="inlineStr">
        <is>
          <t>Задвижка под электропривод 30ч906бр Ду 200 Ру 10</t>
        </is>
      </c>
      <c r="D24" s="4" t="inlineStr">
        <is>
          <t>шт</t>
        </is>
      </c>
      <c r="E24" s="6" t="n">
        <v>4</v>
      </c>
      <c r="F24" s="5" t="n">
        <v>57833.33</v>
      </c>
      <c r="G24" s="5" t="n">
        <v>231333.32</v>
      </c>
      <c r="H24" s="5" t="n">
        <v>34300.97</v>
      </c>
      <c r="I24" s="5" t="n">
        <v>137203.88</v>
      </c>
      <c r="J24" s="9" t="n">
        <v>0.4068996199942144</v>
      </c>
      <c r="K24" s="4" t="inlineStr">
        <is>
          <t>dn.ru, 30ч906бр ЛАЗ Ду200 Ру10 под электропривод, на 26.10.2026</t>
        </is>
      </c>
      <c r="L24" s="4" t="inlineStr"/>
    </row>
    <row r="25" ht="36" customHeight="1">
      <c r="A25" s="4" t="inlineStr">
        <is>
          <t>ПАРТИЯ № 1</t>
        </is>
      </c>
      <c r="B25" s="6" t="n">
        <v>24</v>
      </c>
      <c r="C25" s="4" t="inlineStr">
        <is>
          <t>Фланец ГОСТ 33259-2015 (ГОСТ 12820-80)  Ду 32 Ру 10 исп.B (1исп.)</t>
        </is>
      </c>
      <c r="D25" s="4" t="inlineStr">
        <is>
          <t>шт</t>
        </is>
      </c>
      <c r="E25" s="6" t="n">
        <v>10</v>
      </c>
      <c r="F25" s="5" t="n">
        <v>386.67</v>
      </c>
      <c r="G25" s="5" t="n">
        <v>3866.7</v>
      </c>
      <c r="H25" s="5" t="n">
        <v>305.24</v>
      </c>
      <c r="I25" s="5" t="n">
        <v>3052.4</v>
      </c>
      <c r="J25" s="8" t="n">
        <v>0.2105930121292058</v>
      </c>
      <c r="K25" s="4" t="inlineStr">
        <is>
          <t>dn.ru, фланец плоский Россия Ду32 Ру10 ст20 тип 01 исп.B, на 02.11.2026</t>
        </is>
      </c>
      <c r="L25" s="4" t="inlineStr"/>
    </row>
    <row r="26" ht="36" customHeight="1">
      <c r="A26" s="4" t="inlineStr">
        <is>
          <t>ПАРТИЯ № 1</t>
        </is>
      </c>
      <c r="B26" s="6" t="n">
        <v>25</v>
      </c>
      <c r="C26" s="4" t="inlineStr">
        <is>
          <t>Фланец ГОСТ 33259-2015 (ГОСТ 12820-80)  Ду 50 Ру 10 исп.B (1исп.)</t>
        </is>
      </c>
      <c r="D26" s="4" t="inlineStr">
        <is>
          <t>шт</t>
        </is>
      </c>
      <c r="E26" s="6" t="n">
        <v>10</v>
      </c>
      <c r="F26" s="5" t="n">
        <v>780</v>
      </c>
      <c r="G26" s="5" t="n">
        <v>7800</v>
      </c>
      <c r="H26" s="5" t="n">
        <v>417.79</v>
      </c>
      <c r="I26" s="5" t="n">
        <v>4177.900000000001</v>
      </c>
      <c r="J26" s="9" t="n">
        <v>0.4643717948717948</v>
      </c>
      <c r="K26" s="4" t="inlineStr">
        <is>
          <t>dn.ru, фланец КЗТШ Ду50 Ру10 ст20 тип 01 исп.B</t>
        </is>
      </c>
      <c r="L26" s="4" t="inlineStr"/>
    </row>
    <row r="27" ht="36" customHeight="1">
      <c r="A27" s="4" t="inlineStr">
        <is>
          <t>ПАРТИЯ № 1</t>
        </is>
      </c>
      <c r="B27" s="6" t="n">
        <v>26</v>
      </c>
      <c r="C27" s="4" t="inlineStr">
        <is>
          <t>Фланец ГОСТ 33259-2015 (ГОСТ 12820-80)  Ду 80 Ру 10 исп.B (1исп.)</t>
        </is>
      </c>
      <c r="D27" s="4" t="inlineStr">
        <is>
          <t>шт</t>
        </is>
      </c>
      <c r="E27" s="6" t="n">
        <v>30</v>
      </c>
      <c r="F27" s="5" t="n">
        <v>940</v>
      </c>
      <c r="G27" s="5" t="n">
        <v>28200</v>
      </c>
      <c r="H27" s="5" t="n">
        <v>645.62</v>
      </c>
      <c r="I27" s="5" t="n">
        <v>19368.6</v>
      </c>
      <c r="J27" s="9" t="n">
        <v>0.3131702127659575</v>
      </c>
      <c r="K27" s="4" t="inlineStr">
        <is>
          <t>dn.ru, фланец КЗТШ Ду80 Ру10</t>
        </is>
      </c>
      <c r="L27" s="4" t="inlineStr"/>
    </row>
    <row r="28" ht="36" customHeight="1">
      <c r="A28" s="4" t="inlineStr">
        <is>
          <t>ПАРТИЯ № 1</t>
        </is>
      </c>
      <c r="B28" s="6" t="n">
        <v>27</v>
      </c>
      <c r="C28" s="4" t="inlineStr">
        <is>
          <t>Фланец ГОСТ 33259-2015 (ГОСТ 12820-80)  Ду 100 Ру 10 исп.B (1исп.)</t>
        </is>
      </c>
      <c r="D28" s="4" t="inlineStr">
        <is>
          <t>шт</t>
        </is>
      </c>
      <c r="E28" s="6" t="n">
        <v>34</v>
      </c>
      <c r="F28" s="5" t="n">
        <v>1313.33</v>
      </c>
      <c r="G28" s="5" t="n">
        <v>44653.22</v>
      </c>
      <c r="H28" s="5" t="n">
        <v>999.1799999999999</v>
      </c>
      <c r="I28" s="5" t="n">
        <v>33972.12</v>
      </c>
      <c r="J28" s="8" t="n">
        <v>0.2392011147236415</v>
      </c>
      <c r="K28" s="4" t="inlineStr">
        <is>
          <t>dn.ru, фланец КЗТШ Ду100 Ру10</t>
        </is>
      </c>
      <c r="L28" s="4" t="inlineStr"/>
    </row>
    <row r="29" ht="36" customHeight="1">
      <c r="A29" s="4" t="inlineStr">
        <is>
          <t>ПАРТИЯ № 1</t>
        </is>
      </c>
      <c r="B29" s="6" t="n">
        <v>28</v>
      </c>
      <c r="C29" s="4" t="inlineStr">
        <is>
          <t>Фланец ГОСТ 33259-2015 (ГОСТ 12820-80)  Ду 150 Ру 10 исп.B (1исп.)</t>
        </is>
      </c>
      <c r="D29" s="4" t="inlineStr">
        <is>
          <t>шт</t>
        </is>
      </c>
      <c r="E29" s="6" t="n">
        <v>10</v>
      </c>
      <c r="F29" s="5" t="n">
        <v>1960</v>
      </c>
      <c r="G29" s="5" t="n">
        <v>19600</v>
      </c>
      <c r="H29" s="5" t="n">
        <v>1526.77</v>
      </c>
      <c r="I29" s="5" t="n">
        <v>15267.7</v>
      </c>
      <c r="J29" s="8" t="n">
        <v>0.2210357142857143</v>
      </c>
      <c r="K29" s="4" t="inlineStr">
        <is>
          <t>dn.ru, фланец КЗТШ Ду150 Ру10</t>
        </is>
      </c>
      <c r="L29" s="4" t="inlineStr"/>
    </row>
    <row r="30" ht="36" customHeight="1">
      <c r="A30" s="4" t="inlineStr">
        <is>
          <t>ПАРТИЯ № 1</t>
        </is>
      </c>
      <c r="B30" s="6" t="n">
        <v>29</v>
      </c>
      <c r="C30" s="4" t="inlineStr">
        <is>
          <t>Шар сталь+NBR 3010.СB02 для обратного клапана Ду 100 Benarmo арт.019-3035</t>
        </is>
      </c>
      <c r="D30" s="4" t="inlineStr">
        <is>
          <t>шт</t>
        </is>
      </c>
      <c r="E30" s="6" t="n">
        <v>10</v>
      </c>
      <c r="F30" s="5" t="n">
        <v>2486.67</v>
      </c>
      <c r="G30" s="5" t="n">
        <v>24866.7</v>
      </c>
      <c r="H30" s="5" t="n">
        <v>2320.81</v>
      </c>
      <c r="I30" s="5" t="n">
        <v>23208.1</v>
      </c>
      <c r="J30" s="8" t="n">
        <v>0.06669964249377691</v>
      </c>
      <c r="K30" s="4" t="inlineStr">
        <is>
          <t>[ОЦЕНКА] цена с НДС = НМЦ×1,22×0.85 (публичной цены нет; шар 3010.СB02 Ду100 — запчасть Benarmo, отдельно не продаётся в</t>
        </is>
      </c>
      <c r="L30" s="4" t="inlineStr"/>
    </row>
    <row r="31" ht="36" customHeight="1">
      <c r="A31" s="4" t="inlineStr">
        <is>
          <t>ПАРТИЯ № 1</t>
        </is>
      </c>
      <c r="B31" s="6" t="n">
        <v>30</v>
      </c>
      <c r="C31" s="4" t="inlineStr">
        <is>
          <t>Шар сталь+NBR 3010.СB02 для обратного клапана Ду 80 Benarmo арт.019-3034</t>
        </is>
      </c>
      <c r="D31" s="4" t="inlineStr">
        <is>
          <t>шт</t>
        </is>
      </c>
      <c r="E31" s="6" t="n">
        <v>10</v>
      </c>
      <c r="F31" s="5" t="n">
        <v>1160</v>
      </c>
      <c r="G31" s="5" t="n">
        <v>11600</v>
      </c>
      <c r="H31" s="5" t="n">
        <v>1082.63</v>
      </c>
      <c r="I31" s="5" t="n">
        <v>10826.3</v>
      </c>
      <c r="J31" s="8" t="n">
        <v>0.06669827586206889</v>
      </c>
      <c r="K31" s="4" t="inlineStr">
        <is>
          <t xml:space="preserve">[ОЦЕНКА] цена с НДС = НМЦ×1,22×0.85 (публичной цены нет; шар 3010.СB02 Ду80 — запчасть Benarmo, отдельно не продаётся в </t>
        </is>
      </c>
      <c r="L31" s="4" t="inlineStr"/>
    </row>
    <row r="32" ht="36" customHeight="1">
      <c r="A32" s="4" t="inlineStr">
        <is>
          <t>ПАРТИЯ № 1</t>
        </is>
      </c>
      <c r="B32" s="6" t="n">
        <v>31</v>
      </c>
      <c r="C32" s="4" t="inlineStr">
        <is>
          <t>Шар сталь+NBR 3010.СB02 для обратного клапана Ду 65 Benarmo арт.019-3033</t>
        </is>
      </c>
      <c r="D32" s="4" t="inlineStr">
        <is>
          <t>шт</t>
        </is>
      </c>
      <c r="E32" s="6" t="n">
        <v>6</v>
      </c>
      <c r="F32" s="5" t="n">
        <v>916.67</v>
      </c>
      <c r="G32" s="5" t="n">
        <v>5500.02</v>
      </c>
      <c r="H32" s="5" t="n">
        <v>855.53</v>
      </c>
      <c r="I32" s="5" t="n">
        <v>5133.18</v>
      </c>
      <c r="J32" s="8" t="n">
        <v>0.06669793928022083</v>
      </c>
      <c r="K32" s="4" t="inlineStr">
        <is>
          <t xml:space="preserve">[ОЦЕНКА] цена с НДС = НМЦ×1,22×0.85 (публичной цены нет; шар 3010.СB02 Ду65 — запчасть Benarmo, отдельно не продаётся в </t>
        </is>
      </c>
      <c r="L32" s="4" t="inlineStr"/>
    </row>
    <row r="33" ht="36" customHeight="1">
      <c r="A33" s="4" t="inlineStr">
        <is>
          <t>ПАРТИЯ № 1</t>
        </is>
      </c>
      <c r="B33" s="6" t="n">
        <v>32</v>
      </c>
      <c r="C33" s="4" t="inlineStr">
        <is>
          <t>Шар сталь+NBR 3010.СB02 для обратного клапана Ду 50 Benarmo арт.019-3032</t>
        </is>
      </c>
      <c r="D33" s="4" t="inlineStr">
        <is>
          <t>шт</t>
        </is>
      </c>
      <c r="E33" s="6" t="n">
        <v>6</v>
      </c>
      <c r="F33" s="5" t="n">
        <v>660</v>
      </c>
      <c r="G33" s="5" t="n">
        <v>3960</v>
      </c>
      <c r="H33" s="5" t="n">
        <v>615.98</v>
      </c>
      <c r="I33" s="5" t="n">
        <v>3695.88</v>
      </c>
      <c r="J33" s="8" t="n">
        <v>0.0666969696969697</v>
      </c>
      <c r="K33" s="4" t="inlineStr">
        <is>
          <t xml:space="preserve">[ОЦЕНКА] цена с НДС = НМЦ×1,22×0.85 (публичной цены нет; шар 3010.СB02 Ду50 — запчасть Benarmo, отдельно не продаётся в </t>
        </is>
      </c>
      <c r="L33" s="4" t="inlineStr"/>
    </row>
    <row r="34" ht="36" customHeight="1">
      <c r="A34" s="4" t="inlineStr">
        <is>
          <t>ПАРТИЯ № 1</t>
        </is>
      </c>
      <c r="B34" s="6" t="n">
        <v>33</v>
      </c>
      <c r="C34" s="4" t="inlineStr">
        <is>
          <t>Клапан обратный КО 200.16.3311  DN 200 PN 16 исп F (шлаковая пульпа)</t>
        </is>
      </c>
      <c r="D34" s="4" t="inlineStr">
        <is>
          <t>шт</t>
        </is>
      </c>
      <c r="E34" s="6" t="n">
        <v>3</v>
      </c>
      <c r="F34" s="5" t="n">
        <v>152513.33</v>
      </c>
      <c r="G34" s="5" t="n">
        <v>457539.99</v>
      </c>
      <c r="H34" s="5" t="n">
        <v>142340.69</v>
      </c>
      <c r="I34" s="5" t="n">
        <v>427022.07</v>
      </c>
      <c r="J34" s="8" t="n">
        <v>0.0667000058289986</v>
      </c>
      <c r="K34" s="4" t="inlineStr">
        <is>
          <t>[ОЦЕНКА] цена с НДС = НМЦ×1,22×0.85 (публичной цены нет; КО 200.16.3311 исп.F (пульпа) — обозначение не найдено в открыт</t>
        </is>
      </c>
      <c r="L34" s="4" t="inlineStr"/>
    </row>
    <row r="35" ht="36" customHeight="1">
      <c r="A35" s="4" t="inlineStr">
        <is>
          <t>ПАРТИЯ № 1</t>
        </is>
      </c>
      <c r="B35" s="6" t="n">
        <v>34</v>
      </c>
      <c r="C35" s="4" t="inlineStr">
        <is>
          <t>Затвор дисковый ЗДП-80-6,3-1-М-А-УХЛ1</t>
        </is>
      </c>
      <c r="D35" s="4" t="inlineStr">
        <is>
          <t>шт</t>
        </is>
      </c>
      <c r="E35" s="6" t="n">
        <v>5</v>
      </c>
      <c r="F35" s="5" t="n">
        <v>6740</v>
      </c>
      <c r="G35" s="5" t="n">
        <v>33700</v>
      </c>
      <c r="H35" s="5" t="n">
        <v>3788.1</v>
      </c>
      <c r="I35" s="5" t="n">
        <v>18940.5</v>
      </c>
      <c r="J35" s="9" t="n">
        <v>0.4379673590504451</v>
      </c>
      <c r="K35" s="4" t="inlineStr">
        <is>
          <t>КП Лидер-Энерго № 2022 от 26.10.2026: ЗПД-80-УХЛ1, с НДС (база Камчатки)</t>
        </is>
      </c>
      <c r="L35" s="4" t="inlineStr"/>
    </row>
    <row r="36" ht="36" customHeight="1">
      <c r="A36" s="4" t="inlineStr">
        <is>
          <t>ПАРТИЯ № 1</t>
        </is>
      </c>
      <c r="B36" s="6" t="n">
        <v>35</v>
      </c>
      <c r="C36" s="4" t="inlineStr">
        <is>
          <t>Затвор дисковый ЗДП-80-6,3-1-М-А-УХЛ1</t>
        </is>
      </c>
      <c r="D36" s="4" t="inlineStr">
        <is>
          <t>шт</t>
        </is>
      </c>
      <c r="E36" s="6" t="n">
        <v>3</v>
      </c>
      <c r="F36" s="5" t="n">
        <v>6740</v>
      </c>
      <c r="G36" s="5" t="n">
        <v>20220</v>
      </c>
      <c r="H36" s="5" t="n">
        <v>3788.1</v>
      </c>
      <c r="I36" s="5" t="n">
        <v>11364.3</v>
      </c>
      <c r="J36" s="9" t="n">
        <v>0.4379673590504451</v>
      </c>
      <c r="K36" s="4" t="inlineStr">
        <is>
          <t>КП Лидер-Энерго № 2022 от 26.10.2026: ЗПД-80-УХЛ1, с НДС (база Камчатки)</t>
        </is>
      </c>
      <c r="L36" s="4" t="inlineStr"/>
    </row>
    <row r="37" ht="36" customHeight="1">
      <c r="A37" s="4" t="inlineStr">
        <is>
          <t>ПАРТИЯ № 1</t>
        </is>
      </c>
      <c r="B37" s="6" t="n">
        <v>36</v>
      </c>
      <c r="C37" s="4" t="inlineStr">
        <is>
          <t>Затвор  (клапан) обратный RMCX Ду100 Ру16 межфланцевый, двустворчатый, корпус — чугун GGG40 c EPDM</t>
        </is>
      </c>
      <c r="D37" s="4" t="inlineStr">
        <is>
          <t>шт</t>
        </is>
      </c>
      <c r="E37" s="6" t="n">
        <v>8</v>
      </c>
      <c r="F37" s="5" t="n">
        <v>2116.67</v>
      </c>
      <c r="G37" s="5" t="n">
        <v>16933.36</v>
      </c>
      <c r="H37" s="5" t="n">
        <v>2417.4</v>
      </c>
      <c r="I37" s="5" t="n">
        <v>19339.2</v>
      </c>
      <c r="J37" s="10" t="n">
        <v>-0.1420769416111156</v>
      </c>
      <c r="K37" s="4" t="inlineStr">
        <is>
          <t>СИБЗТА прайс: клапан обратный двухстворчатый Ду100 Ру16</t>
        </is>
      </c>
      <c r="L37" s="4" t="inlineStr">
        <is>
          <t>двухстворчатый межфланцевый СИБЗТА вместо RMCX</t>
        </is>
      </c>
    </row>
    <row r="38" ht="36" customHeight="1">
      <c r="A38" s="4" t="inlineStr">
        <is>
          <t>ПАРТИЯ № 1</t>
        </is>
      </c>
      <c r="B38" s="6" t="n">
        <v>37</v>
      </c>
      <c r="C38" s="4" t="inlineStr">
        <is>
          <t>Затвор дисковый DN065 с ПП ДД АМ6.710.1433-УК с ЭПР АРМАТЭК 5/2 24VDC, БКВ А250 (вода, до + 25 С, PN 2,5 МПа, ДТР 010)</t>
        </is>
      </c>
      <c r="D38" s="4" t="inlineStr">
        <is>
          <t>шт</t>
        </is>
      </c>
      <c r="E38" s="6" t="n">
        <v>5</v>
      </c>
      <c r="F38" s="5" t="n">
        <v>95533.33</v>
      </c>
      <c r="G38" s="5" t="n">
        <v>477666.65</v>
      </c>
      <c r="H38" s="5" t="n">
        <v>89161.25</v>
      </c>
      <c r="I38" s="5" t="n">
        <v>445806.25</v>
      </c>
      <c r="J38" s="8" t="n">
        <v>0.06670007211095852</v>
      </c>
      <c r="K38" s="4" t="inlineStr">
        <is>
          <t>[ОЦЕНКА] цена с НДС = НМЦ×1,22×0.85 (публичной цены нет; АРМАТЭК серия АМ с пневмоприводом/ЭПР/БКВ — цены только по опро</t>
        </is>
      </c>
      <c r="L38" s="4" t="inlineStr"/>
    </row>
    <row r="39" ht="36" customHeight="1">
      <c r="A39" s="4" t="inlineStr">
        <is>
          <t>ПАРТИЯ № 1</t>
        </is>
      </c>
      <c r="B39" s="6" t="n">
        <v>38</v>
      </c>
      <c r="C39" s="4" t="inlineStr">
        <is>
          <t>Затвор дисковый с резинометаллическим вкладышем DN065 с пневмоприводом ДД АН6.610.1433-УК в ком-те с ЭПР АРМАТЭК 5/2 24VDC, БКВ А250 (воздух, до + 80 С, PN 1,6 МПа, ДТР 032)</t>
        </is>
      </c>
      <c r="D39" s="4" t="inlineStr">
        <is>
          <t>шт</t>
        </is>
      </c>
      <c r="E39" s="6" t="n">
        <v>5</v>
      </c>
      <c r="F39" s="5" t="n">
        <v>90980</v>
      </c>
      <c r="G39" s="5" t="n">
        <v>454900</v>
      </c>
      <c r="H39" s="5" t="n">
        <v>84911.63</v>
      </c>
      <c r="I39" s="5" t="n">
        <v>424558.15</v>
      </c>
      <c r="J39" s="8" t="n">
        <v>0.06670004396570672</v>
      </c>
      <c r="K39" s="4" t="inlineStr">
        <is>
          <t>[ОЦЕНКА] цена с НДС = НМЦ×1,22×0.85 (публичной цены нет; АРМАТЭК серия АМ с пневмоприводом/ЭПР/БКВ — цены только по опро</t>
        </is>
      </c>
      <c r="L39" s="4" t="inlineStr"/>
    </row>
    <row r="40" ht="36" customHeight="1">
      <c r="A40" s="4" t="inlineStr">
        <is>
          <t>ПАРТИЯ № 1</t>
        </is>
      </c>
      <c r="B40" s="6" t="n">
        <v>39</v>
      </c>
      <c r="C40" s="4" t="inlineStr">
        <is>
          <t>Затвор дисковый DN080 с ПП ДД АМ6.711.1433-УК с ЭПР АРМАТЭК 5/2 24VDC, БКВ А250 (воздух с золой, до + 120 С, PN 2,5 МПа, ДТР 032)</t>
        </is>
      </c>
      <c r="D40" s="4" t="inlineStr">
        <is>
          <t>шт</t>
        </is>
      </c>
      <c r="E40" s="6" t="n">
        <v>15</v>
      </c>
      <c r="F40" s="5" t="n">
        <v>99553.33</v>
      </c>
      <c r="G40" s="5" t="n">
        <v>1493299.95</v>
      </c>
      <c r="H40" s="5" t="n">
        <v>92913.12</v>
      </c>
      <c r="I40" s="5" t="n">
        <v>1393696.8</v>
      </c>
      <c r="J40" s="8" t="n">
        <v>0.06670002901962202</v>
      </c>
      <c r="K40" s="4" t="inlineStr">
        <is>
          <t>[ОЦЕНКА] цена с НДС = НМЦ×1,22×0.85 (публичной цены нет; АРМАТЭК серия АМ с пневмоприводом/ЭПР/БКВ — цены только по опро</t>
        </is>
      </c>
      <c r="L40" s="4" t="inlineStr"/>
    </row>
    <row r="41" ht="36" customHeight="1">
      <c r="A41" s="4" t="inlineStr">
        <is>
          <t>ПАРТИЯ № 1</t>
        </is>
      </c>
      <c r="B41" s="6" t="n">
        <v>40</v>
      </c>
      <c r="C41" s="4" t="inlineStr">
        <is>
          <t>Затвор чуг/чуг упл. EPDM Ду80 Ру16</t>
        </is>
      </c>
      <c r="D41" s="4" t="inlineStr">
        <is>
          <t>шт</t>
        </is>
      </c>
      <c r="E41" s="6" t="n">
        <v>3</v>
      </c>
      <c r="F41" s="5" t="n">
        <v>1150</v>
      </c>
      <c r="G41" s="5" t="n">
        <v>3450</v>
      </c>
      <c r="H41" s="5" t="n">
        <v>1541.7</v>
      </c>
      <c r="I41" s="5" t="n">
        <v>4625.1</v>
      </c>
      <c r="J41" s="10" t="n">
        <v>-0.3406086956521739</v>
      </c>
      <c r="K41" s="4" t="inlineStr">
        <is>
          <t>СИБЗТА прайс: затвор 32ч1р Ду80 Ру16 ручной, диск чугун</t>
        </is>
      </c>
      <c r="L41" s="4" t="inlineStr"/>
    </row>
    <row r="42" ht="36" customHeight="1">
      <c r="A42" s="4" t="inlineStr">
        <is>
          <t>ПАРТИЯ № 1</t>
        </is>
      </c>
      <c r="B42" s="6" t="n">
        <v>41</v>
      </c>
      <c r="C42" s="4" t="inlineStr">
        <is>
          <t>Затвор чуг/чуг упл. EPDM Ду100 Ру16</t>
        </is>
      </c>
      <c r="D42" s="4" t="inlineStr">
        <is>
          <t>шт</t>
        </is>
      </c>
      <c r="E42" s="6" t="n">
        <v>6</v>
      </c>
      <c r="F42" s="5" t="n">
        <v>2066.67</v>
      </c>
      <c r="G42" s="5" t="n">
        <v>12400.02</v>
      </c>
      <c r="H42" s="5" t="n">
        <v>1959.3</v>
      </c>
      <c r="I42" s="5" t="n">
        <v>11755.8</v>
      </c>
      <c r="J42" s="8" t="n">
        <v>0.05195314201106138</v>
      </c>
      <c r="K42" s="4" t="inlineStr">
        <is>
          <t>СИБЗТА прайс: затвор 32ч1р Ду100 Ру16 ручной, диск чугун</t>
        </is>
      </c>
      <c r="L42" s="4" t="inlineStr"/>
    </row>
    <row r="43" ht="36" customHeight="1">
      <c r="A43" s="4" t="inlineStr">
        <is>
          <t>ПАРТИЯ № 1</t>
        </is>
      </c>
      <c r="B43" s="6" t="n">
        <v>42</v>
      </c>
      <c r="C43" s="4" t="inlineStr">
        <is>
          <t>Затвор дисковый Z011-A межфланцевый (Ebro Armaturen) DN: 50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D43" s="4" t="inlineStr">
        <is>
          <t>шт</t>
        </is>
      </c>
      <c r="E43" s="6" t="n">
        <v>5</v>
      </c>
      <c r="F43" s="5" t="n">
        <v>12610</v>
      </c>
      <c r="G43" s="5" t="n">
        <v>63050</v>
      </c>
      <c r="H43" s="5" t="n">
        <v>8780.129999999999</v>
      </c>
      <c r="I43" s="5" t="n">
        <v>43900.64999999999</v>
      </c>
      <c r="J43" s="9" t="n">
        <v>0.3037168913560667</v>
      </c>
      <c r="K43" s="4" t="inlineStr">
        <is>
          <t>прайс АДЛ BD01A30812 ЗПВЛ-FLN(W)-5-050-MN-E = 81,85 у.е. × 119,19</t>
        </is>
      </c>
      <c r="L43" s="4" t="inlineStr">
        <is>
          <t>Гранвэл ЗПВЛ (АДЛ, РФ; диск CF8M, EPDM) вместо Ebro Z011-A (Германия)</t>
        </is>
      </c>
    </row>
    <row r="44" ht="36" customHeight="1">
      <c r="A44" s="4" t="inlineStr">
        <is>
          <t>ПАРТИЯ № 1</t>
        </is>
      </c>
      <c r="B44" s="6" t="n">
        <v>43</v>
      </c>
      <c r="C44" s="4" t="inlineStr">
        <is>
          <t>Затвор дисковый Z011-A межфланцевый (Ebro Armaturen) DN: 65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D44" s="4" t="inlineStr">
        <is>
          <t>шт</t>
        </is>
      </c>
      <c r="E44" s="6" t="n">
        <v>5</v>
      </c>
      <c r="F44" s="5" t="n">
        <v>14890</v>
      </c>
      <c r="G44" s="5" t="n">
        <v>74450</v>
      </c>
      <c r="H44" s="5" t="n">
        <v>9185.620000000001</v>
      </c>
      <c r="I44" s="5" t="n">
        <v>45928.10000000001</v>
      </c>
      <c r="J44" s="9" t="n">
        <v>0.3831014103425117</v>
      </c>
      <c r="K44" s="4" t="inlineStr">
        <is>
          <t>прайс АДЛ BD01A12813 ЗПВЛ-FLN(W)-5-065-MN-E = 85,63 у.е. × 119,19</t>
        </is>
      </c>
      <c r="L44" s="4" t="inlineStr">
        <is>
          <t>Гранвэл ЗПВЛ Ду65 вместо Ebro Z011-A</t>
        </is>
      </c>
    </row>
    <row r="45" ht="36" customHeight="1">
      <c r="A45" s="4" t="inlineStr">
        <is>
          <t>ПАРТИЯ № 1</t>
        </is>
      </c>
      <c r="B45" s="6" t="n">
        <v>44</v>
      </c>
      <c r="C45" s="4" t="inlineStr">
        <is>
          <t>Кран шаровой 546 пластиковый двухходовой (Georg Fischer). заводской код 161546073, арт. OVPY  DN: 20 мм, PN: 16 бар, присоед.: раструб под склейку d25, корпус: PVC-U, шар: PVC-U, седло: PTFE, уплотнение: FPM, монтажные вставки, Рукоятка стандартная красная</t>
        </is>
      </c>
      <c r="D45" s="4" t="inlineStr">
        <is>
          <t>шт</t>
        </is>
      </c>
      <c r="E45" s="6" t="n">
        <v>10</v>
      </c>
      <c r="F45" s="5" t="n">
        <v>1160</v>
      </c>
      <c r="G45" s="5" t="n">
        <v>11600</v>
      </c>
      <c r="H45" s="5" t="n">
        <v>3510.95</v>
      </c>
      <c r="I45" s="5" t="n">
        <v>35109.5</v>
      </c>
      <c r="J45" s="10" t="n">
        <v>-2.026681034482758</v>
      </c>
      <c r="K45" s="4" t="inlineStr">
        <is>
          <t>[ПРОКСИ] pimtasplast.ru на 27.10.2026: кран ПВХ Pimtas промышл.  клеевой  PN16  FKM&amp;PTFE d25 — 3 901.05</t>
        </is>
      </c>
      <c r="L45" s="4" t="inlineStr">
        <is>
          <t>Pimtas PVC-U PN16 FKM/PTFE</t>
        </is>
      </c>
    </row>
    <row r="46" ht="36" customHeight="1">
      <c r="A46" s="4" t="inlineStr">
        <is>
          <t>ПАРТИЯ № 1</t>
        </is>
      </c>
      <c r="B46" s="6" t="n">
        <v>45</v>
      </c>
      <c r="C46" s="4" t="inlineStr">
        <is>
          <t>Кран шаровой 546 пластиковый двухходовой (Georg Fischer). заводской код 161546074, арт. OH2J  DN: 25 мм, PN: 16 бар, присоед.: раструб под склейку d32, корпус: PVC-U, шар: PVC-U, седло: PTFE, уплотнение: FPM, монтажные вставки, Рукоятка стандартная красная</t>
        </is>
      </c>
      <c r="D46" s="4" t="inlineStr">
        <is>
          <t>шт</t>
        </is>
      </c>
      <c r="E46" s="6" t="n">
        <v>10</v>
      </c>
      <c r="F46" s="5" t="n">
        <v>1740</v>
      </c>
      <c r="G46" s="5" t="n">
        <v>17400</v>
      </c>
      <c r="H46" s="5" t="n">
        <v>4180.7</v>
      </c>
      <c r="I46" s="5" t="n">
        <v>41807</v>
      </c>
      <c r="J46" s="10" t="n">
        <v>-1.402701149425287</v>
      </c>
      <c r="K46" s="4" t="inlineStr">
        <is>
          <t>[ПРОКСИ] pimtasplast.ru на 27.10.2026: кран ПВХ Pimtas промышл.  клеевой  PN16  FKM&amp;PTFE d32 — 4 645.22</t>
        </is>
      </c>
      <c r="L46" s="4" t="inlineStr">
        <is>
          <t>Pimtas PVC-U PN16 FKM/PTFE</t>
        </is>
      </c>
    </row>
    <row r="47" ht="36" customHeight="1">
      <c r="A47" s="4" t="inlineStr">
        <is>
          <t>ПАРТИЯ № 1</t>
        </is>
      </c>
      <c r="B47" s="6" t="n">
        <v>46</v>
      </c>
      <c r="C47" s="4" t="inlineStr">
        <is>
          <t>Кран шаровой 546 пластиковый двухходовой (Georg Fischer). заводской код 161546075, арт. OVPZ  DN: 32 мм, PN: 16 бар, присоед.: раструб под склейку d40, корпус: PVC-U, шар: PVC-U, седло: PTFE, уплотнение: FPM, монтажные вставки, Рукоятка стандартная красная</t>
        </is>
      </c>
      <c r="D47" s="4" t="inlineStr">
        <is>
          <t>шт</t>
        </is>
      </c>
      <c r="E47" s="6" t="n">
        <v>10</v>
      </c>
      <c r="F47" s="5" t="n">
        <v>2340</v>
      </c>
      <c r="G47" s="5" t="n">
        <v>23400</v>
      </c>
      <c r="H47" s="5" t="n">
        <v>5418.05</v>
      </c>
      <c r="I47" s="5" t="n">
        <v>54180.5</v>
      </c>
      <c r="J47" s="10" t="n">
        <v>-1.315405982905983</v>
      </c>
      <c r="K47" s="4" t="inlineStr">
        <is>
          <t>[ПРОКСИ] pimtasplast.ru на 27.10.2026: кран ПВХ Pimtas промышл.  клеевой  PN16  FKM&amp;PTFE d40 — 6 020.05</t>
        </is>
      </c>
      <c r="L47" s="4" t="inlineStr">
        <is>
          <t>Pimtas PVC-U PN16 FKM/PTFE</t>
        </is>
      </c>
    </row>
    <row r="48" ht="36" customHeight="1">
      <c r="A48" s="4" t="inlineStr">
        <is>
          <t>ПАРТИЯ № 1</t>
        </is>
      </c>
      <c r="B48" s="6" t="n">
        <v>47</v>
      </c>
      <c r="C48" s="4" t="inlineStr">
        <is>
          <t>Кран шаровой 546 пластиковый двухходовой (Georg Fischer). заводской код 161546076, арт. OVQO  546, шаровой кран, 2-х ходовой, DN: 40 мм, PN: 16 бар, присоед.: раструб под склейку d50, корпус: PVC-U, шар: PVC-U, седло: PTFE, уплотнение: FPM, монтажные вставки, Рукоятка стандартная красная</t>
        </is>
      </c>
      <c r="D48" s="4" t="inlineStr">
        <is>
          <t>шт</t>
        </is>
      </c>
      <c r="E48" s="6" t="n">
        <v>10</v>
      </c>
      <c r="F48" s="5" t="n">
        <v>2480</v>
      </c>
      <c r="G48" s="5" t="n">
        <v>24800</v>
      </c>
      <c r="H48" s="5" t="n">
        <v>6756.74</v>
      </c>
      <c r="I48" s="5" t="n">
        <v>67567.39999999999</v>
      </c>
      <c r="J48" s="10" t="n">
        <v>-1.724491935483871</v>
      </c>
      <c r="K48" s="4" t="inlineStr">
        <is>
          <t>[ПРОКСИ] pimtasplast.ru на 27.10.2026: кран ПВХ Pimtas промышл.  клеевой  PN16  FKM&amp;PTFE d50 — 7 507.49</t>
        </is>
      </c>
      <c r="L48" s="4" t="inlineStr">
        <is>
          <t>Pimtas PVC-U PN16 FKM/PTFE</t>
        </is>
      </c>
    </row>
    <row r="49" ht="36" customHeight="1">
      <c r="A49" s="4" t="inlineStr">
        <is>
          <t>ПАРТИЯ № 1</t>
        </is>
      </c>
      <c r="B49" s="6" t="n">
        <v>48</v>
      </c>
      <c r="C49" s="4" t="inlineStr">
        <is>
          <t>Клапан соленоидный   CFB-A27T-R1</t>
        </is>
      </c>
      <c r="D49" s="4" t="inlineStr">
        <is>
          <t>шт</t>
        </is>
      </c>
      <c r="E49" s="6" t="n">
        <v>2</v>
      </c>
      <c r="F49" s="5" t="n">
        <v>30330</v>
      </c>
      <c r="G49" s="5" t="n">
        <v>60660</v>
      </c>
      <c r="H49" s="5" t="n">
        <v>28306.99</v>
      </c>
      <c r="I49" s="5" t="n">
        <v>56613.98</v>
      </c>
      <c r="J49" s="8" t="n">
        <v>0.06669996702934378</v>
      </c>
      <c r="K49" s="4" t="inlineStr">
        <is>
          <t>[ОЦЕНКА] цена с НДС = НМЦ×1,22×0.85 (публичной цены нет; CFB-A27T-R1 — производитель не установлен (вероятно импорт); РФ</t>
        </is>
      </c>
      <c r="L49" s="4" t="inlineStr"/>
    </row>
    <row r="50" ht="36" customHeight="1">
      <c r="A50" s="4" t="inlineStr">
        <is>
          <t>ПАРТИЯ № 1</t>
        </is>
      </c>
      <c r="B50" s="6" t="n">
        <v>49</v>
      </c>
      <c r="C50" s="4" t="inlineStr">
        <is>
          <t>Затвор дисковый поворотный межфланцевый Ду200 Ру16 корпус — чугун, диск — коррозионностойкая сталь, уплотнение — EPDM Затвор дисковый поворотный Ду 200 Ру 10 / 16 чугунный межфланцевый, диск — чугун. Управление-редуктор, электропривод</t>
        </is>
      </c>
      <c r="D50" s="4" t="inlineStr">
        <is>
          <t>шт</t>
        </is>
      </c>
      <c r="E50" s="6" t="n">
        <v>2</v>
      </c>
      <c r="F50" s="5" t="n">
        <v>9990</v>
      </c>
      <c r="G50" s="5" t="n">
        <v>19980</v>
      </c>
      <c r="H50" s="5" t="n">
        <v>6516.9</v>
      </c>
      <c r="I50" s="5" t="n">
        <v>13033.8</v>
      </c>
      <c r="J50" s="9" t="n">
        <v>0.3476576576576577</v>
      </c>
      <c r="K50" s="4" t="inlineStr">
        <is>
          <t>СИБЗТА прайс: затвор 32ч1р Ду200 Ру16, диск чугун (ТЗ допускает «диск — чугун»)</t>
        </is>
      </c>
      <c r="L50" s="4" t="inlineStr"/>
    </row>
    <row r="51" ht="36" customHeight="1">
      <c r="A51" s="4" t="inlineStr">
        <is>
          <t>ПАРТИЯ № 1</t>
        </is>
      </c>
      <c r="B51" s="6" t="n">
        <v>50</v>
      </c>
      <c r="C51" s="4" t="inlineStr">
        <is>
          <t>Затвор дисковый поворотный межфланцевый Ду80 Ру16 корпус — чугун, диск — коррозионностойкая сталь, уплотнение — EPDM Затвор дисковый поворотный 32ч901р DN 80 PN 16 межфланцевый диск-чугун уплотнение-EPDM под электропривод, редуктор</t>
        </is>
      </c>
      <c r="D51" s="4" t="inlineStr">
        <is>
          <t>шт</t>
        </is>
      </c>
      <c r="E51" s="6" t="n">
        <v>12</v>
      </c>
      <c r="F51" s="5" t="n">
        <v>2840</v>
      </c>
      <c r="G51" s="5" t="n">
        <v>34080</v>
      </c>
      <c r="H51" s="5" t="n">
        <v>1541.7</v>
      </c>
      <c r="I51" s="5" t="n">
        <v>18500.4</v>
      </c>
      <c r="J51" s="9" t="n">
        <v>0.4571478873239436</v>
      </c>
      <c r="K51" s="4" t="inlineStr">
        <is>
          <t>СИБЗТА прайс: затвор 32ч1р Ду80 Ру16, диск чугун (вариант ТЗ «32ч901р диск-чугун»)</t>
        </is>
      </c>
      <c r="L51" s="4" t="inlineStr"/>
    </row>
    <row r="52" ht="36" customHeight="1">
      <c r="A52" s="4" t="inlineStr">
        <is>
          <t>ПАРТИЯ № 1</t>
        </is>
      </c>
      <c r="B52" s="6" t="n">
        <v>51</v>
      </c>
      <c r="C52" s="4" t="inlineStr">
        <is>
          <t>Затвор дисковый поворотный межфланцевый Ду100 Ру16 корпус — чугун, диск — коррозионностойкая сталь, уплотнение — EPDM Затвор дисковый поворотный 32ч901р DN 100 PN 16 межфланцевый диск-чугун уплотнение-EPDM под электропривод, редуктор</t>
        </is>
      </c>
      <c r="D52" s="4" t="inlineStr">
        <is>
          <t>шт</t>
        </is>
      </c>
      <c r="E52" s="6" t="n">
        <v>8</v>
      </c>
      <c r="F52" s="5" t="n">
        <v>3450</v>
      </c>
      <c r="G52" s="5" t="n">
        <v>27600</v>
      </c>
      <c r="H52" s="5" t="n">
        <v>1959.3</v>
      </c>
      <c r="I52" s="5" t="n">
        <v>15674.4</v>
      </c>
      <c r="J52" s="9" t="n">
        <v>0.4320869565217391</v>
      </c>
      <c r="K52" s="4" t="inlineStr">
        <is>
          <t>СИБЗТА прайс: затвор 32ч1р Ду100 Ру16, диск чугун</t>
        </is>
      </c>
      <c r="L52" s="4" t="inlineStr"/>
    </row>
    <row r="53" ht="36" customHeight="1">
      <c r="A53" s="4" t="inlineStr">
        <is>
          <t>ПАРТИЯ № 1</t>
        </is>
      </c>
      <c r="B53" s="6" t="n">
        <v>52</v>
      </c>
      <c r="C53" s="4" t="inlineStr">
        <is>
          <t>ГРАНВЭЛ® Затвор Поворотный Дисковый ЗПВС - FL(w)-3-065-MN-Е, Ду065, Ру16, межфланцевый, рукоятка, корпус - GG25, диск - GGG40, седло - EPDM, Траб=-15...+95°С Управление рукоятка; редуктор; электропривод; пневмопривод</t>
        </is>
      </c>
      <c r="D53" s="4" t="inlineStr">
        <is>
          <t>шт</t>
        </is>
      </c>
      <c r="E53" s="6" t="n">
        <v>12</v>
      </c>
      <c r="F53" s="5" t="n">
        <v>5010</v>
      </c>
      <c r="G53" s="5" t="n">
        <v>60120</v>
      </c>
      <c r="H53" s="5" t="n">
        <v>5363.55</v>
      </c>
      <c r="I53" s="5" t="n">
        <v>64362.60000000001</v>
      </c>
      <c r="J53" s="10" t="n">
        <v>-0.07056886227544923</v>
      </c>
      <c r="K53" s="4" t="inlineStr">
        <is>
          <t>Камчатка verify: прайс АДЛ BD01I12790 ЗПВС-FL(W)-3-065-MN-E = 50 у.е. × 119,19</t>
        </is>
      </c>
      <c r="L53" s="4" t="inlineStr"/>
    </row>
    <row r="54" ht="36" customHeight="1">
      <c r="A54" s="4" t="inlineStr">
        <is>
          <t>ПАРТИЯ № 1</t>
        </is>
      </c>
      <c r="B54" s="6" t="n">
        <v>53</v>
      </c>
      <c r="C54" s="4" t="inlineStr">
        <is>
          <t>Диск тормозной. Примечание: деталь диск тормозной (сегмент фрикционный) для механизма МЭОФ-1600(2400)/25-0,25ЕА09-08 У1 ЯЛБИ.741224.046-00</t>
        </is>
      </c>
      <c r="D54" s="4" t="inlineStr">
        <is>
          <t>м</t>
        </is>
      </c>
      <c r="E54" s="6" t="n">
        <v>4</v>
      </c>
      <c r="F54" s="5" t="n">
        <v>27230</v>
      </c>
      <c r="G54" s="5" t="n">
        <v>108920</v>
      </c>
      <c r="H54" s="5" t="n">
        <v>25413.76</v>
      </c>
      <c r="I54" s="5" t="n">
        <v>101655.04</v>
      </c>
      <c r="J54" s="8" t="n">
        <v>0.06669996327579886</v>
      </c>
      <c r="K54" s="4" t="inlineStr">
        <is>
          <t>[ОЦЕНКА] цена с НДС = НМЦ×1,22×0.85 (публичной цены нет; диск тормозной ЯЛБИ.741224.046 к МЭОФ-1600 — запчасть ЗЭиМ, тол</t>
        </is>
      </c>
      <c r="L54" s="4" t="inlineStr"/>
    </row>
    <row r="55" ht="36" customHeight="1">
      <c r="A55" s="4" t="inlineStr">
        <is>
          <t>ПАРТИЯ № 1</t>
        </is>
      </c>
      <c r="B55" s="6" t="n">
        <v>54</v>
      </c>
      <c r="C55" s="4" t="inlineStr">
        <is>
          <t>Комплект ЗИП к затвору серии АМ DN  серия АМ DN 065 41100УУ (вода, до +25 С, PN 2,5МПа)</t>
        </is>
      </c>
      <c r="D55" s="4" t="inlineStr">
        <is>
          <t>шт</t>
        </is>
      </c>
      <c r="E55" s="6" t="n">
        <v>10</v>
      </c>
      <c r="F55" s="5" t="n">
        <v>3890</v>
      </c>
      <c r="G55" s="5" t="n">
        <v>38900</v>
      </c>
      <c r="H55" s="5" t="n">
        <v>3630.54</v>
      </c>
      <c r="I55" s="5" t="n">
        <v>36305.4</v>
      </c>
      <c r="J55" s="8" t="n">
        <v>0.06669922879177381</v>
      </c>
      <c r="K55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55" s="4" t="inlineStr"/>
    </row>
    <row r="56" ht="36" customHeight="1">
      <c r="A56" s="4" t="inlineStr">
        <is>
          <t>ПАРТИЯ № 1</t>
        </is>
      </c>
      <c r="B56" s="6" t="n">
        <v>55</v>
      </c>
      <c r="C56" s="4" t="inlineStr">
        <is>
          <t>Комплект ЗИП к затвору серии АМ DN  серия АМ DN 065 31100УУ (воздух, до +80 С, PN 1,6МПа)</t>
        </is>
      </c>
      <c r="D56" s="4" t="inlineStr">
        <is>
          <t>шт</t>
        </is>
      </c>
      <c r="E56" s="6" t="n">
        <v>10</v>
      </c>
      <c r="F56" s="5" t="n">
        <v>4160</v>
      </c>
      <c r="G56" s="5" t="n">
        <v>41600</v>
      </c>
      <c r="H56" s="5" t="n">
        <v>3882.53</v>
      </c>
      <c r="I56" s="5" t="n">
        <v>38825.3</v>
      </c>
      <c r="J56" s="8" t="n">
        <v>0.06669951923076922</v>
      </c>
      <c r="K56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56" s="4" t="inlineStr"/>
    </row>
    <row r="57" ht="36" customHeight="1">
      <c r="A57" s="4" t="inlineStr">
        <is>
          <t>ПАРТИЯ № 1</t>
        </is>
      </c>
      <c r="B57" s="6" t="n">
        <v>56</v>
      </c>
      <c r="C57" s="4" t="inlineStr">
        <is>
          <t>Комплект ЗИП к затвору серии АМ DN  серия АМ DN 080 41110УУ (воздух с золой, до +120С, PN 2,5 МПа)</t>
        </is>
      </c>
      <c r="D57" s="4" t="inlineStr">
        <is>
          <t>шт</t>
        </is>
      </c>
      <c r="E57" s="6" t="n">
        <v>10</v>
      </c>
      <c r="F57" s="5" t="n">
        <v>4470</v>
      </c>
      <c r="G57" s="5" t="n">
        <v>44700</v>
      </c>
      <c r="H57" s="5" t="n">
        <v>4171.85</v>
      </c>
      <c r="I57" s="5" t="n">
        <v>41718.5</v>
      </c>
      <c r="J57" s="8" t="n">
        <v>0.06670022371364648</v>
      </c>
      <c r="K57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57" s="4" t="inlineStr"/>
    </row>
    <row r="58" ht="36" customHeight="1">
      <c r="A58" s="4" t="inlineStr">
        <is>
          <t>ПАРТИЯ № 1</t>
        </is>
      </c>
      <c r="B58" s="6" t="n">
        <v>57</v>
      </c>
      <c r="C58" s="4" t="inlineStr">
        <is>
          <t>Клапан обратный с КОФ  19с76нж Ру25 Ду200</t>
        </is>
      </c>
      <c r="D58" s="4" t="inlineStr">
        <is>
          <t>шт</t>
        </is>
      </c>
      <c r="E58" s="6" t="n">
        <v>3</v>
      </c>
      <c r="F58" s="5" t="n">
        <v>104360</v>
      </c>
      <c r="G58" s="5" t="n">
        <v>313080</v>
      </c>
      <c r="H58" s="5" t="n">
        <v>96054.14</v>
      </c>
      <c r="I58" s="5" t="n">
        <v>288162.42</v>
      </c>
      <c r="J58" s="8" t="n">
        <v>0.07958853967037183</v>
      </c>
      <c r="K58" s="4" t="inlineStr">
        <is>
          <t>dn.ru, ЧАЗ 19с76нж Ду200 Ру25, на 19.11.2026 + КОФ</t>
        </is>
      </c>
      <c r="L58" s="4" t="inlineStr"/>
    </row>
    <row r="59" ht="36" customHeight="1">
      <c r="A59" s="4" t="inlineStr">
        <is>
          <t>ПАРТИЯ № 1</t>
        </is>
      </c>
      <c r="B59" s="6" t="n">
        <v>58</v>
      </c>
      <c r="C59" s="4" t="inlineStr">
        <is>
          <t>Задвижка клиновая с выдвижным шпинделем  30с41нж Ду125 Ру-16 с КОФ</t>
        </is>
      </c>
      <c r="D59" s="4" t="inlineStr">
        <is>
          <t>шт</t>
        </is>
      </c>
      <c r="E59" s="6" t="n">
        <v>2</v>
      </c>
      <c r="F59" s="5" t="n">
        <v>28720</v>
      </c>
      <c r="G59" s="5" t="n">
        <v>57440</v>
      </c>
      <c r="H59" s="5" t="n">
        <v>18168.3</v>
      </c>
      <c r="I59" s="5" t="n">
        <v>36336.6</v>
      </c>
      <c r="J59" s="9" t="n">
        <v>0.367399025069638</v>
      </c>
      <c r="K59" s="4" t="inlineStr">
        <is>
          <t>БК-Арматура: 30с41нж DN125 PN16 + КОФ</t>
        </is>
      </c>
      <c r="L59" s="4" t="inlineStr"/>
    </row>
    <row r="60" ht="36" customHeight="1">
      <c r="A60" s="4" t="inlineStr">
        <is>
          <t>ПАРТИЯ № 1</t>
        </is>
      </c>
      <c r="B60" s="6" t="n">
        <v>59</v>
      </c>
      <c r="C60" s="4" t="inlineStr">
        <is>
          <t>Клапан регулирующий  25с947нж с КОФ Ду 200 Ру 25 под электропривод AUMA SAR14.6-32(F14)+AM02.1</t>
        </is>
      </c>
      <c r="D60" s="4" t="inlineStr">
        <is>
          <t>шт</t>
        </is>
      </c>
      <c r="E60" s="6" t="n">
        <v>1</v>
      </c>
      <c r="F60" s="5" t="n">
        <v>388680</v>
      </c>
      <c r="G60" s="5" t="n">
        <v>388680</v>
      </c>
      <c r="H60" s="5" t="n">
        <v>357141.52</v>
      </c>
      <c r="I60" s="5" t="n">
        <v>357141.52</v>
      </c>
      <c r="J60" s="8" t="n">
        <v>0.08114253370381797</v>
      </c>
      <c r="K60" s="4" t="inlineStr">
        <is>
          <t>dn.ru, Авангард Крр 25с947нж Ду200 Ру25 Kvs630, без привода, на 28.10.2026 + КОФ</t>
        </is>
      </c>
      <c r="L60" s="4" t="inlineStr"/>
    </row>
    <row r="61" ht="36" customHeight="1">
      <c r="A61" s="4" t="inlineStr">
        <is>
          <t>ПАРТИЯ № 1</t>
        </is>
      </c>
      <c r="B61" s="6" t="n">
        <v>60</v>
      </c>
      <c r="C61" s="4" t="inlineStr">
        <is>
          <t>Задвижка стальная клиновая с выдвижным шпинделем  30с64нж Ду200 Ру25</t>
        </is>
      </c>
      <c r="D61" s="4" t="inlineStr">
        <is>
          <t>шт</t>
        </is>
      </c>
      <c r="E61" s="6" t="n">
        <v>1</v>
      </c>
      <c r="F61" s="5" t="n">
        <v>36550</v>
      </c>
      <c r="G61" s="5" t="n">
        <v>36550</v>
      </c>
      <c r="H61" s="5" t="n">
        <v>37418.4</v>
      </c>
      <c r="I61" s="5" t="n">
        <v>37418.4</v>
      </c>
      <c r="J61" s="10" t="n">
        <v>-0.02375923392612855</v>
      </c>
      <c r="K61" s="4" t="inlineStr">
        <is>
          <t>БК-Арматура: 30с64нж DN200 PN25 (ТЕХГИДРОМАШ), с НДС</t>
        </is>
      </c>
      <c r="L61" s="4" t="inlineStr"/>
    </row>
    <row r="62" ht="36" customHeight="1">
      <c r="A62" s="4" t="inlineStr">
        <is>
          <t>ПАРТИЯ № 1</t>
        </is>
      </c>
      <c r="B62" s="6" t="n">
        <v>61</v>
      </c>
      <c r="C62" s="4" t="inlineStr">
        <is>
          <t>Задвижка стальная  30с964нж Ду200 Ру25 под электропривод AUMA  SAR10.2-90+AM01/1</t>
        </is>
      </c>
      <c r="D62" s="4" t="inlineStr">
        <is>
          <t>шт</t>
        </is>
      </c>
      <c r="E62" s="6" t="n">
        <v>1</v>
      </c>
      <c r="F62" s="5" t="n">
        <v>133440</v>
      </c>
      <c r="G62" s="5" t="n">
        <v>133440</v>
      </c>
      <c r="H62" s="5" t="n">
        <v>60113.7</v>
      </c>
      <c r="I62" s="5" t="n">
        <v>60113.7</v>
      </c>
      <c r="J62" s="9" t="n">
        <v>0.549507643884892</v>
      </c>
      <c r="K62" s="4" t="inlineStr">
        <is>
          <t>БК-Арматура: 30с964нж DN200 под эл/п Б, с НДС</t>
        </is>
      </c>
      <c r="L62" s="4" t="inlineStr"/>
    </row>
    <row r="63" ht="36" customHeight="1">
      <c r="A63" s="4" t="inlineStr">
        <is>
          <t>ПАРТИЯ № 1</t>
        </is>
      </c>
      <c r="B63" s="6" t="n">
        <v>62</v>
      </c>
      <c r="C63" s="4" t="inlineStr">
        <is>
          <t>Клапан электромагнитный Danfoss 042U4064, EV220A, G1/2, NBR, HO.</t>
        </is>
      </c>
      <c r="D63" s="4" t="inlineStr">
        <is>
          <t>шт</t>
        </is>
      </c>
      <c r="E63" s="6" t="n">
        <v>3</v>
      </c>
      <c r="F63" s="5" t="n">
        <v>30330</v>
      </c>
      <c r="G63" s="5" t="n">
        <v>90990</v>
      </c>
      <c r="H63" s="5" t="n">
        <v>8738.98</v>
      </c>
      <c r="I63" s="5" t="n">
        <v>26216.94</v>
      </c>
      <c r="J63" s="9" t="n">
        <v>0.7118700956149028</v>
      </c>
      <c r="K63" s="4" t="inlineStr">
        <is>
          <t>dn.ru, АСТА ЭСК 201 1/2" Ду15 НО пилотный 230В, на 02.11.2026</t>
        </is>
      </c>
      <c r="L63" s="4" t="inlineStr">
        <is>
          <t>АСТА ЭСК 201 НО (РФ) вместо Danfoss EV220A 042U4064 (импорт)</t>
        </is>
      </c>
    </row>
    <row r="64" ht="36" customHeight="1">
      <c r="A64" s="4" t="inlineStr">
        <is>
          <t>ПАРТИЯ № 1</t>
        </is>
      </c>
      <c r="B64" s="6" t="n">
        <v>63</v>
      </c>
      <c r="C64" s="4" t="inlineStr">
        <is>
          <t>Клапан обратный  КО 200.16.3312  DN 200 PN 16</t>
        </is>
      </c>
      <c r="D64" s="4" t="inlineStr">
        <is>
          <t>шт</t>
        </is>
      </c>
      <c r="E64" s="6" t="n">
        <v>4</v>
      </c>
      <c r="F64" s="5" t="n">
        <v>140930</v>
      </c>
      <c r="G64" s="5" t="n">
        <v>563720</v>
      </c>
      <c r="H64" s="5" t="n">
        <v>131529.97</v>
      </c>
      <c r="I64" s="5" t="n">
        <v>526119.88</v>
      </c>
      <c r="J64" s="8" t="n">
        <v>0.06669999290427875</v>
      </c>
      <c r="K64" s="4" t="inlineStr">
        <is>
          <t>[ОЦЕНКА] цена с НДС = НМЦ×1,22×0.85 (публичной цены нет; КО 200.16.3312 — обозначение не найдено в открытых каталогах; К</t>
        </is>
      </c>
      <c r="L64" s="4" t="inlineStr"/>
    </row>
    <row r="65" ht="36" customHeight="1">
      <c r="A65" s="4" t="inlineStr">
        <is>
          <t>ПАРТИЯ № 1</t>
        </is>
      </c>
      <c r="B65" s="6" t="n">
        <v>64</v>
      </c>
      <c r="C65" s="4" t="inlineStr">
        <is>
          <t>Запорная арматура ПТ11096-500М-02 (30с946нж) Dn 500 Pn 6. Под электропривод ПЭМ-В-1000-50-Е2М00-2-11 IP67 У1  с КИМ2-380/16-М00 производства АБС ЗЭиМ Автоматика г. Чебоксары.</t>
        </is>
      </c>
      <c r="D65" s="4" t="inlineStr">
        <is>
          <t>шт</t>
        </is>
      </c>
      <c r="E65" s="6" t="n">
        <v>1</v>
      </c>
      <c r="F65" s="5" t="n">
        <v>1013110</v>
      </c>
      <c r="G65" s="5" t="n">
        <v>1013110</v>
      </c>
      <c r="H65" s="5" t="n">
        <v>594107.91</v>
      </c>
      <c r="I65" s="5" t="n">
        <v>594107.91</v>
      </c>
      <c r="J65" s="9" t="n">
        <v>0.4135800554727522</v>
      </c>
      <c r="K65" s="4" t="inlineStr">
        <is>
          <t xml:space="preserve">[ПРОКСИ] задвижка 30с946нж Ду500 Ру6 «от 294 397» (vkomplekt.spb.ru, +10% к «от») + ПЭМ-В-1000 с КИМ2 ≈ ГЗ-В.900/24 280 </t>
        </is>
      </c>
      <c r="L65" s="4" t="inlineStr"/>
    </row>
    <row r="66" ht="36" customHeight="1">
      <c r="A66" s="4" t="inlineStr">
        <is>
          <t>ПАРТИЯ № 1</t>
        </is>
      </c>
      <c r="B66" s="6" t="n">
        <v>65</v>
      </c>
      <c r="C66" s="4" t="inlineStr">
        <is>
          <t>Планкка прижимная к водоуказательному прибору Т-229Б ст.20К-18 ГОСТ 5520</t>
        </is>
      </c>
      <c r="D66" s="4" t="inlineStr">
        <is>
          <t>шт</t>
        </is>
      </c>
      <c r="E66" s="6" t="n">
        <v>24</v>
      </c>
      <c r="F66" s="5" t="n">
        <v>9620</v>
      </c>
      <c r="G66" s="5" t="n">
        <v>230880</v>
      </c>
      <c r="H66" s="5" t="n">
        <v>8978.35</v>
      </c>
      <c r="I66" s="5" t="n">
        <v>215480.4</v>
      </c>
      <c r="J66" s="8" t="n">
        <v>0.06669958419958422</v>
      </c>
      <c r="K66" s="4" t="inlineStr">
        <is>
          <t xml:space="preserve">[ОЦЕНКА] цена с НДС = НМЦ×1,22×0.85 (публичной цены нет; спецдеталь к указателю уровня Т-229Б (ДТКЗ, Дорогобужкотломаш) </t>
        </is>
      </c>
      <c r="L66" s="4" t="inlineStr"/>
    </row>
    <row r="67" ht="36" customHeight="1">
      <c r="A67" s="4" t="inlineStr">
        <is>
          <t>ПАРТИЯ № 1</t>
        </is>
      </c>
      <c r="B67" s="6" t="n">
        <v>66</v>
      </c>
      <c r="C67" s="4" t="inlineStr">
        <is>
          <t>Клапан запорный  1с-13-3ЭД под электропривод AUMA SA10.2-F10-380/50/3-22</t>
        </is>
      </c>
      <c r="D67" s="4" t="inlineStr">
        <is>
          <t>шт</t>
        </is>
      </c>
      <c r="E67" s="6" t="n">
        <v>4</v>
      </c>
      <c r="F67" s="5" t="n">
        <v>58230</v>
      </c>
      <c r="G67" s="5" t="n">
        <v>232920</v>
      </c>
      <c r="H67" s="5" t="n">
        <v>54346.06</v>
      </c>
      <c r="I67" s="5" t="n">
        <v>217384.24</v>
      </c>
      <c r="J67" s="8" t="n">
        <v>0.06669998282672163</v>
      </c>
      <c r="K67" s="4" t="inlineStr">
        <is>
          <t xml:space="preserve">[ОЦЕНКА] цена с НДС = НМЦ×1,22×0.85 (публичной цены нет; 1с-13-3ЭД под AUMA SA10.2 (энергетический вентиль, ЧЗЭМ) — цен </t>
        </is>
      </c>
      <c r="L67" s="4" t="inlineStr"/>
    </row>
    <row r="68" ht="36" customHeight="1">
      <c r="A68" s="4" t="inlineStr">
        <is>
          <t>ПАРТИЯ № 1</t>
        </is>
      </c>
      <c r="B68" s="6" t="n">
        <v>67</v>
      </c>
      <c r="C68" s="4" t="inlineStr">
        <is>
          <t>Электропривод с интеллектуальным модулем управления КИМ-2 МЭОФ-1600(2400)/25-0,25Е2А09-2-08</t>
        </is>
      </c>
      <c r="D68" s="4" t="inlineStr">
        <is>
          <t>шт</t>
        </is>
      </c>
      <c r="E68" s="6" t="n">
        <v>1</v>
      </c>
      <c r="F68" s="5" t="n">
        <v>556640</v>
      </c>
      <c r="G68" s="5" t="n">
        <v>556640</v>
      </c>
      <c r="H68" s="5" t="n">
        <v>345046.5</v>
      </c>
      <c r="I68" s="5" t="n">
        <v>345046.5</v>
      </c>
      <c r="J68" s="9" t="n">
        <v>0.3801262934751365</v>
      </c>
      <c r="K68" s="4" t="inlineStr">
        <is>
          <t>[ПРОКСИ] МЭО-1600/25-0,25У-92КБ 127 795 (elaparat.shop, ЧЗ Электроаппарат, на 27.10.2026) ×3 за фланцевое исполнение + и</t>
        </is>
      </c>
      <c r="L68" s="4" t="inlineStr"/>
    </row>
    <row r="69" ht="36" customHeight="1">
      <c r="A69" s="4" t="inlineStr">
        <is>
          <t>ПАРТИЯ № 2</t>
        </is>
      </c>
      <c r="B69" s="6" t="n">
        <v>1</v>
      </c>
      <c r="C69" s="4" t="inlineStr">
        <is>
          <t>Задвижка из нержавеющей стали  30нж41нж DN 150 PN 16 1исп.</t>
        </is>
      </c>
      <c r="D69" s="4" t="inlineStr">
        <is>
          <t>шт</t>
        </is>
      </c>
      <c r="E69" s="6" t="n">
        <v>2</v>
      </c>
      <c r="F69" s="5" t="n">
        <v>112533.3</v>
      </c>
      <c r="G69" s="5" t="n">
        <v>225066.6</v>
      </c>
      <c r="H69" s="5" t="n">
        <v>97373.7</v>
      </c>
      <c r="I69" s="5" t="n">
        <v>194747.4</v>
      </c>
      <c r="J69" s="8" t="n">
        <v>0.1347121252109376</v>
      </c>
      <c r="K69" s="4" t="inlineStr">
        <is>
          <t>Камчатка verify / СИБЗТА прайс 12.01.2026: 30нж41нж Ду150 Ру16</t>
        </is>
      </c>
      <c r="L69" s="4" t="inlineStr"/>
    </row>
    <row r="70" ht="36" customHeight="1">
      <c r="A70" s="4" t="inlineStr">
        <is>
          <t>ПАРТИЯ № 2</t>
        </is>
      </c>
      <c r="B70" s="6" t="n">
        <v>2</v>
      </c>
      <c r="C70" s="4" t="inlineStr">
        <is>
          <t>Затвор Поворотный Дисковый ЗПВС — FL(w)-3-100-MDV-Е Ду100, Ру16, межфланцевый, редуктор, корпус - GG25, диск - GGG40, седло - EPDM, Траб=-15...+95°С</t>
        </is>
      </c>
      <c r="D70" s="4" t="inlineStr">
        <is>
          <t>шт</t>
        </is>
      </c>
      <c r="E70" s="6" t="n">
        <v>1</v>
      </c>
      <c r="F70" s="5" t="n">
        <v>13953.33</v>
      </c>
      <c r="G70" s="5" t="n">
        <v>13953.33</v>
      </c>
      <c r="H70" s="5" t="n">
        <v>14910.67</v>
      </c>
      <c r="I70" s="5" t="n">
        <v>14910.67</v>
      </c>
      <c r="J70" s="10" t="n">
        <v>-0.06861014539181687</v>
      </c>
      <c r="K70" s="4" t="inlineStr">
        <is>
          <t>прайс АДЛ BD01I27246 ЗПВС-FL(W)-3-100-MDV-E = 139 у.е. × 119,19</t>
        </is>
      </c>
      <c r="L70" s="4" t="inlineStr"/>
    </row>
    <row r="71" ht="36" customHeight="1">
      <c r="A71" s="4" t="inlineStr">
        <is>
          <t>ПАРТИЯ № 2</t>
        </is>
      </c>
      <c r="B71" s="6" t="n">
        <v>3</v>
      </c>
      <c r="C71" s="4" t="inlineStr">
        <is>
          <t>Задвижка стальная с электроприводом 30с964нж DN 50 PN 25 1исп. тип А</t>
        </is>
      </c>
      <c r="D71" s="4" t="inlineStr">
        <is>
          <t>шт</t>
        </is>
      </c>
      <c r="E71" s="6" t="n">
        <v>18</v>
      </c>
      <c r="F71" s="5" t="n">
        <v>117740</v>
      </c>
      <c r="G71" s="5" t="n">
        <v>2119320</v>
      </c>
      <c r="H71" s="5" t="n">
        <v>79030.8</v>
      </c>
      <c r="I71" s="5" t="n">
        <v>1422554.4</v>
      </c>
      <c r="J71" s="9" t="n">
        <v>0.3287684729064039</v>
      </c>
      <c r="K71" s="4" t="inlineStr">
        <is>
          <t>БК-Арматура: 30с964нж DN50 под эл/п А (16 301) + электропривод ГЗ-А.70/24 (71 511), с НДС</t>
        </is>
      </c>
      <c r="L71" s="4" t="inlineStr"/>
    </row>
    <row r="72" ht="36" customHeight="1">
      <c r="A72" s="4" t="inlineStr">
        <is>
          <t>ПАРТИЯ № 2</t>
        </is>
      </c>
      <c r="B72" s="6" t="n">
        <v>4</v>
      </c>
      <c r="C72" s="4" t="inlineStr">
        <is>
          <t>Задвижка стальная с КОФ  30с64нж DN150 PN 25 1исп.</t>
        </is>
      </c>
      <c r="D72" s="4" t="inlineStr">
        <is>
          <t>шт</t>
        </is>
      </c>
      <c r="E72" s="6" t="n">
        <v>5</v>
      </c>
      <c r="F72" s="5" t="n">
        <v>34933.33</v>
      </c>
      <c r="G72" s="5" t="n">
        <v>174666.65</v>
      </c>
      <c r="H72" s="5" t="n">
        <v>34305.88</v>
      </c>
      <c r="I72" s="5" t="n">
        <v>171529.4</v>
      </c>
      <c r="J72" s="10" t="n">
        <v>0.01796135667570209</v>
      </c>
      <c r="K72" s="4" t="inlineStr">
        <is>
          <t>БК-Арматура: 30с64нж DN150 PN25 (ТЕХГИДРОМАШ) + КОФ</t>
        </is>
      </c>
      <c r="L72" s="4" t="inlineStr"/>
    </row>
    <row r="73" ht="36" customHeight="1">
      <c r="A73" s="4" t="inlineStr">
        <is>
          <t>ПАРТИЯ № 2</t>
        </is>
      </c>
      <c r="B73" s="6" t="n">
        <v>5</v>
      </c>
      <c r="C73" s="4" t="inlineStr">
        <is>
          <t>Задвижка стальная  30с64нж DN 200 PN 25 1исп.</t>
        </is>
      </c>
      <c r="D73" s="4" t="inlineStr">
        <is>
          <t>шт</t>
        </is>
      </c>
      <c r="E73" s="6" t="n">
        <v>3</v>
      </c>
      <c r="F73" s="5" t="n">
        <v>40403.33</v>
      </c>
      <c r="G73" s="5" t="n">
        <v>121209.99</v>
      </c>
      <c r="H73" s="5" t="n">
        <v>37418.4</v>
      </c>
      <c r="I73" s="5" t="n">
        <v>112255.2</v>
      </c>
      <c r="J73" s="8" t="n">
        <v>0.07387831646549925</v>
      </c>
      <c r="K73" s="4" t="inlineStr">
        <is>
          <t>БК-Арматура: 30с64нж DN200 PN25 (ТЕХГИДРОМАШ)</t>
        </is>
      </c>
      <c r="L73" s="4" t="inlineStr"/>
    </row>
    <row r="74" ht="36" customHeight="1">
      <c r="A74" s="4" t="inlineStr">
        <is>
          <t>ПАРТИЯ № 2</t>
        </is>
      </c>
      <c r="B74" s="6" t="n">
        <v>6</v>
      </c>
      <c r="C74" s="4" t="inlineStr">
        <is>
          <t>Фланец ГОСТ 33259-2015 (ГОСТ 12820-80)   Ду 150 Ру 6 исп.B (1исп.)</t>
        </is>
      </c>
      <c r="D74" s="4" t="inlineStr">
        <is>
          <t>шт</t>
        </is>
      </c>
      <c r="E74" s="6" t="n">
        <v>4</v>
      </c>
      <c r="F74" s="5" t="n">
        <v>1483.33</v>
      </c>
      <c r="G74" s="5" t="n">
        <v>5933.32</v>
      </c>
      <c r="H74" s="5" t="n">
        <v>1385.13</v>
      </c>
      <c r="I74" s="5" t="n">
        <v>5540.52</v>
      </c>
      <c r="J74" s="8" t="n">
        <v>0.0662023959604402</v>
      </c>
      <c r="K74" s="4" t="inlineStr">
        <is>
          <t>dn.ru, фланец Россия Ду150 Ру6 ст20 тип 01 исп.B, на 02.11.2026</t>
        </is>
      </c>
      <c r="L74" s="4" t="inlineStr"/>
    </row>
    <row r="75" ht="36" customHeight="1">
      <c r="A75" s="4" t="inlineStr">
        <is>
          <t>ПАРТИЯ № 2</t>
        </is>
      </c>
      <c r="B75" s="6" t="n">
        <v>7</v>
      </c>
      <c r="C75" s="4" t="inlineStr">
        <is>
          <t>Фланец ГОСТ 33259-2015 (ГОСТ 12820-80)  Ду 100 Ру 6 исп.B (1исп.)</t>
        </is>
      </c>
      <c r="D75" s="4" t="inlineStr">
        <is>
          <t>шт</t>
        </is>
      </c>
      <c r="E75" s="6" t="n">
        <v>6</v>
      </c>
      <c r="F75" s="5" t="n">
        <v>1190</v>
      </c>
      <c r="G75" s="5" t="n">
        <v>7140</v>
      </c>
      <c r="H75" s="5" t="n">
        <v>832.83</v>
      </c>
      <c r="I75" s="5" t="n">
        <v>4996.98</v>
      </c>
      <c r="J75" s="9" t="n">
        <v>0.3001428571428572</v>
      </c>
      <c r="K75" s="4" t="inlineStr">
        <is>
          <t>dn.ru, фланец плоский Россия Ду100 Ру6 ст20 тип 01 исп.B ГОСТ 33259-2015, на 02.11.2026</t>
        </is>
      </c>
      <c r="L75" s="4" t="inlineStr"/>
    </row>
    <row r="76" ht="36" customHeight="1">
      <c r="A76" s="4" t="inlineStr">
        <is>
          <t>ПАРТИЯ № 2</t>
        </is>
      </c>
      <c r="B76" s="6" t="n">
        <v>8</v>
      </c>
      <c r="C76" s="4" t="inlineStr">
        <is>
          <t>Фланец ГОСТ 33259-2015 (ГОСТ 12820-80)   Ду 50 Ру 10 исп.B (1исп.)</t>
        </is>
      </c>
      <c r="D76" s="4" t="inlineStr">
        <is>
          <t>шт</t>
        </is>
      </c>
      <c r="E76" s="6" t="n">
        <v>12</v>
      </c>
      <c r="F76" s="5" t="n">
        <v>824.67</v>
      </c>
      <c r="G76" s="5" t="n">
        <v>9896.040000000001</v>
      </c>
      <c r="H76" s="5" t="n">
        <v>417.79</v>
      </c>
      <c r="I76" s="5" t="n">
        <v>5013.48</v>
      </c>
      <c r="J76" s="9" t="n">
        <v>0.4933852328810312</v>
      </c>
      <c r="K76" s="4" t="inlineStr">
        <is>
          <t>dn.ru, фланец КЗТШ Ду50 Ру10 ст20 тип 01 исп.B</t>
        </is>
      </c>
      <c r="L76" s="4" t="inlineStr"/>
    </row>
    <row r="77" ht="36" customHeight="1">
      <c r="A77" s="4" t="inlineStr">
        <is>
          <t>ПАРТИЯ № 2</t>
        </is>
      </c>
      <c r="B77" s="6" t="n">
        <v>9</v>
      </c>
      <c r="C77" s="4" t="inlineStr">
        <is>
          <t>Вентиль запорный сальниковый DN050, PN16, корпус - чугун, фланцевый, штурвал</t>
        </is>
      </c>
      <c r="D77" s="4" t="inlineStr">
        <is>
          <t>шт</t>
        </is>
      </c>
      <c r="E77" s="6" t="n">
        <v>4</v>
      </c>
      <c r="F77" s="5" t="n">
        <v>15806.67</v>
      </c>
      <c r="G77" s="5" t="n">
        <v>63226.68</v>
      </c>
      <c r="H77" s="5" t="n">
        <v>7618.47</v>
      </c>
      <c r="I77" s="5" t="n">
        <v>30473.88</v>
      </c>
      <c r="J77" s="9" t="n">
        <v>0.5180218224331881</v>
      </c>
      <c r="K77" s="4" t="inlineStr">
        <is>
          <t>Счёт ДН.РУ 819896_v2 п.40: Луидор 15кч16п1 Ду50 Ру25 чугун фланц. штурвал (база Камчатки)</t>
        </is>
      </c>
      <c r="L77" s="4" t="inlineStr">
        <is>
          <t>15кч16п1 Луидор (Ру25 ≥ Ру16)</t>
        </is>
      </c>
    </row>
    <row r="78" ht="36" customHeight="1">
      <c r="A78" s="4" t="inlineStr">
        <is>
          <t>ПАРТИЯ № 2</t>
        </is>
      </c>
      <c r="B78" s="6" t="n">
        <v>10</v>
      </c>
      <c r="C78" s="4" t="inlineStr">
        <is>
          <t>Задвижка ДУ 100 РУ16 30НЖ41НЖ</t>
        </is>
      </c>
      <c r="D78" s="4" t="inlineStr">
        <is>
          <t>шт</t>
        </is>
      </c>
      <c r="E78" s="6" t="n">
        <v>1</v>
      </c>
      <c r="F78" s="5" t="n">
        <v>56783</v>
      </c>
      <c r="G78" s="5" t="n">
        <v>56783</v>
      </c>
      <c r="H78" s="5" t="n">
        <v>58159.8</v>
      </c>
      <c r="I78" s="5" t="n">
        <v>58159.8</v>
      </c>
      <c r="J78" s="10" t="n">
        <v>-0.02424669355264775</v>
      </c>
      <c r="K78" s="4" t="inlineStr">
        <is>
          <t>СИБЗТА прайс: 30нж41нж Ду100 Ру16</t>
        </is>
      </c>
      <c r="L78" s="4" t="inlineStr"/>
    </row>
    <row r="79" ht="36" customHeight="1">
      <c r="A79" s="4" t="inlineStr">
        <is>
          <t>ПАРТИЯ № 2</t>
        </is>
      </c>
      <c r="B79" s="6" t="n">
        <v>11</v>
      </c>
      <c r="C79" s="4" t="inlineStr">
        <is>
          <t>Кран шаровый стальной ALSO Ду-80; Ру-16 фланцевый полнопроходной Сталь 20 под задвижку</t>
        </is>
      </c>
      <c r="D79" s="4" t="inlineStr">
        <is>
          <t>шт</t>
        </is>
      </c>
      <c r="E79" s="6" t="n">
        <v>10</v>
      </c>
      <c r="F79" s="5" t="n">
        <v>10670</v>
      </c>
      <c r="G79" s="5" t="n">
        <v>106700</v>
      </c>
      <c r="H79" s="5" t="n">
        <v>5993.98</v>
      </c>
      <c r="I79" s="5" t="n">
        <v>59939.8</v>
      </c>
      <c r="J79" s="9" t="n">
        <v>0.4382399250234302</v>
      </c>
      <c r="K79" s="4" t="inlineStr">
        <is>
          <t>dn.ru, ALSO КШ.Ф.П.080.16-01 Ду80 Ру16 полнопроходной, углерод. сталь, на 29.12.2026</t>
        </is>
      </c>
      <c r="L79" s="4" t="inlineStr"/>
    </row>
    <row r="80" ht="36" customHeight="1">
      <c r="A80" s="4" t="inlineStr">
        <is>
          <t>ПАРТИЯ № 2</t>
        </is>
      </c>
      <c r="B80" s="6" t="n">
        <v>12</v>
      </c>
      <c r="C80" s="4" t="inlineStr">
        <is>
          <t>Задвижка ДУ 100 РУ16 30НЖ41НЖ</t>
        </is>
      </c>
      <c r="D80" s="4" t="inlineStr">
        <is>
          <t>шт</t>
        </is>
      </c>
      <c r="E80" s="6" t="n">
        <v>1</v>
      </c>
      <c r="F80" s="5" t="n">
        <v>48920</v>
      </c>
      <c r="G80" s="5" t="n">
        <v>48920</v>
      </c>
      <c r="H80" s="5" t="n">
        <v>58159.8</v>
      </c>
      <c r="I80" s="5" t="n">
        <v>58159.8</v>
      </c>
      <c r="J80" s="10" t="n">
        <v>-0.1888757154538021</v>
      </c>
      <c r="K80" s="4" t="inlineStr">
        <is>
          <t>СИБЗТА прайс: 30нж41нж Ду100 Ру16</t>
        </is>
      </c>
      <c r="L80" s="4" t="inlineStr"/>
    </row>
    <row r="81" ht="36" customHeight="1">
      <c r="A81" s="4" t="inlineStr">
        <is>
          <t>ПАРТИЯ № 2</t>
        </is>
      </c>
      <c r="B81" s="6" t="n">
        <v>13</v>
      </c>
      <c r="C81" s="4" t="inlineStr">
        <is>
          <t>Задвижка ДУ 80 РУ16 30НЖ41НЖ</t>
        </is>
      </c>
      <c r="D81" s="4" t="inlineStr">
        <is>
          <t>шт</t>
        </is>
      </c>
      <c r="E81" s="6" t="n">
        <v>2</v>
      </c>
      <c r="F81" s="5" t="n">
        <v>36946.67</v>
      </c>
      <c r="G81" s="5" t="n">
        <v>73893.34</v>
      </c>
      <c r="H81" s="5" t="n">
        <v>42554.7</v>
      </c>
      <c r="I81" s="5" t="n">
        <v>85109.39999999999</v>
      </c>
      <c r="J81" s="10" t="n">
        <v>-0.1517871570022413</v>
      </c>
      <c r="K81" s="4" t="inlineStr">
        <is>
          <t>СИБЗТА прайс: 30нж41нж Ду80 Ру16</t>
        </is>
      </c>
      <c r="L81" s="4" t="inlineStr"/>
    </row>
    <row r="82" ht="36" customHeight="1">
      <c r="A82" s="4" t="inlineStr">
        <is>
          <t>ПАРТИЯ № 3</t>
        </is>
      </c>
      <c r="B82" s="6" t="n">
        <v>1</v>
      </c>
      <c r="C82" s="4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 ГРАНВЭЛ® Затвор Поворотный Дисковый ЗПВС - FL(w)-3-150-MN-Е, Ду150, Ру16, межфланцевый, рукоятка, корпус - GG25, диск - GGG40, седло - EPDM, Траб=-15...+95С</t>
        </is>
      </c>
      <c r="D82" s="4" t="inlineStr">
        <is>
          <t>шт</t>
        </is>
      </c>
      <c r="E82" s="6" t="n">
        <v>1</v>
      </c>
      <c r="F82" s="5" t="n">
        <v>14976.68</v>
      </c>
      <c r="G82" s="5" t="n">
        <v>14976.68</v>
      </c>
      <c r="H82" s="5" t="n">
        <v>10952.37</v>
      </c>
      <c r="I82" s="5" t="n">
        <v>10952.37</v>
      </c>
      <c r="J82" s="9" t="n">
        <v>0.2687050801646292</v>
      </c>
      <c r="K82" s="4" t="inlineStr">
        <is>
          <t>прайс АДЛ BD01I12795 ЗПВС-FL(W)-3-150-MN-E = 102,1 у.е. × 119,19</t>
        </is>
      </c>
      <c r="L82" s="4" t="inlineStr"/>
    </row>
    <row r="83" ht="36" customHeight="1">
      <c r="A83" s="4" t="inlineStr">
        <is>
          <t>ПАРТИЯ № 3</t>
        </is>
      </c>
      <c r="B83" s="6" t="n">
        <v>2</v>
      </c>
      <c r="C83" s="4" t="inlineStr">
        <is>
          <t>Кран шаровый муфтовый 11б27п1 Ду 15 Ру 16 Кран шаровый муфтовый 11б27п1 Ду 15 Ру 16</t>
        </is>
      </c>
      <c r="D83" s="4" t="inlineStr">
        <is>
          <t>шт</t>
        </is>
      </c>
      <c r="E83" s="6" t="n">
        <v>8</v>
      </c>
      <c r="F83" s="5" t="n">
        <v>505</v>
      </c>
      <c r="G83" s="5" t="n">
        <v>4040</v>
      </c>
      <c r="H83" s="5" t="n">
        <v>271.75</v>
      </c>
      <c r="I83" s="5" t="n">
        <v>2174</v>
      </c>
      <c r="J83" s="9" t="n">
        <v>0.4618811881188118</v>
      </c>
      <c r="K83" s="4" t="inlineStr">
        <is>
          <t>Камчатка verify (LD Pride 47.15.В-В.Р, аналог 11б27п1), dn.ru на 02.11.2026</t>
        </is>
      </c>
      <c r="L83" s="4" t="inlineStr"/>
    </row>
    <row r="84" ht="36" customHeight="1">
      <c r="A84" s="4" t="inlineStr">
        <is>
          <t>ПАРТИЯ № 3</t>
        </is>
      </c>
      <c r="B84" s="6" t="n">
        <v>3</v>
      </c>
      <c r="C84" s="4" t="inlineStr">
        <is>
          <t>Кран шаровый муфтовый  11б27п1 Ду 20 Ру 16 Кран шаровый муфтовый  11б27п1 Ду 20 Ру 16</t>
        </is>
      </c>
      <c r="D84" s="4" t="inlineStr">
        <is>
          <t>шт</t>
        </is>
      </c>
      <c r="E84" s="6" t="n">
        <v>4</v>
      </c>
      <c r="F84" s="5" t="n">
        <v>756</v>
      </c>
      <c r="G84" s="5" t="n">
        <v>3024</v>
      </c>
      <c r="H84" s="5" t="n">
        <v>361.79</v>
      </c>
      <c r="I84" s="5" t="n">
        <v>1447.16</v>
      </c>
      <c r="J84" s="9" t="n">
        <v>0.521441798941799</v>
      </c>
      <c r="K84" s="4" t="inlineStr">
        <is>
          <t>dn.ru, LD Pride 47.20.В-В.Р (аналог 11б27п1), на 30.10.2026</t>
        </is>
      </c>
      <c r="L84" s="4" t="inlineStr"/>
    </row>
    <row r="85" ht="36" customHeight="1">
      <c r="A85" s="11" t="inlineStr"/>
      <c r="B85" s="11" t="inlineStr"/>
      <c r="C85" s="11" t="inlineStr">
        <is>
          <t>ИТОГО</t>
        </is>
      </c>
      <c r="D85" s="11" t="inlineStr"/>
      <c r="E85" s="11" t="inlineStr"/>
      <c r="F85" s="11" t="inlineStr"/>
      <c r="G85" s="12">
        <f>SUM(G2:G84)</f>
        <v/>
      </c>
      <c r="H85" s="11" t="inlineStr"/>
      <c r="I85" s="12">
        <f>SUM(I2:I84)</f>
        <v/>
      </c>
      <c r="J85" s="13">
        <f>1-I85/G85</f>
        <v/>
      </c>
      <c r="K85" s="14" t="n"/>
      <c r="L85" s="14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54" customWidth="1" min="3" max="3"/>
    <col width="5" customWidth="1" min="4" max="4"/>
    <col width="7" customWidth="1" min="5" max="5"/>
    <col width="13" customWidth="1" min="6" max="6"/>
    <col width="13" customWidth="1" min="7" max="7"/>
    <col width="14" customWidth="1" min="8" max="8"/>
    <col width="14" customWidth="1" min="9" max="9"/>
    <col width="9" customWidth="1" min="10" max="10"/>
    <col width="40" customWidth="1" min="11" max="11"/>
    <col width="34" customWidth="1" min="12" max="12"/>
  </cols>
  <sheetData>
    <row r="1" ht="51" customHeight="1">
      <c r="A1" s="7" t="inlineStr">
        <is>
          <t>Партия</t>
        </is>
      </c>
      <c r="B1" s="7" t="inlineStr">
        <is>
          <t>№</t>
        </is>
      </c>
      <c r="C1" s="7" t="inlineStr">
        <is>
          <t>Позиция (как в форме 3)</t>
        </is>
      </c>
      <c r="D1" s="7" t="inlineStr">
        <is>
          <t>Ед.</t>
        </is>
      </c>
      <c r="E1" s="7" t="inlineStr">
        <is>
          <t>Кол-во</t>
        </is>
      </c>
      <c r="F1" s="7" t="inlineStr">
        <is>
          <t>НМЦ за ед. без НДС, ₽</t>
        </is>
      </c>
      <c r="G1" s="7" t="inlineStr">
        <is>
          <t>НМЦ сумма, ₽</t>
        </is>
      </c>
      <c r="H1" s="7" t="inlineStr">
        <is>
          <t>Себестоимость за ед. (с НДС, −10%), ₽</t>
        </is>
      </c>
      <c r="I1" s="7" t="inlineStr">
        <is>
          <t>Себестоимость сумма, ₽</t>
        </is>
      </c>
      <c r="J1" s="7" t="inlineStr">
        <is>
          <t>Маржа позиции</t>
        </is>
      </c>
      <c r="K1" s="7" t="inlineStr">
        <is>
          <t>Источник цены</t>
        </is>
      </c>
      <c r="L1" s="7" t="inlineStr">
        <is>
          <t>Российский аналог (если импорт)</t>
        </is>
      </c>
    </row>
    <row r="2" ht="36" customHeight="1">
      <c r="A2" s="4" t="inlineStr">
        <is>
          <t>ПАРТИЯ № 1</t>
        </is>
      </c>
      <c r="B2" s="6" t="n">
        <v>1</v>
      </c>
      <c r="C2" s="4" t="inlineStr">
        <is>
          <t>Клапан запорный латунный муфтовый 15б1п Ду 15 Ру 16</t>
        </is>
      </c>
      <c r="D2" s="4" t="inlineStr">
        <is>
          <t>шт</t>
        </is>
      </c>
      <c r="E2" s="6" t="n">
        <v>15</v>
      </c>
      <c r="F2" s="5" t="n">
        <v>442</v>
      </c>
      <c r="G2" s="5" t="n">
        <v>6630</v>
      </c>
      <c r="H2" s="5" t="n">
        <v>446.89</v>
      </c>
      <c r="I2" s="5" t="n">
        <v>6703.349999999999</v>
      </c>
      <c r="J2" s="10" t="n">
        <v>-0.01106334841628964</v>
      </c>
      <c r="K2" s="4" t="inlineStr">
        <is>
          <t>Камчатка verify (Цветлит 15б1п), цена dn.ru на 07.12.2026</t>
        </is>
      </c>
      <c r="L2" s="4" t="inlineStr"/>
    </row>
    <row r="3" ht="36" customHeight="1">
      <c r="A3" s="4" t="inlineStr">
        <is>
          <t>ПАРТИЯ № 1</t>
        </is>
      </c>
      <c r="B3" s="6" t="n">
        <v>2</v>
      </c>
      <c r="C3" s="4" t="inlineStr">
        <is>
          <t>Клапан запорный латунный муфтовый 15б1п Ду 20 Ру 16</t>
        </is>
      </c>
      <c r="D3" s="4" t="inlineStr">
        <is>
          <t>шт</t>
        </is>
      </c>
      <c r="E3" s="6" t="n">
        <v>10</v>
      </c>
      <c r="F3" s="5" t="n">
        <v>590</v>
      </c>
      <c r="G3" s="5" t="n">
        <v>5900</v>
      </c>
      <c r="H3" s="5" t="n">
        <v>587.98</v>
      </c>
      <c r="I3" s="5" t="n">
        <v>5879.8</v>
      </c>
      <c r="J3" s="10" t="n">
        <v>0.003423728813559346</v>
      </c>
      <c r="K3" s="4" t="inlineStr">
        <is>
          <t>Камчатка verify (Цветлит 15б1п), цена dn.ru на 08.12.2026</t>
        </is>
      </c>
      <c r="L3" s="4" t="inlineStr"/>
    </row>
    <row r="4" ht="36" customHeight="1">
      <c r="A4" s="4" t="inlineStr">
        <is>
          <t>ПАРТИЯ № 1</t>
        </is>
      </c>
      <c r="B4" s="6" t="n">
        <v>3</v>
      </c>
      <c r="C4" s="4" t="inlineStr">
        <is>
          <t>Кран шаровый LD КШЦП из стали 20 Ду15 Ру4,0МПа</t>
        </is>
      </c>
      <c r="D4" s="4" t="inlineStr">
        <is>
          <t>шт</t>
        </is>
      </c>
      <c r="E4" s="6" t="n">
        <v>83</v>
      </c>
      <c r="F4" s="5" t="n">
        <v>1710</v>
      </c>
      <c r="G4" s="5" t="n">
        <v>141930</v>
      </c>
      <c r="H4" s="5" t="n">
        <v>1354.93</v>
      </c>
      <c r="I4" s="5" t="n">
        <v>112459.19</v>
      </c>
      <c r="J4" s="8" t="n">
        <v>0.2076432748538012</v>
      </c>
      <c r="K4" s="4" t="inlineStr">
        <is>
          <t>Камчатка verify (dn.ru, LD КШ.Ц.П.015.040.Н/П.02 ст20 Ру40), цена dn.ru на 02.11.2026</t>
        </is>
      </c>
      <c r="L4" s="4" t="inlineStr"/>
    </row>
    <row r="5" ht="36" customHeight="1">
      <c r="A5" s="4" t="inlineStr">
        <is>
          <t>ПАРТИЯ № 1</t>
        </is>
      </c>
      <c r="B5" s="6" t="n">
        <v>4</v>
      </c>
      <c r="C5" s="4" t="inlineStr">
        <is>
          <t>Кран шаровый LD КШЦП из стали 20 Ду20 Ру4,0МПа</t>
        </is>
      </c>
      <c r="D5" s="4" t="inlineStr">
        <is>
          <t>шт</t>
        </is>
      </c>
      <c r="E5" s="6" t="n">
        <v>7</v>
      </c>
      <c r="F5" s="5" t="n">
        <v>1780</v>
      </c>
      <c r="G5" s="5" t="n">
        <v>12460</v>
      </c>
      <c r="H5" s="5" t="n">
        <v>1452.11</v>
      </c>
      <c r="I5" s="5" t="n">
        <v>10164.77</v>
      </c>
      <c r="J5" s="8" t="n">
        <v>0.1842078651685394</v>
      </c>
      <c r="K5" s="4" t="inlineStr">
        <is>
          <t>dn.ru, LD КШ.Ц.П.020.040.Н/П.02 ст20 Ру40, цена на 02.11.2026</t>
        </is>
      </c>
      <c r="L5" s="4" t="inlineStr"/>
    </row>
    <row r="6" ht="36" customHeight="1">
      <c r="A6" s="4" t="inlineStr">
        <is>
          <t>ПАРТИЯ № 1</t>
        </is>
      </c>
      <c r="B6" s="6" t="n">
        <v>5</v>
      </c>
      <c r="C6" s="4" t="inlineStr">
        <is>
          <t>Кран шаровый LD КШЦП из стали 20 Ду20 Ру4,0МПа</t>
        </is>
      </c>
      <c r="D6" s="4" t="inlineStr">
        <is>
          <t>шт</t>
        </is>
      </c>
      <c r="E6" s="6" t="n">
        <v>18</v>
      </c>
      <c r="F6" s="5" t="n">
        <v>1780</v>
      </c>
      <c r="G6" s="5" t="n">
        <v>32040</v>
      </c>
      <c r="H6" s="5" t="n">
        <v>1452.11</v>
      </c>
      <c r="I6" s="5" t="n">
        <v>26137.98</v>
      </c>
      <c r="J6" s="8" t="n">
        <v>0.1842078651685394</v>
      </c>
      <c r="K6" s="4" t="inlineStr">
        <is>
          <t>dn.ru, LD КШ.Ц.П.020.040.Н/П.02 ст20 Ру40, цена на 02.11.2026</t>
        </is>
      </c>
      <c r="L6" s="4" t="inlineStr"/>
    </row>
    <row r="7" ht="36" customHeight="1">
      <c r="A7" s="4" t="inlineStr">
        <is>
          <t>ПАРТИЯ № 1</t>
        </is>
      </c>
      <c r="B7" s="6" t="n">
        <v>6</v>
      </c>
      <c r="C7" s="4" t="inlineStr">
        <is>
          <t>Кран шаровый LD КШЦП из стали 20 Ду20 Ру4,0МПа</t>
        </is>
      </c>
      <c r="D7" s="4" t="inlineStr">
        <is>
          <t>шт</t>
        </is>
      </c>
      <c r="E7" s="6" t="n">
        <v>18</v>
      </c>
      <c r="F7" s="5" t="n">
        <v>1780</v>
      </c>
      <c r="G7" s="5" t="n">
        <v>32040</v>
      </c>
      <c r="H7" s="5" t="n">
        <v>1452.11</v>
      </c>
      <c r="I7" s="5" t="n">
        <v>26137.98</v>
      </c>
      <c r="J7" s="8" t="n">
        <v>0.1842078651685394</v>
      </c>
      <c r="K7" s="4" t="inlineStr">
        <is>
          <t>dn.ru, LD КШ.Ц.П.020.040.Н/П.02 ст20 Ру40, цена на 02.11.2026</t>
        </is>
      </c>
      <c r="L7" s="4" t="inlineStr"/>
    </row>
    <row r="8" ht="36" customHeight="1">
      <c r="A8" s="4" t="inlineStr">
        <is>
          <t>ПАРТИЯ № 1</t>
        </is>
      </c>
      <c r="B8" s="6" t="n">
        <v>7</v>
      </c>
      <c r="C8" s="4" t="inlineStr">
        <is>
          <t>Кран шаровый LD КШЦП из стали 20 Ду25 Ру4,0МПа</t>
        </is>
      </c>
      <c r="D8" s="4" t="inlineStr">
        <is>
          <t>шт</t>
        </is>
      </c>
      <c r="E8" s="6" t="n">
        <v>84</v>
      </c>
      <c r="F8" s="5" t="n">
        <v>1850</v>
      </c>
      <c r="G8" s="5" t="n">
        <v>155400</v>
      </c>
      <c r="H8" s="5" t="n">
        <v>1480.5</v>
      </c>
      <c r="I8" s="5" t="n">
        <v>124362</v>
      </c>
      <c r="J8" s="8" t="n">
        <v>0.1997297297297297</v>
      </c>
      <c r="K8" s="4" t="inlineStr">
        <is>
          <t>Камчатка verify (dn.ru, LD КШЦП ст20 Ду25)</t>
        </is>
      </c>
      <c r="L8" s="4" t="inlineStr"/>
    </row>
    <row r="9" ht="36" customHeight="1">
      <c r="A9" s="4" t="inlineStr">
        <is>
          <t>ПАРТИЯ № 1</t>
        </is>
      </c>
      <c r="B9" s="6" t="n">
        <v>8</v>
      </c>
      <c r="C9" s="4" t="inlineStr">
        <is>
          <t>Кран шаровый LD КШЦП из стали 20 Ду32 Ру4,0МПа</t>
        </is>
      </c>
      <c r="D9" s="4" t="inlineStr">
        <is>
          <t>шт</t>
        </is>
      </c>
      <c r="E9" s="6" t="n">
        <v>24</v>
      </c>
      <c r="F9" s="5" t="n">
        <v>1890</v>
      </c>
      <c r="G9" s="5" t="n">
        <v>45360</v>
      </c>
      <c r="H9" s="5" t="n">
        <v>1541.7</v>
      </c>
      <c r="I9" s="5" t="n">
        <v>37000.8</v>
      </c>
      <c r="J9" s="8" t="n">
        <v>0.1842857142857143</v>
      </c>
      <c r="K9" s="4" t="inlineStr">
        <is>
          <t>Камчатка verify (dn.ru, LD КШЦП ст20 Ду32)</t>
        </is>
      </c>
      <c r="L9" s="4" t="inlineStr"/>
    </row>
    <row r="10" ht="36" customHeight="1">
      <c r="A10" s="4" t="inlineStr">
        <is>
          <t>ПАРТИЯ № 1</t>
        </is>
      </c>
      <c r="B10" s="6" t="n">
        <v>9</v>
      </c>
      <c r="C10" s="4" t="inlineStr">
        <is>
          <t>Кран шаровый LD КШЦП из стали 20 Ду50 Ру4,0МПа</t>
        </is>
      </c>
      <c r="D10" s="4" t="inlineStr">
        <is>
          <t>шт</t>
        </is>
      </c>
      <c r="E10" s="6" t="n">
        <v>44</v>
      </c>
      <c r="F10" s="5" t="n">
        <v>2960</v>
      </c>
      <c r="G10" s="5" t="n">
        <v>130240</v>
      </c>
      <c r="H10" s="5" t="n">
        <v>2178</v>
      </c>
      <c r="I10" s="5" t="n">
        <v>95832</v>
      </c>
      <c r="J10" s="9" t="n">
        <v>0.2641891891891892</v>
      </c>
      <c r="K10" s="4" t="inlineStr">
        <is>
          <t>Камчатка verify (dn.ru, LD КШЦП ст20 Ду50)</t>
        </is>
      </c>
      <c r="L10" s="4" t="inlineStr"/>
    </row>
    <row r="11" ht="36" customHeight="1">
      <c r="A11" s="4" t="inlineStr">
        <is>
          <t>ПАРТИЯ № 1</t>
        </is>
      </c>
      <c r="B11" s="6" t="n">
        <v>10</v>
      </c>
      <c r="C11" s="4" t="inlineStr">
        <is>
          <t>Кран шаровый LD КШЦП из стали 20 Ду50 Ру4,0МПа</t>
        </is>
      </c>
      <c r="D11" s="4" t="inlineStr">
        <is>
          <t>шт</t>
        </is>
      </c>
      <c r="E11" s="6" t="n">
        <v>2</v>
      </c>
      <c r="F11" s="5" t="n">
        <v>2960</v>
      </c>
      <c r="G11" s="5" t="n">
        <v>5920</v>
      </c>
      <c r="H11" s="5" t="n">
        <v>2178</v>
      </c>
      <c r="I11" s="5" t="n">
        <v>4356</v>
      </c>
      <c r="J11" s="9" t="n">
        <v>0.2641891891891892</v>
      </c>
      <c r="K11" s="4" t="inlineStr">
        <is>
          <t>Камчатка verify (dn.ru, LD КШЦП ст20 Ду50)</t>
        </is>
      </c>
      <c r="L11" s="4" t="inlineStr"/>
    </row>
    <row r="12" ht="36" customHeight="1">
      <c r="A12" s="4" t="inlineStr">
        <is>
          <t>ПАРТИЯ № 1</t>
        </is>
      </c>
      <c r="B12" s="6" t="n">
        <v>11</v>
      </c>
      <c r="C12" s="4" t="inlineStr">
        <is>
          <t>Задвижка стальная с КОФ 30с64нж DN 50 PN 25 1исп.</t>
        </is>
      </c>
      <c r="D12" s="4" t="inlineStr">
        <is>
          <t>шт</t>
        </is>
      </c>
      <c r="E12" s="6" t="n">
        <v>23</v>
      </c>
      <c r="F12" s="5" t="n">
        <v>12320</v>
      </c>
      <c r="G12" s="5" t="n">
        <v>283360</v>
      </c>
      <c r="H12" s="5" t="n">
        <v>8150.83</v>
      </c>
      <c r="I12" s="5" t="n">
        <v>187469.09</v>
      </c>
      <c r="J12" s="9" t="n">
        <v>0.3384066558441559</v>
      </c>
      <c r="K12" s="4" t="inlineStr">
        <is>
          <t>БК-Арматура: 30с64нж DN50 PN25 (ТЕХГИДРОМАШ) + КОФ</t>
        </is>
      </c>
      <c r="L12" s="4" t="inlineStr"/>
    </row>
    <row r="13" ht="36" customHeight="1">
      <c r="A13" s="4" t="inlineStr">
        <is>
          <t>ПАРТИЯ № 1</t>
        </is>
      </c>
      <c r="B13" s="6" t="n">
        <v>12</v>
      </c>
      <c r="C13" s="4" t="inlineStr">
        <is>
          <t>Задвижка стальная 30с64нж DN 200 PN 25 1исп.</t>
        </is>
      </c>
      <c r="D13" s="4" t="inlineStr">
        <is>
          <t>шт</t>
        </is>
      </c>
      <c r="E13" s="6" t="n">
        <v>2</v>
      </c>
      <c r="F13" s="5" t="n">
        <v>64430</v>
      </c>
      <c r="G13" s="5" t="n">
        <v>128860</v>
      </c>
      <c r="H13" s="5" t="n">
        <v>37418.4</v>
      </c>
      <c r="I13" s="5" t="n">
        <v>74836.8</v>
      </c>
      <c r="J13" s="9" t="n">
        <v>0.4192394847120906</v>
      </c>
      <c r="K13" s="4" t="inlineStr">
        <is>
          <t>БК-Арматура: 30с64нж DN200 PN25 (ТЕХГИДРОМАШ)</t>
        </is>
      </c>
      <c r="L13" s="4" t="inlineStr"/>
    </row>
    <row r="14" ht="36" customHeight="1">
      <c r="A14" s="4" t="inlineStr">
        <is>
          <t>ПАРТИЯ № 1</t>
        </is>
      </c>
      <c r="B14" s="6" t="n">
        <v>13</v>
      </c>
      <c r="C14" s="4" t="inlineStr">
        <is>
          <t>Задвижка чугунная с КОФ 30ч6бр Ду 50 Ру 10/16 1исп.</t>
        </is>
      </c>
      <c r="D14" s="4" t="inlineStr">
        <is>
          <t>шт</t>
        </is>
      </c>
      <c r="E14" s="6" t="n">
        <v>40</v>
      </c>
      <c r="F14" s="5" t="n">
        <v>6900</v>
      </c>
      <c r="G14" s="5" t="n">
        <v>276000</v>
      </c>
      <c r="H14" s="5" t="n">
        <v>4020.17</v>
      </c>
      <c r="I14" s="5" t="n">
        <v>160806.8</v>
      </c>
      <c r="J14" s="9" t="n">
        <v>0.4173666666666667</v>
      </c>
      <c r="K14" s="4" t="inlineStr">
        <is>
          <t>БК-Арматура: 31ч6бр DN50 PN10 (Казанский арм. з-д) + КОФ</t>
        </is>
      </c>
      <c r="L14" s="4" t="inlineStr"/>
    </row>
    <row r="15" ht="36" customHeight="1">
      <c r="A15" s="4" t="inlineStr">
        <is>
          <t>ПАРТИЯ № 1</t>
        </is>
      </c>
      <c r="B15" s="6" t="n">
        <v>14</v>
      </c>
      <c r="C15" s="4" t="inlineStr">
        <is>
          <t>Задвижка чугунная с КОФ 30ч6бр Ду 100 Ру 10/16 1исп.</t>
        </is>
      </c>
      <c r="D15" s="4" t="inlineStr">
        <is>
          <t>шт</t>
        </is>
      </c>
      <c r="E15" s="6" t="n">
        <v>28</v>
      </c>
      <c r="F15" s="5" t="n">
        <v>14500</v>
      </c>
      <c r="G15" s="5" t="n">
        <v>406000</v>
      </c>
      <c r="H15" s="5" t="n">
        <v>9277.65</v>
      </c>
      <c r="I15" s="5" t="n">
        <v>259774.2</v>
      </c>
      <c r="J15" s="9" t="n">
        <v>0.3601620689655173</v>
      </c>
      <c r="K15" s="4" t="inlineStr">
        <is>
          <t>БК-Арматура: 31ч6бр DN100 (КАЗ) + КОФ</t>
        </is>
      </c>
      <c r="L15" s="4" t="inlineStr"/>
    </row>
    <row r="16" ht="36" customHeight="1">
      <c r="A16" s="4" t="inlineStr">
        <is>
          <t>ПАРТИЯ № 1</t>
        </is>
      </c>
      <c r="B16" s="6" t="n">
        <v>15</v>
      </c>
      <c r="C16" s="4" t="inlineStr">
        <is>
          <t>Задвижка чугунная с КОФ 30ч6бр Ду 150 Ру 10/16 1исп.</t>
        </is>
      </c>
      <c r="D16" s="4" t="inlineStr">
        <is>
          <t>шт</t>
        </is>
      </c>
      <c r="E16" s="6" t="n">
        <v>13</v>
      </c>
      <c r="F16" s="5" t="n">
        <v>30600</v>
      </c>
      <c r="G16" s="5" t="n">
        <v>397800</v>
      </c>
      <c r="H16" s="5" t="n">
        <v>20469.33</v>
      </c>
      <c r="I16" s="5" t="n">
        <v>266101.29</v>
      </c>
      <c r="J16" s="9" t="n">
        <v>0.3310676470588235</v>
      </c>
      <c r="K16" s="4" t="inlineStr">
        <is>
          <t>БК-Арматура: 31ч6бр DN150 (КАЗ) + КОФ</t>
        </is>
      </c>
      <c r="L16" s="4" t="inlineStr"/>
    </row>
    <row r="17" ht="36" customHeight="1">
      <c r="A17" s="4" t="inlineStr">
        <is>
          <t>ПАРТИЯ № 1</t>
        </is>
      </c>
      <c r="B17" s="6" t="n">
        <v>16</v>
      </c>
      <c r="C17" s="4" t="inlineStr">
        <is>
          <t>Задвижка чугунная с КОФ 30ч6бр Ду 200 Ру 10 1исп.</t>
        </is>
      </c>
      <c r="D17" s="4" t="inlineStr">
        <is>
          <t>шт</t>
        </is>
      </c>
      <c r="E17" s="6" t="n">
        <v>16</v>
      </c>
      <c r="F17" s="5" t="n">
        <v>57500</v>
      </c>
      <c r="G17" s="5" t="n">
        <v>920000</v>
      </c>
      <c r="H17" s="5" t="n">
        <v>34862.36</v>
      </c>
      <c r="I17" s="5" t="n">
        <v>557797.76</v>
      </c>
      <c r="J17" s="9" t="n">
        <v>0.3936980869565218</v>
      </c>
      <c r="K17" s="4" t="inlineStr">
        <is>
          <t>БК-Арматура: 31ч6бр DN200 PN10 (КАЗ) + КОФ</t>
        </is>
      </c>
      <c r="L17" s="4" t="inlineStr"/>
    </row>
    <row r="18" ht="36" customHeight="1">
      <c r="A18" s="4" t="inlineStr">
        <is>
          <t>ПАРТИЯ № 1</t>
        </is>
      </c>
      <c r="B18" s="6" t="n">
        <v>17</v>
      </c>
      <c r="C18" s="4" t="inlineStr">
        <is>
          <t>Задвижка чугунная с КОФ 30ч6бр Ду 250 Ру 10 1исп.</t>
        </is>
      </c>
      <c r="D18" s="4" t="inlineStr">
        <is>
          <t>шт</t>
        </is>
      </c>
      <c r="E18" s="6" t="n">
        <v>3</v>
      </c>
      <c r="F18" s="5" t="n">
        <v>76580</v>
      </c>
      <c r="G18" s="5" t="n">
        <v>229740</v>
      </c>
      <c r="H18" s="5" t="n">
        <v>52182.32</v>
      </c>
      <c r="I18" s="5" t="n">
        <v>156546.96</v>
      </c>
      <c r="J18" s="9" t="n">
        <v>0.3185907547662575</v>
      </c>
      <c r="K18" s="4" t="inlineStr">
        <is>
          <t>БК-Арматура: 31ч6бр DN250 PN10 (КАЗ) + КОФ</t>
        </is>
      </c>
      <c r="L18" s="4" t="inlineStr"/>
    </row>
    <row r="19" ht="36" customHeight="1">
      <c r="A19" s="4" t="inlineStr">
        <is>
          <t>ПАРТИЯ № 1</t>
        </is>
      </c>
      <c r="B19" s="6" t="n">
        <v>18</v>
      </c>
      <c r="C19" s="4" t="inlineStr">
        <is>
          <t>Клапан обратный 19ч16бр Ду 250 Ру 16</t>
        </is>
      </c>
      <c r="D19" s="4" t="inlineStr">
        <is>
          <t>шт</t>
        </is>
      </c>
      <c r="E19" s="6" t="n">
        <v>6</v>
      </c>
      <c r="F19" s="5" t="n">
        <v>107000</v>
      </c>
      <c r="G19" s="5" t="n">
        <v>642000</v>
      </c>
      <c r="H19" s="5" t="n">
        <v>53117.4</v>
      </c>
      <c r="I19" s="5" t="n">
        <v>318704.4</v>
      </c>
      <c r="J19" s="9" t="n">
        <v>0.5035757009345794</v>
      </c>
      <c r="K19" s="4" t="inlineStr">
        <is>
          <t>dn.ru, Benarmo обратный поворотный фланцевый Ду250 Ру16, обрезин. затвор, на 30.10.2026</t>
        </is>
      </c>
      <c r="L19" s="4" t="inlineStr">
        <is>
          <t>Benarmo поворотный Ду250 Ру16 вместо 19ч16бр</t>
        </is>
      </c>
    </row>
    <row r="20" ht="36" customHeight="1">
      <c r="A20" s="4" t="inlineStr">
        <is>
          <t>ПАРТИЯ № 1</t>
        </is>
      </c>
      <c r="B20" s="6" t="n">
        <v>19</v>
      </c>
      <c r="C20" s="4" t="inlineStr">
        <is>
          <t>Комплект ЗИП к затвору серии АМ DN 150 41140ZZ (вода, до +150 С, PN 2,5 МПа)</t>
        </is>
      </c>
      <c r="D20" s="4" t="inlineStr">
        <is>
          <t>шт</t>
        </is>
      </c>
      <c r="E20" s="6" t="n">
        <v>10</v>
      </c>
      <c r="F20" s="5" t="n">
        <v>17340</v>
      </c>
      <c r="G20" s="5" t="n">
        <v>173400</v>
      </c>
      <c r="H20" s="5" t="n">
        <v>16183.42</v>
      </c>
      <c r="I20" s="5" t="n">
        <v>161834.2</v>
      </c>
      <c r="J20" s="8" t="n">
        <v>0.06670011534025377</v>
      </c>
      <c r="K20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20" s="4" t="inlineStr"/>
    </row>
    <row r="21" ht="36" customHeight="1">
      <c r="A21" s="4" t="inlineStr">
        <is>
          <t>ПАРТИЯ № 1</t>
        </is>
      </c>
      <c r="B21" s="6" t="n">
        <v>20</v>
      </c>
      <c r="C21" s="4" t="inlineStr">
        <is>
          <t>Комплект ЗИП к затвору серии АМ DN 250 41160ZZ (вода, до +150 С, PN 2,5 МПа)</t>
        </is>
      </c>
      <c r="D21" s="4" t="inlineStr">
        <is>
          <t>шт</t>
        </is>
      </c>
      <c r="E21" s="6" t="n">
        <v>8</v>
      </c>
      <c r="F21" s="5" t="n">
        <v>32500</v>
      </c>
      <c r="G21" s="5" t="n">
        <v>260000</v>
      </c>
      <c r="H21" s="5" t="n">
        <v>30332.25</v>
      </c>
      <c r="I21" s="5" t="n">
        <v>242658</v>
      </c>
      <c r="J21" s="8" t="n">
        <v>0.06669999999999998</v>
      </c>
      <c r="K21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21" s="4" t="inlineStr"/>
    </row>
    <row r="22" ht="36" customHeight="1">
      <c r="A22" s="4" t="inlineStr">
        <is>
          <t>ПАРТИЯ № 1</t>
        </is>
      </c>
      <c r="B22" s="6" t="n">
        <v>21</v>
      </c>
      <c r="C22" s="4" t="inlineStr">
        <is>
          <t>Комплект ЗИП к затвору серии АМ DN 100 41120ZZ (вода, до +150 С, PN 2,5 МПа)</t>
        </is>
      </c>
      <c r="D22" s="4" t="inlineStr">
        <is>
          <t>шт</t>
        </is>
      </c>
      <c r="E22" s="6" t="n">
        <v>10</v>
      </c>
      <c r="F22" s="5" t="n">
        <v>9720</v>
      </c>
      <c r="G22" s="5" t="n">
        <v>97200</v>
      </c>
      <c r="H22" s="5" t="n">
        <v>9071.68</v>
      </c>
      <c r="I22" s="5" t="n">
        <v>90716.8</v>
      </c>
      <c r="J22" s="8" t="n">
        <v>0.06669958847736623</v>
      </c>
      <c r="K22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22" s="4" t="inlineStr"/>
    </row>
    <row r="23" ht="36" customHeight="1">
      <c r="A23" s="4" t="inlineStr">
        <is>
          <t>ПАРТИЯ № 1</t>
        </is>
      </c>
      <c r="B23" s="6" t="n">
        <v>22</v>
      </c>
      <c r="C23" s="4" t="inlineStr">
        <is>
          <t>Комплект ЗИП к затвору серии АМ DN 125 41130ZZ (вода, до +150 С, PN 2,5 МПа)</t>
        </is>
      </c>
      <c r="D23" s="4" t="inlineStr">
        <is>
          <t>шт</t>
        </is>
      </c>
      <c r="E23" s="6" t="n">
        <v>10</v>
      </c>
      <c r="F23" s="5" t="n">
        <v>12000</v>
      </c>
      <c r="G23" s="5" t="n">
        <v>120000</v>
      </c>
      <c r="H23" s="5" t="n">
        <v>11199.6</v>
      </c>
      <c r="I23" s="5" t="n">
        <v>111996</v>
      </c>
      <c r="J23" s="8" t="n">
        <v>0.06669999999999998</v>
      </c>
      <c r="K23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23" s="4" t="inlineStr"/>
    </row>
    <row r="24" ht="36" customHeight="1">
      <c r="A24" s="4" t="inlineStr">
        <is>
          <t>ПАРТИЯ № 1</t>
        </is>
      </c>
      <c r="B24" s="6" t="n">
        <v>23</v>
      </c>
      <c r="C24" s="4" t="inlineStr">
        <is>
          <t>Комплект ЗИП к затвору серии АМ DN 50 41090ZZ (вода, до +150 С, PN 2,5 МПа)</t>
        </is>
      </c>
      <c r="D24" s="4" t="inlineStr">
        <is>
          <t>шт</t>
        </is>
      </c>
      <c r="E24" s="6" t="n">
        <v>2</v>
      </c>
      <c r="F24" s="5" t="n">
        <v>5540</v>
      </c>
      <c r="G24" s="5" t="n">
        <v>11080</v>
      </c>
      <c r="H24" s="5" t="n">
        <v>5170.48</v>
      </c>
      <c r="I24" s="5" t="n">
        <v>10340.96</v>
      </c>
      <c r="J24" s="8" t="n">
        <v>0.06670036101083043</v>
      </c>
      <c r="K24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24" s="4" t="inlineStr"/>
    </row>
    <row r="25" ht="36" customHeight="1">
      <c r="A25" s="4" t="inlineStr">
        <is>
          <t>ПАРТИЯ № 1</t>
        </is>
      </c>
      <c r="B25" s="6" t="n">
        <v>24</v>
      </c>
      <c r="C25" s="4" t="inlineStr">
        <is>
          <t>Комплект ЗИП к клапану КМР-Э ЛГ 201 Сл 250 500 Л У АМ(Ех)</t>
        </is>
      </c>
      <c r="D25" s="4" t="inlineStr">
        <is>
          <t>шт</t>
        </is>
      </c>
      <c r="E25" s="6" t="n">
        <v>2</v>
      </c>
      <c r="F25" s="5" t="n">
        <v>46700</v>
      </c>
      <c r="G25" s="5" t="n">
        <v>93400</v>
      </c>
      <c r="H25" s="5" t="n">
        <v>43585.11</v>
      </c>
      <c r="I25" s="5" t="n">
        <v>87170.22</v>
      </c>
      <c r="J25" s="8" t="n">
        <v>0.06669999999999998</v>
      </c>
      <c r="K25" s="4" t="inlineStr">
        <is>
          <t>[ОЦЕНКА] цена с НДС = НМЦ×1,22×0.85 (публичной цены нет; ЗИП к клапану КМР-Э (ЛГ Автоматика) — по запросу)</t>
        </is>
      </c>
      <c r="L25" s="4" t="inlineStr"/>
    </row>
    <row r="26" ht="36" customHeight="1">
      <c r="A26" s="4" t="inlineStr">
        <is>
          <t>ПАРТИЯ № 1</t>
        </is>
      </c>
      <c r="B26" s="6" t="n">
        <v>25</v>
      </c>
      <c r="C26" s="4" t="inlineStr">
        <is>
          <t>Клапан диафрагмовый химический ВДХ Ду50 Ру10</t>
        </is>
      </c>
      <c r="D26" s="4" t="inlineStr">
        <is>
          <t>шт</t>
        </is>
      </c>
      <c r="E26" s="6" t="n">
        <v>2</v>
      </c>
      <c r="F26" s="5" t="n">
        <v>18500</v>
      </c>
      <c r="G26" s="5" t="n">
        <v>37000</v>
      </c>
      <c r="H26" s="5" t="n">
        <v>12060</v>
      </c>
      <c r="I26" s="5" t="n">
        <v>24120</v>
      </c>
      <c r="J26" s="9" t="n">
        <v>0.3481081081081081</v>
      </c>
      <c r="K26" s="4" t="inlineStr">
        <is>
          <t>techsteklo.ru (ООО «Компания Доминик»): ВДХ Ду50, цена с НДС, ©2026</t>
        </is>
      </c>
      <c r="L26" s="4" t="inlineStr"/>
    </row>
    <row r="27" ht="36" customHeight="1">
      <c r="A27" s="4" t="inlineStr">
        <is>
          <t>ПАРТИЯ № 1</t>
        </is>
      </c>
      <c r="B27" s="6" t="n">
        <v>26</v>
      </c>
      <c r="C27" s="4" t="inlineStr">
        <is>
          <t>Клапан диафрагмовый химический ВДХ Ду100 Ру10</t>
        </is>
      </c>
      <c r="D27" s="4" t="inlineStr">
        <is>
          <t>шт</t>
        </is>
      </c>
      <c r="E27" s="6" t="n">
        <v>2</v>
      </c>
      <c r="F27" s="5" t="n">
        <v>43260</v>
      </c>
      <c r="G27" s="5" t="n">
        <v>86520</v>
      </c>
      <c r="H27" s="5" t="n">
        <v>32400</v>
      </c>
      <c r="I27" s="5" t="n">
        <v>64800</v>
      </c>
      <c r="J27" s="9" t="n">
        <v>0.2510402219140083</v>
      </c>
      <c r="K27" s="4" t="inlineStr">
        <is>
          <t>techsteklo.ru: ВДХ Ду100, с НДС</t>
        </is>
      </c>
      <c r="L27" s="4" t="inlineStr"/>
    </row>
    <row r="28" ht="36" customHeight="1">
      <c r="A28" s="4" t="inlineStr">
        <is>
          <t>ПАРТИЯ № 1</t>
        </is>
      </c>
      <c r="B28" s="6" t="n">
        <v>27</v>
      </c>
      <c r="C28" s="4" t="inlineStr">
        <is>
          <t>Клапан диафрагмовый химический ВДХ Ду150 Ру10</t>
        </is>
      </c>
      <c r="D28" s="4" t="inlineStr">
        <is>
          <t>шт</t>
        </is>
      </c>
      <c r="E28" s="6" t="n">
        <v>2</v>
      </c>
      <c r="F28" s="5" t="n">
        <v>107800</v>
      </c>
      <c r="G28" s="5" t="n">
        <v>215600</v>
      </c>
      <c r="H28" s="5" t="n">
        <v>81000</v>
      </c>
      <c r="I28" s="5" t="n">
        <v>162000</v>
      </c>
      <c r="J28" s="8" t="n">
        <v>0.24860853432282</v>
      </c>
      <c r="K28" s="4" t="inlineStr">
        <is>
          <t>techsteklo.ru: ВДХ Ду150, с НДС</t>
        </is>
      </c>
      <c r="L28" s="4" t="inlineStr"/>
    </row>
    <row r="29" ht="36" customHeight="1">
      <c r="A29" s="4" t="inlineStr">
        <is>
          <t>ПАРТИЯ № 1</t>
        </is>
      </c>
      <c r="B29" s="6" t="n">
        <v>28</v>
      </c>
      <c r="C29" s="4" t="inlineStr">
        <is>
          <t>Кран шаровой VALTEC BASE, рукоятка 3/4" вн.-вн. VT.214.N.05</t>
        </is>
      </c>
      <c r="D29" s="4" t="inlineStr">
        <is>
          <t>шт</t>
        </is>
      </c>
      <c r="E29" s="6" t="n">
        <v>10</v>
      </c>
      <c r="F29" s="5" t="n">
        <v>925</v>
      </c>
      <c r="G29" s="5" t="n">
        <v>9250</v>
      </c>
      <c r="H29" s="5" t="n">
        <v>361.79</v>
      </c>
      <c r="I29" s="5" t="n">
        <v>3617.9</v>
      </c>
      <c r="J29" s="9" t="n">
        <v>0.6088756756756757</v>
      </c>
      <c r="K29" s="4" t="inlineStr">
        <is>
          <t>dn.ru, LD Pride 47.20.В-В.Р 3/4", на 30.10.2026</t>
        </is>
      </c>
      <c r="L29" s="4" t="inlineStr">
        <is>
          <t>LD Pride 47.20.В-В.Р (РФ) вместо VALTEC VT.214.N.05</t>
        </is>
      </c>
    </row>
    <row r="30" ht="36" customHeight="1">
      <c r="A30" s="4" t="inlineStr">
        <is>
          <t>ПАРТИЯ № 1</t>
        </is>
      </c>
      <c r="B30" s="6" t="n">
        <v>29</v>
      </c>
      <c r="C30" s="4" t="inlineStr">
        <is>
          <t>Кран шаровой VALTEC BASE, рукоятка 2" вн.-вн.VT.214.N.09</t>
        </is>
      </c>
      <c r="D30" s="4" t="inlineStr">
        <is>
          <t>шт</t>
        </is>
      </c>
      <c r="E30" s="6" t="n">
        <v>2</v>
      </c>
      <c r="F30" s="5" t="n">
        <v>5280</v>
      </c>
      <c r="G30" s="5" t="n">
        <v>10560</v>
      </c>
      <c r="H30" s="5" t="n">
        <v>3402.7</v>
      </c>
      <c r="I30" s="5" t="n">
        <v>6805.4</v>
      </c>
      <c r="J30" s="9" t="n">
        <v>0.3555492424242425</v>
      </c>
      <c r="K30" s="4" t="inlineStr">
        <is>
          <t>dn.ru, LD Pride 47.50.В-В.Р 2", на 02.11.2026</t>
        </is>
      </c>
      <c r="L30" s="4" t="inlineStr">
        <is>
          <t>LD Pride 47.50.В-В.Р вместо VALTEC VT.214.N.09</t>
        </is>
      </c>
    </row>
    <row r="31" ht="36" customHeight="1">
      <c r="A31" s="4" t="inlineStr">
        <is>
          <t>ПАРТИЯ № 1</t>
        </is>
      </c>
      <c r="B31" s="6" t="n">
        <v>30</v>
      </c>
      <c r="C31" s="4" t="inlineStr">
        <is>
          <t>Кран шаровой VALTEC BASE, рукоятка 1" вн.-вн. VT.214.N.06</t>
        </is>
      </c>
      <c r="D31" s="4" t="inlineStr">
        <is>
          <t>шт</t>
        </is>
      </c>
      <c r="E31" s="6" t="n">
        <v>10</v>
      </c>
      <c r="F31" s="5" t="n">
        <v>1500</v>
      </c>
      <c r="G31" s="5" t="n">
        <v>15000</v>
      </c>
      <c r="H31" s="5" t="n">
        <v>827.34</v>
      </c>
      <c r="I31" s="5" t="n">
        <v>8273.4</v>
      </c>
      <c r="J31" s="9" t="n">
        <v>0.4484399999999999</v>
      </c>
      <c r="K31" s="4" t="inlineStr">
        <is>
          <t>dn.ru, LD Pride 47.25.В-В.Р 1", на 02.11.2026</t>
        </is>
      </c>
      <c r="L31" s="4" t="inlineStr">
        <is>
          <t>LD Pride 47.25.В-В.Р вместо VALTEC VT.214.N.06</t>
        </is>
      </c>
    </row>
    <row r="32" ht="36" customHeight="1">
      <c r="A32" s="4" t="inlineStr">
        <is>
          <t>ПАРТИЯ № 1</t>
        </is>
      </c>
      <c r="B32" s="6" t="n">
        <v>31</v>
      </c>
      <c r="C32" s="4" t="inlineStr">
        <is>
          <t>Кран шаровый Стандарт 1/2" ВВ бабочка VALTEC Артикул:VT. 122. GN. 04</t>
        </is>
      </c>
      <c r="D32" s="4" t="inlineStr">
        <is>
          <t>шт</t>
        </is>
      </c>
      <c r="E32" s="6" t="n">
        <v>20</v>
      </c>
      <c r="F32" s="5" t="n">
        <v>360</v>
      </c>
      <c r="G32" s="5" t="n">
        <v>7200</v>
      </c>
      <c r="H32" s="5" t="n">
        <v>241.56</v>
      </c>
      <c r="I32" s="5" t="n">
        <v>4831.2</v>
      </c>
      <c r="J32" s="9" t="n">
        <v>0.329</v>
      </c>
      <c r="K32" s="4" t="inlineStr">
        <is>
          <t>dn.ru, LD Pride 47.15.В-В.Б 1/2" (бабочка), на 21.10.2026</t>
        </is>
      </c>
      <c r="L32" s="4" t="inlineStr">
        <is>
          <t>LD Pride 47.15.В-В.Б (ООО «ЛД», Челябинск) вместо VALTEC VT.122.GN.04 (Италия/КНР)</t>
        </is>
      </c>
    </row>
    <row r="33" ht="36" customHeight="1">
      <c r="A33" s="4" t="inlineStr">
        <is>
          <t>ПАРТИЯ № 1</t>
        </is>
      </c>
      <c r="B33" s="6" t="n">
        <v>32</v>
      </c>
      <c r="C33" s="4" t="inlineStr">
        <is>
          <t>Прокладка[СНП] тип Д для фланца[DN50 PN63кгс/см2] по[ГОСТ33259] форма пов-ти[Исполнение A,B] мат-л нап.[Графит 4,5мм]Внеш.ЗК|Ст20|Внут.ЗК|12X18H10T| Д-3-73-6,3-4,5 ОСТ 26.260.454-99</t>
        </is>
      </c>
      <c r="D33" s="4" t="inlineStr">
        <is>
          <t>шт</t>
        </is>
      </c>
      <c r="E33" s="6" t="n">
        <v>12</v>
      </c>
      <c r="F33" s="5" t="n">
        <v>1120</v>
      </c>
      <c r="G33" s="5" t="n">
        <v>13440</v>
      </c>
      <c r="H33" s="5" t="n">
        <v>1045.3</v>
      </c>
      <c r="I33" s="5" t="n">
        <v>12543.6</v>
      </c>
      <c r="J33" s="8" t="n">
        <v>0.06669642857142866</v>
      </c>
      <c r="K33" s="4" t="inlineStr">
        <is>
          <t>[ОЦЕНКА] цена с НДС = НМЦ×1,22×0.85 (публичной цены нет; прокладка СНП Д-3-73-6,3-4,5 (Силур/Унихимтек и др.) — карточки</t>
        </is>
      </c>
      <c r="L33" s="4" t="inlineStr"/>
    </row>
    <row r="34" ht="36" customHeight="1">
      <c r="A34" s="4" t="inlineStr">
        <is>
          <t>ПАРТИЯ № 1</t>
        </is>
      </c>
      <c r="B34" s="6" t="n">
        <v>33</v>
      </c>
      <c r="C34" s="4" t="inlineStr">
        <is>
          <t>Механизм МЭОФ-1600/25-0,25У-96К У2, 380В, IP65 (с наружн. кв.42)</t>
        </is>
      </c>
      <c r="D34" s="4" t="inlineStr">
        <is>
          <t>шт</t>
        </is>
      </c>
      <c r="E34" s="6" t="n">
        <v>1</v>
      </c>
      <c r="F34" s="5" t="n">
        <v>188946.67</v>
      </c>
      <c r="G34" s="5" t="n">
        <v>188946.67</v>
      </c>
      <c r="H34" s="5" t="n">
        <v>55258.2</v>
      </c>
      <c r="I34" s="5" t="n">
        <v>55258.2</v>
      </c>
      <c r="J34" s="9" t="n">
        <v>0.7075460498986301</v>
      </c>
      <c r="K34" s="4" t="inlineStr">
        <is>
          <t>ЭТК Прогресс (etk-progress.ru, ©2026): МЭОФ-1600/25-0,25-96К, 61 398 ₽ (НДС в карточке не указан — принято как с НДС)</t>
        </is>
      </c>
      <c r="L34" s="4" t="inlineStr">
        <is>
          <t>МЭОФ-1600/25-0,25-96К (без индекса «У»)</t>
        </is>
      </c>
    </row>
    <row r="35" ht="36" customHeight="1">
      <c r="A35" s="4" t="inlineStr">
        <is>
          <t>ПАРТИЯ № 1</t>
        </is>
      </c>
      <c r="B35" s="6" t="n">
        <v>34</v>
      </c>
      <c r="C35" s="4" t="inlineStr">
        <is>
          <t>Комплект ЗИП к затвору серии АМ DN 300 41170ZZ (вода, до +150 С, PN 2,5 МПа)</t>
        </is>
      </c>
      <c r="D35" s="4" t="inlineStr">
        <is>
          <t>шт</t>
        </is>
      </c>
      <c r="E35" s="6" t="n">
        <v>2</v>
      </c>
      <c r="F35" s="5" t="n">
        <v>41060</v>
      </c>
      <c r="G35" s="5" t="n">
        <v>82120</v>
      </c>
      <c r="H35" s="5" t="n">
        <v>38321.3</v>
      </c>
      <c r="I35" s="5" t="n">
        <v>76642.60000000001</v>
      </c>
      <c r="J35" s="8" t="n">
        <v>0.06669995129079387</v>
      </c>
      <c r="K35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35" s="4" t="inlineStr"/>
    </row>
    <row r="36" ht="36" customHeight="1">
      <c r="A36" s="4" t="inlineStr">
        <is>
          <t>ПАРТИЯ № 1</t>
        </is>
      </c>
      <c r="B36" s="6" t="n">
        <v>35</v>
      </c>
      <c r="C36" s="4" t="inlineStr">
        <is>
          <t>Комплект ЗИП к затвору серии АМ DN 400 41190ZZ (вода, до +150 С, PN 2,5 МПа)</t>
        </is>
      </c>
      <c r="D36" s="4" t="inlineStr">
        <is>
          <t>шт</t>
        </is>
      </c>
      <c r="E36" s="6" t="n">
        <v>2</v>
      </c>
      <c r="F36" s="5" t="n">
        <v>71440</v>
      </c>
      <c r="G36" s="5" t="n">
        <v>142880</v>
      </c>
      <c r="H36" s="5" t="n">
        <v>66674.95</v>
      </c>
      <c r="I36" s="5" t="n">
        <v>133349.9</v>
      </c>
      <c r="J36" s="8" t="n">
        <v>0.06670002799552077</v>
      </c>
      <c r="K36" s="4" t="inlineStr">
        <is>
          <t>[ОЦЕНКА] цена с НДС = НМЦ×1,22×0.85 (публичной цены нет; ЗИП к затворам АРМАТЭК серии АМ — только у производителя)</t>
        </is>
      </c>
      <c r="L36" s="4" t="inlineStr"/>
    </row>
    <row r="37" ht="36" customHeight="1">
      <c r="A37" s="4" t="inlineStr">
        <is>
          <t>ПАРТИЯ № 1</t>
        </is>
      </c>
      <c r="B37" s="6" t="n">
        <v>36</v>
      </c>
      <c r="C37" s="4" t="inlineStr">
        <is>
          <t>ГРАНВЭЛ® Затвор Поворотный Дисковый ЗПВС - FL(w)-3-100-MN-Е, Ду100, Ру16, межфланцевый, рукоятка, корпус - GG25, диск - GGG40, седло - EPDM, Траб=-15...+95°С</t>
        </is>
      </c>
      <c r="D37" s="4" t="inlineStr">
        <is>
          <t>шт</t>
        </is>
      </c>
      <c r="E37" s="6" t="n">
        <v>3</v>
      </c>
      <c r="F37" s="5" t="n">
        <v>9180</v>
      </c>
      <c r="G37" s="5" t="n">
        <v>27540</v>
      </c>
      <c r="H37" s="5" t="n">
        <v>7262.24</v>
      </c>
      <c r="I37" s="5" t="n">
        <v>21786.72</v>
      </c>
      <c r="J37" s="8" t="n">
        <v>0.2089063180827887</v>
      </c>
      <c r="K37" s="4" t="inlineStr">
        <is>
          <t>прайс АДЛ BD01I12792 ЗПВС-FL(W)-3-100-MN-E = 67,7 у.е. × 119,19</t>
        </is>
      </c>
      <c r="L37" s="4" t="inlineStr"/>
    </row>
    <row r="38" ht="36" customHeight="1">
      <c r="A38" s="4" t="inlineStr">
        <is>
          <t>ПАРТИЯ № 1</t>
        </is>
      </c>
      <c r="B38" s="6" t="n">
        <v>37</v>
      </c>
      <c r="C38" s="4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</t>
        </is>
      </c>
      <c r="D38" s="4" t="inlineStr">
        <is>
          <t>шт</t>
        </is>
      </c>
      <c r="E38" s="6" t="n">
        <v>5</v>
      </c>
      <c r="F38" s="5" t="n">
        <v>13850</v>
      </c>
      <c r="G38" s="5" t="n">
        <v>69250</v>
      </c>
      <c r="H38" s="5" t="n">
        <v>10952.37</v>
      </c>
      <c r="I38" s="5" t="n">
        <v>54761.85000000001</v>
      </c>
      <c r="J38" s="8" t="n">
        <v>0.2092151624548736</v>
      </c>
      <c r="K38" s="4" t="inlineStr">
        <is>
          <t>прайс АДЛ BD01I12795 ЗПВС-FL(W)-3-150-MN-E = 102,1 у.е. × 119,19</t>
        </is>
      </c>
      <c r="L38" s="4" t="inlineStr"/>
    </row>
    <row r="39" ht="36" customHeight="1">
      <c r="A39" s="4" t="inlineStr">
        <is>
          <t>ПАРТИЯ № 1</t>
        </is>
      </c>
      <c r="B39" s="6" t="n">
        <v>38</v>
      </c>
      <c r="C39" s="4" t="inlineStr">
        <is>
          <t>Вентиль стальной фланцевый 15с65нж Ду25 Ру16</t>
        </is>
      </c>
      <c r="D39" s="4" t="inlineStr">
        <is>
          <t>шт</t>
        </is>
      </c>
      <c r="E39" s="6" t="n">
        <v>5</v>
      </c>
      <c r="F39" s="5" t="n">
        <v>3490</v>
      </c>
      <c r="G39" s="5" t="n">
        <v>17450</v>
      </c>
      <c r="H39" s="5" t="n">
        <v>3553.2</v>
      </c>
      <c r="I39" s="5" t="n">
        <v>17766</v>
      </c>
      <c r="J39" s="10" t="n">
        <v>-0.0181088825214899</v>
      </c>
      <c r="K39" s="4" t="inlineStr">
        <is>
          <t>СИБЗТА прайс: 15с65нж Ду25 Ру16</t>
        </is>
      </c>
      <c r="L39" s="4" t="inlineStr"/>
    </row>
    <row r="40" ht="36" customHeight="1">
      <c r="A40" s="4" t="inlineStr">
        <is>
          <t>ПАРТИЯ № 1</t>
        </is>
      </c>
      <c r="B40" s="6" t="n">
        <v>39</v>
      </c>
      <c r="C40" s="4" t="inlineStr">
        <is>
          <t>Клапан обратный приемный с сеткой фланцевый 16ч42р Ду80</t>
        </is>
      </c>
      <c r="D40" s="4" t="inlineStr">
        <is>
          <t>шт</t>
        </is>
      </c>
      <c r="E40" s="6" t="n">
        <v>5</v>
      </c>
      <c r="F40" s="5" t="n">
        <v>6290</v>
      </c>
      <c r="G40" s="5" t="n">
        <v>31450</v>
      </c>
      <c r="H40" s="5" t="n">
        <v>4539.68</v>
      </c>
      <c r="I40" s="5" t="n">
        <v>22698.4</v>
      </c>
      <c r="J40" s="9" t="n">
        <v>0.2782702702702702</v>
      </c>
      <c r="K40" s="4" t="inlineStr">
        <is>
          <t>dn.ru, Луидор 16ч42р Ду80 приёмный с сеткой, на 30.10.2026</t>
        </is>
      </c>
      <c r="L40" s="4" t="inlineStr"/>
    </row>
    <row r="41" ht="36" customHeight="1">
      <c r="A41" s="4" t="inlineStr">
        <is>
          <t>ПАРТИЯ № 1</t>
        </is>
      </c>
      <c r="B41" s="6" t="n">
        <v>40</v>
      </c>
      <c r="C41" s="4" t="inlineStr">
        <is>
          <t>Кран шаровый муфтовый 11б27п1 Ду 15 Ру 16</t>
        </is>
      </c>
      <c r="D41" s="4" t="inlineStr">
        <is>
          <t>шт</t>
        </is>
      </c>
      <c r="E41" s="6" t="n">
        <v>20</v>
      </c>
      <c r="F41" s="5" t="n">
        <v>460</v>
      </c>
      <c r="G41" s="5" t="n">
        <v>9200</v>
      </c>
      <c r="H41" s="5" t="n">
        <v>271.75</v>
      </c>
      <c r="I41" s="5" t="n">
        <v>5435</v>
      </c>
      <c r="J41" s="9" t="n">
        <v>0.4092391304347827</v>
      </c>
      <c r="K41" s="4" t="inlineStr">
        <is>
          <t>Камчатка verify (LD Pride 47.15.В-В.Р, аналог 11б27п1), dn.ru на 02.11.2026</t>
        </is>
      </c>
      <c r="L41" s="4" t="inlineStr"/>
    </row>
    <row r="42" ht="36" customHeight="1">
      <c r="A42" s="4" t="inlineStr">
        <is>
          <t>ПАРТИЯ № 1</t>
        </is>
      </c>
      <c r="B42" s="6" t="n">
        <v>41</v>
      </c>
      <c r="C42" s="4" t="inlineStr">
        <is>
          <t>Клапан обратный чугун шаровой фланцевый Ду 150 Ру16</t>
        </is>
      </c>
      <c r="D42" s="4" t="inlineStr">
        <is>
          <t>шт</t>
        </is>
      </c>
      <c r="E42" s="6" t="n">
        <v>3</v>
      </c>
      <c r="F42" s="5" t="n">
        <v>39830</v>
      </c>
      <c r="G42" s="5" t="n">
        <v>119490</v>
      </c>
      <c r="H42" s="5" t="n">
        <v>27762.38</v>
      </c>
      <c r="I42" s="5" t="n">
        <v>83287.14</v>
      </c>
      <c r="J42" s="9" t="n">
        <v>0.3029781571679638</v>
      </c>
      <c r="K42" s="4" t="inlineStr">
        <is>
          <t>dn.ru, Benarmo обратный шаровой Ду150 Ру16 чугун/сталь NBR, на 30.10.2026</t>
        </is>
      </c>
      <c r="L42" s="4" t="inlineStr"/>
    </row>
    <row r="43" ht="36" customHeight="1">
      <c r="A43" s="4" t="inlineStr">
        <is>
          <t>ПАРТИЯ № 1</t>
        </is>
      </c>
      <c r="B43" s="6" t="n">
        <v>42</v>
      </c>
      <c r="C43" s="4" t="inlineStr">
        <is>
          <t>Клапан обратный чугун шаровой фланцевый Ду 100 Ру16</t>
        </is>
      </c>
      <c r="D43" s="4" t="inlineStr">
        <is>
          <t>шт</t>
        </is>
      </c>
      <c r="E43" s="6" t="n">
        <v>3</v>
      </c>
      <c r="F43" s="5" t="n">
        <v>18920</v>
      </c>
      <c r="G43" s="5" t="n">
        <v>56760</v>
      </c>
      <c r="H43" s="5" t="n">
        <v>13974.25</v>
      </c>
      <c r="I43" s="5" t="n">
        <v>41922.75</v>
      </c>
      <c r="J43" s="9" t="n">
        <v>0.2614032769556025</v>
      </c>
      <c r="K43" s="4" t="inlineStr">
        <is>
          <t>dn.ru, Benarmo обратный шаровой Ду100 Ру16, на 30.10.2026</t>
        </is>
      </c>
      <c r="L43" s="4" t="inlineStr"/>
    </row>
    <row r="44" ht="36" customHeight="1">
      <c r="A44" s="4" t="inlineStr">
        <is>
          <t>ПАРТИЯ № 1</t>
        </is>
      </c>
      <c r="B44" s="6" t="n">
        <v>43</v>
      </c>
      <c r="C44" s="4" t="inlineStr">
        <is>
          <t>Задвижка стальная 30с41нж DN 80 PN 16 1исп.</t>
        </is>
      </c>
      <c r="D44" s="4" t="inlineStr">
        <is>
          <t>шт</t>
        </is>
      </c>
      <c r="E44" s="6" t="n">
        <v>10</v>
      </c>
      <c r="F44" s="5" t="n">
        <v>103960</v>
      </c>
      <c r="G44" s="5" t="n">
        <v>1039600</v>
      </c>
      <c r="H44" s="5" t="n">
        <v>6298.2</v>
      </c>
      <c r="I44" s="5" t="n">
        <v>62982</v>
      </c>
      <c r="J44" s="9" t="n">
        <v>0.9394170834936514</v>
      </c>
      <c r="K44" s="4" t="inlineStr">
        <is>
          <t>БК-Арматура: 30с41нж DN80 PN16, с НДС</t>
        </is>
      </c>
      <c r="L44" s="4" t="inlineStr"/>
    </row>
    <row r="45" ht="36" customHeight="1">
      <c r="A45" s="4" t="inlineStr">
        <is>
          <t>ПАРТИЯ № 1</t>
        </is>
      </c>
      <c r="B45" s="6" t="n">
        <v>44</v>
      </c>
      <c r="C45" s="4" t="inlineStr">
        <is>
          <t>Задвижка стальная 30с64нж DN 80 PN 25 1исп.</t>
        </is>
      </c>
      <c r="D45" s="4" t="inlineStr">
        <is>
          <t>шт</t>
        </is>
      </c>
      <c r="E45" s="6" t="n">
        <v>5</v>
      </c>
      <c r="F45" s="5" t="n">
        <v>15350</v>
      </c>
      <c r="G45" s="5" t="n">
        <v>76750</v>
      </c>
      <c r="H45" s="5" t="n">
        <v>9444.6</v>
      </c>
      <c r="I45" s="5" t="n">
        <v>47223</v>
      </c>
      <c r="J45" s="9" t="n">
        <v>0.3847166123778502</v>
      </c>
      <c r="K45" s="4" t="inlineStr">
        <is>
          <t>БК-Арматура: 30с64нж DN80 PN25 (ТЕХГИДРОМАШ)</t>
        </is>
      </c>
      <c r="L45" s="4" t="inlineStr"/>
    </row>
    <row r="46" ht="36" customHeight="1">
      <c r="A46" s="4" t="inlineStr">
        <is>
          <t>ПАРТИЯ № 1</t>
        </is>
      </c>
      <c r="B46" s="6" t="n">
        <v>45</v>
      </c>
      <c r="C46" s="4" t="inlineStr">
        <is>
          <t>Вентиль чугунный муфтовый 15кч18п Ду15 Ру16</t>
        </is>
      </c>
      <c r="D46" s="4" t="inlineStr">
        <is>
          <t>шт</t>
        </is>
      </c>
      <c r="E46" s="6" t="n">
        <v>10</v>
      </c>
      <c r="F46" s="5" t="n">
        <v>380</v>
      </c>
      <c r="G46" s="5" t="n">
        <v>3800</v>
      </c>
      <c r="H46" s="5" t="n">
        <v>446.89</v>
      </c>
      <c r="I46" s="5" t="n">
        <v>4468.9</v>
      </c>
      <c r="J46" s="10" t="n">
        <v>-0.1760263157894737</v>
      </c>
      <c r="K46" s="4" t="inlineStr">
        <is>
          <t>dn.ru, Цветлит 15б1п Ду15 Ру16 латунь (замена 15кч18п)</t>
        </is>
      </c>
      <c r="L46" s="4" t="inlineStr">
        <is>
          <t>15б1п Цветлит Ду15 (ЕАЭС) вместо 15кч18п (на рынке только КНР: dn.ru «Китай»/Ci)</t>
        </is>
      </c>
    </row>
    <row r="47" ht="36" customHeight="1">
      <c r="A47" s="4" t="inlineStr">
        <is>
          <t>ПАРТИЯ № 1</t>
        </is>
      </c>
      <c r="B47" s="6" t="n">
        <v>46</v>
      </c>
      <c r="C47" s="4" t="inlineStr">
        <is>
          <t>Вентиль чугунный муфтовый 15кч18п Ду20 Ру16</t>
        </is>
      </c>
      <c r="D47" s="4" t="inlineStr">
        <is>
          <t>шт</t>
        </is>
      </c>
      <c r="E47" s="6" t="n">
        <v>10</v>
      </c>
      <c r="F47" s="5" t="n">
        <v>400</v>
      </c>
      <c r="G47" s="5" t="n">
        <v>4000</v>
      </c>
      <c r="H47" s="5" t="n">
        <v>587.98</v>
      </c>
      <c r="I47" s="5" t="n">
        <v>5879.8</v>
      </c>
      <c r="J47" s="10" t="n">
        <v>-0.4699500000000001</v>
      </c>
      <c r="K47" s="4" t="inlineStr">
        <is>
          <t>dn.ru, Цветлит 15б1п Ду20 Ру16 латунь (замена 15кч18п)</t>
        </is>
      </c>
      <c r="L47" s="4" t="inlineStr">
        <is>
          <t>15б1п Цветлит Ду20 (ЕАЭС) вместо 15кч18п (на рынке только КНР: dn.ru «Китай»/Ci)</t>
        </is>
      </c>
    </row>
    <row r="48" ht="36" customHeight="1">
      <c r="A48" s="4" t="inlineStr">
        <is>
          <t>ПАРТИЯ № 1</t>
        </is>
      </c>
      <c r="B48" s="6" t="n">
        <v>47</v>
      </c>
      <c r="C48" s="4" t="inlineStr">
        <is>
          <t>Вентиль чугунный муфтовый 15кч18п Ду25 Ру16</t>
        </is>
      </c>
      <c r="D48" s="4" t="inlineStr">
        <is>
          <t>шт</t>
        </is>
      </c>
      <c r="E48" s="6" t="n">
        <v>7</v>
      </c>
      <c r="F48" s="5" t="n">
        <v>530</v>
      </c>
      <c r="G48" s="5" t="n">
        <v>3710</v>
      </c>
      <c r="H48" s="5" t="n">
        <v>831.1900000000001</v>
      </c>
      <c r="I48" s="5" t="n">
        <v>5818.33</v>
      </c>
      <c r="J48" s="10" t="n">
        <v>-0.5682830188679246</v>
      </c>
      <c r="K48" s="4" t="inlineStr">
        <is>
          <t>dn.ru, Цветлит 15б1п Ду25 Ру16 латунь (замена 15кч18п)</t>
        </is>
      </c>
      <c r="L48" s="4" t="inlineStr">
        <is>
          <t>15б1п Цветлит Ду25 (ЕАЭС) вместо 15кч18п (на рынке только КНР: dn.ru «Китай»/Ci)</t>
        </is>
      </c>
    </row>
    <row r="49" ht="36" customHeight="1">
      <c r="A49" s="4" t="inlineStr">
        <is>
          <t>ПАРТИЯ № 1</t>
        </is>
      </c>
      <c r="B49" s="6" t="n">
        <v>48</v>
      </c>
      <c r="C49" s="4" t="inlineStr">
        <is>
          <t>Вентиль чугунный муфтовый 15кч18п Ду32 Ру16</t>
        </is>
      </c>
      <c r="D49" s="4" t="inlineStr">
        <is>
          <t>шт</t>
        </is>
      </c>
      <c r="E49" s="6" t="n">
        <v>6</v>
      </c>
      <c r="F49" s="5" t="n">
        <v>850</v>
      </c>
      <c r="G49" s="5" t="n">
        <v>5100</v>
      </c>
      <c r="H49" s="5" t="n">
        <v>925.0599999999999</v>
      </c>
      <c r="I49" s="5" t="n">
        <v>5550.36</v>
      </c>
      <c r="J49" s="10" t="n">
        <v>-0.08830588235294101</v>
      </c>
      <c r="K49" s="4" t="inlineStr">
        <is>
          <t>dn.ru, Цветлит 15б1п Ду32 Ру16 латунь (замена 15кч18п)</t>
        </is>
      </c>
      <c r="L49" s="4" t="inlineStr">
        <is>
          <t>15б1п Цветлит Ду32 (ЕАЭС) вместо 15кч18п (на рынке только КНР: dn.ru «Китай»/Ci)</t>
        </is>
      </c>
    </row>
    <row r="50" ht="36" customHeight="1">
      <c r="A50" s="4" t="inlineStr">
        <is>
          <t>ПАРТИЯ № 1</t>
        </is>
      </c>
      <c r="B50" s="6" t="n">
        <v>49</v>
      </c>
      <c r="C50" s="4" t="inlineStr">
        <is>
          <t>Вентиль чугунный муфтовый 15кч18п Ду40 Ру16</t>
        </is>
      </c>
      <c r="D50" s="4" t="inlineStr">
        <is>
          <t>шт</t>
        </is>
      </c>
      <c r="E50" s="6" t="n">
        <v>40</v>
      </c>
      <c r="F50" s="5" t="n">
        <v>1300</v>
      </c>
      <c r="G50" s="5" t="n">
        <v>52000</v>
      </c>
      <c r="H50" s="5" t="n">
        <v>1558.06</v>
      </c>
      <c r="I50" s="5" t="n">
        <v>62322.39999999999</v>
      </c>
      <c r="J50" s="10" t="n">
        <v>-0.1985076923076923</v>
      </c>
      <c r="K50" s="4" t="inlineStr">
        <is>
          <t>dn.ru, Цветлит 15б1п Ду40 Ру16 латунь (замена 15кч18п)</t>
        </is>
      </c>
      <c r="L50" s="4" t="inlineStr">
        <is>
          <t>15б1п Цветлит Ду40 (ЕАЭС) вместо 15кч18п (на рынке только КНР: dn.ru «Китай»/Ci)</t>
        </is>
      </c>
    </row>
    <row r="51" ht="36" customHeight="1">
      <c r="A51" s="4" t="inlineStr">
        <is>
          <t>ПАРТИЯ № 1</t>
        </is>
      </c>
      <c r="B51" s="6" t="n">
        <v>50</v>
      </c>
      <c r="C51" s="4" t="inlineStr">
        <is>
          <t>Вентиль чугунный муфтовый 15кч18п Ду50 Ру16</t>
        </is>
      </c>
      <c r="D51" s="4" t="inlineStr">
        <is>
          <t>шт</t>
        </is>
      </c>
      <c r="E51" s="6" t="n">
        <v>30</v>
      </c>
      <c r="F51" s="5" t="n">
        <v>1800</v>
      </c>
      <c r="G51" s="5" t="n">
        <v>54000</v>
      </c>
      <c r="H51" s="5" t="n">
        <v>1980.79</v>
      </c>
      <c r="I51" s="5" t="n">
        <v>59423.7</v>
      </c>
      <c r="J51" s="10" t="n">
        <v>-0.100438888888889</v>
      </c>
      <c r="K51" s="4" t="inlineStr">
        <is>
          <t>dn.ru, Цветлит 15б1п Ду50 Ру16 латунь (замена 15кч18п)</t>
        </is>
      </c>
      <c r="L51" s="4" t="inlineStr">
        <is>
          <t>15б1п Цветлит Ду50 (ЕАЭС) вместо 15кч18п (на рынке только КНР: dn.ru «Китай»/Ci)</t>
        </is>
      </c>
    </row>
    <row r="52" ht="36" customHeight="1">
      <c r="A52" s="4" t="inlineStr">
        <is>
          <t>ПАРТИЯ № 1</t>
        </is>
      </c>
      <c r="B52" s="6" t="n">
        <v>51</v>
      </c>
      <c r="C52" s="4" t="inlineStr">
        <is>
          <t>Трубка кварцевая 18х2-1500 мм</t>
        </is>
      </c>
      <c r="D52" s="4" t="inlineStr">
        <is>
          <t>шт</t>
        </is>
      </c>
      <c r="E52" s="6" t="n">
        <v>40</v>
      </c>
      <c r="F52" s="5" t="n">
        <v>2550</v>
      </c>
      <c r="G52" s="5" t="n">
        <v>102000</v>
      </c>
      <c r="H52" s="5" t="n">
        <v>900</v>
      </c>
      <c r="I52" s="5" t="n">
        <v>36000</v>
      </c>
      <c r="J52" s="9" t="n">
        <v>0.6470588235294117</v>
      </c>
      <c r="K52" s="4" t="inlineStr">
        <is>
          <t>techsteklo.ru: трубка кварцевая 18х2х1500, с НДС</t>
        </is>
      </c>
      <c r="L52" s="4" t="inlineStr"/>
    </row>
    <row r="53" ht="36" customHeight="1">
      <c r="A53" s="4" t="inlineStr">
        <is>
          <t>ПАРТИЯ № 1</t>
        </is>
      </c>
      <c r="B53" s="6" t="n">
        <v>52</v>
      </c>
      <c r="C53" s="4" t="inlineStr">
        <is>
          <t>Указатель уровня Т-229Б прямого действия</t>
        </is>
      </c>
      <c r="D53" s="4" t="inlineStr">
        <is>
          <t>шт</t>
        </is>
      </c>
      <c r="E53" s="6" t="n">
        <v>4</v>
      </c>
      <c r="F53" s="5" t="n">
        <v>174000</v>
      </c>
      <c r="G53" s="5" t="n">
        <v>696000</v>
      </c>
      <c r="H53" s="5" t="n">
        <v>99000</v>
      </c>
      <c r="I53" s="5" t="n">
        <v>396000</v>
      </c>
      <c r="J53" s="9" t="n">
        <v>0.4310344827586207</v>
      </c>
      <c r="K53" s="4" t="inlineStr">
        <is>
          <t>techsteklo.ru (ООО «Компания Доминик»): Т-229б Ду20 Ру165, цена с НДС, ©2026</t>
        </is>
      </c>
      <c r="L53" s="4" t="inlineStr"/>
    </row>
    <row r="54" ht="36" customHeight="1">
      <c r="A54" s="4" t="inlineStr">
        <is>
          <t>ПАРТИЯ № 1</t>
        </is>
      </c>
      <c r="B54" s="6" t="n">
        <v>53</v>
      </c>
      <c r="C54" s="4" t="inlineStr">
        <is>
          <t>30лс964нж Ду500 Ру25 с эл.пр. ЭП4Н-Г-3000-16-Э16-3-11111</t>
        </is>
      </c>
      <c r="D54" s="4" t="inlineStr">
        <is>
          <t>м</t>
        </is>
      </c>
      <c r="E54" s="6" t="n">
        <v>2</v>
      </c>
      <c r="F54" s="5" t="n">
        <v>2135000</v>
      </c>
      <c r="G54" s="5" t="n">
        <v>4270000</v>
      </c>
      <c r="H54" s="5" t="n">
        <v>1131417.62</v>
      </c>
      <c r="I54" s="5" t="n">
        <v>2262835.24</v>
      </c>
      <c r="J54" s="9" t="n">
        <v>0.4700620046838407</v>
      </c>
      <c r="K54" s="4" t="inlineStr">
        <is>
          <t>[ПРОКСИ] dn.ru на 27.10.2026: задвижка 30лс964нж Авангард Ду500 Ру25 (фланц., голый шток, Россия, 982 кг) 761 200,09 + Э</t>
        </is>
      </c>
      <c r="L54" s="4" t="inlineStr">
        <is>
          <t>30лс964нж Авангард (РФ) + Тулаэлектропривод ЭП4</t>
        </is>
      </c>
    </row>
    <row r="55" ht="36" customHeight="1">
      <c r="A55" s="4" t="inlineStr">
        <is>
          <t>ПАРТИЯ № 1</t>
        </is>
      </c>
      <c r="B55" s="6" t="n">
        <v>54</v>
      </c>
      <c r="C55" s="4" t="inlineStr">
        <is>
          <t>Задвижка чугунная с КОФ 30ч6бр Ду 400 Ру 10 1исп.</t>
        </is>
      </c>
      <c r="D55" s="4" t="inlineStr">
        <is>
          <t>шт</t>
        </is>
      </c>
      <c r="E55" s="6" t="n">
        <v>5</v>
      </c>
      <c r="F55" s="5" t="n">
        <v>284100</v>
      </c>
      <c r="G55" s="5" t="n">
        <v>1420500</v>
      </c>
      <c r="H55" s="5" t="n">
        <v>176804.26</v>
      </c>
      <c r="I55" s="5" t="n">
        <v>884021.3</v>
      </c>
      <c r="J55" s="9" t="n">
        <v>0.3776689193945794</v>
      </c>
      <c r="K55" s="4" t="inlineStr">
        <is>
          <t>БК-Арматура: 30ч6бр DN400 PN10 (Казанский арм. з-д) + КОФ</t>
        </is>
      </c>
      <c r="L55" s="4" t="inlineStr"/>
    </row>
    <row r="56" ht="36" customHeight="1">
      <c r="A56" s="4" t="inlineStr">
        <is>
          <t>ПАРТИЯ № 1</t>
        </is>
      </c>
      <c r="B56" s="6" t="n">
        <v>55</v>
      </c>
      <c r="C56" s="4" t="inlineStr">
        <is>
          <t>Задвижка стальная 30с64нж DN 250 PN 25 1исп.</t>
        </is>
      </c>
      <c r="D56" s="4" t="inlineStr">
        <is>
          <t>шт</t>
        </is>
      </c>
      <c r="E56" s="6" t="n">
        <v>3</v>
      </c>
      <c r="F56" s="5" t="n">
        <v>102000</v>
      </c>
      <c r="G56" s="5" t="n">
        <v>306000</v>
      </c>
      <c r="H56" s="5" t="n">
        <v>64134.9</v>
      </c>
      <c r="I56" s="5" t="n">
        <v>192404.7</v>
      </c>
      <c r="J56" s="9" t="n">
        <v>0.3712264705882353</v>
      </c>
      <c r="K56" s="4" t="inlineStr">
        <is>
          <t>БК-Арматура: 30с64нж DN250 PN25 (ТЕХГИДРОМАШ)</t>
        </is>
      </c>
      <c r="L56" s="4" t="inlineStr"/>
    </row>
    <row r="57" ht="36" customHeight="1">
      <c r="A57" s="4" t="inlineStr">
        <is>
          <t>ПАРТИЯ № 1</t>
        </is>
      </c>
      <c r="B57" s="6" t="n">
        <v>56</v>
      </c>
      <c r="C57" s="4" t="inlineStr">
        <is>
          <t>Задвижка стальная 30с64нж DN 300 PN 25 1исп.</t>
        </is>
      </c>
      <c r="D57" s="4" t="inlineStr">
        <is>
          <t>шт</t>
        </is>
      </c>
      <c r="E57" s="6" t="n">
        <v>1</v>
      </c>
      <c r="F57" s="5" t="n">
        <v>129000</v>
      </c>
      <c r="G57" s="5" t="n">
        <v>129000</v>
      </c>
      <c r="H57" s="5" t="n">
        <v>82428.3</v>
      </c>
      <c r="I57" s="5" t="n">
        <v>82428.3</v>
      </c>
      <c r="J57" s="9" t="n">
        <v>0.3610209302325581</v>
      </c>
      <c r="K57" s="4" t="inlineStr">
        <is>
          <t>БК-Арматура: 30с64нж DN300 PN25 (ТЕХГИДРОМАШ)</t>
        </is>
      </c>
      <c r="L57" s="4" t="inlineStr"/>
    </row>
    <row r="58" ht="36" customHeight="1">
      <c r="A58" s="4" t="inlineStr">
        <is>
          <t>ПАРТИЯ № 1</t>
        </is>
      </c>
      <c r="B58" s="6" t="n">
        <v>57</v>
      </c>
      <c r="C58" s="4" t="inlineStr">
        <is>
          <t>Кран шаровый LD Ду 80 Ру 25 фланцевый стальной КШ.Ц.Ф.080/070.025.Н/П.02</t>
        </is>
      </c>
      <c r="D58" s="4" t="inlineStr">
        <is>
          <t>шт</t>
        </is>
      </c>
      <c r="E58" s="6" t="n">
        <v>6</v>
      </c>
      <c r="F58" s="5" t="n">
        <v>7600</v>
      </c>
      <c r="G58" s="5" t="n">
        <v>45600</v>
      </c>
      <c r="H58" s="5" t="n">
        <v>6253.66</v>
      </c>
      <c r="I58" s="5" t="n">
        <v>37521.96</v>
      </c>
      <c r="J58" s="8" t="n">
        <v>0.17715</v>
      </c>
      <c r="K58" s="4" t="inlineStr">
        <is>
          <t>dn.ru, LD КШ.Ц.Ф.080/070.025.Н/П.02 Ду80 Ру25, на 26.10.2026</t>
        </is>
      </c>
      <c r="L58" s="4" t="inlineStr"/>
    </row>
    <row r="59" ht="36" customHeight="1">
      <c r="A59" s="4" t="inlineStr">
        <is>
          <t>ПАРТИЯ № 1</t>
        </is>
      </c>
      <c r="B59" s="6" t="n">
        <v>58</v>
      </c>
      <c r="C59" s="4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D59" s="4" t="inlineStr">
        <is>
          <t>шт</t>
        </is>
      </c>
      <c r="E59" s="6" t="n">
        <v>2</v>
      </c>
      <c r="F59" s="5" t="n">
        <v>15000</v>
      </c>
      <c r="G59" s="5" t="n">
        <v>30000</v>
      </c>
      <c r="H59" s="5" t="n">
        <v>13999.5</v>
      </c>
      <c r="I59" s="5" t="n">
        <v>27999</v>
      </c>
      <c r="J59" s="8" t="n">
        <v>0.06669999999999998</v>
      </c>
      <c r="K59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59" s="4" t="inlineStr"/>
    </row>
    <row r="60" ht="36" customHeight="1">
      <c r="A60" s="4" t="inlineStr">
        <is>
          <t>ПАРТИЯ № 1</t>
        </is>
      </c>
      <c r="B60" s="6" t="n">
        <v>59</v>
      </c>
      <c r="C60" s="4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D60" s="4" t="inlineStr">
        <is>
          <t>шт</t>
        </is>
      </c>
      <c r="E60" s="6" t="n">
        <v>2</v>
      </c>
      <c r="F60" s="5" t="n">
        <v>7860</v>
      </c>
      <c r="G60" s="5" t="n">
        <v>15720</v>
      </c>
      <c r="H60" s="5" t="n">
        <v>7335.74</v>
      </c>
      <c r="I60" s="5" t="n">
        <v>14671.48</v>
      </c>
      <c r="J60" s="8" t="n">
        <v>0.06669974554707381</v>
      </c>
      <c r="K60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60" s="4" t="inlineStr"/>
    </row>
    <row r="61" ht="36" customHeight="1">
      <c r="A61" s="4" t="inlineStr">
        <is>
          <t>ПАРТИЯ № 1</t>
        </is>
      </c>
      <c r="B61" s="6" t="n">
        <v>60</v>
      </c>
      <c r="C61" s="4" t="inlineStr">
        <is>
          <t>Кран шаровой запорный разборный полнопроходной фланцевый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D61" s="4" t="inlineStr">
        <is>
          <t>шт</t>
        </is>
      </c>
      <c r="E61" s="6" t="n">
        <v>2</v>
      </c>
      <c r="F61" s="5" t="n">
        <v>214620</v>
      </c>
      <c r="G61" s="5" t="n">
        <v>429240</v>
      </c>
      <c r="H61" s="5" t="n">
        <v>200304.85</v>
      </c>
      <c r="I61" s="5" t="n">
        <v>400609.7</v>
      </c>
      <c r="J61" s="8" t="n">
        <v>0.06669998136240796</v>
      </c>
      <c r="K61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61" s="4" t="inlineStr"/>
    </row>
    <row r="62" ht="36" customHeight="1">
      <c r="A62" s="4" t="inlineStr">
        <is>
          <t>ПАРТИЯ № 1</t>
        </is>
      </c>
      <c r="B62" s="6" t="n">
        <v>61</v>
      </c>
      <c r="C62" s="4" t="inlineStr">
        <is>
          <t>Кран шаровой запорный разборный фланцевый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D62" s="4" t="inlineStr">
        <is>
          <t>шт</t>
        </is>
      </c>
      <c r="E62" s="6" t="n">
        <v>2</v>
      </c>
      <c r="F62" s="5" t="n">
        <v>22720</v>
      </c>
      <c r="G62" s="5" t="n">
        <v>45440</v>
      </c>
      <c r="H62" s="5" t="n">
        <v>21204.58</v>
      </c>
      <c r="I62" s="5" t="n">
        <v>42409.16</v>
      </c>
      <c r="J62" s="8" t="n">
        <v>0.06669982394366192</v>
      </c>
      <c r="K62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62" s="4" t="inlineStr"/>
    </row>
    <row r="63" ht="36" customHeight="1">
      <c r="A63" s="4" t="inlineStr">
        <is>
          <t>ПАРТИЯ № 1</t>
        </is>
      </c>
      <c r="B63" s="6" t="n">
        <v>62</v>
      </c>
      <c r="C63" s="4" t="inlineStr">
        <is>
          <t>Кран шаровой запорный разборный фланцевый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D63" s="4" t="inlineStr">
        <is>
          <t>шт</t>
        </is>
      </c>
      <c r="E63" s="6" t="n">
        <v>2</v>
      </c>
      <c r="F63" s="5" t="n">
        <v>11000</v>
      </c>
      <c r="G63" s="5" t="n">
        <v>22000</v>
      </c>
      <c r="H63" s="5" t="n">
        <v>10266.3</v>
      </c>
      <c r="I63" s="5" t="n">
        <v>20532.6</v>
      </c>
      <c r="J63" s="8" t="n">
        <v>0.06670000000000009</v>
      </c>
      <c r="K63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63" s="4" t="inlineStr"/>
    </row>
    <row r="64" ht="36" customHeight="1">
      <c r="A64" s="4" t="inlineStr">
        <is>
          <t>ПАРТИЯ № 1</t>
        </is>
      </c>
      <c r="B64" s="6" t="n">
        <v>63</v>
      </c>
      <c r="C64" s="4" t="inlineStr">
        <is>
          <t>Кран шаровой запорный разборный полнопроходной фланцевый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D64" s="4" t="inlineStr">
        <is>
          <t>шт</t>
        </is>
      </c>
      <c r="E64" s="6" t="n">
        <v>2</v>
      </c>
      <c r="F64" s="5" t="n">
        <v>29000</v>
      </c>
      <c r="G64" s="5" t="n">
        <v>58000</v>
      </c>
      <c r="H64" s="5" t="n">
        <v>27065.7</v>
      </c>
      <c r="I64" s="5" t="n">
        <v>54131.4</v>
      </c>
      <c r="J64" s="8" t="n">
        <v>0.06669999999999998</v>
      </c>
      <c r="K64" s="4" t="inlineStr">
        <is>
          <t>[ОЦЕНКА] цена с НДС = НМЦ×1,22×0.85 (публичной цены нет; краны ЗАРД/ЗАРДП Ярдос (РФ) — у дилеров «цена договорная» (petr</t>
        </is>
      </c>
      <c r="L64" s="4" t="inlineStr"/>
    </row>
    <row r="65" ht="36" customHeight="1">
      <c r="A65" s="4" t="inlineStr">
        <is>
          <t>ПАРТИЯ № 1</t>
        </is>
      </c>
      <c r="B65" s="6" t="n">
        <v>64</v>
      </c>
      <c r="C65" s="4" t="inlineStr">
        <is>
          <t>Механизм электрический МЭОФ 250/25-0,25У-97К</t>
        </is>
      </c>
      <c r="D65" s="4" t="inlineStr">
        <is>
          <t>шт</t>
        </is>
      </c>
      <c r="E65" s="6" t="n">
        <v>2</v>
      </c>
      <c r="F65" s="5" t="n">
        <v>96000</v>
      </c>
      <c r="G65" s="5" t="n">
        <v>192000</v>
      </c>
      <c r="H65" s="5" t="n">
        <v>64287.9</v>
      </c>
      <c r="I65" s="5" t="n">
        <v>128575.8</v>
      </c>
      <c r="J65" s="9" t="n">
        <v>0.330334375</v>
      </c>
      <c r="K65" s="4" t="inlineStr">
        <is>
          <t>[ЦЕНА-аналог] elaparat.shop на 27.10.2026: МЭО-250/25-0,25У-99К ЧЗ Электроаппарат 71 431 (фланцевый МЭОФ-250/63-0,25И-99</t>
        </is>
      </c>
      <c r="L65" s="4" t="inlineStr">
        <is>
          <t>МЭОФ-250/25-0,25У-99К ЧЗЭА (РФ)</t>
        </is>
      </c>
    </row>
    <row r="66" ht="36" customHeight="1">
      <c r="A66" s="4" t="inlineStr">
        <is>
          <t>ПАРТИЯ № 1</t>
        </is>
      </c>
      <c r="B66" s="6" t="n">
        <v>65</v>
      </c>
      <c r="C66" s="4" t="inlineStr">
        <is>
          <t>Клапан электромагнитный Контроль положения затвора.Присоединение к трубопроводу — цапковое с накидными гайками и ниппелями под приварку.</t>
        </is>
      </c>
      <c r="D66" s="4" t="inlineStr">
        <is>
          <t>шт</t>
        </is>
      </c>
      <c r="E66" s="6" t="n">
        <v>3</v>
      </c>
      <c r="F66" s="5" t="n">
        <v>84380</v>
      </c>
      <c r="G66" s="5" t="n">
        <v>253140</v>
      </c>
      <c r="H66" s="5" t="n">
        <v>78751.85000000001</v>
      </c>
      <c r="I66" s="5" t="n">
        <v>236255.55</v>
      </c>
      <c r="J66" s="8" t="n">
        <v>0.06670004740459823</v>
      </c>
      <c r="K66" s="4" t="inlineStr">
        <is>
          <t>[ОЦЕНКА] цена с НДС = НМЦ×1,22×0.85 (публичной цены нет; клапан ЭМ НО Ду20 с ЭУ-6ГМ1 (цапковый, под приварку) — спецарма</t>
        </is>
      </c>
      <c r="L66" s="4" t="inlineStr"/>
    </row>
    <row r="67" ht="36" customHeight="1">
      <c r="A67" s="4" t="inlineStr">
        <is>
          <t>ПАРТИЯ № 1</t>
        </is>
      </c>
      <c r="B67" s="6" t="n">
        <v>66</v>
      </c>
      <c r="C67" s="4" t="inlineStr">
        <is>
          <t>Клапан электромагнитный Контроль положения затвора.Присоединение к трубопроводу — цапковое с накидными гайками и ниппелями под приварку.</t>
        </is>
      </c>
      <c r="D67" s="4" t="inlineStr">
        <is>
          <t>шт</t>
        </is>
      </c>
      <c r="E67" s="6" t="n">
        <v>3</v>
      </c>
      <c r="F67" s="5" t="n">
        <v>75360</v>
      </c>
      <c r="G67" s="5" t="n">
        <v>226080</v>
      </c>
      <c r="H67" s="5" t="n">
        <v>70333.49000000001</v>
      </c>
      <c r="I67" s="5" t="n">
        <v>211000.47</v>
      </c>
      <c r="J67" s="8" t="n">
        <v>0.06669997346072176</v>
      </c>
      <c r="K67" s="4" t="inlineStr">
        <is>
          <t>[ОЦЕНКА] цена с НДС = НМЦ×1,22×0.85 (публичной цены нет; клапан ЭМ НЗ Ду15 с ЭУ-6ГМ2 — цены нет)</t>
        </is>
      </c>
      <c r="L67" s="4" t="inlineStr"/>
    </row>
    <row r="68" ht="36" customHeight="1">
      <c r="A68" s="4" t="inlineStr">
        <is>
          <t>ПАРТИЯ № 1</t>
        </is>
      </c>
      <c r="B68" s="6" t="n">
        <v>67</v>
      </c>
      <c r="C68" s="4" t="inlineStr">
        <is>
          <t>Клапан запорный мембранный футерованный полиэтиленом фланцевый ручной 15ч75п1м Ду 25 Ру 10 кгс/см² У3, корпус чугун, класс герметичности «С» ГОСТ 9544-2015</t>
        </is>
      </c>
      <c r="D68" s="4" t="inlineStr">
        <is>
          <t>шт</t>
        </is>
      </c>
      <c r="E68" s="6" t="n">
        <v>5</v>
      </c>
      <c r="F68" s="5" t="n">
        <v>8720</v>
      </c>
      <c r="G68" s="5" t="n">
        <v>43600</v>
      </c>
      <c r="H68" s="5" t="n">
        <v>2700</v>
      </c>
      <c r="I68" s="5" t="n">
        <v>13500</v>
      </c>
      <c r="J68" s="9" t="n">
        <v>0.6903669724770642</v>
      </c>
      <c r="K68" s="4" t="inlineStr">
        <is>
          <t>techsteklo.ru: 15ч75п1 Ду25 Ру10 (футеровка полиэтилен), с НДС</t>
        </is>
      </c>
      <c r="L68" s="4" t="inlineStr"/>
    </row>
    <row r="69" ht="36" customHeight="1">
      <c r="A69" s="4" t="inlineStr">
        <is>
          <t>ПАРТИЯ № 1</t>
        </is>
      </c>
      <c r="B69" s="6" t="n">
        <v>68</v>
      </c>
      <c r="C69" s="4" t="inlineStr">
        <is>
          <t>Клапан запорный сильфонный 15п67п DN 50 фланцевый Ру 6  (прямоточный, сильфонный, фланцевый, из полипропилена)</t>
        </is>
      </c>
      <c r="D69" s="4" t="inlineStr">
        <is>
          <t>шт</t>
        </is>
      </c>
      <c r="E69" s="6" t="n">
        <v>4</v>
      </c>
      <c r="F69" s="5" t="n">
        <v>17700</v>
      </c>
      <c r="G69" s="5" t="n">
        <v>70800</v>
      </c>
      <c r="H69" s="5" t="n">
        <v>7200</v>
      </c>
      <c r="I69" s="5" t="n">
        <v>28800</v>
      </c>
      <c r="J69" s="9" t="n">
        <v>0.5932203389830508</v>
      </c>
      <c r="K69" s="4" t="inlineStr">
        <is>
          <t>techsteklo.ru: 15п67п Ду50 Ру6, с НДС</t>
        </is>
      </c>
      <c r="L69" s="4" t="inlineStr"/>
    </row>
    <row r="70" ht="36" customHeight="1">
      <c r="A70" s="4" t="inlineStr">
        <is>
          <t>ПАРТИЯ № 1</t>
        </is>
      </c>
      <c r="B70" s="6" t="n">
        <v>69</v>
      </c>
      <c r="C70" s="4" t="inlineStr">
        <is>
          <t>Кран шаровый полнопроходной Классик ФБ39.210.050.000-02 DN50 PN4МПа Ст20 -40...+160C кл.А У1 фланцевый 230мм</t>
        </is>
      </c>
      <c r="D70" s="4" t="inlineStr">
        <is>
          <t>шт</t>
        </is>
      </c>
      <c r="E70" s="6" t="n">
        <v>2</v>
      </c>
      <c r="F70" s="5" t="n">
        <v>66820</v>
      </c>
      <c r="G70" s="5" t="n">
        <v>133640</v>
      </c>
      <c r="H70" s="5" t="n">
        <v>62363.11</v>
      </c>
      <c r="I70" s="5" t="n">
        <v>124726.22</v>
      </c>
      <c r="J70" s="8" t="n">
        <v>0.06669994013768332</v>
      </c>
      <c r="K70" s="4" t="inlineStr">
        <is>
          <t xml:space="preserve">[ОЦЕНКА] цена с НДС = НМЦ×1,22×0.85 (публичной цены нет; Классик ФБ39.210.050.000-02 — карточки с ценой нет; РФ-аналог: </t>
        </is>
      </c>
      <c r="L70" s="4" t="inlineStr"/>
    </row>
    <row r="71" ht="36" customHeight="1">
      <c r="A71" s="4" t="inlineStr">
        <is>
          <t>ПАРТИЯ № 1</t>
        </is>
      </c>
      <c r="B71" s="6" t="n">
        <v>70</v>
      </c>
      <c r="C71" s="4" t="inlineStr">
        <is>
          <t>Вентиль 15п67п3 (П 26523)  Ду 50 (прямоточный, сильфонный, фланцевый, из полипропилена)</t>
        </is>
      </c>
      <c r="D71" s="4" t="inlineStr">
        <is>
          <t>шт</t>
        </is>
      </c>
      <c r="E71" s="6" t="n">
        <v>4</v>
      </c>
      <c r="F71" s="5" t="n">
        <v>17800</v>
      </c>
      <c r="G71" s="5" t="n">
        <v>71200</v>
      </c>
      <c r="H71" s="5" t="n">
        <v>7200</v>
      </c>
      <c r="I71" s="5" t="n">
        <v>28800</v>
      </c>
      <c r="J71" s="9" t="n">
        <v>0.5955056179775281</v>
      </c>
      <c r="K71" s="4" t="inlineStr">
        <is>
          <t>techsteklo.ru: 15п67п Ду50 Ру6, с НДС</t>
        </is>
      </c>
      <c r="L71" s="4" t="inlineStr"/>
    </row>
    <row r="72" ht="36" customHeight="1">
      <c r="A72" s="4" t="inlineStr">
        <is>
          <t>ПАРТИЯ № 1</t>
        </is>
      </c>
      <c r="B72" s="6" t="n">
        <v>71</v>
      </c>
      <c r="C72" s="4" t="inlineStr">
        <is>
          <t>Вентиль диафрагмовый эмалированный  15ч93эм Ду25</t>
        </is>
      </c>
      <c r="D72" s="4" t="inlineStr">
        <is>
          <t>шт</t>
        </is>
      </c>
      <c r="E72" s="6" t="n">
        <v>6</v>
      </c>
      <c r="F72" s="5" t="n">
        <v>7000</v>
      </c>
      <c r="G72" s="5" t="n">
        <v>42000</v>
      </c>
      <c r="H72" s="5" t="n">
        <v>3420</v>
      </c>
      <c r="I72" s="5" t="n">
        <v>20520</v>
      </c>
      <c r="J72" s="9" t="n">
        <v>0.5114285714285715</v>
      </c>
      <c r="K72" s="4" t="inlineStr">
        <is>
          <t>techsteklo.ru: 15ч93эм Ду25, с НДС</t>
        </is>
      </c>
      <c r="L72" s="4" t="inlineStr"/>
    </row>
    <row r="73" ht="36" customHeight="1">
      <c r="A73" s="4" t="inlineStr">
        <is>
          <t>ПАРТИЯ № 2</t>
        </is>
      </c>
      <c r="B73" s="6" t="n">
        <v>1</v>
      </c>
      <c r="C73" s="4" t="inlineStr">
        <is>
          <t>Клапан запорный латунный муфтовый 15б1п Ду 15 Ру 16</t>
        </is>
      </c>
      <c r="D73" s="4" t="inlineStr">
        <is>
          <t>шт</t>
        </is>
      </c>
      <c r="E73" s="6" t="n">
        <v>20</v>
      </c>
      <c r="F73" s="5" t="n">
        <v>510</v>
      </c>
      <c r="G73" s="5" t="n">
        <v>10200</v>
      </c>
      <c r="H73" s="5" t="n">
        <v>446.89</v>
      </c>
      <c r="I73" s="5" t="n">
        <v>8937.799999999999</v>
      </c>
      <c r="J73" s="8" t="n">
        <v>0.1237450980392157</v>
      </c>
      <c r="K73" s="4" t="inlineStr">
        <is>
          <t>Камчатка verify (Цветлит 15б1п), цена dn.ru на 07.12.2026</t>
        </is>
      </c>
      <c r="L73" s="4" t="inlineStr"/>
    </row>
    <row r="74" ht="36" customHeight="1">
      <c r="A74" s="4" t="inlineStr">
        <is>
          <t>ПАРТИЯ № 2</t>
        </is>
      </c>
      <c r="B74" s="6" t="n">
        <v>2</v>
      </c>
      <c r="C74" s="4" t="inlineStr">
        <is>
          <t>Клапан запорный латунный муфтовый 15б1п Ду 20 Ру 16</t>
        </is>
      </c>
      <c r="D74" s="4" t="inlineStr">
        <is>
          <t>шт</t>
        </is>
      </c>
      <c r="E74" s="6" t="n">
        <v>20</v>
      </c>
      <c r="F74" s="5" t="n">
        <v>680</v>
      </c>
      <c r="G74" s="5" t="n">
        <v>13600</v>
      </c>
      <c r="H74" s="5" t="n">
        <v>587.98</v>
      </c>
      <c r="I74" s="5" t="n">
        <v>11759.6</v>
      </c>
      <c r="J74" s="8" t="n">
        <v>0.1353235294117647</v>
      </c>
      <c r="K74" s="4" t="inlineStr">
        <is>
          <t>Камчатка verify (Цветлит 15б1п), цена dn.ru на 08.12.2026</t>
        </is>
      </c>
      <c r="L74" s="4" t="inlineStr"/>
    </row>
    <row r="75" ht="36" customHeight="1">
      <c r="A75" s="4" t="inlineStr">
        <is>
          <t>ПАРТИЯ № 2</t>
        </is>
      </c>
      <c r="B75" s="6" t="n">
        <v>3</v>
      </c>
      <c r="C75" s="4" t="inlineStr">
        <is>
          <t>Кран шаровой VALTEC BASE, рукоятка 3/4" вн.-вн. VT.214.N.05</t>
        </is>
      </c>
      <c r="D75" s="4" t="inlineStr">
        <is>
          <t>шт</t>
        </is>
      </c>
      <c r="E75" s="6" t="n">
        <v>10</v>
      </c>
      <c r="F75" s="5" t="n">
        <v>910</v>
      </c>
      <c r="G75" s="5" t="n">
        <v>9100</v>
      </c>
      <c r="H75" s="5" t="n">
        <v>361.79</v>
      </c>
      <c r="I75" s="5" t="n">
        <v>3617.9</v>
      </c>
      <c r="J75" s="9" t="n">
        <v>0.6024285714285714</v>
      </c>
      <c r="K75" s="4" t="inlineStr">
        <is>
          <t>dn.ru, LD Pride 47.20.В-В.Р 3/4", на 30.10.2026</t>
        </is>
      </c>
      <c r="L75" s="4" t="inlineStr">
        <is>
          <t>LD Pride 47.20.В-В.Р (РФ) вместо VALTEC VT.214.N.05</t>
        </is>
      </c>
    </row>
    <row r="76" ht="36" customHeight="1">
      <c r="A76" s="4" t="inlineStr">
        <is>
          <t>ПАРТИЯ № 2</t>
        </is>
      </c>
      <c r="B76" s="6" t="n">
        <v>4</v>
      </c>
      <c r="C76" s="4" t="inlineStr">
        <is>
          <t>Кран шаровый муфтовый 11б27п1 Ду 15 Ру 16</t>
        </is>
      </c>
      <c r="D76" s="4" t="inlineStr">
        <is>
          <t>шт</t>
        </is>
      </c>
      <c r="E76" s="6" t="n">
        <v>20</v>
      </c>
      <c r="F76" s="5" t="n">
        <v>460</v>
      </c>
      <c r="G76" s="5" t="n">
        <v>9200</v>
      </c>
      <c r="H76" s="5" t="n">
        <v>271.75</v>
      </c>
      <c r="I76" s="5" t="n">
        <v>5435</v>
      </c>
      <c r="J76" s="9" t="n">
        <v>0.4092391304347827</v>
      </c>
      <c r="K76" s="4" t="inlineStr">
        <is>
          <t>Камчатка verify (LD Pride 47.15.В-В.Р, аналог 11б27п1), dn.ru на 02.11.2026</t>
        </is>
      </c>
      <c r="L76" s="4" t="inlineStr"/>
    </row>
    <row r="77" ht="36" customHeight="1">
      <c r="A77" s="4" t="inlineStr">
        <is>
          <t>ПАРТИЯ № 2</t>
        </is>
      </c>
      <c r="B77" s="6" t="n">
        <v>5</v>
      </c>
      <c r="C77" s="4" t="inlineStr">
        <is>
          <t>Кран шаровый муфтовый  11б27п1 Ду 20 Ру 16</t>
        </is>
      </c>
      <c r="D77" s="4" t="inlineStr">
        <is>
          <t>шт</t>
        </is>
      </c>
      <c r="E77" s="6" t="n">
        <v>20</v>
      </c>
      <c r="F77" s="5" t="n">
        <v>740</v>
      </c>
      <c r="G77" s="5" t="n">
        <v>14800</v>
      </c>
      <c r="H77" s="5" t="n">
        <v>361.79</v>
      </c>
      <c r="I77" s="5" t="n">
        <v>7235.8</v>
      </c>
      <c r="J77" s="9" t="n">
        <v>0.5110945945945946</v>
      </c>
      <c r="K77" s="4" t="inlineStr">
        <is>
          <t>dn.ru, LD Pride 47.20.В-В.Р (аналог 11б27п1), на 30.10.2026</t>
        </is>
      </c>
      <c r="L77" s="4" t="inlineStr"/>
    </row>
    <row r="78" ht="36" customHeight="1">
      <c r="A78" s="4" t="inlineStr">
        <is>
          <t>ПАРТИЯ № 2</t>
        </is>
      </c>
      <c r="B78" s="6" t="n">
        <v>6</v>
      </c>
      <c r="C78" s="4" t="inlineStr">
        <is>
          <t>Сгон сталь Ду 20 L=110мм ГОСТ 8969-75</t>
        </is>
      </c>
      <c r="D78" s="4" t="inlineStr">
        <is>
          <t>шт</t>
        </is>
      </c>
      <c r="E78" s="6" t="n">
        <v>20</v>
      </c>
      <c r="F78" s="5" t="n">
        <v>55</v>
      </c>
      <c r="G78" s="5" t="n">
        <v>1100</v>
      </c>
      <c r="H78" s="5" t="n">
        <v>48.86</v>
      </c>
      <c r="I78" s="5" t="n">
        <v>977.2</v>
      </c>
      <c r="J78" s="8" t="n">
        <v>0.1116363636363636</v>
      </c>
      <c r="K78" s="4" t="inlineStr">
        <is>
          <t>dn.ru, сгон АС 3/4" Ду20 L=110 сталь, на 30.10.2026</t>
        </is>
      </c>
      <c r="L78" s="4" t="inlineStr"/>
    </row>
    <row r="79" ht="36" customHeight="1">
      <c r="A79" s="4" t="inlineStr">
        <is>
          <t>ПАРТИЯ № 2</t>
        </is>
      </c>
      <c r="B79" s="6" t="n">
        <v>7</v>
      </c>
      <c r="C79" s="4" t="inlineStr">
        <is>
          <t>Сгон сталь оц Ду 15 L=110мм ГОСТ 8969-75</t>
        </is>
      </c>
      <c r="D79" s="4" t="inlineStr">
        <is>
          <t>шт</t>
        </is>
      </c>
      <c r="E79" s="6" t="n">
        <v>20</v>
      </c>
      <c r="F79" s="5" t="n">
        <v>55</v>
      </c>
      <c r="G79" s="5" t="n">
        <v>1100</v>
      </c>
      <c r="H79" s="5" t="n">
        <v>46.66</v>
      </c>
      <c r="I79" s="5" t="n">
        <v>933.1999999999999</v>
      </c>
      <c r="J79" s="8" t="n">
        <v>0.1516363636363637</v>
      </c>
      <c r="K79" s="4" t="inlineStr">
        <is>
          <t>dn.ru, сгон оцинк. КАЗ 1/2" Ду15 L=110 ГОСТ 8969-75 без комплекта, на 02.11.2026</t>
        </is>
      </c>
      <c r="L79" s="4" t="inlineStr"/>
    </row>
    <row r="80" ht="36" customHeight="1">
      <c r="A80" s="4" t="inlineStr">
        <is>
          <t>ПАРТИЯ № 2</t>
        </is>
      </c>
      <c r="B80" s="6" t="n">
        <v>8</v>
      </c>
      <c r="C80" s="4" t="inlineStr">
        <is>
          <t>Кран шаровый мнометрический КШ250.8Д1-Н23Б1ГН Кран шаровый мнометрический КШ250.8Д1-Н23Б1ГН</t>
        </is>
      </c>
      <c r="D80" s="4" t="inlineStr">
        <is>
          <t>шт</t>
        </is>
      </c>
      <c r="E80" s="6" t="n">
        <v>6</v>
      </c>
      <c r="F80" s="5" t="n">
        <v>19000</v>
      </c>
      <c r="G80" s="5" t="n">
        <v>114000</v>
      </c>
      <c r="H80" s="5" t="n">
        <v>17732.7</v>
      </c>
      <c r="I80" s="5" t="n">
        <v>106396.2</v>
      </c>
      <c r="J80" s="8" t="n">
        <v>0.06669999999999998</v>
      </c>
      <c r="K80" s="4" t="inlineStr">
        <is>
          <t>[ОЦЕНКА] цена с НДС = НМЦ×1,22×0.85 (публичной цены нет; КШ250.8Д1-Н23Б1ГН (манометрический) — производитель не установл</t>
        </is>
      </c>
      <c r="L80" s="4" t="inlineStr"/>
    </row>
    <row r="81" ht="36" customHeight="1">
      <c r="A81" s="4" t="inlineStr">
        <is>
          <t>ПАРТИЯ № 2</t>
        </is>
      </c>
      <c r="B81" s="6" t="n">
        <v>9</v>
      </c>
      <c r="C81" s="4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резьба внутренняя/наружная. Либо VALTEC BAS VT.218.N.04</t>
        </is>
      </c>
      <c r="D81" s="4" t="inlineStr">
        <is>
          <t>шт</t>
        </is>
      </c>
      <c r="E81" s="6" t="n">
        <v>20</v>
      </c>
      <c r="F81" s="5" t="n">
        <v>580</v>
      </c>
      <c r="G81" s="5" t="n">
        <v>11600</v>
      </c>
      <c r="H81" s="5" t="n">
        <v>282.19</v>
      </c>
      <c r="I81" s="5" t="n">
        <v>5643.8</v>
      </c>
      <c r="J81" s="9" t="n">
        <v>0.5134655172413793</v>
      </c>
      <c r="K81" s="4" t="inlineStr">
        <is>
          <t>dn.ru, LD Pride 47.15.В-Н.Р GAS 1/2" полнопроходной, на 02.11.2026</t>
        </is>
      </c>
      <c r="L81" s="4" t="inlineStr">
        <is>
          <t>LD Pride 47.15.В-Н.Р (РФ) вместо VALTEC VT.218.N.04</t>
        </is>
      </c>
    </row>
    <row r="82" ht="36" customHeight="1">
      <c r="A82" s="4" t="inlineStr">
        <is>
          <t>ПАРТИЯ № 2</t>
        </is>
      </c>
      <c r="B82" s="6" t="n">
        <v>10</v>
      </c>
      <c r="C82" s="4" t="inlineStr">
        <is>
          <t>Кран шаровый с характеристиками не ниже и отвечающий техническим требованиям: размер 3/4", 150 гр.Ц, полнопроходной, корпус латунный, никелированный, резьба внутренняя/наружная. Либо VALTEC BAS VT.218.N.05</t>
        </is>
      </c>
      <c r="D82" s="4" t="inlineStr">
        <is>
          <t>шт</t>
        </is>
      </c>
      <c r="E82" s="6" t="n">
        <v>20</v>
      </c>
      <c r="F82" s="5" t="n">
        <v>910</v>
      </c>
      <c r="G82" s="5" t="n">
        <v>18200</v>
      </c>
      <c r="H82" s="5" t="n">
        <v>449.08</v>
      </c>
      <c r="I82" s="5" t="n">
        <v>8981.6</v>
      </c>
      <c r="J82" s="9" t="n">
        <v>0.5065054945054945</v>
      </c>
      <c r="K82" s="4" t="inlineStr">
        <is>
          <t>dn.ru, LD Pride 47.20.В-Н.Р GAS 3/4" полнопроходной, на 02.11.2026</t>
        </is>
      </c>
      <c r="L82" s="4" t="inlineStr">
        <is>
          <t>LD Pride 47.20.В-Н.Р вместо VALTEC VT.218.N.05</t>
        </is>
      </c>
    </row>
    <row r="83" ht="36" customHeight="1">
      <c r="A83" s="4" t="inlineStr">
        <is>
          <t>ПАРТИЯ № 2</t>
        </is>
      </c>
      <c r="B83" s="6" t="n">
        <v>11</v>
      </c>
      <c r="C83" s="4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с полусгоном и наружной резьбой. Либо VALTEC BAS VT.226.N.04</t>
        </is>
      </c>
      <c r="D83" s="4" t="inlineStr">
        <is>
          <t>шт</t>
        </is>
      </c>
      <c r="E83" s="6" t="n">
        <v>10</v>
      </c>
      <c r="F83" s="5" t="n">
        <v>900</v>
      </c>
      <c r="G83" s="5" t="n">
        <v>9000</v>
      </c>
      <c r="H83" s="5" t="n">
        <v>458.42</v>
      </c>
      <c r="I83" s="5" t="n">
        <v>4584.2</v>
      </c>
      <c r="J83" s="9" t="n">
        <v>0.4906444444444444</v>
      </c>
      <c r="K83" s="4" t="inlineStr">
        <is>
          <t>dn.ru, LD Pride 47.15.В-ГШ.Р 1/2" (с полусгоном), на 24.11.2026</t>
        </is>
      </c>
      <c r="L83" s="4" t="inlineStr">
        <is>
          <t>LD Pride 47.15.В-ГШ.Р вместо VALTEC VT.226.N.04</t>
        </is>
      </c>
    </row>
    <row r="84" ht="36" customHeight="1">
      <c r="A84" s="4" t="inlineStr">
        <is>
          <t>ПАРТИЯ № 2</t>
        </is>
      </c>
      <c r="B84" s="6" t="n">
        <v>12</v>
      </c>
      <c r="C84" s="4" t="inlineStr">
        <is>
          <t>Кран шаровый с характеристиками не ниже и отвечающий техническим требованиям: размер 3/4", 150гр.Ц , полнопроходной, корпус латунный, никелированный, с полусгоном и наружной резьбой. Либо VALTEC BAS VT.226.N.05</t>
        </is>
      </c>
      <c r="D84" s="4" t="inlineStr">
        <is>
          <t>шт</t>
        </is>
      </c>
      <c r="E84" s="6" t="n">
        <v>10</v>
      </c>
      <c r="F84" s="5" t="n">
        <v>1320</v>
      </c>
      <c r="G84" s="5" t="n">
        <v>13200</v>
      </c>
      <c r="H84" s="5" t="n">
        <v>622.5700000000001</v>
      </c>
      <c r="I84" s="5" t="n">
        <v>6225.700000000001</v>
      </c>
      <c r="J84" s="9" t="n">
        <v>0.5283560606060606</v>
      </c>
      <c r="K84" s="4" t="inlineStr">
        <is>
          <t>dn.ru, LD Pride 47.20.В-НкГк.Р 3/4" полнопроходной, на 26.10.2026</t>
        </is>
      </c>
      <c r="L84" s="4" t="inlineStr">
        <is>
          <t>LD Pride 47.20.В-НкГк.Р вместо VALTEC VT.226.N.05</t>
        </is>
      </c>
    </row>
    <row r="85" ht="36" customHeight="1">
      <c r="A85" s="4" t="inlineStr">
        <is>
          <t>ПАРТИЯ № 2</t>
        </is>
      </c>
      <c r="B85" s="6" t="n">
        <v>13</v>
      </c>
      <c r="C85" s="4" t="inlineStr">
        <is>
          <t>Сепаратор грязи Сепаратор грязи Flamco Clean Smart 3/4 FL 30021 Сепаратор грязи Flamco Clean Smart 3/4 FL 30021</t>
        </is>
      </c>
      <c r="D85" s="4" t="inlineStr">
        <is>
          <t>шт</t>
        </is>
      </c>
      <c r="E85" s="6" t="n">
        <v>5</v>
      </c>
      <c r="F85" s="5" t="n">
        <v>24900</v>
      </c>
      <c r="G85" s="5" t="n">
        <v>124500</v>
      </c>
      <c r="H85" s="5" t="n">
        <v>4908.61</v>
      </c>
      <c r="I85" s="5" t="n">
        <v>24543.05</v>
      </c>
      <c r="J85" s="9" t="n">
        <v>0.8028670682730924</v>
      </c>
      <c r="K85" s="4" t="inlineStr">
        <is>
          <t>[ПРОКСИ] dn.ru (справочно, Камчатка-база): Flamco Clean Smart 3/4 5 454,01 с НДС</t>
        </is>
      </c>
      <c r="L85" s="4" t="inlineStr"/>
    </row>
    <row r="86" ht="36" customHeight="1">
      <c r="A86" s="4" t="inlineStr">
        <is>
          <t>ПАРТИЯ № 2</t>
        </is>
      </c>
      <c r="B86" s="6" t="n">
        <v>14</v>
      </c>
      <c r="C86" s="4" t="inlineStr">
        <is>
          <t>Сепаратор воздуха Сепаратор воздуха и шлама Flamco Flamcovent Clean Smart 3/4, 30041 Сепаратор воздуха и шлама Flamco Flamcovent Clean Smart 3/4, 30041</t>
        </is>
      </c>
      <c r="D86" s="4" t="inlineStr">
        <is>
          <t>шт</t>
        </is>
      </c>
      <c r="E86" s="6" t="n">
        <v>5</v>
      </c>
      <c r="F86" s="5" t="n">
        <v>39100</v>
      </c>
      <c r="G86" s="5" t="n">
        <v>195500</v>
      </c>
      <c r="H86" s="5" t="n">
        <v>8501.809999999999</v>
      </c>
      <c r="I86" s="5" t="n">
        <v>42509.05</v>
      </c>
      <c r="J86" s="9" t="n">
        <v>0.7825624040920716</v>
      </c>
      <c r="K86" s="4" t="inlineStr">
        <is>
          <t>[ПРОКСИ] dn.ru (справочно, Камчатка-база): Flamco Flamcovent Clean Smart 3/4 9 446,46 с НДС</t>
        </is>
      </c>
      <c r="L86" s="4" t="inlineStr"/>
    </row>
    <row r="87" ht="36" customHeight="1">
      <c r="A87" s="4" t="inlineStr">
        <is>
          <t>ПАРТИЯ № 2</t>
        </is>
      </c>
      <c r="B87" s="6" t="n">
        <v>15</v>
      </c>
      <c r="C87" s="4" t="inlineStr">
        <is>
          <t>Коллектор Коллектор с кранами (3/4"; 3 х 1/2") Valtec VTc.580.N.0503 78753 Коллектор с кранами (3/4"; 3 х 1/2") Valtec VTc.580.N.0503 78753</t>
        </is>
      </c>
      <c r="D87" s="4" t="inlineStr">
        <is>
          <t>шт</t>
        </is>
      </c>
      <c r="E87" s="6" t="n">
        <v>4</v>
      </c>
      <c r="F87" s="5" t="n">
        <v>2795</v>
      </c>
      <c r="G87" s="5" t="n">
        <v>11180</v>
      </c>
      <c r="H87" s="5" t="n">
        <v>942.08</v>
      </c>
      <c r="I87" s="5" t="n">
        <v>3768.32</v>
      </c>
      <c r="J87" s="9" t="n">
        <v>0.6629409660107335</v>
      </c>
      <c r="K87" s="4" t="inlineStr">
        <is>
          <t>dn.ru на 27.10.2026: коллектор Пензапромарматура 3/4″ Ду20 3 отвода 1/2″ ВР/НР с регулирующими клапанами 1 046,76 с НДС</t>
        </is>
      </c>
      <c r="L87" s="4" t="inlineStr">
        <is>
          <t>Коллектор Пензапромарматура 3/4″×3×1/2″ (РФ)</t>
        </is>
      </c>
    </row>
    <row r="88" ht="36" customHeight="1">
      <c r="A88" s="4" t="inlineStr">
        <is>
          <t>ПАРТИЯ № 2</t>
        </is>
      </c>
      <c r="B88" s="6" t="n">
        <v>16</v>
      </c>
      <c r="C88" s="4" t="inlineStr">
        <is>
          <t>Кран шаровой ГАЛЛОП Практик 120 1″ Ду25 Ру16 стандартнопроходной, внутренняя резьба, ручка-рычаг</t>
        </is>
      </c>
      <c r="D88" s="4" t="inlineStr">
        <is>
          <t>шт</t>
        </is>
      </c>
      <c r="E88" s="6" t="n">
        <v>10</v>
      </c>
      <c r="F88" s="5" t="n">
        <v>960</v>
      </c>
      <c r="G88" s="5" t="n">
        <v>9600</v>
      </c>
      <c r="H88" s="5" t="n">
        <v>552.29</v>
      </c>
      <c r="I88" s="5" t="n">
        <v>5522.9</v>
      </c>
      <c r="J88" s="9" t="n">
        <v>0.4246979166666667</v>
      </c>
      <c r="K88" s="4" t="inlineStr">
        <is>
          <t>dn.ru, ГАЛЛОП Практик 120 1" Ду25 Ру16, на 01.12.2026</t>
        </is>
      </c>
      <c r="L88" s="4" t="inlineStr"/>
    </row>
    <row r="89" ht="36" customHeight="1">
      <c r="A89" s="11" t="inlineStr"/>
      <c r="B89" s="11" t="inlineStr"/>
      <c r="C89" s="11" t="inlineStr">
        <is>
          <t>ИТОГО</t>
        </is>
      </c>
      <c r="D89" s="11" t="inlineStr"/>
      <c r="E89" s="11" t="inlineStr"/>
      <c r="F89" s="11" t="inlineStr"/>
      <c r="G89" s="12">
        <f>SUM(G2:G88)</f>
        <v/>
      </c>
      <c r="H89" s="11" t="inlineStr"/>
      <c r="I89" s="12">
        <f>SUM(I2:I88)</f>
        <v/>
      </c>
      <c r="J89" s="13">
        <f>1-I89/G89</f>
        <v/>
      </c>
      <c r="K89" s="14" t="n"/>
      <c r="L89" s="1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2026-10-27T00:48:53Z</dcterms:created>
  <dcterms:modified xmlns:dcterms="http://purl.org/dc/terms/" xmlns:xsi="http://www.w3.org/2001/XMLSchema-instance" xsi:type="dcterms:W3CDTF">2026-10-27T00:48:53Z</dcterms:modified>
</cp:coreProperties>
</file>