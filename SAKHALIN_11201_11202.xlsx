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ОПЫТ ЕСТЬ (подтверждено 28.10): приложить договоры + УПД с обеих сторон, справка по форме 7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859.75</v>
      </c>
      <c r="I6" s="5" t="n">
        <v>34390</v>
      </c>
      <c r="J6" s="9" t="n">
        <v>0.2775210084033614</v>
      </c>
      <c r="K6" s="4" t="inlineStr">
        <is>
          <t>КП ВФЗ: Счёт № УТ-10448 от 28.10.2026 — Фланец плоский 100-6-01-1-B-Ст.20-IV ГОСТ 33259-2015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>
        <v>1938.16</v>
      </c>
      <c r="I8" s="5" t="n">
        <v>19381.6</v>
      </c>
      <c r="J8" s="8" t="n">
        <v>0.06669812729032532</v>
      </c>
      <c r="K8" s="4" t="inlineStr">
        <is>
          <t>[ОЦЕНКА] цена с НДС = НМЦ×1,22×0.85 (публичной цены нет; ПК65 Цветлит ZW80003 (Беларусь, ЕАЭС) — цена только у дилеров п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1937.43</v>
      </c>
      <c r="I11" s="5" t="n">
        <v>19374.3</v>
      </c>
      <c r="J11" s="9" t="n">
        <v>0.4093201219512195</v>
      </c>
      <c r="K11" s="4" t="inlineStr">
        <is>
          <t>КП ВФЗ: Счёт № УТ-10448 от 28.10.2026 — Фланец плоский 200-16-01-1-B-Ст.20-IV ГОСТ 33259-2015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>
        <v>5245.15</v>
      </c>
      <c r="I12" s="5" t="n">
        <v>367160.5</v>
      </c>
      <c r="J12" s="8" t="n">
        <v>0.06669928825622784</v>
      </c>
      <c r="K12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>
        <v>594.21</v>
      </c>
      <c r="I13" s="5" t="n">
        <v>83189.40000000001</v>
      </c>
      <c r="J13" s="8" t="n">
        <v>0.06669075031020766</v>
      </c>
      <c r="K13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>
        <v>15015.7</v>
      </c>
      <c r="I14" s="5" t="n">
        <v>60062.8</v>
      </c>
      <c r="J14" s="10" t="n">
        <v>-0.2590018840128887</v>
      </c>
      <c r="K14" s="4" t="inlineStr">
        <is>
          <t>[ПРОКСИ] dn.ru на 27.10.2026: PA-DA-052 (F03/F05, кв.11) 6 791,13 + пневмораспределитель 4M310-08 DC24V 3 753,33 + БКВ A</t>
        </is>
      </c>
      <c r="L14" s="4" t="inlineStr">
        <is>
          <t>DN.ru PA-DA-052 + 4M310-08 DC24V + ALS200D (КНР)</t>
        </is>
      </c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>
        <v>19368.72</v>
      </c>
      <c r="I15" s="5" t="n">
        <v>77474.88</v>
      </c>
      <c r="J15" s="10" t="n">
        <v>-0.2405246030155004</v>
      </c>
      <c r="K15" s="4" t="inlineStr">
        <is>
          <t>[ПРОКСИ] dn.ru на 27.10.2026: PA-DA-083 (F05/F07, кв.17, нужна втулка на кв.14) 11 627,82 + 4M310-08 DC24V 3 753,33 + AL</t>
        </is>
      </c>
      <c r="L15" s="4" t="inlineStr">
        <is>
          <t>DN.ru PA-DA-083 + 4M310-08 DC24V + ALS200D (КНР)</t>
        </is>
      </c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0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0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>
        <v>4603.96</v>
      </c>
      <c r="I22" s="5" t="n">
        <v>23019.8</v>
      </c>
      <c r="J22" s="8" t="n">
        <v>0.1296862003780719</v>
      </c>
      <c r="K22" s="4" t="inlineStr">
        <is>
          <t>[ПРОКСИ] pimtasplast.ru на 27.10.2026: кран ПВХ Pimtas PN16 EPDM&amp;PTFE d63 (DN50) 5 115,51 (клеевой; резьбовой ВР — уточн</t>
        </is>
      </c>
      <c r="L22" s="4" t="inlineStr">
        <is>
          <t>Pimtas PVC-U PN16 EPDM</t>
        </is>
      </c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>
        <v>1548.71</v>
      </c>
      <c r="I23" s="5" t="n">
        <v>7743.55</v>
      </c>
      <c r="J23" s="8" t="n">
        <v>0.13640545800271</v>
      </c>
      <c r="K23" s="4" t="inlineStr">
        <is>
          <t>[ПРОКСИ] pimtasplast.ru на 27.10.2026: кран ПВХ Pimtas PN16 EPDM&amp;PTFE d20 (DN15) 1 720,79</t>
        </is>
      </c>
      <c r="L23" s="4" t="inlineStr">
        <is>
          <t>Pimtas PVC-U PN16 EPDM</t>
        </is>
      </c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251.16</v>
      </c>
      <c r="I25" s="5" t="n">
        <v>2511.6</v>
      </c>
      <c r="J25" s="9" t="n">
        <v>0.350453875397626</v>
      </c>
      <c r="K25" s="4" t="inlineStr">
        <is>
          <t>КП ВФЗ: Счёт № УТ-10448 от 28.10.2026 — Фланец плоский 32-16-01-1-B-Ст.20-IV ГОСТ 33259-2015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402.99</v>
      </c>
      <c r="I26" s="5" t="n">
        <v>4029.9</v>
      </c>
      <c r="J26" s="9" t="n">
        <v>0.4833461538461539</v>
      </c>
      <c r="K26" s="4" t="inlineStr">
        <is>
          <t>КП ВФЗ: Счёт № УТ-10448 от 28.10.2026 — Фланец плоский 50-10-01-1-B-Ст.20-IV ГОСТ 33259-2015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499.04</v>
      </c>
      <c r="I27" s="5" t="n">
        <v>14971.2</v>
      </c>
      <c r="J27" s="9" t="n">
        <v>0.4691063829787234</v>
      </c>
      <c r="K27" s="4" t="inlineStr">
        <is>
          <t>КП ВФЗ: Счёт № УТ-10448 от 28.10.2026 — Фланец плоский 80-10-01-1-B-Ст.20-IV ГОСТ 33259-2015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645.8099999999999</v>
      </c>
      <c r="I28" s="5" t="n">
        <v>21957.54</v>
      </c>
      <c r="J28" s="9" t="n">
        <v>0.5082652494041864</v>
      </c>
      <c r="K28" s="4" t="inlineStr">
        <is>
          <t>КП ВФЗ: Счёт № УТ-10448 от 28.10.2026 — Фланец плоский 100-10-01-1-B-Ст.20-IV ГОСТ 33259-2015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1174.2</v>
      </c>
      <c r="I29" s="5" t="n">
        <v>11742</v>
      </c>
      <c r="J29" s="9" t="n">
        <v>0.4009183673469388</v>
      </c>
      <c r="K29" s="4" t="inlineStr">
        <is>
          <t>КП ВФЗ: Счёт № УТ-10448 от 28.10.2026 — Фланец плоский 150-10-01-1-B-Ст.20-IV ГОСТ 33259-2015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>
        <v>2320.81</v>
      </c>
      <c r="I30" s="5" t="n">
        <v>23208.1</v>
      </c>
      <c r="J30" s="8" t="n">
        <v>0.06669964249377691</v>
      </c>
      <c r="K30" s="4" t="inlineStr">
        <is>
          <t>[ОЦЕНКА] цена с НДС = НМЦ×1,22×0.85 (публичной цены нет; шар 3010.СB02 Ду100 — запчасть Benarmo, отдельно не продаётся в</t>
        </is>
      </c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>
        <v>1082.63</v>
      </c>
      <c r="I31" s="5" t="n">
        <v>10826.3</v>
      </c>
      <c r="J31" s="8" t="n">
        <v>0.06669827586206889</v>
      </c>
      <c r="K31" s="4" t="inlineStr">
        <is>
          <t xml:space="preserve">[ОЦЕНКА] цена с НДС = НМЦ×1,22×0.85 (публичной цены нет; шар 3010.СB02 Ду80 — запчасть Benarmo, отдельно не продаётся в </t>
        </is>
      </c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>
        <v>855.53</v>
      </c>
      <c r="I32" s="5" t="n">
        <v>5133.18</v>
      </c>
      <c r="J32" s="8" t="n">
        <v>0.06669793928022083</v>
      </c>
      <c r="K32" s="4" t="inlineStr">
        <is>
          <t xml:space="preserve">[ОЦЕНКА] цена с НДС = НМЦ×1,22×0.85 (публичной цены нет; шар 3010.СB02 Ду65 — запчасть Benarmo, отдельно не продаётся в </t>
        </is>
      </c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>
        <v>615.98</v>
      </c>
      <c r="I33" s="5" t="n">
        <v>3695.88</v>
      </c>
      <c r="J33" s="8" t="n">
        <v>0.0666969696969697</v>
      </c>
      <c r="K33" s="4" t="inlineStr">
        <is>
          <t xml:space="preserve">[ОЦЕНКА] цена с НДС = НМЦ×1,22×0.85 (публичной цены нет; шар 3010.СB02 Ду50 — запчасть Benarmo, отдельно не продаётся в 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>
        <v>142340.69</v>
      </c>
      <c r="I34" s="5" t="n">
        <v>427022.07</v>
      </c>
      <c r="J34" s="8" t="n">
        <v>0.0667000058289986</v>
      </c>
      <c r="K34" s="4" t="inlineStr">
        <is>
          <t>[ОЦЕНКА] цена с НДС = НМЦ×1,22×0.85 (публичной цены нет; КО 200.16.3311 исп.F (пульпа) — обозначение не найдено в открыт</t>
        </is>
      </c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4209</v>
      </c>
      <c r="I35" s="5" t="n">
        <v>21045</v>
      </c>
      <c r="J35" s="9" t="n">
        <v>0.3755192878338279</v>
      </c>
      <c r="K35" s="4" t="inlineStr">
        <is>
          <t>КП Лидер-Энерго: КП № 2035 от 28.10.2026 — Затвор поворотный дисковый ЗПД-80-УХЛ1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4209</v>
      </c>
      <c r="I36" s="5" t="n">
        <v>12627</v>
      </c>
      <c r="J36" s="9" t="n">
        <v>0.3755192878338279</v>
      </c>
      <c r="K36" s="4" t="inlineStr">
        <is>
          <t>КП Лидер-Энерго: КП № 2035 от 28.10.2026 — Затвор поворотный дисковый ЗПД-80-УХЛ1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0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>
        <v>83496.8</v>
      </c>
      <c r="I38" s="5" t="n">
        <v>417484</v>
      </c>
      <c r="J38" s="8" t="n">
        <v>0.1259929911372293</v>
      </c>
      <c r="K38" s="4" t="inlineStr">
        <is>
          <t>КП АРМАТЭК: КП № 3484 от 28.10.2026 — Затвор АРМАТЭК DN065 с ПП ДД АМ6.710.1433-УК, ЭПР 5/2 24VDC, БКВ А250 (вода до +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>
        <v>127050.8</v>
      </c>
      <c r="I39" s="5" t="n">
        <v>635254</v>
      </c>
      <c r="J39" s="10" t="n">
        <v>-0.3964695537480765</v>
      </c>
      <c r="K39" s="4" t="inlineStr">
        <is>
          <t xml:space="preserve">КП АРМАТЭК: КП № 3484 от 28.10.2026 — Затвор АРМАТЭК DN065 с пневмоприводом ДД АН6.610.1433-УК, ЭПР 5/2, БКВ А250, РД 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>
        <v>86607.8</v>
      </c>
      <c r="I40" s="5" t="n">
        <v>1299117</v>
      </c>
      <c r="J40" s="8" t="n">
        <v>0.1300361323925578</v>
      </c>
      <c r="K40" s="4" t="inlineStr">
        <is>
          <t xml:space="preserve">КП АРМАТЭК: КП № 3484 от 28.10.2026 — Затвор АРМАТЭК DN080 с ПП ДД АМ6.711.1433-УК, ЭПР 5/2, БКВ А250 (воздух с золой 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0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>
        <v>3510.95</v>
      </c>
      <c r="I45" s="5" t="n">
        <v>35109.5</v>
      </c>
      <c r="J45" s="10" t="n">
        <v>-2.026681034482758</v>
      </c>
      <c r="K45" s="4" t="inlineStr">
        <is>
          <t>[ПРОКСИ] pimtasplast.ru на 27.10.2026: кран ПВХ Pimtas промышл.  клеевой  PN16  FKM&amp;PTFE d25 — 3 901.05</t>
        </is>
      </c>
      <c r="L45" s="4" t="inlineStr">
        <is>
          <t>Pimtas PVC-U PN16 FKM/PTFE</t>
        </is>
      </c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>
        <v>4180.7</v>
      </c>
      <c r="I46" s="5" t="n">
        <v>41807</v>
      </c>
      <c r="J46" s="10" t="n">
        <v>-1.402701149425287</v>
      </c>
      <c r="K46" s="4" t="inlineStr">
        <is>
          <t>[ПРОКСИ] pimtasplast.ru на 27.10.2026: кран ПВХ Pimtas промышл.  клеевой  PN16  FKM&amp;PTFE d32 — 4 645.22</t>
        </is>
      </c>
      <c r="L46" s="4" t="inlineStr">
        <is>
          <t>Pimtas PVC-U PN16 FKM/PTFE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>
        <v>5418.05</v>
      </c>
      <c r="I47" s="5" t="n">
        <v>54180.5</v>
      </c>
      <c r="J47" s="10" t="n">
        <v>-1.315405982905983</v>
      </c>
      <c r="K47" s="4" t="inlineStr">
        <is>
          <t>[ПРОКСИ] pimtasplast.ru на 27.10.2026: кран ПВХ Pimtas промышл.  клеевой  PN16  FKM&amp;PTFE d40 — 6 020.05</t>
        </is>
      </c>
      <c r="L47" s="4" t="inlineStr">
        <is>
          <t>Pimtas PVC-U PN16 FKM/PTFE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>
        <v>6756.74</v>
      </c>
      <c r="I48" s="5" t="n">
        <v>67567.39999999999</v>
      </c>
      <c r="J48" s="10" t="n">
        <v>-1.724491935483871</v>
      </c>
      <c r="K48" s="4" t="inlineStr">
        <is>
          <t>[ПРОКСИ] pimtasplast.ru на 27.10.2026: кран ПВХ Pimtas промышл.  клеевой  PN16  FKM&amp;PTFE d50 — 7 507.49</t>
        </is>
      </c>
      <c r="L48" s="4" t="inlineStr">
        <is>
          <t>Pimtas PVC-U PN16 FKM/PTFE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>
        <v>28306.99</v>
      </c>
      <c r="I49" s="5" t="n">
        <v>56613.98</v>
      </c>
      <c r="J49" s="8" t="n">
        <v>0.06669996702934378</v>
      </c>
      <c r="K49" s="4" t="inlineStr">
        <is>
          <t>[ОЦЕНКА] цена с НДС = НМЦ×1,22×0.85 (публичной цены нет; CFB-A27T-R1 — производитель не установлен (вероятно импорт); РФ</t>
        </is>
      </c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0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>
        <v>25413.76</v>
      </c>
      <c r="I54" s="5" t="n">
        <v>101655.04</v>
      </c>
      <c r="J54" s="8" t="n">
        <v>0.06669996327579886</v>
      </c>
      <c r="K54" s="4" t="inlineStr">
        <is>
          <t>[ОЦЕНКА] цена с НДС = НМЦ×1,22×0.85 (публичной цены нет; диск тормозной ЯЛБИ.741224.046 к МЭОФ-1600 — запчасть ЗЭиМ, тол</t>
        </is>
      </c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>
        <v>3416</v>
      </c>
      <c r="I55" s="5" t="n">
        <v>34160</v>
      </c>
      <c r="J55" s="8" t="n">
        <v>0.1218508997429306</v>
      </c>
      <c r="K55" s="4" t="inlineStr">
        <is>
          <t>КП АРМАТЭК: КП № 3484 от 28.10.2026 — Комплект ЗИП АМ DN065 41100УУ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>
        <v>3647.8</v>
      </c>
      <c r="I56" s="5" t="n">
        <v>36478</v>
      </c>
      <c r="J56" s="8" t="n">
        <v>0.1231249999999999</v>
      </c>
      <c r="K56" s="4" t="inlineStr">
        <is>
          <t>КП АРМАТЭК: КП № 3484 от 28.10.2026 — Комплект ЗИП АН DN065 31100УУ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>
        <v>3916.2</v>
      </c>
      <c r="I57" s="5" t="n">
        <v>39162</v>
      </c>
      <c r="J57" s="8" t="n">
        <v>0.1238926174496645</v>
      </c>
      <c r="K57" s="4" t="inlineStr">
        <is>
          <t>КП АРМАТЭК: КП № 3484 от 28.10.2026 — Комплект ЗИП АМ DN080 41110УУ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0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>
        <v>131529.97</v>
      </c>
      <c r="I64" s="5" t="n">
        <v>526119.88</v>
      </c>
      <c r="J64" s="8" t="n">
        <v>0.06669999290427875</v>
      </c>
      <c r="K64" s="4" t="inlineStr">
        <is>
          <t>[ОЦЕНКА] цена с НДС = НМЦ×1,22×0.85 (публичной цены нет; КО 200.16.3312 — обозначение не найдено в открытых каталогах; К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>
        <v>594107.91</v>
      </c>
      <c r="I65" s="5" t="n">
        <v>594107.91</v>
      </c>
      <c r="J65" s="9" t="n">
        <v>0.4135800554727522</v>
      </c>
      <c r="K65" s="4" t="inlineStr">
        <is>
          <t xml:space="preserve">[ПРОКСИ] задвижка 30с946нж Ду500 Ру6 «от 294 397» (vkomplekt.spb.ru, +10% к «от») + ПЭМ-В-1000 с КИМ2 ≈ ГЗ-В.900/24 280 </t>
        </is>
      </c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>
        <v>8978.35</v>
      </c>
      <c r="I66" s="5" t="n">
        <v>215480.4</v>
      </c>
      <c r="J66" s="8" t="n">
        <v>0.06669958419958422</v>
      </c>
      <c r="K66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>
        <v>54346.06</v>
      </c>
      <c r="I67" s="5" t="n">
        <v>217384.24</v>
      </c>
      <c r="J67" s="8" t="n">
        <v>0.06669998282672163</v>
      </c>
      <c r="K67" s="4" t="inlineStr">
        <is>
          <t xml:space="preserve">[ОЦЕНКА] цена с НДС = НМЦ×1,22×0.85 (публичной цены нет; 1с-13-3ЭД под AUMA SA10.2 (энергетический вентиль, ЧЗЭМ) — цен 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>
        <v>314729.5</v>
      </c>
      <c r="I68" s="5" t="n">
        <v>314729.5</v>
      </c>
      <c r="J68" s="9" t="n">
        <v>0.4345905791894222</v>
      </c>
      <c r="K68" s="4" t="inlineStr">
        <is>
          <t>КП ПЭК: КП № П-8596 от 28.10.2026 — МЭОФ-1600/25-0,25-ЕА-20К У2, 380В, IP65 (встроенный блок управления 4-20мА, пози</t>
        </is>
      </c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0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0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975</v>
      </c>
      <c r="I74" s="5" t="n">
        <v>3900</v>
      </c>
      <c r="J74" s="9" t="n">
        <v>0.3426951521239373</v>
      </c>
      <c r="K74" s="4" t="inlineStr">
        <is>
          <t>КП ВФЗ: Счёт № УТ-10448 от 28.10.2026 — Фланец плоский 150-6-01-1-B-Ст.20-IV ГОСТ 33259-2015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859.75</v>
      </c>
      <c r="I75" s="5" t="n">
        <v>5158.5</v>
      </c>
      <c r="J75" s="9" t="n">
        <v>0.2775210084033614</v>
      </c>
      <c r="K75" s="4" t="inlineStr">
        <is>
          <t>КП ВФЗ: Счёт № УТ-10448 от 28.10.2026 — Фланец плоский 100-6-01-1-B-Ст.20-IV ГОСТ 33259-2015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402.99</v>
      </c>
      <c r="I76" s="5" t="n">
        <v>4835.88</v>
      </c>
      <c r="J76" s="9" t="n">
        <v>0.5113318054494524</v>
      </c>
      <c r="K76" s="4" t="inlineStr">
        <is>
          <t>КП ВФЗ: Счёт № УТ-10448 от 28.10.2026 — Фланец плоский 50-10-01-1-B-Ст.20-IV ГОСТ 33259-2015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0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0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0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1" t="inlineStr"/>
      <c r="B85" s="11" t="inlineStr"/>
      <c r="C85" s="11" t="inlineStr">
        <is>
          <t>ИТОГО</t>
        </is>
      </c>
      <c r="D85" s="11" t="inlineStr"/>
      <c r="E85" s="11" t="inlineStr"/>
      <c r="F85" s="11" t="inlineStr"/>
      <c r="G85" s="12">
        <f>SUM(G2:G84)</f>
        <v/>
      </c>
      <c r="H85" s="11" t="inlineStr"/>
      <c r="I85" s="12">
        <f>SUM(I2:I84)</f>
        <v/>
      </c>
      <c r="J85" s="13">
        <f>1-I85/G85</f>
        <v/>
      </c>
      <c r="K85" s="14" t="n"/>
      <c r="L85" s="1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0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0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4287.88</v>
      </c>
      <c r="I14" s="5" t="n">
        <v>171515.2</v>
      </c>
      <c r="J14" s="9" t="n">
        <v>0.378568115942029</v>
      </c>
      <c r="K14" s="4" t="inlineStr">
        <is>
          <t>Счёт ЛМЗ № 3028 от 28.10.2026: 30ч6бр DN50 2854 ₽ без НДС (+22%) + КОФ 2 фланца ВФЗ по 403 ₽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9516.02</v>
      </c>
      <c r="I15" s="5" t="n">
        <v>266448.56</v>
      </c>
      <c r="J15" s="9" t="n">
        <v>0.3437227586206896</v>
      </c>
      <c r="K15" s="4" t="inlineStr">
        <is>
          <t>Счёт ЛМЗ № 3028 от 28.10.2026: 30ч6бр DN100 6741 ₽ без НДС (+22%) + КОФ 2 фланца ВФЗ по 646 ₽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21610.58</v>
      </c>
      <c r="I16" s="5" t="n">
        <v>280937.54</v>
      </c>
      <c r="J16" s="9" t="n">
        <v>0.2937718954248365</v>
      </c>
      <c r="K16" s="4" t="inlineStr">
        <is>
          <t>Счёт ЛМЗ № 3028 от 28.10.2026: 30ч6бр DN150 15789 ₽ без НДС (+22%) + КОФ 2 фланца ВФЗ по 1174 ₽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42212.5</v>
      </c>
      <c r="I17" s="5" t="n">
        <v>675400</v>
      </c>
      <c r="J17" s="9" t="n">
        <v>0.2658695652173914</v>
      </c>
      <c r="K17" s="4" t="inlineStr">
        <is>
          <t>Счёт ЛМЗ № 3028 от 28.10.2026: 30ч6бр DN200 31425 ₽ без НДС (+22%) + КОФ 2 фланца ВФЗ по 1937 ₽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60215.66</v>
      </c>
      <c r="I18" s="5" t="n">
        <v>180646.98</v>
      </c>
      <c r="J18" s="8" t="n">
        <v>0.213689475058762</v>
      </c>
      <c r="K18" s="4" t="inlineStr">
        <is>
          <t>Счёт ЛМЗ № 3028 от 28.10.2026: 30ч6бр DN250 44603 ₽ без НДС (+22%) + КОФ 2 фланца ВФЗ по 2900 ₽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>
        <v>14603.4</v>
      </c>
      <c r="I20" s="5" t="n">
        <v>146034</v>
      </c>
      <c r="J20" s="8" t="n">
        <v>0.1578200692041523</v>
      </c>
      <c r="K20" s="4" t="inlineStr">
        <is>
          <t>КП АРМАТЭК: КП № 3484 от 28.10.2026 — Комплект ЗИП АМ DN150 41140ZZ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>
        <v>27474.4</v>
      </c>
      <c r="I21" s="5" t="n">
        <v>219795.2</v>
      </c>
      <c r="J21" s="8" t="n">
        <v>0.1546338461538461</v>
      </c>
      <c r="K21" s="4" t="inlineStr">
        <is>
          <t>КП АРМАТЭК: КП № 3484 от 28.10.2026 — Комплект ЗИП АМ DN250 41160ZZ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>
        <v>8235</v>
      </c>
      <c r="I22" s="5" t="n">
        <v>82350</v>
      </c>
      <c r="J22" s="8" t="n">
        <v>0.1527777777777778</v>
      </c>
      <c r="K22" s="4" t="inlineStr">
        <is>
          <t>КП АРМАТЭК: КП № 3484 от 28.10.2026 — Комплект ЗИП АМ DN100 41120ZZ</t>
        </is>
      </c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>
        <v>10223.6</v>
      </c>
      <c r="I23" s="5" t="n">
        <v>102236</v>
      </c>
      <c r="J23" s="8" t="n">
        <v>0.1480333333333334</v>
      </c>
      <c r="K23" s="4" t="inlineStr">
        <is>
          <t>КП АРМАТЭК: КП № 3484 от 28.10.2026 — Комплект ЗИП АМ DN125 41130ZZ</t>
        </is>
      </c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>
        <v>4733.6</v>
      </c>
      <c r="I24" s="5" t="n">
        <v>9467.200000000001</v>
      </c>
      <c r="J24" s="8" t="n">
        <v>0.1455595667870035</v>
      </c>
      <c r="K24" s="4" t="inlineStr">
        <is>
          <t>КП АРМАТЭК: КП № 3484 от 28.10.2026 — Комплект ЗИП АМ DN50 41090ZZ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>
        <v>43585.11</v>
      </c>
      <c r="I25" s="5" t="n">
        <v>87170.22</v>
      </c>
      <c r="J25" s="8" t="n">
        <v>0.06669999999999998</v>
      </c>
      <c r="K25" s="4" t="inlineStr">
        <is>
          <t>[ОЦЕНКА] цена с НДС = НМЦ×1,22×0.85 (публичной цены нет; ЗИП к клапану КМР-Э (ЛГ Автоматика) — по запросу)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>
        <v>1045.3</v>
      </c>
      <c r="I33" s="5" t="n">
        <v>12543.6</v>
      </c>
      <c r="J33" s="8" t="n">
        <v>0.06669642857142866</v>
      </c>
      <c r="K33" s="4" t="inlineStr">
        <is>
          <t>[ОЦЕНКА] цена с НДС = НМЦ×1,22×0.85 (публичной цены нет; прокладка СНП Д-3-73-6,3-4,5 (Силур/Унихимтек и др.) — карточки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172099.3</v>
      </c>
      <c r="I34" s="5" t="n">
        <v>172099.3</v>
      </c>
      <c r="J34" s="8" t="n">
        <v>0.08916468334689376</v>
      </c>
      <c r="K34" s="4" t="inlineStr">
        <is>
          <t>КП ПЭК: КП № П-8596 от 28.10.2026 — МЭОФ-1600/25-0,25У-96К У2, 380В, IP65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>
        <v>35245.8</v>
      </c>
      <c r="I35" s="5" t="n">
        <v>70491.60000000001</v>
      </c>
      <c r="J35" s="8" t="n">
        <v>0.141602532878714</v>
      </c>
      <c r="K35" s="4" t="inlineStr">
        <is>
          <t>КП АРМАТЭК: КП № 3484 от 28.10.2026 — Комплект ЗИП АМ DN300 41170ZZ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>
        <v>61317.2</v>
      </c>
      <c r="I36" s="5" t="n">
        <v>122634.4</v>
      </c>
      <c r="J36" s="8" t="n">
        <v>0.1416965285554311</v>
      </c>
      <c r="K36" s="4" t="inlineStr">
        <is>
          <t>КП АРМАТЭК: КП № 3484 от 28.10.2026 — Комплект ЗИП АМ DN400 41190ZZ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7789.24</v>
      </c>
      <c r="I37" s="5" t="n">
        <v>23367.72</v>
      </c>
      <c r="J37" s="8" t="n">
        <v>0.1514989106753812</v>
      </c>
      <c r="K37" s="4" t="inlineStr">
        <is>
          <t>КП АДЛ УТД000114530 от 30.10.2026: ГРАНВЭЛ ЗПВС FL(w)-3-100-MN-Е Ду100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11747.14</v>
      </c>
      <c r="I38" s="5" t="n">
        <v>58735.7</v>
      </c>
      <c r="J38" s="8" t="n">
        <v>0.151831046931408</v>
      </c>
      <c r="K38" s="4" t="inlineStr">
        <is>
          <t>КП АДЛ УТД000114530 от 30.10.2026: ГРАНВЭЛ ЗПВС FL(w)-3-150-MN-Е Ду150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0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37289.39</v>
      </c>
      <c r="I42" s="5" t="n">
        <v>111868.17</v>
      </c>
      <c r="J42" s="8" t="n">
        <v>0.06378634195330157</v>
      </c>
      <c r="K42" s="4" t="inlineStr">
        <is>
          <t>КП АДЛ УТД000114530 от 30.10.2026: ГРАНЛОК клапан обратный шаровой RD12.02.150.16.Ф/Ф DN150, Tмакс 70°С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19260.24</v>
      </c>
      <c r="I43" s="5" t="n">
        <v>57780.72</v>
      </c>
      <c r="J43" s="10" t="n">
        <v>-0.0179830866807611</v>
      </c>
      <c r="K43" s="4" t="inlineStr">
        <is>
          <t>КП АДЛ УТД000114530 от 30.10.2026: ГРАНЛОК клапан обратный шаровой RD12.02.100.16.Ф/Ф DN100, Tмакс 70°С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0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0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0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0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0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0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1075</v>
      </c>
      <c r="I52" s="5" t="n">
        <v>43000</v>
      </c>
      <c r="J52" s="9" t="n">
        <v>0.5784313725490196</v>
      </c>
      <c r="K52" s="4" t="inlineStr">
        <is>
          <t>КП Доминик: письмо 28.10.2026 (Наумов А.) — Трубка кварцевая 18х2-1500 мм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110000</v>
      </c>
      <c r="I53" s="5" t="n">
        <v>440000</v>
      </c>
      <c r="J53" s="9" t="n">
        <v>0.367816091954023</v>
      </c>
      <c r="K53" s="4" t="inlineStr">
        <is>
          <t>КП Доминик: письмо 28.10.2026 (Наумов А.) — Указатель уровня Т-229Б прямого действия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>
        <v>1131417.62</v>
      </c>
      <c r="I54" s="5" t="n">
        <v>2262835.24</v>
      </c>
      <c r="J54" s="9" t="n">
        <v>0.4700620046838407</v>
      </c>
      <c r="K54" s="4" t="inlineStr">
        <is>
          <t>[ПРОКСИ] dn.ru на 27.10.2026: задвижка 30лс964нж Авангард Ду500 Ру25 (фланц., голый шток, Россия, 982 кг) 761 200,09 + Э</t>
        </is>
      </c>
      <c r="L54" s="4" t="inlineStr">
        <is>
          <t>30лс964нж Авангард (РФ) + Тулаэлектропривод ЭП4</t>
        </is>
      </c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>
        <v>12709.96</v>
      </c>
      <c r="I59" s="5" t="n">
        <v>25419.92</v>
      </c>
      <c r="J59" s="8" t="n">
        <v>0.1526693333333334</v>
      </c>
      <c r="K59" s="4" t="inlineStr">
        <is>
          <t>КП Ярдос: ЗАРД 032.016.21-01Р DN32 PN16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>
        <v>6612.4</v>
      </c>
      <c r="I60" s="5" t="n">
        <v>13224.8</v>
      </c>
      <c r="J60" s="8" t="n">
        <v>0.1587277353689568</v>
      </c>
      <c r="K60" s="4" t="inlineStr">
        <is>
          <t>КП Ярдос: ЗАРДП 010.080.30-01Р DN10 PN80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>
        <v>180575.86</v>
      </c>
      <c r="I61" s="5" t="n">
        <v>361151.72</v>
      </c>
      <c r="J61" s="8" t="n">
        <v>0.1586251980244153</v>
      </c>
      <c r="K61" s="4" t="inlineStr">
        <is>
          <t>КП Ярдос: ЗАРДП 065.063.22-01Р DN65 PN63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>
        <v>19116.18</v>
      </c>
      <c r="I62" s="5" t="n">
        <v>38232.36</v>
      </c>
      <c r="J62" s="8" t="n">
        <v>0.158618838028169</v>
      </c>
      <c r="K62" s="4" t="inlineStr">
        <is>
          <t>КП Ярдос: ЗАРД 040.016.21-01Р DN40 PN16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>
        <v>8824.26</v>
      </c>
      <c r="I63" s="5" t="n">
        <v>17648.52</v>
      </c>
      <c r="J63" s="8" t="n">
        <v>0.1977945454545454</v>
      </c>
      <c r="K63" s="4" t="inlineStr">
        <is>
          <t>КП Ярдос: ЗАРД 020.016.21-01Р DN20 PN16</t>
        </is>
      </c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>
        <v>24979.5</v>
      </c>
      <c r="I64" s="5" t="n">
        <v>49959</v>
      </c>
      <c r="J64" s="8" t="n">
        <v>0.1386379310344827</v>
      </c>
      <c r="K64" s="4" t="inlineStr">
        <is>
          <t>КП Ярдос: ЗАРДП 025.160.23-02Р DN25 PN160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>
        <v>93580.10000000001</v>
      </c>
      <c r="I65" s="5" t="n">
        <v>187160.2</v>
      </c>
      <c r="J65" s="10" t="n">
        <v>0.02520729166666658</v>
      </c>
      <c r="K65" s="4" t="inlineStr">
        <is>
          <t>КП ПЭК: КП № П-8596 от 28.10.2026 — МЭОФ-250/25-0,25У-99К У2, 380В, IP65</t>
        </is>
      </c>
      <c r="L65" s="4" t="inlineStr">
        <is>
          <t>МЭОФ-250/25-0,25У-99К ЧЗЭА (РФ)</t>
        </is>
      </c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>
        <v>78751.85000000001</v>
      </c>
      <c r="I66" s="5" t="n">
        <v>236255.55</v>
      </c>
      <c r="J66" s="8" t="n">
        <v>0.06670004740459823</v>
      </c>
      <c r="K66" s="4" t="inlineStr">
        <is>
          <t>[ОЦЕНКА] цена с НДС = НМЦ×1,22×0.85 (публичной цены нет; клапан ЭМ НО Ду20 с ЭУ-6ГМ1 (цапковый, под приварку) — спецарма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>
        <v>70333.49000000001</v>
      </c>
      <c r="I67" s="5" t="n">
        <v>211000.47</v>
      </c>
      <c r="J67" s="8" t="n">
        <v>0.06669997346072176</v>
      </c>
      <c r="K67" s="4" t="inlineStr">
        <is>
          <t>[ОЦЕНКА] цена с НДС = НМЦ×1,22×0.85 (публичной цены нет; клапан ЭМ НЗ Ду15 с ЭУ-6ГМ2 — цены нет)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>
        <v>30252.34</v>
      </c>
      <c r="I70" s="5" t="n">
        <v>60504.68</v>
      </c>
      <c r="J70" s="9" t="n">
        <v>0.5472562107153547</v>
      </c>
      <c r="K70" s="4" t="inlineStr">
        <is>
          <t>КП rost (ФОБОС): Кран шаровый фланцевый «УНИВЕРСАЛ» DN50 PN16-40 12Х18Н9ТЛ/УХЛ1 L=230, -60…+160, кл. А, ФБ3</t>
        </is>
      </c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3800</v>
      </c>
      <c r="I72" s="5" t="n">
        <v>22800</v>
      </c>
      <c r="J72" s="9" t="n">
        <v>0.4571428571428572</v>
      </c>
      <c r="K72" s="4" t="inlineStr">
        <is>
          <t>КП Доминик: письмо 28.10.2026 (Наумов А.) — Вентиль диафрагмовый эмалированный 15ч93эм Ду25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>
        <v>15933.2</v>
      </c>
      <c r="I80" s="5" t="n">
        <v>95599.20000000001</v>
      </c>
      <c r="J80" s="8" t="n">
        <v>0.1614105263157894</v>
      </c>
      <c r="K80" s="4" t="inlineStr">
        <is>
          <t>КП Гималаи: Кран шаровой манометрический КШ250.8Д1-Н23Б1ГН с приварным сбросным клапаном, PN25 МПа, DN8, нерж., AISI316</t>
        </is>
      </c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>
        <v>4908.61</v>
      </c>
      <c r="I85" s="5" t="n">
        <v>24543.05</v>
      </c>
      <c r="J85" s="9" t="n">
        <v>0.8028670682730924</v>
      </c>
      <c r="K85" s="4" t="inlineStr">
        <is>
          <t>[ПРОКСИ] dn.ru (справочно, Камчатка-база): Flamco Clean Smart 3/4 5 454,01 с НДС</t>
        </is>
      </c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>
        <v>8501.809999999999</v>
      </c>
      <c r="I86" s="5" t="n">
        <v>42509.05</v>
      </c>
      <c r="J86" s="9" t="n">
        <v>0.7825624040920716</v>
      </c>
      <c r="K86" s="4" t="inlineStr">
        <is>
          <t>[ПРОКСИ] dn.ru (справочно, Камчатка-база): Flamco Flamcovent Clean Smart 3/4 9 446,46 с НДС</t>
        </is>
      </c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>
        <v>942.08</v>
      </c>
      <c r="I87" s="5" t="n">
        <v>3768.32</v>
      </c>
      <c r="J87" s="9" t="n">
        <v>0.6629409660107335</v>
      </c>
      <c r="K87" s="4" t="inlineStr">
        <is>
          <t>dn.ru на 27.10.2026: коллектор Пензапромарматура 3/4″ Ду20 3 отвода 1/2″ ВР/НР с регулирующими клапанами 1 046,76 с НДС</t>
        </is>
      </c>
      <c r="L87" s="4" t="inlineStr">
        <is>
          <t>Коллектор Пензапромарматура 3/4″×3×1/2″ (РФ)</t>
        </is>
      </c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1" t="inlineStr"/>
      <c r="B89" s="11" t="inlineStr"/>
      <c r="C89" s="11" t="inlineStr">
        <is>
          <t>ИТОГО</t>
        </is>
      </c>
      <c r="D89" s="11" t="inlineStr"/>
      <c r="E89" s="11" t="inlineStr"/>
      <c r="F89" s="11" t="inlineStr"/>
      <c r="G89" s="12">
        <f>SUM(G2:G88)</f>
        <v/>
      </c>
      <c r="H89" s="11" t="inlineStr"/>
      <c r="I89" s="12">
        <f>SUM(I2:I88)</f>
        <v/>
      </c>
      <c r="J89" s="13">
        <f>1-I89/G89</f>
        <v/>
      </c>
      <c r="K89" s="14" t="n"/>
      <c r="L89" s="14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2026-10-30T12:06:26Z</dcterms:created>
  <dcterms:modified xmlns:dcterms="http://purl.org/dc/terms/" xmlns:xsi="http://www.w3.org/2001/XMLSchema-instance" xsi:type="dcterms:W3CDTF">2026-10-30T12:06:26Z</dcterms:modified>
</cp:coreProperties>
</file>