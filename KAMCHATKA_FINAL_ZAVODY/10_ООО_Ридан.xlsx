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Заполнить" sheetId="1" state="visible" r:id="rId1"/>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2"/>
    </font>
    <font>
      <b val="1"/>
      <color rgb="00FFFFFF"/>
    </font>
  </fonts>
  <fills count="5">
    <fill>
      <patternFill/>
    </fill>
    <fill>
      <patternFill patternType="gray125"/>
    </fill>
    <fill>
      <patternFill patternType="solid">
        <fgColor rgb="00305496"/>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center"/>
    </xf>
    <xf numFmtId="0" fontId="0" fillId="0" borderId="0" applyAlignment="1" pivotButton="0" quotePrefix="0" xfId="0">
      <alignment vertical="center"/>
    </xf>
    <xf numFmtId="0" fontId="2"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3" borderId="1" applyAlignment="1" pivotButton="0" quotePrefix="0" xfId="0">
      <alignment vertical="center" wrapText="1"/>
    </xf>
    <xf numFmtId="0" fontId="0" fillId="4" borderId="1" applyAlignment="1" pivotButton="0" quotePrefix="0" xfId="0">
      <alignment vertical="center"/>
    </xf>
    <xf numFmtId="0" fontId="0" fillId="4"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AH9"/>
  <sheetViews>
    <sheetView workbookViewId="0">
      <pane xSplit="3" ySplit="5" topLeftCell="D6" activePane="bottomRight" state="frozen"/>
      <selection pane="topRight"/>
      <selection pane="bottomLeft"/>
      <selection pane="bottomRight" activeCell="A1" sqref="A1"/>
    </sheetView>
  </sheetViews>
  <sheetFormatPr baseColWidth="8" defaultRowHeight="15"/>
  <cols>
    <col width="4" customWidth="1" min="1" max="1"/>
    <col width="8" customWidth="1" min="2" max="2"/>
    <col width="32" customWidth="1" min="3" max="3"/>
    <col width="14" customWidth="1" min="4" max="4"/>
    <col width="7" customWidth="1" min="5" max="5"/>
    <col width="10" customWidth="1" min="6" max="6"/>
    <col width="9" customWidth="1" min="7" max="7"/>
    <col width="12" customWidth="1" min="8" max="8"/>
    <col width="14" customWidth="1" min="9" max="9"/>
    <col width="14" customWidth="1" min="10" max="10"/>
    <col width="10" customWidth="1" min="11" max="11"/>
    <col width="14" customWidth="1" min="12" max="12"/>
    <col width="14" customWidth="1" min="13" max="13"/>
    <col width="16" customWidth="1" min="14" max="14"/>
    <col width="10" customWidth="1" min="15" max="15"/>
    <col width="22" customWidth="1" min="16" max="16"/>
    <col width="12" customWidth="1" min="17" max="17"/>
    <col width="14" customWidth="1" min="18" max="18"/>
    <col width="7" customWidth="1" min="19" max="19"/>
    <col width="5" customWidth="1" min="20" max="20"/>
    <col width="30" customWidth="1" min="21" max="21"/>
    <col width="26" customWidth="1" min="22" max="22"/>
    <col width="9" customWidth="1" min="23" max="23"/>
    <col width="14" customWidth="1" min="24" max="24"/>
    <col width="11" customWidth="1" min="25" max="25"/>
    <col width="30" customWidth="1" min="26" max="26"/>
    <col width="18" customWidth="1" min="27" max="27"/>
    <col width="14" customWidth="1" min="28" max="28"/>
    <col width="12" customWidth="1" min="29" max="29"/>
    <col width="13" customWidth="1" min="30" max="30"/>
    <col width="14" customWidth="1" min="31" max="31"/>
    <col width="9" customWidth="1" min="32" max="32"/>
    <col width="16" customWidth="1" min="33" max="33"/>
    <col width="50" customWidth="1" min="34" max="34"/>
  </cols>
  <sheetData>
    <row r="1" ht="18" customHeight="1">
      <c r="A1" s="1" t="inlineStr">
        <is>
          <t>Запрос КП — ООО «ГИДРОПАС» (ИНН 9729231965) для ПАО «Камчатскэнерго», закупка 32616346943. Получатель: ООО «Ридан»</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c r="AA1" s="2" t="n"/>
      <c r="AB1" s="2" t="n"/>
      <c r="AC1" s="2" t="n"/>
      <c r="AD1" s="2" t="n"/>
      <c r="AE1" s="2" t="n"/>
      <c r="AF1" s="2" t="n"/>
      <c r="AG1" s="2" t="n"/>
      <c r="AH1" s="2" t="n"/>
    </row>
    <row r="2" ht="18" customHeight="1">
      <c r="A2" s="2" t="inlineStr">
        <is>
          <t>Характеристики — дословно из технических требований заказчика; приёмка только при полном соответствии. Просим подтвердить соответствие по каждому пункту или указать отличия.</t>
        </is>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row>
    <row r="3" ht="18" customHeight="1">
      <c r="A3" s="2" t="inlineStr">
        <is>
          <t>ПП 1875 (ограничение): изготовитель и ДЕЙСТВУЮЩИЙ № реестровой записи ПП 719 обязательны, изготовитель должен совпадать с записью. Приложите выписку из ГИСП, паспорт/ТУ, сертификаты ТР ТС 032/2013, 010/2011.</t>
        </is>
      </c>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c r="AA3" s="2" t="n"/>
      <c r="AB3" s="2" t="n"/>
      <c r="AC3" s="2" t="n"/>
      <c r="AD3" s="2" t="n"/>
      <c r="AE3" s="2" t="n"/>
      <c r="AF3" s="2" t="n"/>
      <c r="AG3" s="2" t="n"/>
      <c r="AH3" s="2" t="n"/>
    </row>
    <row r="4" ht="18" customHeight="1">
      <c r="A4" s="2" t="inlineStr">
        <is>
          <t>Зелёное — предзаполнено нами по вашему каталогу и открытому реестру (проверьте); жёлтое — заполнить; графа «Что подтвердить» — вопросы по расхождениям с ТЗ. Доставка — до Петропавловска-Камчатского (укажите вес).</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c r="AA4" s="2" t="n"/>
      <c r="AB4" s="2" t="n"/>
      <c r="AC4" s="2" t="n"/>
      <c r="AD4" s="2" t="n"/>
      <c r="AE4" s="2" t="n"/>
      <c r="AF4" s="2" t="n"/>
      <c r="AG4" s="2" t="n"/>
      <c r="AH4" s="2" t="n"/>
    </row>
    <row r="5" ht="66" customHeight="1">
      <c r="A5" s="3" t="inlineStr">
        <is>
          <t>№</t>
        </is>
      </c>
      <c r="B5" s="3" t="inlineStr">
        <is>
          <t>Табл./№ ТЗ</t>
        </is>
      </c>
      <c r="C5" s="3" t="inlineStr">
        <is>
          <t>Наименование</t>
        </is>
      </c>
      <c r="D5" s="3" t="inlineStr">
        <is>
          <t>ГОСТ/ТУ</t>
        </is>
      </c>
      <c r="E5" s="3" t="inlineStr">
        <is>
          <t>Ду, мм</t>
        </is>
      </c>
      <c r="F5" s="3" t="inlineStr">
        <is>
          <t>Проход</t>
        </is>
      </c>
      <c r="G5" s="3" t="inlineStr">
        <is>
          <t>Давление, МПа</t>
        </is>
      </c>
      <c r="H5" s="3" t="inlineStr">
        <is>
          <t>Температура, °С</t>
        </is>
      </c>
      <c r="I5" s="3" t="inlineStr">
        <is>
          <t>Среда</t>
        </is>
      </c>
      <c r="J5" s="3" t="inlineStr">
        <is>
          <t>Материал корпуса</t>
        </is>
      </c>
      <c r="K5" s="3" t="inlineStr">
        <is>
          <t>Климатическое исполнение</t>
        </is>
      </c>
      <c r="L5" s="3" t="inlineStr">
        <is>
          <t>Присоединение</t>
        </is>
      </c>
      <c r="M5" s="3" t="inlineStr">
        <is>
          <t>Приводное устройство: наименование</t>
        </is>
      </c>
      <c r="N5" s="3" t="inlineStr">
        <is>
          <t>Приводное устройство: технические характеристики</t>
        </is>
      </c>
      <c r="O5" s="3" t="inlineStr">
        <is>
          <t>Установочное положение</t>
        </is>
      </c>
      <c r="P5" s="3" t="inlineStr">
        <is>
          <t>Материал штока, шара, уплотнений</t>
        </is>
      </c>
      <c r="Q5" s="3" t="inlineStr">
        <is>
          <t>Габариты</t>
        </is>
      </c>
      <c r="R5" s="3" t="inlineStr">
        <is>
          <t>Примечание</t>
        </is>
      </c>
      <c r="S5" s="3" t="inlineStr">
        <is>
          <t>Кол-во</t>
        </is>
      </c>
      <c r="T5" s="3" t="inlineStr">
        <is>
          <t>Ед.</t>
        </is>
      </c>
      <c r="U5" s="3" t="inlineStr">
        <is>
          <t>Предлагаемое изделие (марка)</t>
        </is>
      </c>
      <c r="V5" s="3" t="inlineStr">
        <is>
          <t>Изготовитель (как в реестре)</t>
        </is>
      </c>
      <c r="W5" s="3" t="inlineStr">
        <is>
          <t>Страна</t>
        </is>
      </c>
      <c r="X5" s="3" t="inlineStr">
        <is>
          <t>№ реестровой записи ПП 719</t>
        </is>
      </c>
      <c r="Y5" s="3" t="inlineStr">
        <is>
          <t>Срок действия записи</t>
        </is>
      </c>
      <c r="Z5" s="3" t="inlineStr">
        <is>
          <t>Соответствие ТЗ: «да» или отличия по пунктам</t>
        </is>
      </c>
      <c r="AA5" s="3" t="inlineStr">
        <is>
          <t>ГОСТ/ТУ изделия</t>
        </is>
      </c>
      <c r="AB5" s="3" t="inlineStr">
        <is>
          <t>Гарантийный срок</t>
        </is>
      </c>
      <c r="AC5" s="3" t="inlineStr">
        <is>
          <t>Цена за ед. с НДС, ₽</t>
        </is>
      </c>
      <c r="AD5" s="3" t="inlineStr">
        <is>
          <t>Сумма с НДС, ₽</t>
        </is>
      </c>
      <c r="AE5" s="3" t="inlineStr">
        <is>
          <t>Срок изготовления / отгрузки</t>
        </is>
      </c>
      <c r="AF5" s="3" t="inlineStr">
        <is>
          <t>Вес ед., кг</t>
        </is>
      </c>
      <c r="AG5" s="3" t="inlineStr">
        <is>
          <t>Сертификат / декларация ТР ТС №</t>
        </is>
      </c>
      <c r="AH5" s="3" t="inlineStr">
        <is>
          <t>Что подтвердить / уточнить</t>
        </is>
      </c>
    </row>
    <row r="6" ht="60" customHeight="1">
      <c r="A6" s="4" t="n">
        <v>1</v>
      </c>
      <c r="B6" s="5" t="inlineStr">
        <is>
          <t>1.3/32</t>
        </is>
      </c>
      <c r="C6" s="5" t="inlineStr">
        <is>
          <t>Клапан обратный фланцевый пружинный с аксиальным затвором NVD-402R Ду 100 Ру 16</t>
        </is>
      </c>
      <c r="D6" s="5" t="inlineStr">
        <is>
          <t>ТУ 28.14.11-012-72323163-2022</t>
        </is>
      </c>
      <c r="E6" s="5" t="inlineStr">
        <is>
          <t>100</t>
        </is>
      </c>
      <c r="F6" s="5" t="inlineStr"/>
      <c r="G6" s="5" t="inlineStr">
        <is>
          <t>1.6</t>
        </is>
      </c>
      <c r="H6" s="5" t="inlineStr">
        <is>
          <t>от -15 до +100</t>
        </is>
      </c>
      <c r="I6" s="5" t="inlineStr">
        <is>
          <t>Вода, гликолевые растворы до 50%</t>
        </is>
      </c>
      <c r="J6" s="5" t="inlineStr">
        <is>
          <t>серый чугун</t>
        </is>
      </c>
      <c r="K6" s="5" t="inlineStr"/>
      <c r="L6" s="5" t="inlineStr">
        <is>
          <t>фланцевый</t>
        </is>
      </c>
      <c r="M6" s="5" t="inlineStr"/>
      <c r="N6" s="5" t="inlineStr"/>
      <c r="O6" s="5" t="inlineStr">
        <is>
          <t>любое</t>
        </is>
      </c>
      <c r="P6" s="5" t="inlineStr">
        <is>
          <t>Уплотнение EPDM
Номинальный диаметр (DN), мм 100
Рабочая среда Вода, гликолевые растворы до 50%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Пружина Корр.ст.сталь AISI302
Корпус Чугун GJL250
Втулка Латунь CW617N</t>
        </is>
      </c>
      <c r="Q6" s="5" t="inlineStr">
        <is>
          <t>Строительный размер 170мм</t>
        </is>
      </c>
      <c r="R6" s="5" t="inlineStr">
        <is>
          <t>каталожный номер 065B7474</t>
        </is>
      </c>
      <c r="S6" s="4" t="n">
        <v>2</v>
      </c>
      <c r="T6" s="5" t="inlineStr">
        <is>
          <t>шт</t>
        </is>
      </c>
      <c r="U6" s="6" t="inlineStr">
        <is>
          <t>NVD-402R Ду100 PN16</t>
        </is>
      </c>
      <c r="V6" s="6" t="inlineStr">
        <is>
          <t>ООО «Ридан»</t>
        </is>
      </c>
      <c r="W6" s="7" t="n"/>
      <c r="X6" s="7" t="n"/>
      <c r="Y6" s="7" t="n"/>
      <c r="Z6" s="7" t="n"/>
      <c r="AA6" s="7" t="n"/>
      <c r="AB6" s="7" t="n"/>
      <c r="AC6" s="7" t="n"/>
      <c r="AD6" s="8">
        <f>AC6*S6</f>
        <v/>
      </c>
      <c r="AE6" s="7" t="n"/>
      <c r="AF6" s="7" t="n"/>
      <c r="AG6" s="7" t="n"/>
      <c r="AH6" s="5" t="inlineStr">
        <is>
          <t>Запросить страну происхождения и запись РПП (иначе ПП 1875 не выполняется), строит. длину, материал корпуса DN100.</t>
        </is>
      </c>
    </row>
    <row r="7" ht="60" customHeight="1">
      <c r="A7" s="4" t="n">
        <v>2</v>
      </c>
      <c r="B7" s="5" t="inlineStr">
        <is>
          <t>1.3/34</t>
        </is>
      </c>
      <c r="C7" s="5" t="inlineStr">
        <is>
          <t>Клапан обратный фланцевый пружинный с аксиальным затвором NVD-402R Ду 200 Ру 16</t>
        </is>
      </c>
      <c r="D7" s="5" t="inlineStr">
        <is>
          <t>ТУ 28.14.11-012-72323163-2022</t>
        </is>
      </c>
      <c r="E7" s="5" t="inlineStr">
        <is>
          <t>200</t>
        </is>
      </c>
      <c r="F7" s="5" t="inlineStr">
        <is>
          <t>полнопроходной</t>
        </is>
      </c>
      <c r="G7" s="5" t="inlineStr">
        <is>
          <t>1.6</t>
        </is>
      </c>
      <c r="H7" s="5" t="inlineStr">
        <is>
          <t>от -15 до +100</t>
        </is>
      </c>
      <c r="I7" s="5" t="inlineStr">
        <is>
          <t>Вода, гликолевые растворы до 50%</t>
        </is>
      </c>
      <c r="J7" s="5" t="inlineStr">
        <is>
          <t>Чугун GJL250</t>
        </is>
      </c>
      <c r="K7" s="5" t="inlineStr"/>
      <c r="L7" s="5" t="inlineStr">
        <is>
          <t>Фланец-фланец</t>
        </is>
      </c>
      <c r="M7" s="5" t="inlineStr"/>
      <c r="N7" s="5" t="inlineStr"/>
      <c r="O7" s="5" t="inlineStr">
        <is>
          <t>любое</t>
        </is>
      </c>
      <c r="P7" s="5" t="inlineStr">
        <is>
          <t>Уплотнение EPDM Номинальный диаметр (DN), мм 200   Рабочая среда Вода, гликолевые растворы до 50%Вода для систем отопления, ГВС, ХВС, гликолевые р-ры до 50%.(жидкости группы 1 и 2 согласно ТР ТС 032/2013). Тип присоединения к трубопроводу Фланцевое Номинальное давление (PN),бар 16 Температура окружающей среды, °С от -20 до +70 Герметичность затвора (объем протечки/класс герметичности) ГОСТ9544, Класс А Температура рабочей среды, °С от -15 до +100 Пружина Корр.ст.сталь AISI302 Корпус Чугун GJL250 Втулка Латунь CW617N Шток Корр.ст.сталь AISI302 Направляющая Чугун GJL250 Затвор клапана Чугун GJL250 D, мм 338 Масса, кг, не более 48,6 A, мм 300 C, мм 340 Давление открытия клапана при движении потока вверх, мм.в.ст. 639 Давление открытия клапана при движении потока вниз, мм.в.ст. 221 Давление открытия клапана при горизонтальном расположении клапана, мм.в.ст. 429 Давление открытия клапана при движении потока вверх (без пружины), мм.в.ст. 208 Гидравлическая характеристика (KVs), м³/ч 985 P, мм 194</t>
        </is>
      </c>
      <c r="Q7" s="5" t="inlineStr">
        <is>
          <t>Строительная длинна, мм 300</t>
        </is>
      </c>
      <c r="R7" s="5" t="inlineStr">
        <is>
          <t>Каталожный № 082X8477R</t>
        </is>
      </c>
      <c r="S7" s="4" t="n">
        <v>4</v>
      </c>
      <c r="T7" s="5" t="inlineStr">
        <is>
          <t>шт</t>
        </is>
      </c>
      <c r="U7" s="6" t="inlineStr">
        <is>
          <t>NVD-402R Ду200 PN16</t>
        </is>
      </c>
      <c r="V7" s="6" t="inlineStr">
        <is>
          <t>ООО «Ридан»</t>
        </is>
      </c>
      <c r="W7" s="7" t="n"/>
      <c r="X7" s="7" t="n"/>
      <c r="Y7" s="7" t="n"/>
      <c r="Z7" s="7" t="n"/>
      <c r="AA7" s="7" t="n"/>
      <c r="AB7" s="7" t="n"/>
      <c r="AC7" s="7" t="n"/>
      <c r="AD7" s="8">
        <f>AC7*S7</f>
        <v/>
      </c>
      <c r="AE7" s="7" t="n"/>
      <c r="AF7" s="7" t="n"/>
      <c r="AG7" s="7" t="n"/>
      <c r="AH7" s="5" t="inlineStr">
        <is>
          <t>Запросить страну происхождения и запись РПП (иначе ПП 1875 не выполняется), строит. длину, материал корпуса DN100.</t>
        </is>
      </c>
    </row>
    <row r="8" ht="60" customHeight="1">
      <c r="A8" s="4" t="n">
        <v>3</v>
      </c>
      <c r="B8" s="5" t="inlineStr">
        <is>
          <t>1.3/35</t>
        </is>
      </c>
      <c r="C8" s="5" t="inlineStr">
        <is>
          <t>Обратный клапан пружинный NVD-812R Ду 150 Ру 40</t>
        </is>
      </c>
      <c r="D8" s="5" t="inlineStr">
        <is>
          <t>ТУ 28.14.11-014-72323163-2022</t>
        </is>
      </c>
      <c r="E8" s="5" t="inlineStr">
        <is>
          <t>150</t>
        </is>
      </c>
      <c r="F8" s="5" t="inlineStr">
        <is>
          <t>полнопроходной</t>
        </is>
      </c>
      <c r="G8" s="5" t="inlineStr">
        <is>
          <t>4</t>
        </is>
      </c>
      <c r="H8" s="5" t="inlineStr">
        <is>
          <t>от -25 до +240</t>
        </is>
      </c>
      <c r="I8" s="5" t="inlineStr">
        <is>
          <t>Вода для систем отопления, ГВС, ХВС, гликолевые р-ры до 50%</t>
        </is>
      </c>
      <c r="J8" s="5" t="inlineStr">
        <is>
          <t>Нержавеющая сталь</t>
        </is>
      </c>
      <c r="K8" s="5" t="inlineStr"/>
      <c r="L8" s="5" t="inlineStr">
        <is>
          <t>межфланцевое</t>
        </is>
      </c>
      <c r="M8" s="5" t="inlineStr"/>
      <c r="N8" s="5" t="inlineStr"/>
      <c r="O8" s="5" t="inlineStr">
        <is>
          <t>любое</t>
        </is>
      </c>
      <c r="P8" s="5" t="inlineStr">
        <is>
          <t>Номинальный диаметр (DN), мм 150 Масса, кг, не более 8,3 Температура окружающей среды, °С от -30 до +70 A, мм 106 Рабочая среда Вода для систем отопления, ГВС, ХВС, гликолевые р-ры до 50%Вода для систем отопления, ГВС, ХВС, гликолевые р-ры до 50%.(жидкости группы 1 и 2 согласно ТР ТС 032/2013). Пружина AISI 316 Температура рабочей среды, °С от -25 до +240 Тип присоединения к трубопроводу Межфланцевое Корпус Корр.ст.сталь 316 (ASTM A351 CF8M) Направляющая AISI 316 C, мм 217 Затвор Корр.ст.сталь ASTM A351 CF8M Номинальное давление (PN),бар 40 Герметичность затвора (объем протечки/класс герметичности) ГОСТ9544, Класс G Давление открытия клапана, мм.в.ст. 360 Гидравлическая характеристика (KVs), м³/ч 250 P, мм 140</t>
        </is>
      </c>
      <c r="Q8" s="5" t="inlineStr">
        <is>
          <t>Строительная длинна, мм 106</t>
        </is>
      </c>
      <c r="R8" s="5" t="inlineStr">
        <is>
          <t>Каталожный № 082X8540R</t>
        </is>
      </c>
      <c r="S8" s="4" t="n">
        <v>1</v>
      </c>
      <c r="T8" s="5" t="inlineStr">
        <is>
          <t>шт</t>
        </is>
      </c>
      <c r="U8" s="6" t="inlineStr">
        <is>
          <t>NVD-812R Ду150 PN40 (082X8540R)</t>
        </is>
      </c>
      <c r="V8" s="6" t="inlineStr">
        <is>
          <t>ООО «Ридан»</t>
        </is>
      </c>
      <c r="W8" s="7" t="n"/>
      <c r="X8" s="7" t="n"/>
      <c r="Y8" s="7" t="n"/>
      <c r="Z8" s="7" t="n"/>
      <c r="AA8" s="7" t="n"/>
      <c r="AB8" s="7" t="n"/>
      <c r="AC8" s="7" t="n"/>
      <c r="AD8" s="8">
        <f>AC8*S8</f>
        <v/>
      </c>
      <c r="AE8" s="7" t="n"/>
      <c r="AF8" s="7" t="n"/>
      <c r="AG8" s="7" t="n"/>
      <c r="AH8" s="5" t="inlineStr">
        <is>
          <t>Запросить страну происхождения/РПП, L=106 мм.</t>
        </is>
      </c>
    </row>
    <row r="9" ht="60" customHeight="1">
      <c r="A9" s="4" t="n">
        <v>4</v>
      </c>
      <c r="B9" s="5" t="inlineStr">
        <is>
          <t>1.7/1</t>
        </is>
      </c>
      <c r="C9" s="5" t="inlineStr">
        <is>
          <t>АРТ-85 Ду 50 Ру 16 "после себя"</t>
        </is>
      </c>
      <c r="D9" s="5" t="inlineStr">
        <is>
          <t>-</t>
        </is>
      </c>
      <c r="E9" s="5" t="inlineStr">
        <is>
          <t>50</t>
        </is>
      </c>
      <c r="F9" s="5" t="inlineStr">
        <is>
          <t>-</t>
        </is>
      </c>
      <c r="G9" s="5" t="inlineStr">
        <is>
          <t>1.6</t>
        </is>
      </c>
      <c r="H9" s="5" t="inlineStr">
        <is>
          <t>для воды до +150°С, для газов до +80°С</t>
        </is>
      </c>
      <c r="I9" s="5" t="inlineStr">
        <is>
          <t>жидкая и газообразная, не агрессивная к применяемым материалам</t>
        </is>
      </c>
      <c r="J9" s="5" t="inlineStr">
        <is>
          <t>-</t>
        </is>
      </c>
      <c r="K9" s="5" t="inlineStr">
        <is>
          <t>-</t>
        </is>
      </c>
      <c r="L9" s="5" t="inlineStr">
        <is>
          <t>фланцевый</t>
        </is>
      </c>
      <c r="M9" s="5" t="inlineStr">
        <is>
          <t>-</t>
        </is>
      </c>
      <c r="N9" s="5" t="inlineStr">
        <is>
          <t>-</t>
        </is>
      </c>
      <c r="O9" s="5" t="inlineStr">
        <is>
          <t>"после себя"</t>
        </is>
      </c>
      <c r="P9" s="5" t="inlineStr">
        <is>
          <t>Условный диаметр Ду, мМ 50
Диапазон настройки давления на выходе регулятора, МПа (кгс/см2)	0,05…1,2 (0,5…12)
Коэффициент условной пропускной способности, Кvy, м3/ч	20	32
Зона пропорциональности, в % от верхнего предела настройки	0,05…1,2 (0,5…12)
Зона нечувствительности, в % от верхнего предела настройки	не более 4
Постоянная времени, с	не более 16
Минимальный перепад давления на клапанной тарели, МПа*	0,05 (0,5)
Рабочая среда	теплоноситель тепловых сетей, вода, воздух, газообразные среды, нейтральные к материалам контактирующих деталей
Условное давление рабочей среды Ру, МПа	1,6 (2,5; 4,0 — под заказ)
Температура рабочей среды, °С	+2…150 — вода, -10…+80 — газы</t>
        </is>
      </c>
      <c r="Q9" s="5" t="inlineStr">
        <is>
          <t>-</t>
        </is>
      </c>
      <c r="R9" s="5" t="inlineStr">
        <is>
          <t>-</t>
        </is>
      </c>
      <c r="S9" s="4" t="n">
        <v>1</v>
      </c>
      <c r="T9" s="5" t="inlineStr">
        <is>
          <t>шт</t>
        </is>
      </c>
      <c r="U9" s="6" t="inlineStr">
        <is>
          <t>АРТ-85 (у Ридан — регуляторы AFD/VFG, параметры не сверены)</t>
        </is>
      </c>
      <c r="V9" s="6" t="inlineStr">
        <is>
          <t>ООО «Ридан»</t>
        </is>
      </c>
      <c r="W9" s="7" t="n"/>
      <c r="X9" s="7" t="n"/>
      <c r="Y9" s="7" t="n"/>
      <c r="Z9" s="7" t="n"/>
      <c r="AA9" s="7" t="n"/>
      <c r="AB9" s="7" t="n"/>
      <c r="AC9" s="7" t="n"/>
      <c r="AD9" s="8">
        <f>AC9*S9</f>
        <v/>
      </c>
      <c r="AE9" s="7" t="n"/>
      <c r="AF9" s="7" t="n"/>
      <c r="AG9" s="7" t="n"/>
      <c r="AH9" s="5" t="inlineStr">
        <is>
          <t>Назначение Ридан не подтверждено каталогом — вернуть к ДЕНДОР (1.3/19), БАЗ КОП/ПТЗ 19с76нж (1.3/27); для 1.7/1 запросить у Ридан конкретную модель.</t>
        </is>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2026-10-28T23:40:20Z</dcterms:created>
  <dcterms:modified xmlns:dcterms="http://purl.org/dc/terms/" xmlns:xsi="http://www.w3.org/2001/XMLSchema-instance" xsi:type="dcterms:W3CDTF">2026-10-28T23:40:20Z</dcterms:modified>
</cp:coreProperties>
</file>