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полнить"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5">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2"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xf>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8" customWidth="1" min="2" max="2"/>
    <col width="32"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30" customWidth="1" min="21" max="21"/>
    <col width="26" customWidth="1" min="22" max="22"/>
    <col width="9" customWidth="1" min="23" max="23"/>
    <col width="14" customWidth="1" min="24" max="24"/>
    <col width="11" customWidth="1" min="25" max="25"/>
    <col width="30" customWidth="1" min="26" max="26"/>
    <col width="18" customWidth="1" min="27" max="27"/>
    <col width="14" customWidth="1" min="28" max="28"/>
    <col width="12" customWidth="1" min="29" max="29"/>
    <col width="13" customWidth="1" min="30" max="30"/>
    <col width="14" customWidth="1" min="31" max="31"/>
    <col width="9" customWidth="1" min="32" max="32"/>
    <col width="16" customWidth="1" min="33" max="33"/>
    <col width="50" customWidth="1" min="34" max="34"/>
  </cols>
  <sheetData>
    <row r="1" ht="18" customHeight="1">
      <c r="A1" s="1" t="inlineStr">
        <is>
          <t>Запрос КП — ООО «ГИДРОПАС» (ИНН 9729231965) для ПАО «Камчатскэнерго», закупка 32616346943. Получатель: ООО «Ридан»</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row>
    <row r="2" ht="18" customHeight="1">
      <c r="A2" s="2" t="inlineStr">
        <is>
          <t>Характеристики — дословно из технических требований заказчика; приёмка только при полном соответствии. Просим подтвердить соответствие по каждому пункту или указать отличия.</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row>
    <row r="3" ht="18" customHeight="1">
      <c r="A3" s="2" t="inlineStr">
        <is>
          <t>ПП 1875 (ограничение): изготовитель и ДЕЙСТВУЮЩИЙ № реестровой записи ПП 719 обязательны, изготовитель должен совпадать с записью. Приложите выписку из ГИСП, паспорт/ТУ, сертификаты ТР ТС 032/2013, 010/2011.</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row>
    <row r="4" ht="18" customHeight="1">
      <c r="A4" s="2" t="inlineStr">
        <is>
          <t>Зелёное — предзаполнено нами по вашему каталогу и открытому реестру (проверьте); жёлтое — заполнить; графа «Что подтвердить» — вопросы по расхождениям с ТЗ. Доставка — до Петропавловска-Камчатского (укажите вес).</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row>
    <row r="5" ht="66" customHeight="1">
      <c r="A5" s="3" t="inlineStr">
        <is>
          <t>№</t>
        </is>
      </c>
      <c r="B5" s="3" t="inlineStr">
        <is>
          <t>Табл./№ ТЗ</t>
        </is>
      </c>
      <c r="C5" s="3" t="inlineStr">
        <is>
          <t>Наименование</t>
        </is>
      </c>
      <c r="D5" s="3" t="inlineStr">
        <is>
          <t>ГОСТ/ТУ</t>
        </is>
      </c>
      <c r="E5" s="3" t="inlineStr">
        <is>
          <t>Ду, мм</t>
        </is>
      </c>
      <c r="F5" s="3" t="inlineStr">
        <is>
          <t>Проход</t>
        </is>
      </c>
      <c r="G5" s="3" t="inlineStr">
        <is>
          <t>Давление, МПа</t>
        </is>
      </c>
      <c r="H5" s="3" t="inlineStr">
        <is>
          <t>Температура, °С</t>
        </is>
      </c>
      <c r="I5" s="3" t="inlineStr">
        <is>
          <t>Среда</t>
        </is>
      </c>
      <c r="J5" s="3" t="inlineStr">
        <is>
          <t>Материал корпуса</t>
        </is>
      </c>
      <c r="K5" s="3" t="inlineStr">
        <is>
          <t>Климатическое исполнение</t>
        </is>
      </c>
      <c r="L5" s="3" t="inlineStr">
        <is>
          <t>Присоединение</t>
        </is>
      </c>
      <c r="M5" s="3" t="inlineStr">
        <is>
          <t>Приводное устройство: наименование</t>
        </is>
      </c>
      <c r="N5" s="3" t="inlineStr">
        <is>
          <t>Приводное устройство: технические характеристики</t>
        </is>
      </c>
      <c r="O5" s="3" t="inlineStr">
        <is>
          <t>Установочное положение</t>
        </is>
      </c>
      <c r="P5" s="3" t="inlineStr">
        <is>
          <t>Материал штока, шара, уплотнений</t>
        </is>
      </c>
      <c r="Q5" s="3" t="inlineStr">
        <is>
          <t>Габариты</t>
        </is>
      </c>
      <c r="R5" s="3" t="inlineStr">
        <is>
          <t>Примечание</t>
        </is>
      </c>
      <c r="S5" s="3" t="inlineStr">
        <is>
          <t>Кол-во</t>
        </is>
      </c>
      <c r="T5" s="3" t="inlineStr">
        <is>
          <t>Ед.</t>
        </is>
      </c>
      <c r="U5" s="3" t="inlineStr">
        <is>
          <t>Предлагаемое изделие (марка)</t>
        </is>
      </c>
      <c r="V5" s="3" t="inlineStr">
        <is>
          <t>Изготовитель (как в реестре)</t>
        </is>
      </c>
      <c r="W5" s="3" t="inlineStr">
        <is>
          <t>Страна</t>
        </is>
      </c>
      <c r="X5" s="3" t="inlineStr">
        <is>
          <t>№ реестровой записи ПП 719</t>
        </is>
      </c>
      <c r="Y5" s="3" t="inlineStr">
        <is>
          <t>Срок действия записи</t>
        </is>
      </c>
      <c r="Z5" s="3" t="inlineStr">
        <is>
          <t>Соответствие ТЗ: «да» или отличия по пунктам</t>
        </is>
      </c>
      <c r="AA5" s="3" t="inlineStr">
        <is>
          <t>ГОСТ/ТУ изделия</t>
        </is>
      </c>
      <c r="AB5" s="3" t="inlineStr">
        <is>
          <t>Гарантийный срок</t>
        </is>
      </c>
      <c r="AC5" s="3" t="inlineStr">
        <is>
          <t>Цена за ед. с НДС, ₽</t>
        </is>
      </c>
      <c r="AD5" s="3" t="inlineStr">
        <is>
          <t>Сумма с НДС, ₽</t>
        </is>
      </c>
      <c r="AE5" s="3" t="inlineStr">
        <is>
          <t>Срок изготовления / отгрузки</t>
        </is>
      </c>
      <c r="AF5" s="3" t="inlineStr">
        <is>
          <t>Вес ед., кг</t>
        </is>
      </c>
      <c r="AG5" s="3" t="inlineStr">
        <is>
          <t>Сертификат / декларация ТР ТС №</t>
        </is>
      </c>
      <c r="AH5" s="3" t="inlineStr">
        <is>
          <t>Что подтвердить / уточнить</t>
        </is>
      </c>
    </row>
    <row r="6" ht="60" customHeight="1">
      <c r="A6" s="4" t="n">
        <v>1</v>
      </c>
      <c r="B6" s="5" t="inlineStr">
        <is>
          <t>1.3/32</t>
        </is>
      </c>
      <c r="C6" s="5" t="inlineStr">
        <is>
          <t>Клапан обратный фланцевый пружинный с аксиальным затвором NVD-402R Ду 100 Ру 16</t>
        </is>
      </c>
      <c r="D6" s="5" t="inlineStr">
        <is>
          <t>ТУ 28.14.11-012-72323163-2022</t>
        </is>
      </c>
      <c r="E6" s="5" t="inlineStr">
        <is>
          <t>100</t>
        </is>
      </c>
      <c r="F6" s="5" t="inlineStr"/>
      <c r="G6" s="5" t="inlineStr">
        <is>
          <t>1.6</t>
        </is>
      </c>
      <c r="H6" s="5" t="inlineStr">
        <is>
          <t>от -15 до +100</t>
        </is>
      </c>
      <c r="I6" s="5" t="inlineStr">
        <is>
          <t>Вода, гликолевые растворы до 50%</t>
        </is>
      </c>
      <c r="J6" s="5" t="inlineStr">
        <is>
          <t>серый чугун</t>
        </is>
      </c>
      <c r="K6" s="5" t="inlineStr"/>
      <c r="L6" s="5" t="inlineStr">
        <is>
          <t>фланцевый</t>
        </is>
      </c>
      <c r="M6" s="5" t="inlineStr"/>
      <c r="N6" s="5" t="inlineStr"/>
      <c r="O6" s="5" t="inlineStr">
        <is>
          <t>любое</t>
        </is>
      </c>
      <c r="P6" s="5" t="inlineStr">
        <is>
          <t>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is>
      </c>
      <c r="Q6" s="5" t="inlineStr">
        <is>
          <t>Строительный размер 170мм</t>
        </is>
      </c>
      <c r="R6" s="5" t="inlineStr">
        <is>
          <t>каталожный номер 065B7474</t>
        </is>
      </c>
      <c r="S6" s="4" t="n">
        <v>2</v>
      </c>
      <c r="T6" s="5" t="inlineStr">
        <is>
          <t>шт</t>
        </is>
      </c>
      <c r="U6" s="6" t="inlineStr">
        <is>
          <t>NVD-402R Ду100 PN16</t>
        </is>
      </c>
      <c r="V6" s="6" t="inlineStr">
        <is>
          <t>ООО «Ридан»</t>
        </is>
      </c>
      <c r="W6" s="7" t="n"/>
      <c r="X6" s="7" t="n"/>
      <c r="Y6" s="7" t="n"/>
      <c r="Z6" s="7" t="n"/>
      <c r="AA6" s="7" t="n"/>
      <c r="AB6" s="7" t="n"/>
      <c r="AC6" s="7" t="n"/>
      <c r="AD6" s="8">
        <f>AC6*S6</f>
        <v/>
      </c>
      <c r="AE6" s="7" t="n"/>
      <c r="AF6" s="7" t="n"/>
      <c r="AG6" s="7" t="n"/>
      <c r="AH6" s="5" t="inlineStr">
        <is>
          <t>Запросить страну происхождения и запись РПП (иначе ПП 1875 не выполняется), строит. длину, материал корпуса DN100.</t>
        </is>
      </c>
    </row>
    <row r="7" ht="60" customHeight="1">
      <c r="A7" s="4" t="n">
        <v>2</v>
      </c>
      <c r="B7" s="5" t="inlineStr">
        <is>
          <t>1.3/34</t>
        </is>
      </c>
      <c r="C7" s="5" t="inlineStr">
        <is>
          <t>Клапан обратный фланцевый пружинный с аксиальным затвором NVD-402R Ду 200 Ру 16</t>
        </is>
      </c>
      <c r="D7" s="5" t="inlineStr">
        <is>
          <t>ТУ 28.14.11-012-72323163-2022</t>
        </is>
      </c>
      <c r="E7" s="5" t="inlineStr">
        <is>
          <t>200</t>
        </is>
      </c>
      <c r="F7" s="5" t="inlineStr">
        <is>
          <t>полнопроходной</t>
        </is>
      </c>
      <c r="G7" s="5" t="inlineStr">
        <is>
          <t>1.6</t>
        </is>
      </c>
      <c r="H7" s="5" t="inlineStr">
        <is>
          <t>от -15 до +100</t>
        </is>
      </c>
      <c r="I7" s="5" t="inlineStr">
        <is>
          <t>Вода, гликолевые растворы до 50%</t>
        </is>
      </c>
      <c r="J7" s="5" t="inlineStr">
        <is>
          <t>Чугун GJL250</t>
        </is>
      </c>
      <c r="K7" s="5" t="inlineStr"/>
      <c r="L7" s="5" t="inlineStr">
        <is>
          <t>Фланец-фланец</t>
        </is>
      </c>
      <c r="M7" s="5" t="inlineStr"/>
      <c r="N7" s="5" t="inlineStr"/>
      <c r="O7" s="5" t="inlineStr">
        <is>
          <t>любое</t>
        </is>
      </c>
      <c r="P7" s="5" t="inlineStr">
        <is>
          <t>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is>
      </c>
      <c r="Q7" s="5" t="inlineStr">
        <is>
          <t>Строительная длинна, мм 300</t>
        </is>
      </c>
      <c r="R7" s="5" t="inlineStr">
        <is>
          <t>Каталожный № 082X8477R</t>
        </is>
      </c>
      <c r="S7" s="4" t="n">
        <v>4</v>
      </c>
      <c r="T7" s="5" t="inlineStr">
        <is>
          <t>шт</t>
        </is>
      </c>
      <c r="U7" s="6" t="inlineStr">
        <is>
          <t>NVD-402R Ду200 PN16</t>
        </is>
      </c>
      <c r="V7" s="6" t="inlineStr">
        <is>
          <t>ООО «Ридан»</t>
        </is>
      </c>
      <c r="W7" s="7" t="n"/>
      <c r="X7" s="7" t="n"/>
      <c r="Y7" s="7" t="n"/>
      <c r="Z7" s="7" t="n"/>
      <c r="AA7" s="7" t="n"/>
      <c r="AB7" s="7" t="n"/>
      <c r="AC7" s="7" t="n"/>
      <c r="AD7" s="8">
        <f>AC7*S7</f>
        <v/>
      </c>
      <c r="AE7" s="7" t="n"/>
      <c r="AF7" s="7" t="n"/>
      <c r="AG7" s="7" t="n"/>
      <c r="AH7" s="5" t="inlineStr">
        <is>
          <t>Запросить страну происхождения и запись РПП (иначе ПП 1875 не выполняется), строит. длину, материал корпуса DN100.</t>
        </is>
      </c>
    </row>
    <row r="8" ht="60" customHeight="1">
      <c r="A8" s="4" t="n">
        <v>3</v>
      </c>
      <c r="B8" s="5" t="inlineStr">
        <is>
          <t>1.3/35</t>
        </is>
      </c>
      <c r="C8" s="5" t="inlineStr">
        <is>
          <t>Обратный клапан пружинный NVD-812R Ду 150 Ру 40</t>
        </is>
      </c>
      <c r="D8" s="5" t="inlineStr">
        <is>
          <t>ТУ 28.14.11-014-72323163-2022</t>
        </is>
      </c>
      <c r="E8" s="5" t="inlineStr">
        <is>
          <t>150</t>
        </is>
      </c>
      <c r="F8" s="5" t="inlineStr">
        <is>
          <t>полнопроходной</t>
        </is>
      </c>
      <c r="G8" s="5" t="inlineStr">
        <is>
          <t>4</t>
        </is>
      </c>
      <c r="H8" s="5" t="inlineStr">
        <is>
          <t>от -25 до +240</t>
        </is>
      </c>
      <c r="I8" s="5" t="inlineStr">
        <is>
          <t>Вода для систем отопления, ГВС, ХВС, гликолевые р-ры до 50%</t>
        </is>
      </c>
      <c r="J8" s="5" t="inlineStr">
        <is>
          <t>Нержавеющая сталь</t>
        </is>
      </c>
      <c r="K8" s="5" t="inlineStr"/>
      <c r="L8" s="5" t="inlineStr">
        <is>
          <t>межфланцевое</t>
        </is>
      </c>
      <c r="M8" s="5" t="inlineStr"/>
      <c r="N8" s="5" t="inlineStr"/>
      <c r="O8" s="5" t="inlineStr">
        <is>
          <t>любое</t>
        </is>
      </c>
      <c r="P8" s="5" t="inlineStr">
        <is>
          <t>Номинальный диаметр (DN), мм 150 Масса, кг, не более 8,3 Температура окружающей среды, °С от -30 до +70 A, мм 106 Рабочая среда Вода для систем отопления, ГВС, ХВС, гликолевые р-ры до 50%Вода для систем отопления, ГВС, ХВС, гликолевые р-ры до 50%.(жидкости группы 1 и 2 согласно ТР ТС 032/2013). Пружина AISI 316 Температура рабочей среды, °С от -25 до +240 Тип присоединения к трубопроводу Межфланцевое Корпус Корр.ст.сталь 316 (ASTM A351 CF8M) Направляющая AISI 316 C, мм 217 Затвор Корр.ст.сталь ASTM A351 CF8M Номинальное давление (PN),бар 40 Герметичность затвора (объем протечки/класс герметичности) ГОСТ9544, Класс G Давление открытия клапана, мм.в.ст. 360 Гидравлическая характеристика (KVs), м³/ч 250 P, мм 140</t>
        </is>
      </c>
      <c r="Q8" s="5" t="inlineStr">
        <is>
          <t>Строительная длинна, мм 106</t>
        </is>
      </c>
      <c r="R8" s="5" t="inlineStr">
        <is>
          <t>Каталожный № 082X8540R</t>
        </is>
      </c>
      <c r="S8" s="4" t="n">
        <v>1</v>
      </c>
      <c r="T8" s="5" t="inlineStr">
        <is>
          <t>шт</t>
        </is>
      </c>
      <c r="U8" s="6" t="inlineStr">
        <is>
          <t>NVD-812R Ду150 PN40 (082X8540R)</t>
        </is>
      </c>
      <c r="V8" s="6" t="inlineStr">
        <is>
          <t>ООО «Ридан»</t>
        </is>
      </c>
      <c r="W8" s="7" t="n"/>
      <c r="X8" s="7" t="n"/>
      <c r="Y8" s="7" t="n"/>
      <c r="Z8" s="7" t="n"/>
      <c r="AA8" s="7" t="n"/>
      <c r="AB8" s="7" t="n"/>
      <c r="AC8" s="7" t="n"/>
      <c r="AD8" s="8">
        <f>AC8*S8</f>
        <v/>
      </c>
      <c r="AE8" s="7" t="n"/>
      <c r="AF8" s="7" t="n"/>
      <c r="AG8" s="7" t="n"/>
      <c r="AH8" s="5" t="inlineStr">
        <is>
          <t>Запросить страну происхождения/РПП, L=106 мм.</t>
        </is>
      </c>
    </row>
    <row r="9" ht="60" customHeight="1">
      <c r="A9" s="4" t="n">
        <v>4</v>
      </c>
      <c r="B9" s="5" t="inlineStr">
        <is>
          <t>1.7/1</t>
        </is>
      </c>
      <c r="C9" s="5" t="inlineStr">
        <is>
          <t>АРТ-85 Ду 50 Ру 16 "после себя"</t>
        </is>
      </c>
      <c r="D9" s="5" t="inlineStr">
        <is>
          <t>-</t>
        </is>
      </c>
      <c r="E9" s="5" t="inlineStr">
        <is>
          <t>50</t>
        </is>
      </c>
      <c r="F9" s="5" t="inlineStr">
        <is>
          <t>-</t>
        </is>
      </c>
      <c r="G9" s="5" t="inlineStr">
        <is>
          <t>1.6</t>
        </is>
      </c>
      <c r="H9" s="5" t="inlineStr">
        <is>
          <t>для воды до +150°С, для газов до +80°С</t>
        </is>
      </c>
      <c r="I9" s="5" t="inlineStr">
        <is>
          <t>жидкая и газообразная, не агрессивная к применяемым материалам</t>
        </is>
      </c>
      <c r="J9" s="5" t="inlineStr">
        <is>
          <t>-</t>
        </is>
      </c>
      <c r="K9" s="5" t="inlineStr">
        <is>
          <t>-</t>
        </is>
      </c>
      <c r="L9" s="5" t="inlineStr">
        <is>
          <t>фланцевый</t>
        </is>
      </c>
      <c r="M9" s="5" t="inlineStr">
        <is>
          <t>-</t>
        </is>
      </c>
      <c r="N9" s="5" t="inlineStr">
        <is>
          <t>-</t>
        </is>
      </c>
      <c r="O9" s="5" t="inlineStr">
        <is>
          <t>"после себя"</t>
        </is>
      </c>
      <c r="P9" s="5" t="inlineStr">
        <is>
          <t>Условный диаметр Ду, мМ 50
Диапазон настройки давления на выходе регулятора, МПа (кгс/см2)	0,05…1,2 (0,5…12)
Коэффициент условной пропускной способности, Кvy, м3/ч	20	32
Зона пропорциональности, в % от верхнего предела настройки	0,05…1,2 (0,5…12)
Зона нечувствительности, в % от верхнего предела настройки	не более 4
Постоянная времени, с	не более 16
Минимальный перепад давления на клапанной тарели, МПа*	0,05 (0,5)
Рабочая среда	теплоноситель тепловых сетей, вода, воздух, газообразные среды, нейтральные к материалам контактирующих деталей
Условное давление рабочей среды Ру, МПа	1,6 (2,5; 4,0 — под заказ)
Температура рабочей среды, °С	+2…150 — вода, -10…+80 — газы</t>
        </is>
      </c>
      <c r="Q9" s="5" t="inlineStr">
        <is>
          <t>-</t>
        </is>
      </c>
      <c r="R9" s="5" t="inlineStr">
        <is>
          <t>-</t>
        </is>
      </c>
      <c r="S9" s="4" t="n">
        <v>1</v>
      </c>
      <c r="T9" s="5" t="inlineStr">
        <is>
          <t>шт</t>
        </is>
      </c>
      <c r="U9" s="6" t="inlineStr">
        <is>
          <t>АРТ-85 (у Ридан — регуляторы AFD/VFG, параметры не сверены)</t>
        </is>
      </c>
      <c r="V9" s="6" t="inlineStr">
        <is>
          <t>ООО «Ридан»</t>
        </is>
      </c>
      <c r="W9" s="7" t="n"/>
      <c r="X9" s="7" t="n"/>
      <c r="Y9" s="7" t="n"/>
      <c r="Z9" s="7" t="n"/>
      <c r="AA9" s="7" t="n"/>
      <c r="AB9" s="7" t="n"/>
      <c r="AC9" s="7" t="n"/>
      <c r="AD9" s="8">
        <f>AC9*S9</f>
        <v/>
      </c>
      <c r="AE9" s="7" t="n"/>
      <c r="AF9" s="7" t="n"/>
      <c r="AG9" s="7" t="n"/>
      <c r="AH9" s="5" t="inlineStr">
        <is>
          <t>Назначение Ридан не подтверждено каталогом — вернуть к ДЕНДОР (1.3/19), БАЗ КОП/ПТЗ 19с76нж (1.3/27); для 1.7/1 запросить у Ридан конкретную модель.</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2026-10-30T12:55:26Z</dcterms:created>
  <dcterms:modified xmlns:dcterms="http://purl.org/dc/terms/" xmlns:xsi="http://www.w3.org/2001/XMLSchema-instance" xsi:type="dcterms:W3CDTF">2026-10-30T12:55:26Z</dcterms:modified>
</cp:coreProperties>
</file>