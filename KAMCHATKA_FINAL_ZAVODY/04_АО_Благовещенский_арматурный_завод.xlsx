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2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АО «Благовещенский арматурный завод» (АО «БАЗ»)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1.1/1</t>
        </is>
      </c>
      <c r="C6" s="5" t="inlineStr">
        <is>
          <t>Клапан предохранительный 17лс17нж Ду 200-300  Ру 16-6 полноподъемный пружинный фланцевый</t>
        </is>
      </c>
      <c r="D6" s="5" t="inlineStr">
        <is>
          <t>ТУ 3742-001-09212465-2016; ГОСТ 5761-2005, ГОСТ 9544-2015, ГОСТ 16587-71, ГОСТ 356-80</t>
        </is>
      </c>
      <c r="E6" s="5" t="inlineStr">
        <is>
          <t>200</t>
        </is>
      </c>
      <c r="F6" s="5" t="inlineStr">
        <is>
          <t>стандарт</t>
        </is>
      </c>
      <c r="G6" s="5" t="inlineStr">
        <is>
          <t>1.6</t>
        </is>
      </c>
      <c r="H6" s="5" t="inlineStr">
        <is>
          <t>От -40 °C до +225°С</t>
        </is>
      </c>
      <c r="I6" s="5" t="inlineStr">
        <is>
          <t>Жидкая и газообразная в которой скорость коррозии сталей не превышает 0,1 мм/год</t>
        </is>
      </c>
      <c r="J6" s="5" t="inlineStr">
        <is>
          <t>Корпус — сталь 20ГЛ ГОСТ 977-88;  Крышка — ст.20</t>
        </is>
      </c>
      <c r="K6" s="5" t="inlineStr">
        <is>
          <t>У1</t>
        </is>
      </c>
      <c r="L6" s="5" t="inlineStr">
        <is>
          <t>фланец-фланец</t>
        </is>
      </c>
      <c r="M6" s="5" t="inlineStr">
        <is>
          <t>автоматическое/ручное</t>
        </is>
      </c>
      <c r="N6" s="5" t="inlineStr">
        <is>
          <t>Рукоятка</t>
        </is>
      </c>
      <c r="O6" s="5" t="inlineStr">
        <is>
          <t>вертикально, колпаком вверх с подачей среды под золотник</t>
        </is>
      </c>
      <c r="P6" s="5" t="inlineStr">
        <is>
          <t>Седло — ст.20Х13; Золотник — ст.30Х13, Шток — ст.20Х13, Пружина — 50ХФА или 51ХФА. Площадь седла F - 15836 мм2;</t>
        </is>
      </c>
      <c r="Q6" s="5" t="inlineStr">
        <is>
          <t>Строительная длина L/L1 мм — 280/320</t>
        </is>
      </c>
      <c r="R6" s="5" t="inlineStr"/>
      <c r="S6" s="4" t="n">
        <v>1</v>
      </c>
      <c r="T6" s="5" t="inlineStr">
        <is>
          <t>шт</t>
        </is>
      </c>
      <c r="U6" s="6" t="inlineStr">
        <is>
          <t>СППК4Р 200-16 лс (17лс17нж), корпус 20ГЛ</t>
        </is>
      </c>
      <c r="V6" s="6" t="inlineStr">
        <is>
          <t>АО «Благовещенский арматурный завод» (ИНН 0258001489)</t>
        </is>
      </c>
      <c r="W6" s="6" t="inlineStr">
        <is>
          <t>Россия</t>
        </is>
      </c>
      <c r="X6" s="6" t="inlineStr">
        <is>
          <t>10329690</t>
        </is>
      </c>
      <c r="Y6" s="6" t="inlineStr">
        <is>
          <t>16.09.2030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>
        <is>
          <t>Подтвердить материалы седла/золотника/штока/пружины (20Х13/30Х13/20Х13/50ХФА), крышка ст.20.</t>
        </is>
      </c>
    </row>
    <row r="7" ht="60" customHeight="1">
      <c r="A7" s="4" t="n">
        <v>2</v>
      </c>
      <c r="B7" s="5" t="inlineStr">
        <is>
          <t>1.1/11</t>
        </is>
      </c>
      <c r="C7" s="5" t="inlineStr">
        <is>
          <t>Задвижка 30С576НЖ Ду 300 Ру 63 с редуктором РК-Г-1М, в комплекте с крепежом и ответными фланцами.</t>
        </is>
      </c>
      <c r="D7" s="5" t="inlineStr">
        <is>
          <t>ГОСТ 9544-2015</t>
        </is>
      </c>
      <c r="E7" s="5" t="inlineStr">
        <is>
          <t>300</t>
        </is>
      </c>
      <c r="F7" s="5" t="inlineStr">
        <is>
          <t>стандарт</t>
        </is>
      </c>
      <c r="G7" s="5" t="inlineStr">
        <is>
          <t>6.3</t>
        </is>
      </c>
      <c r="H7" s="5" t="inlineStr">
        <is>
          <t>до +425</t>
        </is>
      </c>
      <c r="I7" s="5" t="inlineStr">
        <is>
          <t>жидкие и газообразные углеводороды, нефть, нефтепродукты, природный газ, газоконденсат, вода, пар, а так же другие агрессивные жидкости и газы, неагрессивные к примененным в задвижке клиновой материалам</t>
        </is>
      </c>
      <c r="J7" s="5" t="inlineStr">
        <is>
          <t>Сталь 25Л</t>
        </is>
      </c>
      <c r="K7" s="5" t="inlineStr">
        <is>
          <t>У1</t>
        </is>
      </c>
      <c r="L7" s="5" t="inlineStr">
        <is>
          <t>фланец -фланец под приварку</t>
        </is>
      </c>
      <c r="M7" s="5" t="inlineStr">
        <is>
          <t>редуктор РК-Г1</t>
        </is>
      </c>
      <c r="N7" s="5" t="inlineStr">
        <is>
          <t>РК-Г-1</t>
        </is>
      </c>
      <c r="O7" s="5" t="inlineStr">
        <is>
          <t>любое</t>
        </is>
      </c>
      <c r="P7" s="5" t="inlineStr">
        <is>
          <t>Корпус: сталь 25Л    Крышка: сталь 25Л Клин: сталь 25Л  Шпиндель: сталь 20Х13     Гайка шпинделя: латунь ЛС59    Гайка: сталь 45     Шпилька, болт: сталь 35ХМ     . Болт откидной: сталь 35ХМ      Прокладка: спирально-навитая     • 10. Набивка сальника: ТРГ     • 11. Редуктор: редуктор конический или цилиндрический     • 12. Подшипник: по ГОСТ 7872-89     • 13. Наплавка на кольце в корпусе: сталь 07Х25Н13   Наплавка на клине: сталь 13Х25Т</t>
        </is>
      </c>
      <c r="Q7" s="5" t="inlineStr"/>
      <c r="R7" s="5" t="inlineStr"/>
      <c r="S7" s="4" t="n">
        <v>2</v>
      </c>
      <c r="T7" s="5" t="inlineStr">
        <is>
          <t>шт</t>
        </is>
      </c>
      <c r="U7" s="6" t="inlineStr">
        <is>
          <t>Задвижки клиновые ЗК DN 50-800 PN 1,6-32,0 МПа</t>
        </is>
      </c>
      <c r="V7" s="6" t="inlineStr">
        <is>
          <t>АО «Благовещенский арматурный завод»</t>
        </is>
      </c>
      <c r="W7" s="6" t="inlineStr">
        <is>
          <t>Россия</t>
        </is>
      </c>
      <c r="X7" s="6" t="inlineStr">
        <is>
          <t>10306806</t>
        </is>
      </c>
      <c r="Y7" s="6" t="inlineStr">
        <is>
          <t>31.08.2028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/>
    </row>
    <row r="8" ht="60" customHeight="1">
      <c r="A8" s="4" t="n">
        <v>3</v>
      </c>
      <c r="B8" s="5" t="inlineStr">
        <is>
          <t>1.3/27</t>
        </is>
      </c>
      <c r="C8" s="5" t="inlineStr">
        <is>
          <t>Клапан обратный 19с76нж Ду 80 Ру 16</t>
        </is>
      </c>
      <c r="D8" s="5" t="inlineStr">
        <is>
          <t>ГОСТ 33423-2015</t>
        </is>
      </c>
      <c r="E8" s="5" t="inlineStr">
        <is>
          <t>80</t>
        </is>
      </c>
      <c r="F8" s="5" t="inlineStr">
        <is>
          <t>стандарт</t>
        </is>
      </c>
      <c r="G8" s="5" t="inlineStr">
        <is>
          <t>1.6</t>
        </is>
      </c>
      <c r="H8" s="5" t="inlineStr">
        <is>
          <t>до +425°С</t>
        </is>
      </c>
      <c r="I8" s="5" t="inlineStr">
        <is>
          <t>Вода</t>
        </is>
      </c>
      <c r="J8" s="5" t="inlineStr">
        <is>
          <t>Сталь 25Л</t>
        </is>
      </c>
      <c r="K8" s="5" t="inlineStr">
        <is>
          <t>У1</t>
        </is>
      </c>
      <c r="L8" s="5" t="inlineStr">
        <is>
          <t>фланец-фланец</t>
        </is>
      </c>
      <c r="M8" s="5" t="inlineStr">
        <is>
          <t>нет</t>
        </is>
      </c>
      <c r="N8" s="5" t="inlineStr"/>
      <c r="O8" s="5" t="inlineStr">
        <is>
          <t>любое</t>
        </is>
      </c>
      <c r="P8" s="5" t="inlineStr">
        <is>
          <t>Крышка  Ст.20 Захлопка  Ст. 20 Серьга  Ст.20Л-30Л Кронштейн, ось  Ст. 20Х13 Уплотнение затвора  Наплавленная коррозионно-стойкая сталь 08Х20Н9Г7Т</t>
        </is>
      </c>
      <c r="Q8" s="5" t="inlineStr"/>
      <c r="R8" s="5" t="inlineStr"/>
      <c r="S8" s="4" t="n">
        <v>1</v>
      </c>
      <c r="T8" s="5" t="inlineStr">
        <is>
          <t>шт</t>
        </is>
      </c>
      <c r="U8" s="6" t="inlineStr">
        <is>
          <t>КОП 80-16 (19с76нж), 20Л</t>
        </is>
      </c>
      <c r="V8" s="6" t="inlineStr">
        <is>
          <t>АО «Благовещенский арматурный завод» (ИНН 0258001489)</t>
        </is>
      </c>
      <c r="W8" s="6" t="inlineStr">
        <is>
          <t>Россия</t>
        </is>
      </c>
      <c r="X8" s="6" t="inlineStr">
        <is>
          <t>10329682</t>
        </is>
      </c>
      <c r="Y8" s="6" t="inlineStr">
        <is>
          <t>16.09.2030</t>
        </is>
      </c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>
        <is>
          <t>Подтвердить материалы деталей по ТЗ; согласовать 20Л вместо 25Л.</t>
        </is>
      </c>
    </row>
    <row r="9" ht="60" customHeight="1">
      <c r="A9" s="4" t="n">
        <v>4</v>
      </c>
      <c r="B9" s="5" t="inlineStr">
        <is>
          <t>1.3/28</t>
        </is>
      </c>
      <c r="C9" s="5" t="inlineStr">
        <is>
          <t>Клапан обратный 19с76нж Ду 100 Ру 16</t>
        </is>
      </c>
      <c r="D9" s="5" t="inlineStr">
        <is>
          <t>ГОСТ 33423-2015</t>
        </is>
      </c>
      <c r="E9" s="5" t="inlineStr">
        <is>
          <t>100</t>
        </is>
      </c>
      <c r="F9" s="5" t="inlineStr">
        <is>
          <t>стандарт</t>
        </is>
      </c>
      <c r="G9" s="5" t="inlineStr">
        <is>
          <t>1.6</t>
        </is>
      </c>
      <c r="H9" s="5" t="inlineStr">
        <is>
          <t>- до 425 ºC</t>
        </is>
      </c>
      <c r="I9" s="5" t="inlineStr">
        <is>
          <t>вода</t>
        </is>
      </c>
      <c r="J9" s="5" t="inlineStr">
        <is>
          <t>сталь 25Л, 20, 20Х13</t>
        </is>
      </c>
      <c r="K9" s="5" t="inlineStr">
        <is>
          <t>У1</t>
        </is>
      </c>
      <c r="L9" s="5" t="inlineStr">
        <is>
          <t>Фланец-фланец</t>
        </is>
      </c>
      <c r="M9" s="5" t="inlineStr">
        <is>
          <t>нет</t>
        </is>
      </c>
      <c r="N9" s="5" t="inlineStr"/>
      <c r="O9" s="5" t="inlineStr">
        <is>
          <t>на горизонтальном трубопроводе крышкой вверх; на вертикальном – входным патрубком вверх</t>
        </is>
      </c>
      <c r="P9" s="5" t="inlineStr"/>
      <c r="Q9" s="5" t="inlineStr"/>
      <c r="R9" s="5" t="inlineStr"/>
      <c r="S9" s="4" t="n">
        <v>2</v>
      </c>
      <c r="T9" s="5" t="inlineStr">
        <is>
          <t>шт</t>
        </is>
      </c>
      <c r="U9" s="6" t="inlineStr">
        <is>
          <t>КОП 100-16 (19с76нж), 20Л</t>
        </is>
      </c>
      <c r="V9" s="6" t="inlineStr">
        <is>
          <t>АО «Благовещенский арматурный завод» (ИНН 0258001489)</t>
        </is>
      </c>
      <c r="W9" s="6" t="inlineStr">
        <is>
          <t>Россия</t>
        </is>
      </c>
      <c r="X9" s="6" t="inlineStr">
        <is>
          <t>10329682</t>
        </is>
      </c>
      <c r="Y9" s="6" t="inlineStr">
        <is>
          <t>16.09.2030</t>
        </is>
      </c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>
        <is>
          <t>Подтвердить материалы деталей по ТЗ; согласовать 20Л вместо 25Л.</t>
        </is>
      </c>
    </row>
    <row r="10" ht="60" customHeight="1">
      <c r="A10" s="4" t="n">
        <v>5</v>
      </c>
      <c r="B10" s="5" t="inlineStr">
        <is>
          <t>1.3/29</t>
        </is>
      </c>
      <c r="C10" s="5" t="inlineStr">
        <is>
          <t>Клапан обратный 19с76нж Ду 50 Ру 16</t>
        </is>
      </c>
      <c r="D10" s="5" t="inlineStr">
        <is>
          <t>ГОСТ 33423-2015</t>
        </is>
      </c>
      <c r="E10" s="5" t="inlineStr">
        <is>
          <t>50</t>
        </is>
      </c>
      <c r="F10" s="5" t="inlineStr">
        <is>
          <t>стандарт</t>
        </is>
      </c>
      <c r="G10" s="5" t="inlineStr">
        <is>
          <t>1.6</t>
        </is>
      </c>
      <c r="H10" s="5" t="inlineStr">
        <is>
          <t>- до 425 ºC</t>
        </is>
      </c>
      <c r="I10" s="5" t="inlineStr">
        <is>
          <t>вода</t>
        </is>
      </c>
      <c r="J10" s="5" t="inlineStr">
        <is>
          <t>сталь 25Л, 20, 20Х13</t>
        </is>
      </c>
      <c r="K10" s="5" t="inlineStr">
        <is>
          <t>У1</t>
        </is>
      </c>
      <c r="L10" s="5" t="inlineStr">
        <is>
          <t>Фланец-фланец</t>
        </is>
      </c>
      <c r="M10" s="5" t="inlineStr">
        <is>
          <t>нет</t>
        </is>
      </c>
      <c r="N10" s="5" t="inlineStr"/>
      <c r="O10" s="5" t="inlineStr">
        <is>
          <t>на горизонтальном трубопроводе крышкой вверх; на вертикальном – входным патрубком вверх</t>
        </is>
      </c>
      <c r="P10" s="5" t="inlineStr">
        <is>
          <t>Крышка  Ст.20 Захлопка  Ст. 20 Серьга  Ст.20Л-30Л Кронштейн, ось  Ст. 20Х13 Уплотнение затвора  Наплавленная коррозионно-стойкая сталь 08Х20Н9Г7Т</t>
        </is>
      </c>
      <c r="Q10" s="5" t="inlineStr"/>
      <c r="R10" s="5" t="inlineStr"/>
      <c r="S10" s="4" t="n">
        <v>2</v>
      </c>
      <c r="T10" s="5" t="inlineStr">
        <is>
          <t>шт</t>
        </is>
      </c>
      <c r="U10" s="6" t="inlineStr">
        <is>
          <t>КОП 50-16 (19с76нж), 20Л</t>
        </is>
      </c>
      <c r="V10" s="6" t="inlineStr">
        <is>
          <t>АО «Благовещенский арматурный завод» (ИНН 0258001489)</t>
        </is>
      </c>
      <c r="W10" s="6" t="inlineStr">
        <is>
          <t>Россия</t>
        </is>
      </c>
      <c r="X10" s="6" t="inlineStr">
        <is>
          <t>10329682</t>
        </is>
      </c>
      <c r="Y10" s="6" t="inlineStr">
        <is>
          <t>16.09.2030</t>
        </is>
      </c>
      <c r="Z10" s="7" t="n"/>
      <c r="AA10" s="7" t="n"/>
      <c r="AB10" s="7" t="n"/>
      <c r="AC10" s="7" t="n"/>
      <c r="AD10" s="8">
        <f>AC10*S10</f>
        <v/>
      </c>
      <c r="AE10" s="7" t="n"/>
      <c r="AF10" s="7" t="n"/>
      <c r="AG10" s="7" t="n"/>
      <c r="AH10" s="5" t="inlineStr">
        <is>
          <t>Подтвердить материалы деталей по ТЗ; согласовать 20Л вместо 25Л.</t>
        </is>
      </c>
    </row>
    <row r="11" ht="60" customHeight="1">
      <c r="A11" s="4" t="n">
        <v>6</v>
      </c>
      <c r="B11" s="5" t="inlineStr">
        <is>
          <t>1.3/41</t>
        </is>
      </c>
      <c r="C11" s="5" t="inlineStr">
        <is>
          <t>Клапан ВДХ Ду 80 Ру 10</t>
        </is>
      </c>
      <c r="D11" s="5" t="inlineStr">
        <is>
          <t>Класс герметичности по ГОСТ 54808"А"</t>
        </is>
      </c>
      <c r="E11" s="5" t="inlineStr">
        <is>
          <t>80</t>
        </is>
      </c>
      <c r="F11" s="5" t="inlineStr">
        <is>
          <t>стандарт</t>
        </is>
      </c>
      <c r="G11" s="5" t="inlineStr">
        <is>
          <t>1.6</t>
        </is>
      </c>
      <c r="H11" s="5" t="inlineStr">
        <is>
          <t>До + 60°С</t>
        </is>
      </c>
      <c r="I11" s="5" t="inlineStr">
        <is>
          <t>Вода; раствор NaOH 30%; Н2SO4 93%</t>
        </is>
      </c>
      <c r="J11" s="5" t="inlineStr">
        <is>
          <t>углеродистая сталь</t>
        </is>
      </c>
      <c r="K11" s="5" t="inlineStr">
        <is>
          <t>У</t>
        </is>
      </c>
      <c r="L11" s="5" t="inlineStr">
        <is>
          <t>Присоединение фланцевое по ГОСТ 12815-80</t>
        </is>
      </c>
      <c r="M11" s="5" t="inlineStr">
        <is>
          <t>Ручное</t>
        </is>
      </c>
      <c r="N11" s="5" t="inlineStr">
        <is>
          <t>маховик</t>
        </is>
      </c>
      <c r="O11" s="5" t="inlineStr">
        <is>
          <t>-</t>
        </is>
      </c>
      <c r="P11" s="5" t="inlineStr">
        <is>
          <t>Материал защитного покрытия-фторопласт Ф-4МБ. Мембраны-фторопласт</t>
        </is>
      </c>
      <c r="Q11" s="5" t="inlineStr">
        <is>
          <t>строительная длина  310 мм</t>
        </is>
      </c>
      <c r="R11" s="5" t="inlineStr"/>
      <c r="S11" s="4" t="n">
        <v>2</v>
      </c>
      <c r="T11" s="5" t="inlineStr">
        <is>
          <t>шт</t>
        </is>
      </c>
      <c r="U11" s="6" t="inlineStr">
        <is>
          <t>ВДХ — в каталоге БАЗ нет</t>
        </is>
      </c>
      <c r="V11" s="6" t="inlineStr">
        <is>
          <t>АО «Благовещенский арматурный завод»</t>
        </is>
      </c>
      <c r="W11" s="7" t="n"/>
      <c r="X11" s="7" t="n"/>
      <c r="Y11" s="7" t="n"/>
      <c r="Z11" s="7" t="n"/>
      <c r="AA11" s="7" t="n"/>
      <c r="AB11" s="7" t="n"/>
      <c r="AC11" s="7" t="n"/>
      <c r="AD11" s="8">
        <f>AC11*S11</f>
        <v/>
      </c>
      <c r="AE11" s="7" t="n"/>
      <c r="AF11" s="7" t="n"/>
      <c r="AG11" s="7" t="n"/>
      <c r="AH11" s="5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12" ht="60" customHeight="1">
      <c r="A12" s="4" t="n">
        <v>7</v>
      </c>
      <c r="B12" s="5" t="inlineStr">
        <is>
          <t>1.3/42</t>
        </is>
      </c>
      <c r="C12" s="5" t="inlineStr">
        <is>
          <t>Клапан диафрагменный химический ВДХ Ду 150 Ру 16</t>
        </is>
      </c>
      <c r="D12" s="5" t="inlineStr">
        <is>
          <t>Класс герметичности по ГОСТ 54808"А"</t>
        </is>
      </c>
      <c r="E12" s="5" t="inlineStr">
        <is>
          <t>150</t>
        </is>
      </c>
      <c r="F12" s="5" t="inlineStr">
        <is>
          <t>стандарт</t>
        </is>
      </c>
      <c r="G12" s="5" t="inlineStr">
        <is>
          <t>1.6</t>
        </is>
      </c>
      <c r="H12" s="5" t="inlineStr">
        <is>
          <t>До + 60°С</t>
        </is>
      </c>
      <c r="I12" s="5" t="inlineStr">
        <is>
          <t>Вода; раствор NaOH 30%; Н2SO4 93%</t>
        </is>
      </c>
      <c r="J12" s="5" t="inlineStr">
        <is>
          <t>углеродистая сталь</t>
        </is>
      </c>
      <c r="K12" s="5" t="inlineStr">
        <is>
          <t>У</t>
        </is>
      </c>
      <c r="L12" s="5" t="inlineStr">
        <is>
          <t>Присоединение фланцевое по ГОСТ 12815-80</t>
        </is>
      </c>
      <c r="M12" s="5" t="inlineStr">
        <is>
          <t>Ручное</t>
        </is>
      </c>
      <c r="N12" s="5" t="inlineStr">
        <is>
          <t>маховик</t>
        </is>
      </c>
      <c r="O12" s="5" t="inlineStr">
        <is>
          <t>-</t>
        </is>
      </c>
      <c r="P12" s="5" t="inlineStr">
        <is>
          <t>Материал защитного покрытия-фторопласт Ф-4МБ. Мембраны-фторопласт</t>
        </is>
      </c>
      <c r="Q12" s="5" t="inlineStr">
        <is>
          <t>строительная длина  460 мм</t>
        </is>
      </c>
      <c r="R12" s="5" t="inlineStr"/>
      <c r="S12" s="4" t="n">
        <v>1</v>
      </c>
      <c r="T12" s="5" t="inlineStr">
        <is>
          <t>шт</t>
        </is>
      </c>
      <c r="U12" s="6" t="inlineStr">
        <is>
          <t>ВДХ — в каталоге БАЗ нет</t>
        </is>
      </c>
      <c r="V12" s="6" t="inlineStr">
        <is>
          <t>АО «Благовещенский арматурный завод»</t>
        </is>
      </c>
      <c r="W12" s="7" t="n"/>
      <c r="X12" s="7" t="n"/>
      <c r="Y12" s="7" t="n"/>
      <c r="Z12" s="7" t="n"/>
      <c r="AA12" s="7" t="n"/>
      <c r="AB12" s="7" t="n"/>
      <c r="AC12" s="7" t="n"/>
      <c r="AD12" s="8">
        <f>AC12*S12</f>
        <v/>
      </c>
      <c r="AE12" s="7" t="n"/>
      <c r="AF12" s="7" t="n"/>
      <c r="AG12" s="7" t="n"/>
      <c r="AH12" s="5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13" ht="60" customHeight="1">
      <c r="A13" s="4" t="n">
        <v>8</v>
      </c>
      <c r="B13" s="5" t="inlineStr">
        <is>
          <t>1.3/43</t>
        </is>
      </c>
      <c r="C13" s="5" t="inlineStr">
        <is>
          <t>Клапан диафрагменный химический ВДХ Ду 50, Ру 16</t>
        </is>
      </c>
      <c r="D13" s="5" t="inlineStr">
        <is>
          <t>Класс герметичности по ГОСТ 54808"А"</t>
        </is>
      </c>
      <c r="E13" s="5" t="inlineStr">
        <is>
          <t>50</t>
        </is>
      </c>
      <c r="F13" s="5" t="inlineStr">
        <is>
          <t>стандарт</t>
        </is>
      </c>
      <c r="G13" s="5" t="inlineStr">
        <is>
          <t>1.6</t>
        </is>
      </c>
      <c r="H13" s="5" t="inlineStr">
        <is>
          <t>от -50 до +150°С</t>
        </is>
      </c>
      <c r="I13" s="5" t="inlineStr">
        <is>
          <t>любые жидкие реагенты и химические среды.</t>
        </is>
      </c>
      <c r="J13" s="5" t="inlineStr">
        <is>
          <t>углеродистая сталь</t>
        </is>
      </c>
      <c r="K13" s="5" t="inlineStr">
        <is>
          <t>У</t>
        </is>
      </c>
      <c r="L13" s="5" t="inlineStr">
        <is>
          <t>Присоединение фланцевое по ГОСТ 12815-80</t>
        </is>
      </c>
      <c r="M13" s="5" t="inlineStr">
        <is>
          <t>Ручное</t>
        </is>
      </c>
      <c r="N13" s="5" t="inlineStr">
        <is>
          <t>маховик</t>
        </is>
      </c>
      <c r="O13" s="5" t="inlineStr">
        <is>
          <t>-</t>
        </is>
      </c>
      <c r="P13" s="5" t="inlineStr">
        <is>
          <t>Материал защитного покрытия-фторопласт Ф-4МБ. Мембраны-фторопласт</t>
        </is>
      </c>
      <c r="Q13" s="5" t="inlineStr">
        <is>
          <t>строительная длина  210 мм,</t>
        </is>
      </c>
      <c r="R13" s="5" t="inlineStr"/>
      <c r="S13" s="4" t="n">
        <v>1</v>
      </c>
      <c r="T13" s="5" t="inlineStr">
        <is>
          <t>шт</t>
        </is>
      </c>
      <c r="U13" s="6" t="inlineStr">
        <is>
          <t>ВДХ — в каталоге БАЗ нет</t>
        </is>
      </c>
      <c r="V13" s="6" t="inlineStr">
        <is>
          <t>АО «Благовещенский арматурный завод»</t>
        </is>
      </c>
      <c r="W13" s="7" t="n"/>
      <c r="X13" s="7" t="n"/>
      <c r="Y13" s="7" t="n"/>
      <c r="Z13" s="7" t="n"/>
      <c r="AA13" s="7" t="n"/>
      <c r="AB13" s="7" t="n"/>
      <c r="AC13" s="7" t="n"/>
      <c r="AD13" s="8">
        <f>AC13*S13</f>
        <v/>
      </c>
      <c r="AE13" s="7" t="n"/>
      <c r="AF13" s="7" t="n"/>
      <c r="AG13" s="7" t="n"/>
      <c r="AH13" s="5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14" ht="60" customHeight="1">
      <c r="A14" s="4" t="n">
        <v>9</v>
      </c>
      <c r="B14" s="5" t="inlineStr">
        <is>
          <t>1.3/44</t>
        </is>
      </c>
      <c r="C14" s="5" t="inlineStr">
        <is>
          <t>Клапан диафрагменный химический ВДХ Ду 80 Ру 16</t>
        </is>
      </c>
      <c r="D14" s="5" t="inlineStr">
        <is>
          <t>Класс герметичности по ГОСТ 54808"А"</t>
        </is>
      </c>
      <c r="E14" s="5" t="inlineStr">
        <is>
          <t>80</t>
        </is>
      </c>
      <c r="F14" s="5" t="inlineStr">
        <is>
          <t>стандарт</t>
        </is>
      </c>
      <c r="G14" s="5" t="inlineStr">
        <is>
          <t>1.6</t>
        </is>
      </c>
      <c r="H14" s="5" t="inlineStr">
        <is>
          <t>от -50 до +150°С</t>
        </is>
      </c>
      <c r="I14" s="5" t="inlineStr">
        <is>
          <t>любые жидкие реагенты и химические среды.</t>
        </is>
      </c>
      <c r="J14" s="5" t="inlineStr">
        <is>
          <t>углеродистая сталь</t>
        </is>
      </c>
      <c r="K14" s="5" t="inlineStr">
        <is>
          <t>У</t>
        </is>
      </c>
      <c r="L14" s="5" t="inlineStr">
        <is>
          <t>Присоединение фланцевое по ГОСТ 12815-80</t>
        </is>
      </c>
      <c r="M14" s="5" t="inlineStr">
        <is>
          <t>Ручное</t>
        </is>
      </c>
      <c r="N14" s="5" t="inlineStr">
        <is>
          <t>маховик</t>
        </is>
      </c>
      <c r="O14" s="5" t="inlineStr">
        <is>
          <t>-</t>
        </is>
      </c>
      <c r="P14" s="5" t="inlineStr">
        <is>
          <t>Материал защитного покрытия-фторопласт Ф-4МБ. Мембраны-фторопласт</t>
        </is>
      </c>
      <c r="Q14" s="5" t="inlineStr">
        <is>
          <t>строительная длина  310 мм,</t>
        </is>
      </c>
      <c r="R14" s="5" t="inlineStr"/>
      <c r="S14" s="4" t="n">
        <v>3</v>
      </c>
      <c r="T14" s="5" t="inlineStr">
        <is>
          <t>шт</t>
        </is>
      </c>
      <c r="U14" s="6" t="inlineStr">
        <is>
          <t>ВДХ — в каталоге БАЗ нет</t>
        </is>
      </c>
      <c r="V14" s="6" t="inlineStr">
        <is>
          <t>АО «Благовещенский арматурный завод»</t>
        </is>
      </c>
      <c r="W14" s="7" t="n"/>
      <c r="X14" s="7" t="n"/>
      <c r="Y14" s="7" t="n"/>
      <c r="Z14" s="7" t="n"/>
      <c r="AA14" s="7" t="n"/>
      <c r="AB14" s="7" t="n"/>
      <c r="AC14" s="7" t="n"/>
      <c r="AD14" s="8">
        <f>AC14*S14</f>
        <v/>
      </c>
      <c r="AE14" s="7" t="n"/>
      <c r="AF14" s="7" t="n"/>
      <c r="AG14" s="7" t="n"/>
      <c r="AH14" s="5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15" ht="60" customHeight="1">
      <c r="A15" s="4" t="n">
        <v>10</v>
      </c>
      <c r="B15" s="5" t="inlineStr">
        <is>
          <t>1.3/67</t>
        </is>
      </c>
      <c r="C15" s="5" t="inlineStr">
        <is>
          <t>Клапан запорный 15ч93эм Ду 20 Ру 16</t>
        </is>
      </c>
      <c r="D15" s="5" t="inlineStr">
        <is>
          <t>ТУ 26-07-1051-84</t>
        </is>
      </c>
      <c r="E15" s="5" t="inlineStr">
        <is>
          <t>20</t>
        </is>
      </c>
      <c r="F15" s="5" t="inlineStr">
        <is>
          <t>стандарт</t>
        </is>
      </c>
      <c r="G15" s="5" t="inlineStr">
        <is>
          <t>1.6</t>
        </is>
      </c>
      <c r="H15" s="5" t="inlineStr">
        <is>
          <t>От -15°С до +120°С</t>
        </is>
      </c>
      <c r="I15" s="5" t="inlineStr">
        <is>
          <t>Агрессивная</t>
        </is>
      </c>
      <c r="J15" s="5" t="inlineStr">
        <is>
          <t>Серый чугун СЧ18</t>
        </is>
      </c>
      <c r="K15" s="5" t="inlineStr">
        <is>
          <t>УХЛ4</t>
        </is>
      </c>
      <c r="L15" s="5" t="inlineStr">
        <is>
          <t>фланец-фланец</t>
        </is>
      </c>
      <c r="M15" s="5" t="inlineStr">
        <is>
          <t>ручное</t>
        </is>
      </c>
      <c r="N15" s="5" t="inlineStr">
        <is>
          <t>маховик</t>
        </is>
      </c>
      <c r="O15" s="5" t="inlineStr">
        <is>
          <t>любое</t>
        </is>
      </c>
      <c r="P15" s="5" t="inlineStr">
        <is>
          <t>Корпус: чугун.
Крышка: чугун.
Шпиндель: сталь.
Крестовина: чугун.
Диафрагма: фторопласт-4.</t>
        </is>
      </c>
      <c r="Q15" s="5" t="inlineStr">
        <is>
          <t>L-150мм, Н-146мм</t>
        </is>
      </c>
      <c r="R15" s="5" t="inlineStr"/>
      <c r="S15" s="4" t="n">
        <v>2</v>
      </c>
      <c r="T15" s="5" t="inlineStr">
        <is>
          <t>шт</t>
        </is>
      </c>
      <c r="U15" s="6" t="inlineStr">
        <is>
          <t>15ч93эм — в каталоге БАЗ нет</t>
        </is>
      </c>
      <c r="V15" s="6" t="inlineStr">
        <is>
          <t>АО «Благовещенский арматурный завод»</t>
        </is>
      </c>
      <c r="W15" s="7" t="n"/>
      <c r="X15" s="7" t="n"/>
      <c r="Y15" s="7" t="n"/>
      <c r="Z15" s="7" t="n"/>
      <c r="AA15" s="7" t="n"/>
      <c r="AB15" s="7" t="n"/>
      <c r="AC15" s="7" t="n"/>
      <c r="AD15" s="8">
        <f>AC15*S15</f>
        <v/>
      </c>
      <c r="AE15" s="7" t="n"/>
      <c r="AF15" s="7" t="n"/>
      <c r="AG15" s="7" t="n"/>
      <c r="AH15" s="5" t="inlineStr">
        <is>
          <t>БАЗ не выпускает 15ч93эм по каталогу — запросить, будет ли изготовление; иначе снять назначение (см. альтернативы).</t>
        </is>
      </c>
    </row>
    <row r="16" ht="60" customHeight="1">
      <c r="A16" s="4" t="n">
        <v>11</v>
      </c>
      <c r="B16" s="5" t="inlineStr">
        <is>
          <t>1.3/73</t>
        </is>
      </c>
      <c r="C16" s="5" t="inlineStr">
        <is>
          <t>Задвижка 30с41нж Ду 50 Ру 16</t>
        </is>
      </c>
      <c r="D16" s="5" t="inlineStr">
        <is>
          <t>ТУ 3700-033-96455923-2014</t>
        </is>
      </c>
      <c r="E16" s="5" t="inlineStr">
        <is>
          <t>50</t>
        </is>
      </c>
      <c r="F16" s="5" t="inlineStr">
        <is>
          <t>стандарт</t>
        </is>
      </c>
      <c r="G16" s="5" t="inlineStr">
        <is>
          <t>1.6</t>
        </is>
      </c>
      <c r="H16" s="5" t="inlineStr">
        <is>
          <t>от -40 до + 450</t>
        </is>
      </c>
      <c r="I16" s="5" t="inlineStr">
        <is>
          <t>Вода</t>
        </is>
      </c>
      <c r="J16" s="5" t="inlineStr">
        <is>
          <t>Сталь 25 Л</t>
        </is>
      </c>
      <c r="K16" s="5" t="inlineStr">
        <is>
          <t>У1</t>
        </is>
      </c>
      <c r="L16" s="5" t="inlineStr">
        <is>
          <t>фланец-фланец по ГОСТ 33259-2015</t>
        </is>
      </c>
      <c r="M16" s="5" t="inlineStr">
        <is>
          <t>Ручное</t>
        </is>
      </c>
      <c r="N16" s="5" t="inlineStr">
        <is>
          <t>штурвал</t>
        </is>
      </c>
      <c r="O16" s="5" t="inlineStr">
        <is>
          <t>Любое</t>
        </is>
      </c>
      <c r="P16" s="5" t="inlineStr">
        <is>
          <t>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кольце в корпусе: 07Х25Н13, 08Х21Н10Г6 Наплавка на клине: 13Х25Т, 10Х17Т</t>
        </is>
      </c>
      <c r="Q16" s="5" t="inlineStr">
        <is>
          <t>180 *281</t>
        </is>
      </c>
      <c r="R16" s="5" t="inlineStr"/>
      <c r="S16" s="4" t="n">
        <v>6</v>
      </c>
      <c r="T16" s="5" t="inlineStr">
        <is>
          <t>шт</t>
        </is>
      </c>
      <c r="U16" s="6" t="inlineStr">
        <is>
          <t>Задвижки клиновые литые ЗКЛ2, ЗКЛП DN50-1400 PN 1,6-25,0 МПа</t>
        </is>
      </c>
      <c r="V16" s="6" t="inlineStr">
        <is>
          <t>АО «Благовещенский арматурный завод»</t>
        </is>
      </c>
      <c r="W16" s="6" t="inlineStr">
        <is>
          <t>Россия</t>
        </is>
      </c>
      <c r="X16" s="6" t="inlineStr">
        <is>
          <t>10306805</t>
        </is>
      </c>
      <c r="Y16" s="6" t="inlineStr">
        <is>
          <t>31.08.2028</t>
        </is>
      </c>
      <c r="Z16" s="7" t="n"/>
      <c r="AA16" s="7" t="n"/>
      <c r="AB16" s="7" t="n"/>
      <c r="AC16" s="7" t="n"/>
      <c r="AD16" s="8">
        <f>AC16*S16</f>
        <v/>
      </c>
      <c r="AE16" s="7" t="n"/>
      <c r="AF16" s="7" t="n"/>
      <c r="AG16" s="7" t="n"/>
      <c r="AH16" s="5" t="inlineStr"/>
    </row>
    <row r="17" ht="60" customHeight="1">
      <c r="A17" s="4" t="n">
        <v>12</v>
      </c>
      <c r="B17" s="5" t="inlineStr">
        <is>
          <t>1.3/75</t>
        </is>
      </c>
      <c r="C17" s="5" t="inlineStr">
        <is>
          <t>Задвижка 30с41нж Ду 100 Ру 16</t>
        </is>
      </c>
      <c r="D17" s="5" t="inlineStr">
        <is>
          <t>ТУ 3700-033-96455923-2014</t>
        </is>
      </c>
      <c r="E17" s="5" t="inlineStr">
        <is>
          <t>100</t>
        </is>
      </c>
      <c r="F17" s="5" t="inlineStr">
        <is>
          <t>стандарт</t>
        </is>
      </c>
      <c r="G17" s="5" t="inlineStr">
        <is>
          <t>1.6</t>
        </is>
      </c>
      <c r="H17" s="5" t="inlineStr">
        <is>
          <t>от -40 до + 450</t>
        </is>
      </c>
      <c r="I17" s="5" t="inlineStr">
        <is>
          <t>вода, пар</t>
        </is>
      </c>
      <c r="J17" s="5" t="inlineStr">
        <is>
          <t>Сталь 25 Л</t>
        </is>
      </c>
      <c r="K17" s="5" t="inlineStr">
        <is>
          <t>У1</t>
        </is>
      </c>
      <c r="L17" s="5" t="inlineStr">
        <is>
          <t>фланец-фланец по ГОСТ 33259-2015</t>
        </is>
      </c>
      <c r="M17" s="5" t="inlineStr">
        <is>
          <t>Ручное</t>
        </is>
      </c>
      <c r="N17" s="5" t="inlineStr">
        <is>
          <t>Рукоятка</t>
        </is>
      </c>
      <c r="O17" s="5" t="inlineStr">
        <is>
          <t>Любое</t>
        </is>
      </c>
      <c r="P17" s="5" t="inlineStr">
        <is>
          <t>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кольце в корпусе: 07Х25Н13, 08Х21Н10Г6 Наплавка на клине: 13Х25Т, 10Х17Т</t>
        </is>
      </c>
      <c r="Q17" s="5" t="inlineStr">
        <is>
          <t>230 * 385</t>
        </is>
      </c>
      <c r="R17" s="5" t="inlineStr"/>
      <c r="S17" s="4" t="n">
        <v>2</v>
      </c>
      <c r="T17" s="5" t="inlineStr">
        <is>
          <t>шт</t>
        </is>
      </c>
      <c r="U17" s="6" t="inlineStr">
        <is>
          <t>Задвижки клиновые литые ЗКЛ2, ЗКЛП DN50-1400 PN 1,6-25,0 МПа</t>
        </is>
      </c>
      <c r="V17" s="6" t="inlineStr">
        <is>
          <t>АО «Благовещенский арматурный завод»</t>
        </is>
      </c>
      <c r="W17" s="6" t="inlineStr">
        <is>
          <t>Россия</t>
        </is>
      </c>
      <c r="X17" s="6" t="inlineStr">
        <is>
          <t>10306805</t>
        </is>
      </c>
      <c r="Y17" s="6" t="inlineStr">
        <is>
          <t>31.08.2028</t>
        </is>
      </c>
      <c r="Z17" s="7" t="n"/>
      <c r="AA17" s="7" t="n"/>
      <c r="AB17" s="7" t="n"/>
      <c r="AC17" s="7" t="n"/>
      <c r="AD17" s="8">
        <f>AC17*S17</f>
        <v/>
      </c>
      <c r="AE17" s="7" t="n"/>
      <c r="AF17" s="7" t="n"/>
      <c r="AG17" s="7" t="n"/>
      <c r="AH17" s="5" t="inlineStr"/>
    </row>
    <row r="18" ht="60" customHeight="1">
      <c r="A18" s="4" t="n">
        <v>13</v>
      </c>
      <c r="B18" s="5" t="inlineStr">
        <is>
          <t>1.3/76</t>
        </is>
      </c>
      <c r="C18" s="5" t="inlineStr">
        <is>
          <t>Задвижка 30с41нж Ду 150 Ру 16</t>
        </is>
      </c>
      <c r="D18" s="5" t="inlineStr">
        <is>
          <t>ТУ 3700-033-96455923-2014</t>
        </is>
      </c>
      <c r="E18" s="5" t="inlineStr">
        <is>
          <t>150</t>
        </is>
      </c>
      <c r="F18" s="5" t="inlineStr">
        <is>
          <t>стандарт</t>
        </is>
      </c>
      <c r="G18" s="5" t="inlineStr">
        <is>
          <t>1.6</t>
        </is>
      </c>
      <c r="H18" s="5" t="inlineStr">
        <is>
          <t>от -40 до + 450</t>
        </is>
      </c>
      <c r="I18" s="5" t="inlineStr">
        <is>
          <t>вода, пар</t>
        </is>
      </c>
      <c r="J18" s="5" t="inlineStr">
        <is>
          <t>Сталь 25 Л</t>
        </is>
      </c>
      <c r="K18" s="5" t="inlineStr">
        <is>
          <t>У1</t>
        </is>
      </c>
      <c r="L18" s="5" t="inlineStr">
        <is>
          <t>фланец-фланец по ГОСТ 33259-2015</t>
        </is>
      </c>
      <c r="M18" s="5" t="inlineStr">
        <is>
          <t>Ручное</t>
        </is>
      </c>
      <c r="N18" s="5" t="inlineStr">
        <is>
          <t>штурвал</t>
        </is>
      </c>
      <c r="O18" s="5" t="inlineStr">
        <is>
          <t>Любое</t>
        </is>
      </c>
      <c r="P18" s="5" t="inlineStr">
        <is>
          <t>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кольце в корпусе: 07Х25Н13, 08Х21Н10Г6 Наплавка на клине: 13Х25Т, 10Х17Т</t>
        </is>
      </c>
      <c r="Q18" s="5" t="inlineStr">
        <is>
          <t>280 * 576</t>
        </is>
      </c>
      <c r="R18" s="5" t="inlineStr"/>
      <c r="S18" s="4" t="n">
        <v>5</v>
      </c>
      <c r="T18" s="5" t="inlineStr">
        <is>
          <t>шт</t>
        </is>
      </c>
      <c r="U18" s="6" t="inlineStr">
        <is>
          <t>Задвижки клиновые литые ЗКЛ2, ЗКЛП DN50-1400 PN 1,6-25,0 МПа</t>
        </is>
      </c>
      <c r="V18" s="6" t="inlineStr">
        <is>
          <t>АО «Благовещенский арматурный завод»</t>
        </is>
      </c>
      <c r="W18" s="6" t="inlineStr">
        <is>
          <t>Россия</t>
        </is>
      </c>
      <c r="X18" s="6" t="inlineStr">
        <is>
          <t>10306805</t>
        </is>
      </c>
      <c r="Y18" s="6" t="inlineStr">
        <is>
          <t>31.08.2028</t>
        </is>
      </c>
      <c r="Z18" s="7" t="n"/>
      <c r="AA18" s="7" t="n"/>
      <c r="AB18" s="7" t="n"/>
      <c r="AC18" s="7" t="n"/>
      <c r="AD18" s="8">
        <f>AC18*S18</f>
        <v/>
      </c>
      <c r="AE18" s="7" t="n"/>
      <c r="AF18" s="7" t="n"/>
      <c r="AG18" s="7" t="n"/>
      <c r="AH18" s="5" t="inlineStr"/>
    </row>
    <row r="19" ht="60" customHeight="1">
      <c r="A19" s="4" t="n">
        <v>14</v>
      </c>
      <c r="B19" s="5" t="inlineStr">
        <is>
          <t>1.3/85</t>
        </is>
      </c>
      <c r="C19" s="5" t="inlineStr">
        <is>
          <t>Задвижка 30с76нж Ду 200 Ру 63</t>
        </is>
      </c>
      <c r="D19" s="5" t="inlineStr">
        <is>
          <t>ГОСТ 5762-2002</t>
        </is>
      </c>
      <c r="E19" s="5" t="inlineStr">
        <is>
          <t>200</t>
        </is>
      </c>
      <c r="F19" s="5" t="inlineStr">
        <is>
          <t>стандарт</t>
        </is>
      </c>
      <c r="G19" s="5" t="inlineStr">
        <is>
          <t>6.3</t>
        </is>
      </c>
      <c r="H19" s="5" t="inlineStr">
        <is>
          <t>от -40 до + 425</t>
        </is>
      </c>
      <c r="I19" s="5" t="inlineStr">
        <is>
          <t>вода, пар, нефть, природный газ, жидкие и газообразные неагрессивные нефтепродукты</t>
        </is>
      </c>
      <c r="J19" s="5" t="inlineStr">
        <is>
          <t>сталь 25Л</t>
        </is>
      </c>
      <c r="K19" s="5" t="inlineStr">
        <is>
          <t>У1</t>
        </is>
      </c>
      <c r="L19" s="5" t="inlineStr">
        <is>
          <t>фланец-фланец</t>
        </is>
      </c>
      <c r="M19" s="5" t="inlineStr">
        <is>
          <t>ручной (маховик)</t>
        </is>
      </c>
      <c r="N19" s="5" t="inlineStr">
        <is>
          <t>-</t>
        </is>
      </c>
      <c r="O19" s="5" t="inlineStr">
        <is>
          <t>любое, кроме маховиком вниз</t>
        </is>
      </c>
      <c r="P19" s="5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19" s="5" t="inlineStr"/>
      <c r="R19" s="5" t="inlineStr"/>
      <c r="S19" s="4" t="n">
        <v>1</v>
      </c>
      <c r="T19" s="5" t="inlineStr">
        <is>
          <t>шт</t>
        </is>
      </c>
      <c r="U19" s="6" t="inlineStr">
        <is>
          <t>Задвижки клиновые ЗК DN 50-800 PN 1,6-32,0 МПа</t>
        </is>
      </c>
      <c r="V19" s="6" t="inlineStr">
        <is>
          <t>АО «Благовещенский арматурный завод»</t>
        </is>
      </c>
      <c r="W19" s="6" t="inlineStr">
        <is>
          <t>Россия</t>
        </is>
      </c>
      <c r="X19" s="6" t="inlineStr">
        <is>
          <t>10306806</t>
        </is>
      </c>
      <c r="Y19" s="6" t="inlineStr">
        <is>
          <t>31.08.2028</t>
        </is>
      </c>
      <c r="Z19" s="7" t="n"/>
      <c r="AA19" s="7" t="n"/>
      <c r="AB19" s="7" t="n"/>
      <c r="AC19" s="7" t="n"/>
      <c r="AD19" s="8">
        <f>AC19*S19</f>
        <v/>
      </c>
      <c r="AE19" s="7" t="n"/>
      <c r="AF19" s="7" t="n"/>
      <c r="AG19" s="7" t="n"/>
      <c r="AH19" s="5" t="inlineStr"/>
    </row>
    <row r="20" ht="60" customHeight="1">
      <c r="A20" s="4" t="n">
        <v>15</v>
      </c>
      <c r="B20" s="5" t="inlineStr">
        <is>
          <t>1.3/86</t>
        </is>
      </c>
      <c r="C20" s="5" t="inlineStr">
        <is>
          <t>Задвижка 30с927нж Ду 250 Ру 25 с электроприводом</t>
        </is>
      </c>
      <c r="D20" s="5" t="inlineStr">
        <is>
          <t>ТУ-3740-002-99521253-2012.</t>
        </is>
      </c>
      <c r="E20" s="5" t="inlineStr">
        <is>
          <t>250</t>
        </is>
      </c>
      <c r="F20" s="5" t="inlineStr">
        <is>
          <t>полнопроходной</t>
        </is>
      </c>
      <c r="G20" s="5" t="inlineStr">
        <is>
          <t>2.5</t>
        </is>
      </c>
      <c r="H20" s="5" t="inlineStr">
        <is>
          <t>от -40 до + 425°С</t>
        </is>
      </c>
      <c r="I20" s="5" t="inlineStr">
        <is>
          <t>вода, пар,
масло, нефть, жидкие неагрессивные
нефтепродукты, неагрессивные жидкие
среды до</t>
        </is>
      </c>
      <c r="J20" s="5" t="inlineStr">
        <is>
          <t>Сталь 25Л</t>
        </is>
      </c>
      <c r="K20" s="5" t="inlineStr">
        <is>
          <t>У1 по ГОСТ 15150</t>
        </is>
      </c>
      <c r="L20" s="5" t="inlineStr">
        <is>
          <t>фланцевое, исполнение – по ГОСТ 33259.</t>
        </is>
      </c>
      <c r="M20" s="5" t="inlineStr">
        <is>
          <t>электропривод</t>
        </is>
      </c>
      <c r="N20" s="5" t="inlineStr">
        <is>
          <t>Тип присоединеия-Б; Крутящий момент, Нм-100-300</t>
        </is>
      </c>
      <c r="O20" s="5" t="inlineStr">
        <is>
          <t>Арматура, оснащенная электрическим приводом, устанавливается управляющим органом вверх. Допускается монтаж в наклонном положении, кроме «электроприводом вниз» - в этом случае требуется обеспечить опору для снятия нагрузки с бугельного узла.</t>
        </is>
      </c>
      <c r="P20" s="5" t="inlineStr">
        <is>
          <t>Шпиндель  20Х13;
 Прокладка  ТРГ;
Крышка, Маховик  25Л;
Гайка  Ст25;
Сальниковое уплотнение  ТРГ;
Ось, Болт, Шпилька  Ст35;
Втулка сальника  Ст20;
Гайка ходовая  ЛС59-1;
Гайка шлицевая  Ст35;</t>
        </is>
      </c>
      <c r="Q20" s="5" t="inlineStr">
        <is>
          <t>L=450мм; H=700мм без электропривода</t>
        </is>
      </c>
      <c r="R20" s="5" t="inlineStr"/>
      <c r="S20" s="4" t="n">
        <v>2</v>
      </c>
      <c r="T20" s="5" t="inlineStr">
        <is>
          <t>шт</t>
        </is>
      </c>
      <c r="U20" s="6" t="inlineStr">
        <is>
          <t>Задвижки клиновые литые ЗКЛ2, ЗКЛП DN50-1400 PN 1,6-25,0 МПа</t>
        </is>
      </c>
      <c r="V20" s="6" t="inlineStr">
        <is>
          <t>АО «Благовещенский арматурный завод»</t>
        </is>
      </c>
      <c r="W20" s="6" t="inlineStr">
        <is>
          <t>Россия</t>
        </is>
      </c>
      <c r="X20" s="6" t="inlineStr">
        <is>
          <t>10306805</t>
        </is>
      </c>
      <c r="Y20" s="6" t="inlineStr">
        <is>
          <t>31.08.2028</t>
        </is>
      </c>
      <c r="Z20" s="7" t="n"/>
      <c r="AA20" s="7" t="n"/>
      <c r="AB20" s="7" t="n"/>
      <c r="AC20" s="7" t="n"/>
      <c r="AD20" s="8">
        <f>AC20*S20</f>
        <v/>
      </c>
      <c r="AE20" s="7" t="n"/>
      <c r="AF20" s="7" t="n"/>
      <c r="AG20" s="7" t="n"/>
      <c r="AH20" s="5" t="inlineStr"/>
    </row>
    <row r="21" ht="60" customHeight="1">
      <c r="A21" s="4" t="n">
        <v>16</v>
      </c>
      <c r="B21" s="5" t="inlineStr">
        <is>
          <t>1.6/12</t>
        </is>
      </c>
      <c r="C21" s="5" t="inlineStr">
        <is>
          <t>Клапан предохранительный 17с28нж Ду 50 Ру16 (Рн 10-16)</t>
        </is>
      </c>
      <c r="D21" s="5" t="inlineStr">
        <is>
          <t>ТУ 3742-003-22294686-2007</t>
        </is>
      </c>
      <c r="E21" s="5" t="inlineStr">
        <is>
          <t>50</t>
        </is>
      </c>
      <c r="F21" s="5" t="inlineStr">
        <is>
          <t>стандарт</t>
        </is>
      </c>
      <c r="G21" s="5" t="inlineStr">
        <is>
          <t>1.6</t>
        </is>
      </c>
      <c r="H21" s="5" t="inlineStr">
        <is>
          <t>от -40 до +425</t>
        </is>
      </c>
      <c r="I21" s="5" t="inlineStr">
        <is>
          <t>вода, воздух, пар, аммиак, природный газ, нефть, нефтепродукты</t>
        </is>
      </c>
      <c r="J21" s="5" t="inlineStr">
        <is>
          <t>сталь 25Л</t>
        </is>
      </c>
      <c r="K21" s="5" t="inlineStr">
        <is>
          <t>У1</t>
        </is>
      </c>
      <c r="L21" s="5" t="inlineStr">
        <is>
          <t>фланцевый</t>
        </is>
      </c>
      <c r="M21" s="5" t="inlineStr">
        <is>
          <t>-</t>
        </is>
      </c>
      <c r="N21" s="5" t="inlineStr">
        <is>
          <t>-</t>
        </is>
      </c>
      <c r="O21" s="5" t="inlineStr">
        <is>
          <t>вертикальное, колпаком вверх</t>
        </is>
      </c>
      <c r="P21" s="5" t="inlineStr">
        <is>
          <t>Уплотнение в затворе - нержавеющая сталь; Пружина - Сталь 50ХФА; Золотник, седло, шток - Сталь 20Х13</t>
        </is>
      </c>
      <c r="Q21" s="5" t="inlineStr">
        <is>
          <t>-</t>
        </is>
      </c>
      <c r="R21" s="5" t="inlineStr">
        <is>
          <t>-</t>
        </is>
      </c>
      <c r="S21" s="4" t="n">
        <v>3</v>
      </c>
      <c r="T21" s="5" t="inlineStr">
        <is>
          <t>шт</t>
        </is>
      </c>
      <c r="U21" s="6" t="inlineStr">
        <is>
          <t>СППК4РСО 50-16 (28с20нж1), 20Л, до +425 °С — аналог 17с28нж</t>
        </is>
      </c>
      <c r="V21" s="6" t="inlineStr">
        <is>
          <t>АО «Благовещенский арматурный завод» (ИНН 0258001489)</t>
        </is>
      </c>
      <c r="W21" s="6" t="inlineStr">
        <is>
          <t>Россия</t>
        </is>
      </c>
      <c r="X21" s="6" t="inlineStr">
        <is>
          <t>10329690</t>
        </is>
      </c>
      <c r="Y21" s="6" t="inlineStr">
        <is>
          <t>16.09.2030</t>
        </is>
      </c>
      <c r="Z21" s="7" t="n"/>
      <c r="AA21" s="7" t="n"/>
      <c r="AB21" s="7" t="n"/>
      <c r="AC21" s="7" t="n"/>
      <c r="AD21" s="8">
        <f>AC21*S21</f>
        <v/>
      </c>
      <c r="AE21" s="7" t="n"/>
      <c r="AF21" s="7" t="n"/>
      <c r="AG21" s="7" t="n"/>
      <c r="AH21" s="5" t="inlineStr">
        <is>
          <t>Согласовать замену 17с28нж на СППК4РСО 50-16; подтвердить материалы деталей и диапазон настройки Рн 1,0–1,6 МПа.</t>
        </is>
      </c>
    </row>
    <row r="22" ht="60" customHeight="1">
      <c r="A22" s="4" t="n">
        <v>17</v>
      </c>
      <c r="B22" s="5" t="inlineStr">
        <is>
          <t>1.6/14</t>
        </is>
      </c>
      <c r="C22" s="5" t="inlineStr">
        <is>
          <t>Клапан предохранительный 17с6нж Ду 80 Ру 16</t>
        </is>
      </c>
      <c r="D22" s="5" t="inlineStr">
        <is>
          <t>ТУ 3742-005-22294686-2009</t>
        </is>
      </c>
      <c r="E22" s="5" t="inlineStr">
        <is>
          <t>80</t>
        </is>
      </c>
      <c r="F22" s="5" t="inlineStr">
        <is>
          <t>стандарт</t>
        </is>
      </c>
      <c r="G22" s="5" t="inlineStr">
        <is>
          <t>1.6</t>
        </is>
      </c>
      <c r="H22" s="5" t="inlineStr">
        <is>
          <t>от -40 до +425</t>
        </is>
      </c>
      <c r="I22" s="5" t="inlineStr">
        <is>
          <t>жидкие и газообразные, нефть, нефтепродукты, углеводородные газы, вода, пар</t>
        </is>
      </c>
      <c r="J22" s="5" t="inlineStr">
        <is>
          <t>сталь 25Л</t>
        </is>
      </c>
      <c r="K22" s="5" t="inlineStr">
        <is>
          <t>У1</t>
        </is>
      </c>
      <c r="L22" s="5" t="inlineStr">
        <is>
          <t>фланцевый</t>
        </is>
      </c>
      <c r="M22" s="5" t="inlineStr"/>
      <c r="N22" s="5" t="inlineStr"/>
      <c r="O22" s="5" t="inlineStr">
        <is>
          <t>вертикальное, колпаком вверх</t>
        </is>
      </c>
      <c r="P22" s="5" t="inlineStr">
        <is>
          <t>Седло: сталь 20Х13
Шток: сталь 20Х13.
Пружина: 50ХФА
Прокладка: Паронит
Шпилька: сталь 35</t>
        </is>
      </c>
      <c r="Q22" s="5" t="inlineStr">
        <is>
          <t>-</t>
        </is>
      </c>
      <c r="R22" s="5" t="inlineStr">
        <is>
          <t>-</t>
        </is>
      </c>
      <c r="S22" s="4" t="n">
        <v>1</v>
      </c>
      <c r="T22" s="5" t="inlineStr">
        <is>
          <t>шт</t>
        </is>
      </c>
      <c r="U22" s="6" t="inlineStr">
        <is>
          <t>СППК4РС 80-16 (17с21нж2), 20Л, до +425 °С</t>
        </is>
      </c>
      <c r="V22" s="6" t="inlineStr">
        <is>
          <t>АО «Благовещенский арматурный завод» (ИНН 0258001489)</t>
        </is>
      </c>
      <c r="W22" s="6" t="inlineStr">
        <is>
          <t>Россия</t>
        </is>
      </c>
      <c r="X22" s="6" t="inlineStr">
        <is>
          <t>10329690</t>
        </is>
      </c>
      <c r="Y22" s="6" t="inlineStr">
        <is>
          <t>16.09.2030</t>
        </is>
      </c>
      <c r="Z22" s="7" t="n"/>
      <c r="AA22" s="7" t="n"/>
      <c r="AB22" s="7" t="n"/>
      <c r="AC22" s="7" t="n"/>
      <c r="AD22" s="8">
        <f>AC22*S22</f>
        <v/>
      </c>
      <c r="AE22" s="7" t="n"/>
      <c r="AF22" s="7" t="n"/>
      <c r="AG22" s="7" t="n"/>
      <c r="AH22" s="5" t="inlineStr">
        <is>
          <t>Согласовать СППК4РС 80-16 вместо 17с6нж; подтвердить материалы седла/штока 20Х13, пружины 50ХФА.</t>
        </is>
      </c>
    </row>
    <row r="23" ht="60" customHeight="1">
      <c r="A23" s="4" t="n">
        <v>18</v>
      </c>
      <c r="B23" s="5" t="inlineStr">
        <is>
          <t>1.6/20</t>
        </is>
      </c>
      <c r="C23" s="5" t="inlineStr">
        <is>
          <t>Клапан запорный 15кч12пМ Ду 25 Ру 25</t>
        </is>
      </c>
      <c r="D23" s="5" t="inlineStr">
        <is>
          <t>ТУ 3732-001-00218137-94</t>
        </is>
      </c>
      <c r="E23" s="5" t="inlineStr">
        <is>
          <t>25</t>
        </is>
      </c>
      <c r="F23" s="5" t="inlineStr">
        <is>
          <t>стандарт</t>
        </is>
      </c>
      <c r="G23" s="5" t="inlineStr">
        <is>
          <t>2.5</t>
        </is>
      </c>
      <c r="H23" s="5" t="inlineStr">
        <is>
          <t>от -40 до +150</t>
        </is>
      </c>
      <c r="I23" s="5" t="inlineStr">
        <is>
          <t>Хладон, аммиак, вода, пар</t>
        </is>
      </c>
      <c r="J23" s="5" t="inlineStr">
        <is>
          <t>ковкий чугун КЧ 30-6</t>
        </is>
      </c>
      <c r="K23" s="5" t="inlineStr">
        <is>
          <t>УХЛ4 Температура окружающей среды от - 30 до +50</t>
        </is>
      </c>
      <c r="L23" s="5" t="inlineStr">
        <is>
          <t>фланцевый</t>
        </is>
      </c>
      <c r="M23" s="5" t="inlineStr">
        <is>
          <t>ручной (маховик)</t>
        </is>
      </c>
      <c r="N23" s="5" t="inlineStr">
        <is>
          <t>-</t>
        </is>
      </c>
      <c r="O23" s="5" t="inlineStr">
        <is>
          <t>любое</t>
        </is>
      </c>
      <c r="P23" s="5" t="inlineStr">
        <is>
          <t>Золотник, шпиндель - сталь;
Уплотнение - Фторопласт-4</t>
        </is>
      </c>
      <c r="Q23" s="5" t="inlineStr">
        <is>
          <t>-</t>
        </is>
      </c>
      <c r="R23" s="5" t="inlineStr">
        <is>
          <t>-</t>
        </is>
      </c>
      <c r="S23" s="4" t="n">
        <v>1</v>
      </c>
      <c r="T23" s="5" t="inlineStr">
        <is>
          <t>шт</t>
        </is>
      </c>
      <c r="U23" s="6" t="inlineStr">
        <is>
          <t>15кч12пМ — в каталоге БАЗ нет</t>
        </is>
      </c>
      <c r="V23" s="6" t="inlineStr">
        <is>
          <t>АО «Благовещенский арматурный завод»</t>
        </is>
      </c>
      <c r="W23" s="7" t="n"/>
      <c r="X23" s="7" t="n"/>
      <c r="Y23" s="7" t="n"/>
      <c r="Z23" s="7" t="n"/>
      <c r="AA23" s="7" t="n"/>
      <c r="AB23" s="7" t="n"/>
      <c r="AC23" s="7" t="n"/>
      <c r="AD23" s="8">
        <f>AC23*S23</f>
        <v/>
      </c>
      <c r="AE23" s="7" t="n"/>
      <c r="AF23" s="7" t="n"/>
      <c r="AG23" s="7" t="n"/>
      <c r="AH23" s="5" t="inlineStr">
        <is>
          <t>БАЗ не выпускает 15кч12пМ по каталогу — запросить, будет ли изготовление; иначе снять назначение (см. альтернативы).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2026-10-30T12:56:22Z</dcterms:created>
  <dcterms:modified xmlns:dcterms="http://purl.org/dc/terms/" xmlns:xsi="http://www.w3.org/2001/XMLSchema-instance" xsi:type="dcterms:W3CDTF">2026-10-30T12:56:22Z</dcterms:modified>
</cp:coreProperties>
</file>