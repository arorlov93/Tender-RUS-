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5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«Пермский трубопроводный завод» (ООО «ПТЗ»)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1.1/5</t>
        </is>
      </c>
      <c r="C6" s="5" t="inlineStr">
        <is>
          <t>Задвижка 30нж41нж Ду 150 Ру 16 1исп. САЗ</t>
        </is>
      </c>
      <c r="D6" s="5" t="inlineStr">
        <is>
          <t>ГОСТ 5762-2002</t>
        </is>
      </c>
      <c r="E6" s="5" t="inlineStr">
        <is>
          <t>150</t>
        </is>
      </c>
      <c r="F6" s="5" t="inlineStr">
        <is>
          <t>стандартный</t>
        </is>
      </c>
      <c r="G6" s="5" t="inlineStr">
        <is>
          <t>1.6</t>
        </is>
      </c>
      <c r="H6" s="5" t="inlineStr">
        <is>
          <t>от -60 до +560</t>
        </is>
      </c>
      <c r="I6" s="5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6" s="5" t="inlineStr">
        <is>
          <t>сталь 12Х18Н9ТЛ</t>
        </is>
      </c>
      <c r="K6" s="5" t="inlineStr">
        <is>
          <t>УХЛ1</t>
        </is>
      </c>
      <c r="L6" s="5" t="inlineStr">
        <is>
          <t>фланцевый</t>
        </is>
      </c>
      <c r="M6" s="5" t="inlineStr">
        <is>
          <t>ручной (маховик)</t>
        </is>
      </c>
      <c r="N6" s="5" t="inlineStr">
        <is>
          <t>-</t>
        </is>
      </c>
      <c r="O6" s="5" t="inlineStr">
        <is>
          <t>любое</t>
        </is>
      </c>
      <c r="P6" s="5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6" s="5" t="inlineStr"/>
      <c r="R6" s="5" t="inlineStr"/>
      <c r="S6" s="4" t="n">
        <v>1</v>
      </c>
      <c r="T6" s="5" t="inlineStr">
        <is>
          <t>шт</t>
        </is>
      </c>
      <c r="U6" s="6" t="inlineStr">
        <is>
          <t>30нж41нж Ду150 PN16 (ПТЗ)</t>
        </is>
      </c>
      <c r="V6" s="6" t="inlineStr">
        <is>
          <t>ООО «Пермский трубопроводный завод» (ИНН 5904173655)</t>
        </is>
      </c>
      <c r="W6" s="6" t="inlineStr">
        <is>
          <t>Россия</t>
        </is>
      </c>
      <c r="X6" s="6" t="inlineStr">
        <is>
          <t>10698940</t>
        </is>
      </c>
      <c r="Y6" s="6" t="inlineStr">
        <is>
          <t>17.02.2031</t>
        </is>
      </c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7" ht="60" customHeight="1">
      <c r="A7" s="4" t="n">
        <v>2</v>
      </c>
      <c r="B7" s="5" t="inlineStr">
        <is>
          <t>1.1/7</t>
        </is>
      </c>
      <c r="C7" s="5" t="inlineStr">
        <is>
          <t>Задвижка 30с41нж Ду 50 Ру 16</t>
        </is>
      </c>
      <c r="D7" s="5" t="inlineStr">
        <is>
          <t>ТУ 3741–001–24380482–2016</t>
        </is>
      </c>
      <c r="E7" s="5" t="inlineStr">
        <is>
          <t>50</t>
        </is>
      </c>
      <c r="F7" s="5" t="inlineStr">
        <is>
          <t>стандарт</t>
        </is>
      </c>
      <c r="G7" s="5" t="inlineStr">
        <is>
          <t>1.6</t>
        </is>
      </c>
      <c r="H7" s="5" t="inlineStr">
        <is>
          <t>до +425</t>
        </is>
      </c>
      <c r="I7" s="5" t="inlineStr">
        <is>
          <t>Вода</t>
        </is>
      </c>
      <c r="J7" s="5" t="inlineStr">
        <is>
          <t>Сталь 25 Л</t>
        </is>
      </c>
      <c r="K7" s="5" t="inlineStr">
        <is>
          <t>У1</t>
        </is>
      </c>
      <c r="L7" s="5" t="inlineStr">
        <is>
          <t>фланец-фланец по ГОСТ 33259-2015</t>
        </is>
      </c>
      <c r="M7" s="5" t="inlineStr">
        <is>
          <t>Ручное</t>
        </is>
      </c>
      <c r="N7" s="5" t="inlineStr">
        <is>
          <t>штурвал</t>
        </is>
      </c>
      <c r="O7" s="5" t="inlineStr">
        <is>
          <t>Любое</t>
        </is>
      </c>
      <c r="P7" s="5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7" s="5" t="inlineStr">
        <is>
          <t>180 *281</t>
        </is>
      </c>
      <c r="R7" s="5" t="inlineStr"/>
      <c r="S7" s="4" t="n">
        <v>10</v>
      </c>
      <c r="T7" s="5" t="inlineStr">
        <is>
          <t>шт</t>
        </is>
      </c>
      <c r="U7" s="6" t="inlineStr">
        <is>
          <t>30с41нж Ду50 PN16 (ПТЗ)</t>
        </is>
      </c>
      <c r="V7" s="6" t="inlineStr">
        <is>
          <t>ООО «Пермский трубопроводный завод» (ИНН 5904173655)</t>
        </is>
      </c>
      <c r="W7" s="6" t="inlineStr">
        <is>
          <t>Россия</t>
        </is>
      </c>
      <c r="X7" s="6" t="inlineStr">
        <is>
          <t>10698940</t>
        </is>
      </c>
      <c r="Y7" s="6" t="inlineStr">
        <is>
          <t>17.02.2031</t>
        </is>
      </c>
      <c r="Z7" s="7" t="n"/>
      <c r="AA7" s="7" t="n"/>
      <c r="AB7" s="7" t="n"/>
      <c r="AC7" s="7" t="n"/>
      <c r="AD7" s="8">
        <f>AC7*S7</f>
        <v/>
      </c>
      <c r="AE7" s="7" t="n"/>
      <c r="AF7" s="7" t="n"/>
      <c r="AG7" s="7" t="n"/>
      <c r="AH7" s="5" t="inlineStr">
        <is>
          <t>Подтвердить: шпиндель 20Х13, наплавка 20Х13 (или 07Х25Н13 где указано), ТРГ.</t>
        </is>
      </c>
    </row>
    <row r="8" ht="60" customHeight="1">
      <c r="A8" s="4" t="n">
        <v>3</v>
      </c>
      <c r="B8" s="5" t="inlineStr">
        <is>
          <t>1.1/8</t>
        </is>
      </c>
      <c r="C8" s="5" t="inlineStr">
        <is>
          <t>Задвижка 30с41нж Ду 100 Ру 16</t>
        </is>
      </c>
      <c r="D8" s="5" t="inlineStr">
        <is>
          <t>ТУ 3741–001–24380482–2016</t>
        </is>
      </c>
      <c r="E8" s="5" t="inlineStr">
        <is>
          <t>100</t>
        </is>
      </c>
      <c r="F8" s="5" t="inlineStr">
        <is>
          <t>стандарт</t>
        </is>
      </c>
      <c r="G8" s="5" t="inlineStr">
        <is>
          <t>1.6</t>
        </is>
      </c>
      <c r="H8" s="5" t="inlineStr">
        <is>
          <t>до +425</t>
        </is>
      </c>
      <c r="I8" s="5" t="inlineStr">
        <is>
          <t>вода, пар, жидкие неагрессивные среды</t>
        </is>
      </c>
      <c r="J8" s="5" t="inlineStr">
        <is>
          <t>сталь 25Л</t>
        </is>
      </c>
      <c r="K8" s="5" t="inlineStr">
        <is>
          <t>У1</t>
        </is>
      </c>
      <c r="L8" s="5" t="inlineStr">
        <is>
          <t>фланцевый</t>
        </is>
      </c>
      <c r="M8" s="5" t="inlineStr">
        <is>
          <t>ручной (маховик)</t>
        </is>
      </c>
      <c r="N8" s="5" t="inlineStr">
        <is>
          <t>-</t>
        </is>
      </c>
      <c r="O8" s="5" t="inlineStr">
        <is>
          <t>маховиком вверх</t>
        </is>
      </c>
      <c r="P8" s="5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8" s="5" t="inlineStr">
        <is>
          <t>-</t>
        </is>
      </c>
      <c r="R8" s="5" t="inlineStr">
        <is>
          <t>-</t>
        </is>
      </c>
      <c r="S8" s="4" t="n">
        <v>7</v>
      </c>
      <c r="T8" s="5" t="inlineStr">
        <is>
          <t>шт</t>
        </is>
      </c>
      <c r="U8" s="6" t="inlineStr">
        <is>
          <t>30с41нж Ду100 PN16 (ПТЗ)</t>
        </is>
      </c>
      <c r="V8" s="6" t="inlineStr">
        <is>
          <t>ООО «Пермский трубопроводный завод» (ИНН 5904173655)</t>
        </is>
      </c>
      <c r="W8" s="6" t="inlineStr">
        <is>
          <t>Россия</t>
        </is>
      </c>
      <c r="X8" s="6" t="inlineStr">
        <is>
          <t>10698940</t>
        </is>
      </c>
      <c r="Y8" s="6" t="inlineStr">
        <is>
          <t>17.02.2031</t>
        </is>
      </c>
      <c r="Z8" s="7" t="n"/>
      <c r="AA8" s="7" t="n"/>
      <c r="AB8" s="7" t="n"/>
      <c r="AC8" s="7" t="n"/>
      <c r="AD8" s="8">
        <f>AC8*S8</f>
        <v/>
      </c>
      <c r="AE8" s="7" t="n"/>
      <c r="AF8" s="7" t="n"/>
      <c r="AG8" s="7" t="n"/>
      <c r="AH8" s="5" t="inlineStr">
        <is>
          <t>Подтвердить: шпиндель 20Х13, наплавка 20Х13 (или 07Х25Н13 где указано), ТРГ.</t>
        </is>
      </c>
    </row>
    <row r="9" ht="60" customHeight="1">
      <c r="A9" s="4" t="n">
        <v>4</v>
      </c>
      <c r="B9" s="5" t="inlineStr">
        <is>
          <t>1.1/9</t>
        </is>
      </c>
      <c r="C9" s="5" t="inlineStr">
        <is>
          <t>Задвижка 30с41нж Ду 150 Ру 16</t>
        </is>
      </c>
      <c r="D9" s="5" t="inlineStr">
        <is>
          <t>ТУ 3741–001–24380482–2016</t>
        </is>
      </c>
      <c r="E9" s="5" t="inlineStr">
        <is>
          <t>150</t>
        </is>
      </c>
      <c r="F9" s="5" t="inlineStr">
        <is>
          <t>стандарт</t>
        </is>
      </c>
      <c r="G9" s="5" t="inlineStr">
        <is>
          <t>1.6</t>
        </is>
      </c>
      <c r="H9" s="5" t="inlineStr">
        <is>
          <t>до +425</t>
        </is>
      </c>
      <c r="I9" s="5" t="inlineStr">
        <is>
          <t>вода, пар, жидкие неагрессивные среды</t>
        </is>
      </c>
      <c r="J9" s="5" t="inlineStr">
        <is>
          <t>сталь 25Л</t>
        </is>
      </c>
      <c r="K9" s="5" t="inlineStr">
        <is>
          <t>У1</t>
        </is>
      </c>
      <c r="L9" s="5" t="inlineStr">
        <is>
          <t>фланцевый</t>
        </is>
      </c>
      <c r="M9" s="5" t="inlineStr">
        <is>
          <t>ручной (маховик)</t>
        </is>
      </c>
      <c r="N9" s="5" t="inlineStr">
        <is>
          <t>-</t>
        </is>
      </c>
      <c r="O9" s="5" t="inlineStr">
        <is>
          <t>маховиком вверх</t>
        </is>
      </c>
      <c r="P9" s="5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9" s="5" t="inlineStr">
        <is>
          <t>-</t>
        </is>
      </c>
      <c r="R9" s="5" t="inlineStr">
        <is>
          <t>-</t>
        </is>
      </c>
      <c r="S9" s="4" t="n">
        <v>10</v>
      </c>
      <c r="T9" s="5" t="inlineStr">
        <is>
          <t>шт</t>
        </is>
      </c>
      <c r="U9" s="6" t="inlineStr">
        <is>
          <t>30с41нж Ду150 PN16 (ПТЗ)</t>
        </is>
      </c>
      <c r="V9" s="6" t="inlineStr">
        <is>
          <t>ООО «Пермский трубопроводный завод» (ИНН 5904173655)</t>
        </is>
      </c>
      <c r="W9" s="6" t="inlineStr">
        <is>
          <t>Россия</t>
        </is>
      </c>
      <c r="X9" s="6" t="inlineStr">
        <is>
          <t>10698940</t>
        </is>
      </c>
      <c r="Y9" s="6" t="inlineStr">
        <is>
          <t>17.02.2031</t>
        </is>
      </c>
      <c r="Z9" s="7" t="n"/>
      <c r="AA9" s="7" t="n"/>
      <c r="AB9" s="7" t="n"/>
      <c r="AC9" s="7" t="n"/>
      <c r="AD9" s="8">
        <f>AC9*S9</f>
        <v/>
      </c>
      <c r="AE9" s="7" t="n"/>
      <c r="AF9" s="7" t="n"/>
      <c r="AG9" s="7" t="n"/>
      <c r="AH9" s="5" t="inlineStr">
        <is>
          <t>Подтвердить: шпиндель 20Х13, наплавка 20Х13 (или 07Х25Н13 где указано), ТРГ.</t>
        </is>
      </c>
    </row>
    <row r="10" ht="60" customHeight="1">
      <c r="A10" s="4" t="n">
        <v>5</v>
      </c>
      <c r="B10" s="5" t="inlineStr">
        <is>
          <t>1.1/10</t>
        </is>
      </c>
      <c r="C10" s="5" t="inlineStr">
        <is>
          <t>Задвижка клиновая фланцевая 30с41нж Ду 300 Ру 16 с КОФ</t>
        </is>
      </c>
      <c r="D10" s="5" t="inlineStr">
        <is>
          <t>ТУ3741–001–27104101–2014</t>
        </is>
      </c>
      <c r="E10" s="5" t="inlineStr">
        <is>
          <t>300</t>
        </is>
      </c>
      <c r="F10" s="5" t="inlineStr">
        <is>
          <t>стандарт</t>
        </is>
      </c>
      <c r="G10" s="5" t="inlineStr">
        <is>
          <t>1.6</t>
        </is>
      </c>
      <c r="H10" s="5" t="inlineStr">
        <is>
          <t>до +425</t>
        </is>
      </c>
      <c r="I10" s="5" t="inlineStr">
        <is>
          <t>вода / пар/ газы</t>
        </is>
      </c>
      <c r="J10" s="5" t="inlineStr">
        <is>
          <t>сталь 25Л</t>
        </is>
      </c>
      <c r="K10" s="5" t="inlineStr">
        <is>
          <t>У1</t>
        </is>
      </c>
      <c r="L10" s="5" t="inlineStr">
        <is>
          <t>фланец-фланец</t>
        </is>
      </c>
      <c r="M10" s="5" t="inlineStr">
        <is>
          <t>Ручное</t>
        </is>
      </c>
      <c r="N10" s="5" t="inlineStr">
        <is>
          <t>штурвал</t>
        </is>
      </c>
      <c r="O10" s="5" t="inlineStr">
        <is>
          <t>Любое</t>
        </is>
      </c>
      <c r="P10" s="5" t="inlineStr">
        <is>
          <t>Материал корпуса — Сталь 25Л;                        Материал клина - Нержавеющая сталь;         Уплотнение - Металл по металлу.</t>
        </is>
      </c>
      <c r="Q10" s="5" t="inlineStr">
        <is>
          <t>Габариты ДхШхВ, мм: 500х460х1375       Строительная длина: L 500 мм; Высота 1145 мм</t>
        </is>
      </c>
      <c r="R10" s="5" t="inlineStr"/>
      <c r="S10" s="4" t="n">
        <v>2</v>
      </c>
      <c r="T10" s="5" t="inlineStr">
        <is>
          <t>шт</t>
        </is>
      </c>
      <c r="U10" s="6" t="inlineStr">
        <is>
          <t>30с41нж Ду300 PN16 (ПТЗ)</t>
        </is>
      </c>
      <c r="V10" s="6" t="inlineStr">
        <is>
          <t>ООО «Пермский трубопроводный завод» (ИНН 5904173655)</t>
        </is>
      </c>
      <c r="W10" s="6" t="inlineStr">
        <is>
          <t>Россия</t>
        </is>
      </c>
      <c r="X10" s="6" t="inlineStr">
        <is>
          <t>10698940</t>
        </is>
      </c>
      <c r="Y10" s="6" t="inlineStr">
        <is>
          <t>17.02.2031</t>
        </is>
      </c>
      <c r="Z10" s="7" t="n"/>
      <c r="AA10" s="7" t="n"/>
      <c r="AB10" s="7" t="n"/>
      <c r="AC10" s="7" t="n"/>
      <c r="AD10" s="8">
        <f>AC10*S10</f>
        <v/>
      </c>
      <c r="AE10" s="7" t="n"/>
      <c r="AF10" s="7" t="n"/>
      <c r="AG10" s="7" t="n"/>
      <c r="AH10" s="5" t="inlineStr">
        <is>
          <t>Подтвердить: шпиндель 20Х13, наплавка 20Х13 (или 07Х25Н13 где указано), ТРГ.</t>
        </is>
      </c>
    </row>
    <row r="11" ht="60" customHeight="1">
      <c r="A11" s="4" t="n">
        <v>6</v>
      </c>
      <c r="B11" s="5" t="inlineStr">
        <is>
          <t>1.1/12</t>
        </is>
      </c>
      <c r="C11" s="5" t="inlineStr">
        <is>
          <t>Задвижка клиновая фланцевая 30с941нж Ду 500 Ру 16 с КОФ под электропривод Bernard ST-30</t>
        </is>
      </c>
      <c r="D11" s="5" t="inlineStr">
        <is>
          <t>ТУ 28.14.11-001-27709620-2022ТУ 28.14.11-001-27709620-2022</t>
        </is>
      </c>
      <c r="E11" s="5" t="inlineStr">
        <is>
          <t>500</t>
        </is>
      </c>
      <c r="F11" s="5" t="inlineStr">
        <is>
          <t>стандарт</t>
        </is>
      </c>
      <c r="G11" s="5" t="inlineStr">
        <is>
          <t>1,6 МПа</t>
        </is>
      </c>
      <c r="H11" s="5" t="inlineStr">
        <is>
          <t>до +425</t>
        </is>
      </c>
      <c r="I11" s="5" t="inlineStr">
        <is>
          <t>вода / пар/ газы</t>
        </is>
      </c>
      <c r="J11" s="5" t="inlineStr">
        <is>
          <t>сталь 25Л</t>
        </is>
      </c>
      <c r="K11" s="5" t="inlineStr">
        <is>
          <t>У1</t>
        </is>
      </c>
      <c r="L11" s="5" t="inlineStr">
        <is>
          <t>фланец-фланец</t>
        </is>
      </c>
      <c r="M11" s="5" t="inlineStr">
        <is>
          <t>под электропривод</t>
        </is>
      </c>
      <c r="N11" s="5" t="inlineStr">
        <is>
          <t>Bernard ST-30</t>
        </is>
      </c>
      <c r="O11" s="5" t="inlineStr">
        <is>
          <t>Любое</t>
        </is>
      </c>
      <c r="P11" s="5" t="inlineStr">
        <is>
          <t>Крышка: сталь 25Л Клин (диски): сталь 25Л  Шпиндель: 20Х13 Гайка шпинделя: латунь ЛС59-1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паронит, ТРГ Набивка сальника: АГИ, ТРГ Подшипник: шариковый упорный Наплавка на кольце в корпусе: 07Х25Н13, 08Х21Н10Г6 Наплавка на клине: 13Х25Т, 10Х17Т</t>
        </is>
      </c>
      <c r="Q11" s="5" t="inlineStr">
        <is>
          <t>700 * 1545</t>
        </is>
      </c>
      <c r="R11" s="5" t="inlineStr">
        <is>
          <t>Тип присоединения электропривода» — «F16»</t>
        </is>
      </c>
      <c r="S11" s="4" t="n">
        <v>1</v>
      </c>
      <c r="T11" s="5" t="inlineStr">
        <is>
          <t>шт</t>
        </is>
      </c>
      <c r="U11" s="6" t="inlineStr">
        <is>
          <t>30с941нж Ду500 PN16 под электропривод (ПТЗ)</t>
        </is>
      </c>
      <c r="V11" s="6" t="inlineStr">
        <is>
          <t>ООО «Пермский трубопроводный завод» (ИНН 5904173655)</t>
        </is>
      </c>
      <c r="W11" s="6" t="inlineStr">
        <is>
          <t>Россия</t>
        </is>
      </c>
      <c r="X11" s="6" t="inlineStr">
        <is>
          <t>10698940</t>
        </is>
      </c>
      <c r="Y11" s="6" t="inlineStr">
        <is>
          <t>17.02.2031</t>
        </is>
      </c>
      <c r="Z11" s="7" t="n"/>
      <c r="AA11" s="7" t="n"/>
      <c r="AB11" s="7" t="n"/>
      <c r="AC11" s="7" t="n"/>
      <c r="AD11" s="8">
        <f>AC11*S11</f>
        <v/>
      </c>
      <c r="AE11" s="7" t="n"/>
      <c r="AF11" s="7" t="n"/>
      <c r="AG11" s="7" t="n"/>
      <c r="AH11" s="5" t="inlineStr">
        <is>
          <t>Подтвердить поставку без привода с фланцем F16 под Bernard ST-30, КОФ, материалы (шпиндель 20Х13, гайка ЛС59-1).</t>
        </is>
      </c>
    </row>
    <row r="12" ht="60" customHeight="1">
      <c r="A12" s="4" t="n">
        <v>7</v>
      </c>
      <c r="B12" s="5" t="inlineStr">
        <is>
          <t>1.1/13</t>
        </is>
      </c>
      <c r="C12" s="5" t="inlineStr">
        <is>
          <t>Задвижка 30с964нж Ду 300 Ру 25</t>
        </is>
      </c>
      <c r="D12" s="5" t="inlineStr">
        <is>
          <t>ТУ 3740-002-30995032-2014</t>
        </is>
      </c>
      <c r="E12" s="5" t="inlineStr">
        <is>
          <t>300</t>
        </is>
      </c>
      <c r="F12" s="5" t="inlineStr">
        <is>
          <t>стандарт</t>
        </is>
      </c>
      <c r="G12" s="5" t="inlineStr">
        <is>
          <t>2.5</t>
        </is>
      </c>
      <c r="H12" s="5" t="inlineStr">
        <is>
          <t>от −40°С до + 425°С</t>
        </is>
      </c>
      <c r="I12" s="5" t="inlineStr">
        <is>
          <t>вода, пар</t>
        </is>
      </c>
      <c r="J12" s="5" t="inlineStr">
        <is>
          <t>Сталь 25Л</t>
        </is>
      </c>
      <c r="K12" s="5" t="inlineStr">
        <is>
          <t>У1</t>
        </is>
      </c>
      <c r="L12" s="5" t="inlineStr">
        <is>
          <t>Под приварку</t>
        </is>
      </c>
      <c r="M12" s="5" t="inlineStr">
        <is>
          <t>Под привод, ручное</t>
        </is>
      </c>
      <c r="N12" s="5" t="inlineStr">
        <is>
          <t>Фланец тип В (ЦКБА 062-2009)</t>
        </is>
      </c>
      <c r="O12" s="5" t="inlineStr">
        <is>
          <t>Любое, кроме положения электроприводом вниз</t>
        </is>
      </c>
      <c r="P12" s="5" t="inlineStr">
        <is>
          <t>Крышка — 25Л; клин — 25Л; шпиндель — 20Х13; набивка сальниковая (сальник) — ТРГ</t>
        </is>
      </c>
      <c r="Q12" s="5" t="inlineStr">
        <is>
          <t>-</t>
        </is>
      </c>
      <c r="R12" s="5" t="inlineStr">
        <is>
          <t>Класс герметичности по ГОСТ 9544-2015 «А» Под электропривод Н-В-02 У2, фланец тип В (ЦКБА 062-2009)</t>
        </is>
      </c>
      <c r="S12" s="4" t="n">
        <v>1</v>
      </c>
      <c r="T12" s="5" t="inlineStr">
        <is>
          <t>шт</t>
        </is>
      </c>
      <c r="U12" s="6" t="inlineStr">
        <is>
          <t>30с964нж Ду300 PN25 (ПТЗ)</t>
        </is>
      </c>
      <c r="V12" s="6" t="inlineStr">
        <is>
          <t>ООО «Пермский трубопроводный завод» (ИНН 5904173655)</t>
        </is>
      </c>
      <c r="W12" s="6" t="inlineStr">
        <is>
          <t>Россия</t>
        </is>
      </c>
      <c r="X12" s="6" t="inlineStr">
        <is>
          <t>10698940</t>
        </is>
      </c>
      <c r="Y12" s="6" t="inlineStr">
        <is>
          <t>17.02.2031</t>
        </is>
      </c>
      <c r="Z12" s="7" t="n"/>
      <c r="AA12" s="7" t="n"/>
      <c r="AB12" s="7" t="n"/>
      <c r="AC12" s="7" t="n"/>
      <c r="AD12" s="8">
        <f>AC12*S12</f>
        <v/>
      </c>
      <c r="AE12" s="7" t="n"/>
      <c r="AF12" s="7" t="n"/>
      <c r="AG12" s="7" t="n"/>
      <c r="AH12" s="5" t="inlineStr">
        <is>
          <t>Запросить исполнение с концами под приварку и фланцем тип В под Н-В-02; класс А.</t>
        </is>
      </c>
    </row>
    <row r="13" ht="60" customHeight="1">
      <c r="A13" s="4" t="n">
        <v>8</v>
      </c>
      <c r="B13" s="5" t="inlineStr">
        <is>
          <t>1.3/23</t>
        </is>
      </c>
      <c r="C13" s="5" t="inlineStr">
        <is>
          <t>Клапан обратный 16нж10нж Ду 50 Ру 16</t>
        </is>
      </c>
      <c r="D13" s="5" t="inlineStr">
        <is>
          <t>ГОСТ 33423-2015</t>
        </is>
      </c>
      <c r="E13" s="5" t="inlineStr">
        <is>
          <t>50</t>
        </is>
      </c>
      <c r="F13" s="5" t="inlineStr">
        <is>
          <t>стандарт</t>
        </is>
      </c>
      <c r="G13" s="5" t="inlineStr">
        <is>
          <t>1.6</t>
        </is>
      </c>
      <c r="H13" s="5" t="inlineStr">
        <is>
          <t>— 60 ºC до 350 °C</t>
        </is>
      </c>
      <c r="I13" s="5" t="inlineStr">
        <is>
          <t>газ, вода, пар,</t>
        </is>
      </c>
      <c r="J13" s="5" t="inlineStr">
        <is>
          <t>08Х18Н10, 08Х18Н10Т, 12Х18Н9, 12Х18Н9ТЛ</t>
        </is>
      </c>
      <c r="K13" s="5" t="inlineStr">
        <is>
          <t>УХЛ</t>
        </is>
      </c>
      <c r="L13" s="5" t="inlineStr">
        <is>
          <t>фланцевое</t>
        </is>
      </c>
      <c r="M13" s="5" t="inlineStr">
        <is>
          <t>Клапан 16нж10нж является автоматическим и не требует управления или иного регулирования в работе.</t>
        </is>
      </c>
      <c r="N13" s="5" t="inlineStr"/>
      <c r="O13" s="5" t="inlineStr">
        <is>
          <t>на горизонтальном трубопроводе крышкой вверх; на вертикальном трубопроводе – по направлению стрелки на корпусе вверх</t>
        </is>
      </c>
      <c r="P13" s="5" t="inlineStr"/>
      <c r="Q13" s="5" t="inlineStr"/>
      <c r="R13" s="5" t="inlineStr"/>
      <c r="S13" s="4" t="n">
        <v>2</v>
      </c>
      <c r="T13" s="5" t="inlineStr">
        <is>
          <t>шт</t>
        </is>
      </c>
      <c r="U13" s="6" t="inlineStr">
        <is>
          <t>16нж10нж Ду50 PN16 (ПТЗ)</t>
        </is>
      </c>
      <c r="V13" s="6" t="inlineStr">
        <is>
          <t>ООО «ПТЗ» (Пермь)</t>
        </is>
      </c>
      <c r="W13" s="6" t="inlineStr">
        <is>
          <t>Россия</t>
        </is>
      </c>
      <c r="X13" s="6" t="inlineStr">
        <is>
          <t>10746921</t>
        </is>
      </c>
      <c r="Y13" s="6" t="inlineStr">
        <is>
          <t>23.11.2028</t>
        </is>
      </c>
      <c r="Z13" s="7" t="n"/>
      <c r="AA13" s="7" t="n"/>
      <c r="AB13" s="7" t="n"/>
      <c r="AC13" s="7" t="n"/>
      <c r="AD13" s="8">
        <f>AC13*S13</f>
        <v/>
      </c>
      <c r="AE13" s="7" t="n"/>
      <c r="AF13" s="7" t="n"/>
      <c r="AG13" s="7" t="n"/>
      <c r="AH13" s="5" t="inlineStr">
        <is>
          <t>Запросить паспорт; в ТЗ формулировки дословно совпадают с сайтом ПТЗ.</t>
        </is>
      </c>
    </row>
    <row r="14" ht="60" customHeight="1">
      <c r="A14" s="4" t="n">
        <v>9</v>
      </c>
      <c r="B14" s="5" t="inlineStr">
        <is>
          <t>1.3/24</t>
        </is>
      </c>
      <c r="C14" s="5" t="inlineStr">
        <is>
          <t>Клапан обратный 16нж10нж Ду 32 Ру16</t>
        </is>
      </c>
      <c r="D14" s="5" t="inlineStr">
        <is>
          <t>ГОСТ 33423-2015</t>
        </is>
      </c>
      <c r="E14" s="5" t="inlineStr">
        <is>
          <t>32</t>
        </is>
      </c>
      <c r="F14" s="5" t="inlineStr">
        <is>
          <t>стандарт</t>
        </is>
      </c>
      <c r="G14" s="5" t="inlineStr">
        <is>
          <t>1.6</t>
        </is>
      </c>
      <c r="H14" s="5" t="inlineStr">
        <is>
          <t>— 60 ºC до 350 °C</t>
        </is>
      </c>
      <c r="I14" s="5" t="inlineStr">
        <is>
          <t>газ, вода, пар,</t>
        </is>
      </c>
      <c r="J14" s="5" t="inlineStr">
        <is>
          <t>08Х18Н10, 08Х18Н10Т, 12Х18Н9, 12Х18Н9ТЛ</t>
        </is>
      </c>
      <c r="K14" s="5" t="inlineStr">
        <is>
          <t>УХЛ</t>
        </is>
      </c>
      <c r="L14" s="5" t="inlineStr">
        <is>
          <t>фланцевое</t>
        </is>
      </c>
      <c r="M14" s="5" t="inlineStr">
        <is>
          <t>Клапан 16нж10нж является автоматическим и не требует управления или иного регулирования в работе.</t>
        </is>
      </c>
      <c r="N14" s="5" t="inlineStr"/>
      <c r="O14" s="5" t="inlineStr">
        <is>
          <t>на горизонтальном трубопроводе крышкой вверх; на вертикальном трубопроводе – по направлению стрелки на корпусе вверх</t>
        </is>
      </c>
      <c r="P14" s="5" t="inlineStr"/>
      <c r="Q14" s="5" t="inlineStr"/>
      <c r="R14" s="5" t="inlineStr"/>
      <c r="S14" s="4" t="n">
        <v>5</v>
      </c>
      <c r="T14" s="5" t="inlineStr">
        <is>
          <t>шт</t>
        </is>
      </c>
      <c r="U14" s="6" t="inlineStr">
        <is>
          <t>16нж10нж Ду32 PN16 (ПТЗ)</t>
        </is>
      </c>
      <c r="V14" s="6" t="inlineStr">
        <is>
          <t>ООО «ПТЗ» (Пермь)</t>
        </is>
      </c>
      <c r="W14" s="6" t="inlineStr">
        <is>
          <t>Россия</t>
        </is>
      </c>
      <c r="X14" s="6" t="inlineStr">
        <is>
          <t>10746921</t>
        </is>
      </c>
      <c r="Y14" s="6" t="inlineStr">
        <is>
          <t>23.11.2028</t>
        </is>
      </c>
      <c r="Z14" s="7" t="n"/>
      <c r="AA14" s="7" t="n"/>
      <c r="AB14" s="7" t="n"/>
      <c r="AC14" s="7" t="n"/>
      <c r="AD14" s="8">
        <f>AC14*S14</f>
        <v/>
      </c>
      <c r="AE14" s="7" t="n"/>
      <c r="AF14" s="7" t="n"/>
      <c r="AG14" s="7" t="n"/>
      <c r="AH14" s="5" t="inlineStr">
        <is>
          <t>Запросить паспорт; в ТЗ формулировки дословно совпадают с сайтом ПТЗ.</t>
        </is>
      </c>
    </row>
    <row r="15" ht="60" customHeight="1">
      <c r="A15" s="4" t="n">
        <v>10</v>
      </c>
      <c r="B15" s="5" t="inlineStr">
        <is>
          <t>1.3/68</t>
        </is>
      </c>
      <c r="C15" s="5" t="inlineStr">
        <is>
          <t>Задвижка 30нж41нж DN 100 PN 16 1исп. САЗ</t>
        </is>
      </c>
      <c r="D15" s="5" t="inlineStr">
        <is>
          <t>ГОСТ 5762-2002</t>
        </is>
      </c>
      <c r="E15" s="5" t="inlineStr">
        <is>
          <t>100</t>
        </is>
      </c>
      <c r="F15" s="5" t="inlineStr">
        <is>
          <t>стандартный</t>
        </is>
      </c>
      <c r="G15" s="5" t="inlineStr">
        <is>
          <t>1.6</t>
        </is>
      </c>
      <c r="H15" s="5" t="inlineStr">
        <is>
          <t>от -60 до +560</t>
        </is>
      </c>
      <c r="I15" s="5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15" s="5" t="inlineStr">
        <is>
          <t>сталь 12Х18Н9ТЛ</t>
        </is>
      </c>
      <c r="K15" s="5" t="inlineStr">
        <is>
          <t>УХЛ1</t>
        </is>
      </c>
      <c r="L15" s="5" t="inlineStr">
        <is>
          <t>фланцевый</t>
        </is>
      </c>
      <c r="M15" s="5" t="inlineStr">
        <is>
          <t>ручной (маховик)</t>
        </is>
      </c>
      <c r="N15" s="5" t="inlineStr">
        <is>
          <t>-</t>
        </is>
      </c>
      <c r="O15" s="5" t="inlineStr">
        <is>
          <t>любое</t>
        </is>
      </c>
      <c r="P15" s="5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15" s="5" t="inlineStr"/>
      <c r="R15" s="5" t="inlineStr"/>
      <c r="S15" s="4" t="n">
        <v>2</v>
      </c>
      <c r="T15" s="5" t="inlineStr">
        <is>
          <t>шт</t>
        </is>
      </c>
      <c r="U15" s="6" t="inlineStr">
        <is>
          <t>30нж41нж Ду100 PN16 (ПТЗ)</t>
        </is>
      </c>
      <c r="V15" s="6" t="inlineStr">
        <is>
          <t>ООО «Пермский трубопроводный завод» (ИНН 5904173655)</t>
        </is>
      </c>
      <c r="W15" s="6" t="inlineStr">
        <is>
          <t>Россия</t>
        </is>
      </c>
      <c r="X15" s="6" t="inlineStr">
        <is>
          <t>10698940</t>
        </is>
      </c>
      <c r="Y15" s="6" t="inlineStr">
        <is>
          <t>17.02.2031</t>
        </is>
      </c>
      <c r="Z15" s="7" t="n"/>
      <c r="AA15" s="7" t="n"/>
      <c r="AB15" s="7" t="n"/>
      <c r="AC15" s="7" t="n"/>
      <c r="AD15" s="8">
        <f>AC15*S15</f>
        <v/>
      </c>
      <c r="AE15" s="7" t="n"/>
      <c r="AF15" s="7" t="n"/>
      <c r="AG15" s="7" t="n"/>
      <c r="AH15" s="5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16" ht="60" customHeight="1">
      <c r="A16" s="4" t="n">
        <v>11</v>
      </c>
      <c r="B16" s="5" t="inlineStr">
        <is>
          <t>1.3/69</t>
        </is>
      </c>
      <c r="C16" s="5" t="inlineStr">
        <is>
          <t>Задвижка 30нж41нж DN 150 PN 16 1исп. САЗ</t>
        </is>
      </c>
      <c r="D16" s="5" t="inlineStr">
        <is>
          <t>ГОСТ 5762-2002</t>
        </is>
      </c>
      <c r="E16" s="5" t="inlineStr">
        <is>
          <t>150</t>
        </is>
      </c>
      <c r="F16" s="5" t="inlineStr">
        <is>
          <t>стандартный</t>
        </is>
      </c>
      <c r="G16" s="5" t="inlineStr">
        <is>
          <t>1.6</t>
        </is>
      </c>
      <c r="H16" s="5" t="inlineStr">
        <is>
          <t>от -60 до +560</t>
        </is>
      </c>
      <c r="I16" s="5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16" s="5" t="inlineStr">
        <is>
          <t>сталь 12Х18Н9ТЛ</t>
        </is>
      </c>
      <c r="K16" s="5" t="inlineStr">
        <is>
          <t>УХЛ1</t>
        </is>
      </c>
      <c r="L16" s="5" t="inlineStr">
        <is>
          <t>фланцевый</t>
        </is>
      </c>
      <c r="M16" s="5" t="inlineStr">
        <is>
          <t>ручной (маховик)</t>
        </is>
      </c>
      <c r="N16" s="5" t="inlineStr">
        <is>
          <t>-</t>
        </is>
      </c>
      <c r="O16" s="5" t="inlineStr">
        <is>
          <t>любое</t>
        </is>
      </c>
      <c r="P16" s="5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16" s="5" t="inlineStr"/>
      <c r="R16" s="5" t="inlineStr"/>
      <c r="S16" s="4" t="n">
        <v>2</v>
      </c>
      <c r="T16" s="5" t="inlineStr">
        <is>
          <t>шт</t>
        </is>
      </c>
      <c r="U16" s="6" t="inlineStr">
        <is>
          <t>30нж41нж Ду150 PN16 (ПТЗ)</t>
        </is>
      </c>
      <c r="V16" s="6" t="inlineStr">
        <is>
          <t>ООО «Пермский трубопроводный завод» (ИНН 5904173655)</t>
        </is>
      </c>
      <c r="W16" s="6" t="inlineStr">
        <is>
          <t>Россия</t>
        </is>
      </c>
      <c r="X16" s="6" t="inlineStr">
        <is>
          <t>10698940</t>
        </is>
      </c>
      <c r="Y16" s="6" t="inlineStr">
        <is>
          <t>17.02.2031</t>
        </is>
      </c>
      <c r="Z16" s="7" t="n"/>
      <c r="AA16" s="7" t="n"/>
      <c r="AB16" s="7" t="n"/>
      <c r="AC16" s="7" t="n"/>
      <c r="AD16" s="8">
        <f>AC16*S16</f>
        <v/>
      </c>
      <c r="AE16" s="7" t="n"/>
      <c r="AF16" s="7" t="n"/>
      <c r="AG16" s="7" t="n"/>
      <c r="AH16" s="5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17" ht="60" customHeight="1">
      <c r="A17" s="4" t="n">
        <v>12</v>
      </c>
      <c r="B17" s="5" t="inlineStr">
        <is>
          <t>1.3/70</t>
        </is>
      </c>
      <c r="C17" s="5" t="inlineStr">
        <is>
          <t>Задвижка 30нж41нж DN 200 PN 16 1исп. САЗ</t>
        </is>
      </c>
      <c r="D17" s="5" t="inlineStr">
        <is>
          <t>ГОСТ 5762-2002</t>
        </is>
      </c>
      <c r="E17" s="5" t="inlineStr">
        <is>
          <t>200</t>
        </is>
      </c>
      <c r="F17" s="5" t="inlineStr">
        <is>
          <t>стандарт</t>
        </is>
      </c>
      <c r="G17" s="5" t="inlineStr">
        <is>
          <t>1.6</t>
        </is>
      </c>
      <c r="H17" s="5" t="inlineStr">
        <is>
          <t>-60…        +560</t>
        </is>
      </c>
      <c r="I17" s="5" t="inlineStr">
        <is>
          <t>Вода, воздух, пар, аммиак,
природный газ влажный, нефтепродукты, содержащие
сероводород свыше 0,1%</t>
        </is>
      </c>
      <c r="J17" s="5" t="inlineStr">
        <is>
          <t>сталь 12Х18Н9ТЛ</t>
        </is>
      </c>
      <c r="K17" s="5" t="inlineStr">
        <is>
          <t>Условия эксплуатации УХЛ
Минимальная температура окружающего воздуха: −60°С</t>
        </is>
      </c>
      <c r="L17" s="5" t="inlineStr">
        <is>
          <t>фланец-фланец</t>
        </is>
      </c>
      <c r="M17" s="5" t="inlineStr">
        <is>
          <t>Ручное</t>
        </is>
      </c>
      <c r="N17" s="5" t="inlineStr">
        <is>
          <t>Маховик</t>
        </is>
      </c>
      <c r="O17" s="5" t="inlineStr">
        <is>
          <t>Вертикально маховиком вверх, горизонтально</t>
        </is>
      </c>
      <c r="P17" s="5" t="inlineStr">
        <is>
          <t>С КОФ - сталь 20, Материалы: корпус, клин, крышка, маховик -  сталь 12Х18Н9ТЛ,  шпиндель - сталь 12Х18Н9Т, наплавка на кольце в корпусе и наплавка на клине 04Х19Н9С2 или схожая по свойствам, прокладка и сальниковое уплотнение только ТРГ</t>
        </is>
      </c>
      <c r="Q17" s="5" t="inlineStr"/>
      <c r="R17" s="5" t="inlineStr">
        <is>
          <t>класс герметичности по ГОСТ 9544-2015: А; в комплекте: ответные фланцы, прокладки  и крепеж</t>
        </is>
      </c>
      <c r="S17" s="4" t="n">
        <v>2</v>
      </c>
      <c r="T17" s="5" t="inlineStr">
        <is>
          <t>шт</t>
        </is>
      </c>
      <c r="U17" s="6" t="inlineStr">
        <is>
          <t>30нж41нж Ду200 PN16 (ПТЗ)</t>
        </is>
      </c>
      <c r="V17" s="6" t="inlineStr">
        <is>
          <t>ООО «Пермский трубопроводный завод» (ИНН 5904173655)</t>
        </is>
      </c>
      <c r="W17" s="6" t="inlineStr">
        <is>
          <t>Россия</t>
        </is>
      </c>
      <c r="X17" s="6" t="inlineStr">
        <is>
          <t>10698940</t>
        </is>
      </c>
      <c r="Y17" s="6" t="inlineStr">
        <is>
          <t>17.02.2031</t>
        </is>
      </c>
      <c r="Z17" s="7" t="n"/>
      <c r="AA17" s="7" t="n"/>
      <c r="AB17" s="7" t="n"/>
      <c r="AC17" s="7" t="n"/>
      <c r="AD17" s="8">
        <f>AC17*S17</f>
        <v/>
      </c>
      <c r="AE17" s="7" t="n"/>
      <c r="AF17" s="7" t="n"/>
      <c r="AG17" s="7" t="n"/>
      <c r="AH17" s="5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18" ht="60" customHeight="1">
      <c r="A18" s="4" t="n">
        <v>13</v>
      </c>
      <c r="B18" s="5" t="inlineStr">
        <is>
          <t>1.3/71</t>
        </is>
      </c>
      <c r="C18" s="5" t="inlineStr">
        <is>
          <t>Задвижка 30нж41нж DN 50 PN 16 1исп. САЗ</t>
        </is>
      </c>
      <c r="D18" s="5" t="inlineStr">
        <is>
          <t>ГОСТ 5762-2002</t>
        </is>
      </c>
      <c r="E18" s="5" t="inlineStr">
        <is>
          <t>50</t>
        </is>
      </c>
      <c r="F18" s="5" t="inlineStr">
        <is>
          <t>стандартный</t>
        </is>
      </c>
      <c r="G18" s="5" t="inlineStr">
        <is>
          <t>1.6</t>
        </is>
      </c>
      <c r="H18" s="5" t="inlineStr">
        <is>
          <t>от -60 до +560</t>
        </is>
      </c>
      <c r="I18" s="5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18" s="5" t="inlineStr">
        <is>
          <t>сталь 12Х18Н9ТЛ</t>
        </is>
      </c>
      <c r="K18" s="5" t="inlineStr">
        <is>
          <t>УХЛ1</t>
        </is>
      </c>
      <c r="L18" s="5" t="inlineStr">
        <is>
          <t>фланцевый</t>
        </is>
      </c>
      <c r="M18" s="5" t="inlineStr">
        <is>
          <t>ручной (маховик)</t>
        </is>
      </c>
      <c r="N18" s="5" t="inlineStr">
        <is>
          <t>-</t>
        </is>
      </c>
      <c r="O18" s="5" t="inlineStr">
        <is>
          <t>любое</t>
        </is>
      </c>
      <c r="P18" s="5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18" s="5" t="inlineStr"/>
      <c r="R18" s="5" t="inlineStr"/>
      <c r="S18" s="4" t="n">
        <v>2</v>
      </c>
      <c r="T18" s="5" t="inlineStr">
        <is>
          <t>шт</t>
        </is>
      </c>
      <c r="U18" s="6" t="inlineStr">
        <is>
          <t>30нж41нж Ду50 PN16 (ПТЗ)</t>
        </is>
      </c>
      <c r="V18" s="6" t="inlineStr">
        <is>
          <t>ООО «Пермский трубопроводный завод» (ИНН 5904173655)</t>
        </is>
      </c>
      <c r="W18" s="6" t="inlineStr">
        <is>
          <t>Россия</t>
        </is>
      </c>
      <c r="X18" s="6" t="inlineStr">
        <is>
          <t>10698940</t>
        </is>
      </c>
      <c r="Y18" s="6" t="inlineStr">
        <is>
          <t>17.02.2031</t>
        </is>
      </c>
      <c r="Z18" s="7" t="n"/>
      <c r="AA18" s="7" t="n"/>
      <c r="AB18" s="7" t="n"/>
      <c r="AC18" s="7" t="n"/>
      <c r="AD18" s="8">
        <f>AC18*S18</f>
        <v/>
      </c>
      <c r="AE18" s="7" t="n"/>
      <c r="AF18" s="7" t="n"/>
      <c r="AG18" s="7" t="n"/>
      <c r="AH18" s="5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19" ht="60" customHeight="1">
      <c r="A19" s="4" t="n">
        <v>14</v>
      </c>
      <c r="B19" s="5" t="inlineStr">
        <is>
          <t>1.3/72</t>
        </is>
      </c>
      <c r="C19" s="5" t="inlineStr">
        <is>
          <t>Задвижка 30нж41нж DN 80 PN 16 1исп. САЗ</t>
        </is>
      </c>
      <c r="D19" s="5" t="inlineStr">
        <is>
          <t>ГОСТ 5762-2002</t>
        </is>
      </c>
      <c r="E19" s="5" t="inlineStr">
        <is>
          <t>80</t>
        </is>
      </c>
      <c r="F19" s="5" t="inlineStr">
        <is>
          <t>стандартный</t>
        </is>
      </c>
      <c r="G19" s="5" t="inlineStr">
        <is>
          <t>1.6</t>
        </is>
      </c>
      <c r="H19" s="5" t="inlineStr">
        <is>
          <t>от -60 до +560</t>
        </is>
      </c>
      <c r="I19" s="5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19" s="5" t="inlineStr">
        <is>
          <t>сталь 12Х18Н9ТЛ</t>
        </is>
      </c>
      <c r="K19" s="5" t="inlineStr">
        <is>
          <t>УХЛ1</t>
        </is>
      </c>
      <c r="L19" s="5" t="inlineStr">
        <is>
          <t>фланцевый</t>
        </is>
      </c>
      <c r="M19" s="5" t="inlineStr">
        <is>
          <t>ручной (маховик)</t>
        </is>
      </c>
      <c r="N19" s="5" t="inlineStr">
        <is>
          <t>-</t>
        </is>
      </c>
      <c r="O19" s="5" t="inlineStr">
        <is>
          <t>любое</t>
        </is>
      </c>
      <c r="P19" s="5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19" s="5" t="inlineStr"/>
      <c r="R19" s="5" t="inlineStr"/>
      <c r="S19" s="4" t="n">
        <v>2</v>
      </c>
      <c r="T19" s="5" t="inlineStr">
        <is>
          <t>шт</t>
        </is>
      </c>
      <c r="U19" s="6" t="inlineStr">
        <is>
          <t>30нж41нж Ду80 PN16 (ПТЗ)</t>
        </is>
      </c>
      <c r="V19" s="6" t="inlineStr">
        <is>
          <t>ООО «Пермский трубопроводный завод» (ИНН 5904173655)</t>
        </is>
      </c>
      <c r="W19" s="6" t="inlineStr">
        <is>
          <t>Россия</t>
        </is>
      </c>
      <c r="X19" s="6" t="inlineStr">
        <is>
          <t>10698940</t>
        </is>
      </c>
      <c r="Y19" s="6" t="inlineStr">
        <is>
          <t>17.02.2031</t>
        </is>
      </c>
      <c r="Z19" s="7" t="n"/>
      <c r="AA19" s="7" t="n"/>
      <c r="AB19" s="7" t="n"/>
      <c r="AC19" s="7" t="n"/>
      <c r="AD19" s="8">
        <f>AC19*S19</f>
        <v/>
      </c>
      <c r="AE19" s="7" t="n"/>
      <c r="AF19" s="7" t="n"/>
      <c r="AG19" s="7" t="n"/>
      <c r="AH19" s="5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20" ht="60" customHeight="1">
      <c r="A20" s="4" t="n">
        <v>15</v>
      </c>
      <c r="B20" s="5" t="inlineStr">
        <is>
          <t>1.3/74</t>
        </is>
      </c>
      <c r="C20" s="5" t="inlineStr">
        <is>
          <t>Задвижка 30с41нж Ду 80 Ру 16</t>
        </is>
      </c>
      <c r="D20" s="5" t="inlineStr">
        <is>
          <t>ТУ 3700-033-96455923-2014</t>
        </is>
      </c>
      <c r="E20" s="5" t="inlineStr">
        <is>
          <t>80</t>
        </is>
      </c>
      <c r="F20" s="5" t="inlineStr">
        <is>
          <t>стандарт</t>
        </is>
      </c>
      <c r="G20" s="5" t="inlineStr">
        <is>
          <t>1.6</t>
        </is>
      </c>
      <c r="H20" s="5" t="inlineStr">
        <is>
          <t>-40…        +425</t>
        </is>
      </c>
      <c r="I20" s="5" t="inlineStr">
        <is>
          <t>Вода, пар</t>
        </is>
      </c>
      <c r="J20" s="5" t="inlineStr">
        <is>
          <t>сталь 25Л</t>
        </is>
      </c>
      <c r="K20" s="5" t="inlineStr">
        <is>
          <t>У1</t>
        </is>
      </c>
      <c r="L20" s="5" t="inlineStr">
        <is>
          <t>фланец-фланец</t>
        </is>
      </c>
      <c r="M20" s="5" t="inlineStr">
        <is>
          <t>Ручное</t>
        </is>
      </c>
      <c r="N20" s="5" t="inlineStr">
        <is>
          <t>Маховик</t>
        </is>
      </c>
      <c r="O20" s="5" t="inlineStr">
        <is>
          <t>маховиком вверх</t>
        </is>
      </c>
      <c r="P20" s="5" t="inlineStr">
        <is>
          <t>Корпус, клин, крышка, маховик -  только сталь 20Л или 25Л,  шпиндель - сталь 20Х13, наплавка на кольце в корпусе и наплавка на клине 07Х25Н13 или схожая по свойствам, прокладка и сальниковое уплотнение только ТРГ</t>
        </is>
      </c>
      <c r="Q20" s="5" t="inlineStr">
        <is>
          <t>-</t>
        </is>
      </c>
      <c r="R20" s="5" t="inlineStr">
        <is>
          <t>-</t>
        </is>
      </c>
      <c r="S20" s="4" t="n">
        <v>12</v>
      </c>
      <c r="T20" s="5" t="inlineStr">
        <is>
          <t>шт</t>
        </is>
      </c>
      <c r="U20" s="6" t="inlineStr">
        <is>
          <t>30с41нж Ду80 PN16 (ПТЗ)</t>
        </is>
      </c>
      <c r="V20" s="6" t="inlineStr">
        <is>
          <t>ООО «Пермский трубопроводный завод» (ИНН 5904173655)</t>
        </is>
      </c>
      <c r="W20" s="6" t="inlineStr">
        <is>
          <t>Россия</t>
        </is>
      </c>
      <c r="X20" s="6" t="inlineStr">
        <is>
          <t>10698940</t>
        </is>
      </c>
      <c r="Y20" s="6" t="inlineStr">
        <is>
          <t>17.02.2031</t>
        </is>
      </c>
      <c r="Z20" s="7" t="n"/>
      <c r="AA20" s="7" t="n"/>
      <c r="AB20" s="7" t="n"/>
      <c r="AC20" s="7" t="n"/>
      <c r="AD20" s="8">
        <f>AC20*S20</f>
        <v/>
      </c>
      <c r="AE20" s="7" t="n"/>
      <c r="AF20" s="7" t="n"/>
      <c r="AG20" s="7" t="n"/>
      <c r="AH20" s="5" t="inlineStr">
        <is>
          <t>Подтвердить: шпиндель 20Х13, наплавка 20Х13 (или 07Х25Н13 где указано), ТРГ.</t>
        </is>
      </c>
    </row>
    <row r="21" ht="60" customHeight="1">
      <c r="A21" s="4" t="n">
        <v>16</v>
      </c>
      <c r="B21" s="5" t="inlineStr">
        <is>
          <t>1.3/77</t>
        </is>
      </c>
      <c r="C21" s="5" t="inlineStr">
        <is>
          <t>Задвижка 30с564нж Ду 400 Ру 25</t>
        </is>
      </c>
      <c r="D21" s="5" t="inlineStr">
        <is>
          <t>ГОСТ 5762-2002</t>
        </is>
      </c>
      <c r="E21" s="5" t="inlineStr">
        <is>
          <t>400</t>
        </is>
      </c>
      <c r="F21" s="5" t="inlineStr">
        <is>
          <t>стандарт</t>
        </is>
      </c>
      <c r="G21" s="5" t="inlineStr">
        <is>
          <t>2.5</t>
        </is>
      </c>
      <c r="H21" s="5" t="inlineStr">
        <is>
          <t>от −40 °C до +425 °C</t>
        </is>
      </c>
      <c r="I21" s="5" t="inlineStr">
        <is>
          <t>вода, пар, нефтепродукты, газ и другие неагрессивные среды</t>
        </is>
      </c>
      <c r="J21" s="5" t="inlineStr">
        <is>
          <t>сталь 25л</t>
        </is>
      </c>
      <c r="K21" s="5" t="inlineStr">
        <is>
          <t>У1</t>
        </is>
      </c>
      <c r="L21" s="5" t="inlineStr">
        <is>
          <t>фланцевый</t>
        </is>
      </c>
      <c r="M21" s="5" t="inlineStr">
        <is>
          <t>ручной</t>
        </is>
      </c>
      <c r="N21" s="5" t="inlineStr">
        <is>
          <t>Маховик</t>
        </is>
      </c>
      <c r="O21" s="5" t="inlineStr">
        <is>
          <t>горизонтальное, либо вертикальное</t>
        </is>
      </c>
      <c r="P21" s="5" t="inlineStr">
        <is>
          <t>Крышка, клин Ст25Л, шпиндель Ст20х13</t>
        </is>
      </c>
      <c r="Q21" s="5" t="inlineStr"/>
      <c r="R21" s="5" t="inlineStr"/>
      <c r="S21" s="4" t="n">
        <v>3</v>
      </c>
      <c r="T21" s="5" t="inlineStr">
        <is>
          <t>шт</t>
        </is>
      </c>
      <c r="U21" s="6" t="inlineStr">
        <is>
          <t>30с564нж Ду400 PN25 с механическим приводом (ПТЗ)</t>
        </is>
      </c>
      <c r="V21" s="6" t="inlineStr">
        <is>
          <t>ООО «Пермский трубопроводный завод» (ИНН 5904173655)</t>
        </is>
      </c>
      <c r="W21" s="6" t="inlineStr">
        <is>
          <t>Россия</t>
        </is>
      </c>
      <c r="X21" s="6" t="inlineStr">
        <is>
          <t>10698940</t>
        </is>
      </c>
      <c r="Y21" s="6" t="inlineStr">
        <is>
          <t>17.02.2031</t>
        </is>
      </c>
      <c r="Z21" s="7" t="n"/>
      <c r="AA21" s="7" t="n"/>
      <c r="AB21" s="7" t="n"/>
      <c r="AC21" s="7" t="n"/>
      <c r="AD21" s="8">
        <f>AC21*S21</f>
        <v/>
      </c>
      <c r="AE21" s="7" t="n"/>
      <c r="AF21" s="7" t="n"/>
      <c r="AG21" s="7" t="n"/>
      <c r="AH21" s="5" t="inlineStr">
        <is>
          <t>30с64нж у ПТЗ только до Ду300 → Ду400 с редуктором (30с564нж). Согласовать редуктор вместо маховика.</t>
        </is>
      </c>
    </row>
    <row r="22" ht="60" customHeight="1">
      <c r="A22" s="4" t="n">
        <v>17</v>
      </c>
      <c r="B22" s="5" t="inlineStr">
        <is>
          <t>1.3/78</t>
        </is>
      </c>
      <c r="C22" s="5" t="inlineStr">
        <is>
          <t>Задвижка 30с64нж Ду 50 Ру 25</t>
        </is>
      </c>
      <c r="D22" s="5" t="inlineStr">
        <is>
          <t>ГОСТ 5762-2002</t>
        </is>
      </c>
      <c r="E22" s="5" t="inlineStr">
        <is>
          <t>50</t>
        </is>
      </c>
      <c r="F22" s="5" t="inlineStr">
        <is>
          <t>стандарт</t>
        </is>
      </c>
      <c r="G22" s="5" t="inlineStr">
        <is>
          <t>2.5</t>
        </is>
      </c>
      <c r="H22" s="5" t="inlineStr">
        <is>
          <t>от −40°С  до +425°С</t>
        </is>
      </c>
      <c r="I22" s="5" t="inlineStr">
        <is>
          <t>вода, пар, неагрессивные нефтепродукты</t>
        </is>
      </c>
      <c r="J22" s="5" t="inlineStr">
        <is>
          <t>сталь 25л</t>
        </is>
      </c>
      <c r="K22" s="5" t="inlineStr">
        <is>
          <t>У1</t>
        </is>
      </c>
      <c r="L22" s="5" t="inlineStr">
        <is>
          <t>фланцевый</t>
        </is>
      </c>
      <c r="M22" s="5" t="inlineStr">
        <is>
          <t>ручной</t>
        </is>
      </c>
      <c r="N22" s="5" t="inlineStr">
        <is>
          <t>маховик</t>
        </is>
      </c>
      <c r="O22" s="5" t="inlineStr">
        <is>
          <t>горизонтальное, либо вертикальное</t>
        </is>
      </c>
      <c r="P22" s="5" t="inlineStr">
        <is>
          <t>Крышка, клин Ст25Л, шпиндель Ст20х13</t>
        </is>
      </c>
      <c r="Q22" s="5" t="inlineStr"/>
      <c r="R22" s="5" t="inlineStr"/>
      <c r="S22" s="4" t="n">
        <v>5</v>
      </c>
      <c r="T22" s="5" t="inlineStr">
        <is>
          <t>шт</t>
        </is>
      </c>
      <c r="U22" s="6" t="inlineStr">
        <is>
          <t>30с64нж Ду50 PN25 (ПТЗ)</t>
        </is>
      </c>
      <c r="V22" s="6" t="inlineStr">
        <is>
          <t>ООО «Пермский трубопроводный завод» (ИНН 5904173655)</t>
        </is>
      </c>
      <c r="W22" s="6" t="inlineStr">
        <is>
          <t>Россия</t>
        </is>
      </c>
      <c r="X22" s="6" t="inlineStr">
        <is>
          <t>10698940</t>
        </is>
      </c>
      <c r="Y22" s="6" t="inlineStr">
        <is>
          <t>17.02.2031</t>
        </is>
      </c>
      <c r="Z22" s="7" t="n"/>
      <c r="AA22" s="7" t="n"/>
      <c r="AB22" s="7" t="n"/>
      <c r="AC22" s="7" t="n"/>
      <c r="AD22" s="8">
        <f>AC22*S22</f>
        <v/>
      </c>
      <c r="AE22" s="7" t="n"/>
      <c r="AF22" s="7" t="n"/>
      <c r="AG22" s="7" t="n"/>
      <c r="AH22" s="5" t="inlineStr">
        <is>
          <t>Запросить паспорт: шпиндель 20Х13, наплавка, ТРГ.</t>
        </is>
      </c>
    </row>
    <row r="23" ht="60" customHeight="1">
      <c r="A23" s="4" t="n">
        <v>18</v>
      </c>
      <c r="B23" s="5" t="inlineStr">
        <is>
          <t>1.3/79</t>
        </is>
      </c>
      <c r="C23" s="5" t="inlineStr">
        <is>
          <t>Задвижка 30с64нж Ду 80 Ру 25</t>
        </is>
      </c>
      <c r="D23" s="5" t="inlineStr">
        <is>
          <t>ГОСТ 5762-2002</t>
        </is>
      </c>
      <c r="E23" s="5" t="inlineStr">
        <is>
          <t>80</t>
        </is>
      </c>
      <c r="F23" s="5" t="inlineStr">
        <is>
          <t>стандарт</t>
        </is>
      </c>
      <c r="G23" s="5" t="inlineStr">
        <is>
          <t>2.5</t>
        </is>
      </c>
      <c r="H23" s="5" t="inlineStr">
        <is>
          <t>от −40°С  до +425°С</t>
        </is>
      </c>
      <c r="I23" s="5" t="inlineStr">
        <is>
          <t>вода, пар, неагрессивные нефтепродукты</t>
        </is>
      </c>
      <c r="J23" s="5" t="inlineStr">
        <is>
          <t>сталь 25л</t>
        </is>
      </c>
      <c r="K23" s="5" t="inlineStr">
        <is>
          <t>У1</t>
        </is>
      </c>
      <c r="L23" s="5" t="inlineStr">
        <is>
          <t>фланцевый</t>
        </is>
      </c>
      <c r="M23" s="5" t="inlineStr">
        <is>
          <t>ручной</t>
        </is>
      </c>
      <c r="N23" s="5" t="inlineStr">
        <is>
          <t>маховик</t>
        </is>
      </c>
      <c r="O23" s="5" t="inlineStr">
        <is>
          <t>горизонтальное, либо вертикальное</t>
        </is>
      </c>
      <c r="P23" s="5" t="inlineStr">
        <is>
          <t>Крышка, клин Ст25Л, шпиндель Ст20х13</t>
        </is>
      </c>
      <c r="Q23" s="5" t="inlineStr"/>
      <c r="R23" s="5" t="inlineStr"/>
      <c r="S23" s="4" t="n">
        <v>3</v>
      </c>
      <c r="T23" s="5" t="inlineStr">
        <is>
          <t>шт</t>
        </is>
      </c>
      <c r="U23" s="6" t="inlineStr">
        <is>
          <t>30с64нж Ду80 PN25 (ПТЗ)</t>
        </is>
      </c>
      <c r="V23" s="6" t="inlineStr">
        <is>
          <t>ООО «Пермский трубопроводный завод» (ИНН 5904173655)</t>
        </is>
      </c>
      <c r="W23" s="6" t="inlineStr">
        <is>
          <t>Россия</t>
        </is>
      </c>
      <c r="X23" s="6" t="inlineStr">
        <is>
          <t>10698940</t>
        </is>
      </c>
      <c r="Y23" s="6" t="inlineStr">
        <is>
          <t>17.02.2031</t>
        </is>
      </c>
      <c r="Z23" s="7" t="n"/>
      <c r="AA23" s="7" t="n"/>
      <c r="AB23" s="7" t="n"/>
      <c r="AC23" s="7" t="n"/>
      <c r="AD23" s="8">
        <f>AC23*S23</f>
        <v/>
      </c>
      <c r="AE23" s="7" t="n"/>
      <c r="AF23" s="7" t="n"/>
      <c r="AG23" s="7" t="n"/>
      <c r="AH23" s="5" t="inlineStr">
        <is>
          <t>Запросить паспорт: шпиндель 20Х13, наплавка, ТРГ.</t>
        </is>
      </c>
    </row>
    <row r="24" ht="60" customHeight="1">
      <c r="A24" s="4" t="n">
        <v>19</v>
      </c>
      <c r="B24" s="5" t="inlineStr">
        <is>
          <t>1.3/80</t>
        </is>
      </c>
      <c r="C24" s="5" t="inlineStr">
        <is>
          <t>Задвижка 30с64нж Ду 100 Ру 25</t>
        </is>
      </c>
      <c r="D24" s="5" t="inlineStr">
        <is>
          <t>ГОСТ 5762-2002</t>
        </is>
      </c>
      <c r="E24" s="5" t="inlineStr">
        <is>
          <t>100</t>
        </is>
      </c>
      <c r="F24" s="5" t="inlineStr">
        <is>
          <t>стандарт</t>
        </is>
      </c>
      <c r="G24" s="5" t="inlineStr">
        <is>
          <t>2.5</t>
        </is>
      </c>
      <c r="H24" s="5" t="inlineStr">
        <is>
          <t>от −40°С  до +425°С</t>
        </is>
      </c>
      <c r="I24" s="5" t="inlineStr">
        <is>
          <t>вода, пар, неагрессивные нефтепродукты</t>
        </is>
      </c>
      <c r="J24" s="5" t="inlineStr">
        <is>
          <t>сталь 25л</t>
        </is>
      </c>
      <c r="K24" s="5" t="inlineStr">
        <is>
          <t>У1</t>
        </is>
      </c>
      <c r="L24" s="5" t="inlineStr">
        <is>
          <t>фланцевый</t>
        </is>
      </c>
      <c r="M24" s="5" t="inlineStr">
        <is>
          <t>ручной</t>
        </is>
      </c>
      <c r="N24" s="5" t="inlineStr">
        <is>
          <t>маховик</t>
        </is>
      </c>
      <c r="O24" s="5" t="inlineStr">
        <is>
          <t>горизонтальное, либо вертикальное</t>
        </is>
      </c>
      <c r="P24" s="5" t="inlineStr">
        <is>
          <t>Крышка, клин Ст25Л, шпиндель Ст20х13</t>
        </is>
      </c>
      <c r="Q24" s="5" t="inlineStr"/>
      <c r="R24" s="5" t="inlineStr"/>
      <c r="S24" s="4" t="n">
        <v>20</v>
      </c>
      <c r="T24" s="5" t="inlineStr">
        <is>
          <t>шт</t>
        </is>
      </c>
      <c r="U24" s="6" t="inlineStr">
        <is>
          <t>30с64нж Ду100 PN25 (ПТЗ)</t>
        </is>
      </c>
      <c r="V24" s="6" t="inlineStr">
        <is>
          <t>ООО «Пермский трубопроводный завод» (ИНН 5904173655)</t>
        </is>
      </c>
      <c r="W24" s="6" t="inlineStr">
        <is>
          <t>Россия</t>
        </is>
      </c>
      <c r="X24" s="6" t="inlineStr">
        <is>
          <t>10698940</t>
        </is>
      </c>
      <c r="Y24" s="6" t="inlineStr">
        <is>
          <t>17.02.2031</t>
        </is>
      </c>
      <c r="Z24" s="7" t="n"/>
      <c r="AA24" s="7" t="n"/>
      <c r="AB24" s="7" t="n"/>
      <c r="AC24" s="7" t="n"/>
      <c r="AD24" s="8">
        <f>AC24*S24</f>
        <v/>
      </c>
      <c r="AE24" s="7" t="n"/>
      <c r="AF24" s="7" t="n"/>
      <c r="AG24" s="7" t="n"/>
      <c r="AH24" s="5" t="inlineStr">
        <is>
          <t>Запросить паспорт: шпиндель 20Х13, наплавка, ТРГ.</t>
        </is>
      </c>
    </row>
    <row r="25" ht="60" customHeight="1">
      <c r="A25" s="4" t="n">
        <v>20</v>
      </c>
      <c r="B25" s="5" t="inlineStr">
        <is>
          <t>1.3/81</t>
        </is>
      </c>
      <c r="C25" s="5" t="inlineStr">
        <is>
          <t>Задвижка 30с64нж Ду 150 Ру 25</t>
        </is>
      </c>
      <c r="D25" s="5" t="inlineStr">
        <is>
          <t>ГОСТ 5762-2002</t>
        </is>
      </c>
      <c r="E25" s="5" t="inlineStr">
        <is>
          <t>150</t>
        </is>
      </c>
      <c r="F25" s="5" t="inlineStr">
        <is>
          <t>стандарт</t>
        </is>
      </c>
      <c r="G25" s="5" t="inlineStr">
        <is>
          <t>2.5</t>
        </is>
      </c>
      <c r="H25" s="5" t="inlineStr">
        <is>
          <t>от −40°С  до +425°С</t>
        </is>
      </c>
      <c r="I25" s="5" t="inlineStr">
        <is>
          <t>вода, пар, неагрессивные нефтепродукты</t>
        </is>
      </c>
      <c r="J25" s="5" t="inlineStr">
        <is>
          <t>сталь 25л</t>
        </is>
      </c>
      <c r="K25" s="5" t="inlineStr">
        <is>
          <t>У1</t>
        </is>
      </c>
      <c r="L25" s="5" t="inlineStr">
        <is>
          <t>фланцевый</t>
        </is>
      </c>
      <c r="M25" s="5" t="inlineStr">
        <is>
          <t>ручной</t>
        </is>
      </c>
      <c r="N25" s="5" t="inlineStr">
        <is>
          <t>маховик</t>
        </is>
      </c>
      <c r="O25" s="5" t="inlineStr">
        <is>
          <t>горизонтальное, либо вертикальное</t>
        </is>
      </c>
      <c r="P25" s="5" t="inlineStr">
        <is>
          <t>Крышка, клин Ст25Л, шпиндель Ст20х13</t>
        </is>
      </c>
      <c r="Q25" s="5" t="inlineStr"/>
      <c r="R25" s="5" t="inlineStr"/>
      <c r="S25" s="4" t="n">
        <v>18</v>
      </c>
      <c r="T25" s="5" t="inlineStr">
        <is>
          <t>шт</t>
        </is>
      </c>
      <c r="U25" s="6" t="inlineStr">
        <is>
          <t>30с64нж Ду150 PN25 (ПТЗ)</t>
        </is>
      </c>
      <c r="V25" s="6" t="inlineStr">
        <is>
          <t>ООО «Пермский трубопроводный завод» (ИНН 5904173655)</t>
        </is>
      </c>
      <c r="W25" s="6" t="inlineStr">
        <is>
          <t>Россия</t>
        </is>
      </c>
      <c r="X25" s="6" t="inlineStr">
        <is>
          <t>10698940</t>
        </is>
      </c>
      <c r="Y25" s="6" t="inlineStr">
        <is>
          <t>17.02.2031</t>
        </is>
      </c>
      <c r="Z25" s="7" t="n"/>
      <c r="AA25" s="7" t="n"/>
      <c r="AB25" s="7" t="n"/>
      <c r="AC25" s="7" t="n"/>
      <c r="AD25" s="8">
        <f>AC25*S25</f>
        <v/>
      </c>
      <c r="AE25" s="7" t="n"/>
      <c r="AF25" s="7" t="n"/>
      <c r="AG25" s="7" t="n"/>
      <c r="AH25" s="5" t="inlineStr">
        <is>
          <t>Запросить паспорт: шпиндель 20Х13, наплавка, ТРГ.</t>
        </is>
      </c>
    </row>
    <row r="26" ht="60" customHeight="1">
      <c r="A26" s="4" t="n">
        <v>21</v>
      </c>
      <c r="B26" s="5" t="inlineStr">
        <is>
          <t>1.3/82</t>
        </is>
      </c>
      <c r="C26" s="5" t="inlineStr">
        <is>
          <t>Задвижка 30с64нж Ду 200 Ру 25</t>
        </is>
      </c>
      <c r="D26" s="5" t="inlineStr">
        <is>
          <t>ГОСТ 5762-2002</t>
        </is>
      </c>
      <c r="E26" s="5" t="inlineStr">
        <is>
          <t>200</t>
        </is>
      </c>
      <c r="F26" s="5" t="inlineStr">
        <is>
          <t>стандарт</t>
        </is>
      </c>
      <c r="G26" s="5" t="inlineStr">
        <is>
          <t>2.5</t>
        </is>
      </c>
      <c r="H26" s="5" t="inlineStr">
        <is>
          <t>-40…        +425</t>
        </is>
      </c>
      <c r="I26" s="5" t="inlineStr">
        <is>
          <t>Вода, воздух, пар, аммиак,природный газ, нефть,нефтепродукты</t>
        </is>
      </c>
      <c r="J26" s="5" t="inlineStr">
        <is>
          <t>сталь 25Л</t>
        </is>
      </c>
      <c r="K26" s="5" t="inlineStr">
        <is>
          <t>Условия эксплуатации У
Минимальная температура окружающего воздуха: −40°С</t>
        </is>
      </c>
      <c r="L26" s="5" t="inlineStr">
        <is>
          <t>фланец-фланец</t>
        </is>
      </c>
      <c r="M26" s="5" t="inlineStr">
        <is>
          <t>Ручное</t>
        </is>
      </c>
      <c r="N26" s="5" t="inlineStr">
        <is>
          <t>Маховик</t>
        </is>
      </c>
      <c r="O26" s="5" t="inlineStr">
        <is>
          <t>Вертикально маховиком вверх, горизонтально</t>
        </is>
      </c>
      <c r="P26" s="5" t="inlineStr">
        <is>
          <t>С КОФ. Корпус, клин, крышка, маховик -  только сталь 20Л или 25Л,  шпиндель - сталь 20Х13, наплавка на кольце в корпусе и наплавка на клине 07Х25Н13 или схожая по свойствам, прокладка и сальниковое уплотнение только ТРГ</t>
        </is>
      </c>
      <c r="Q26" s="5" t="inlineStr"/>
      <c r="R26" s="5" t="inlineStr"/>
      <c r="S26" s="4" t="n">
        <v>9</v>
      </c>
      <c r="T26" s="5" t="inlineStr">
        <is>
          <t>шт</t>
        </is>
      </c>
      <c r="U26" s="6" t="inlineStr">
        <is>
          <t>30с64нж Ду200 PN25 (ПТЗ)</t>
        </is>
      </c>
      <c r="V26" s="6" t="inlineStr">
        <is>
          <t>ООО «Пермский трубопроводный завод» (ИНН 5904173655)</t>
        </is>
      </c>
      <c r="W26" s="6" t="inlineStr">
        <is>
          <t>Россия</t>
        </is>
      </c>
      <c r="X26" s="6" t="inlineStr">
        <is>
          <t>10698940</t>
        </is>
      </c>
      <c r="Y26" s="6" t="inlineStr">
        <is>
          <t>17.02.2031</t>
        </is>
      </c>
      <c r="Z26" s="7" t="n"/>
      <c r="AA26" s="7" t="n"/>
      <c r="AB26" s="7" t="n"/>
      <c r="AC26" s="7" t="n"/>
      <c r="AD26" s="8">
        <f>AC26*S26</f>
        <v/>
      </c>
      <c r="AE26" s="7" t="n"/>
      <c r="AF26" s="7" t="n"/>
      <c r="AG26" s="7" t="n"/>
      <c r="AH26" s="5" t="inlineStr">
        <is>
          <t>Запросить паспорт: шпиндель 20Х13, наплавка, ТРГ.</t>
        </is>
      </c>
    </row>
    <row r="27" ht="60" customHeight="1">
      <c r="A27" s="4" t="n">
        <v>22</v>
      </c>
      <c r="B27" s="5" t="inlineStr">
        <is>
          <t>1.3/83</t>
        </is>
      </c>
      <c r="C27" s="5" t="inlineStr">
        <is>
          <t>Задвижка 30с64нж Ду 250 Ру 25</t>
        </is>
      </c>
      <c r="D27" s="5" t="inlineStr">
        <is>
          <t>ГОСТ 5762-2002</t>
        </is>
      </c>
      <c r="E27" s="5" t="inlineStr">
        <is>
          <t>250</t>
        </is>
      </c>
      <c r="F27" s="5" t="inlineStr">
        <is>
          <t>стандарт</t>
        </is>
      </c>
      <c r="G27" s="5" t="inlineStr">
        <is>
          <t>2.5</t>
        </is>
      </c>
      <c r="H27" s="5" t="inlineStr">
        <is>
          <t>до +425</t>
        </is>
      </c>
      <c r="I27" s="5" t="inlineStr">
        <is>
          <t>вода, пар, нефть, природный газ, жидкие и газообразные неагрессивные нефтепродукты</t>
        </is>
      </c>
      <c r="J27" s="5" t="inlineStr">
        <is>
          <t>сталь 25Л</t>
        </is>
      </c>
      <c r="K27" s="5" t="inlineStr">
        <is>
          <t>У1</t>
        </is>
      </c>
      <c r="L27" s="5" t="inlineStr">
        <is>
          <t>фланцевый</t>
        </is>
      </c>
      <c r="M27" s="5" t="inlineStr">
        <is>
          <t>ручной</t>
        </is>
      </c>
      <c r="N27" s="5" t="inlineStr">
        <is>
          <t>Маховик</t>
        </is>
      </c>
      <c r="O27" s="5" t="inlineStr">
        <is>
          <t>любое, кроме маховиком вниз</t>
        </is>
      </c>
      <c r="P27" s="5" t="inlineStr">
        <is>
          <t>Корпус, Крышка, Клин, Маховик - Сталь 25Л Шпиндель - Сталь 20Х13 Прокладка и уплотнение - ТРГ Наплавка на кольце в корпусе и на клине - Сталь 20Х13</t>
        </is>
      </c>
      <c r="Q27" s="5" t="inlineStr"/>
      <c r="R27" s="5" t="inlineStr"/>
      <c r="S27" s="4" t="n">
        <v>2</v>
      </c>
      <c r="T27" s="5" t="inlineStr">
        <is>
          <t>шт</t>
        </is>
      </c>
      <c r="U27" s="6" t="inlineStr">
        <is>
          <t>30с64нж Ду250 PN25 (ПТЗ)</t>
        </is>
      </c>
      <c r="V27" s="6" t="inlineStr">
        <is>
          <t>ООО «Пермский трубопроводный завод» (ИНН 5904173655)</t>
        </is>
      </c>
      <c r="W27" s="6" t="inlineStr">
        <is>
          <t>Россия</t>
        </is>
      </c>
      <c r="X27" s="6" t="inlineStr">
        <is>
          <t>10698940</t>
        </is>
      </c>
      <c r="Y27" s="6" t="inlineStr">
        <is>
          <t>17.02.2031</t>
        </is>
      </c>
      <c r="Z27" s="7" t="n"/>
      <c r="AA27" s="7" t="n"/>
      <c r="AB27" s="7" t="n"/>
      <c r="AC27" s="7" t="n"/>
      <c r="AD27" s="8">
        <f>AC27*S27</f>
        <v/>
      </c>
      <c r="AE27" s="7" t="n"/>
      <c r="AF27" s="7" t="n"/>
      <c r="AG27" s="7" t="n"/>
      <c r="AH27" s="5" t="inlineStr">
        <is>
          <t>Запросить паспорт: шпиндель 20Х13, наплавка, ТРГ.</t>
        </is>
      </c>
    </row>
    <row r="28" ht="60" customHeight="1">
      <c r="A28" s="4" t="n">
        <v>23</v>
      </c>
      <c r="B28" s="5" t="inlineStr">
        <is>
          <t>1.3/84</t>
        </is>
      </c>
      <c r="C28" s="5" t="inlineStr">
        <is>
          <t>Задвижка 30с64нж Ду 300 Ру 25</t>
        </is>
      </c>
      <c r="D28" s="5" t="inlineStr">
        <is>
          <t>ГОСТ 5762-2002</t>
        </is>
      </c>
      <c r="E28" s="5" t="inlineStr">
        <is>
          <t>300</t>
        </is>
      </c>
      <c r="F28" s="5" t="inlineStr">
        <is>
          <t>стандарт</t>
        </is>
      </c>
      <c r="G28" s="5" t="inlineStr">
        <is>
          <t>2.5</t>
        </is>
      </c>
      <c r="H28" s="5" t="inlineStr">
        <is>
          <t>до +425</t>
        </is>
      </c>
      <c r="I28" s="5" t="inlineStr">
        <is>
          <t>вода, пар, нефть, природный газ, жидкие и газообразные неагрессивные нефтепродукты</t>
        </is>
      </c>
      <c r="J28" s="5" t="inlineStr">
        <is>
          <t>сталь 25Л</t>
        </is>
      </c>
      <c r="K28" s="5" t="inlineStr">
        <is>
          <t>У1</t>
        </is>
      </c>
      <c r="L28" s="5" t="inlineStr">
        <is>
          <t>фланцевый</t>
        </is>
      </c>
      <c r="M28" s="5" t="inlineStr">
        <is>
          <t>ручной (маховик)</t>
        </is>
      </c>
      <c r="N28" s="5" t="inlineStr">
        <is>
          <t>-</t>
        </is>
      </c>
      <c r="O28" s="5" t="inlineStr">
        <is>
          <t>любое, кроме маховиком вниз</t>
        </is>
      </c>
      <c r="P28" s="5" t="inlineStr">
        <is>
          <t>Корпус, Крышка, Клин, Маховик - Сталь 25Л Шпиндель - Сталь 20Х13 Прокладка и уплотнение - ТРГ Наплавка на кольце в корпусе и на клине - Сталь 20Х13</t>
        </is>
      </c>
      <c r="Q28" s="5" t="inlineStr"/>
      <c r="R28" s="5" t="inlineStr"/>
      <c r="S28" s="4" t="n">
        <v>3</v>
      </c>
      <c r="T28" s="5" t="inlineStr">
        <is>
          <t>шт</t>
        </is>
      </c>
      <c r="U28" s="6" t="inlineStr">
        <is>
          <t>30с64нж Ду300 PN25 (ПТЗ)</t>
        </is>
      </c>
      <c r="V28" s="6" t="inlineStr">
        <is>
          <t>ООО «Пермский трубопроводный завод» (ИНН 5904173655)</t>
        </is>
      </c>
      <c r="W28" s="6" t="inlineStr">
        <is>
          <t>Россия</t>
        </is>
      </c>
      <c r="X28" s="6" t="inlineStr">
        <is>
          <t>10698940</t>
        </is>
      </c>
      <c r="Y28" s="6" t="inlineStr">
        <is>
          <t>17.02.2031</t>
        </is>
      </c>
      <c r="Z28" s="7" t="n"/>
      <c r="AA28" s="7" t="n"/>
      <c r="AB28" s="7" t="n"/>
      <c r="AC28" s="7" t="n"/>
      <c r="AD28" s="8">
        <f>AC28*S28</f>
        <v/>
      </c>
      <c r="AE28" s="7" t="n"/>
      <c r="AF28" s="7" t="n"/>
      <c r="AG28" s="7" t="n"/>
      <c r="AH28" s="5" t="inlineStr">
        <is>
          <t>Запросить паспорт: шпиндель 20Х13, наплавка, ТРГ.</t>
        </is>
      </c>
    </row>
    <row r="29" ht="60" customHeight="1">
      <c r="A29" s="4" t="n">
        <v>24</v>
      </c>
      <c r="B29" s="5" t="inlineStr">
        <is>
          <t>1.3/87</t>
        </is>
      </c>
      <c r="C29" s="5" t="inlineStr">
        <is>
          <t>Задвижка 30с941нж Ду 150 Ру 16 с электроприводом</t>
        </is>
      </c>
      <c r="D29" s="5" t="inlineStr">
        <is>
          <t>ТУ 28.14.11-001-27709620-2022ТУ 28.14.11-001-27709620-2022</t>
        </is>
      </c>
      <c r="E29" s="5" t="inlineStr">
        <is>
          <t>150</t>
        </is>
      </c>
      <c r="F29" s="5" t="inlineStr">
        <is>
          <t>полнопроходной</t>
        </is>
      </c>
      <c r="G29" s="5" t="inlineStr">
        <is>
          <t>1.6</t>
        </is>
      </c>
      <c r="H29" s="5" t="inlineStr">
        <is>
          <t>от -40 до + 425°С</t>
        </is>
      </c>
      <c r="I29" s="5" t="inlineStr">
        <is>
          <t>вода, пар,
масло, нефть, жидкие неагрессивные
нефтепродукты, неагрессивные жидкие
среды до</t>
        </is>
      </c>
      <c r="J29" s="5" t="inlineStr">
        <is>
          <t>Сталь 35Л ГОСТ
977-88</t>
        </is>
      </c>
      <c r="K29" s="5" t="inlineStr">
        <is>
          <t>ТУ 3714-007-82556046-2007. "У"</t>
        </is>
      </c>
      <c r="L29" s="5" t="inlineStr">
        <is>
          <t>фланцевое</t>
        </is>
      </c>
      <c r="M29" s="5" t="inlineStr">
        <is>
          <t>МНОГООБОРОТНЫЙ ЭЛЕКТРОПРИВОД
ГЗ-А.150</t>
        </is>
      </c>
      <c r="N29" s="5" t="inlineStr">
        <is>
          <t>Условное обозначение:ГЗ-А.150;       Тип присоедин. к арматуре по ОСТ 26-07-763-73 "А";                         Номинальный крутящий момент на выходном валу Нм (кгс*м) 150 (15); Частота вращения вала, об/мин. Стандарт 24,  По заказу 18,36,48; Электродвигатель  Мощность кВт 0,37, Номинальный ток  (А) 2,5 Пусковой ток ( А) 8,84;</t>
        </is>
      </c>
      <c r="O29" s="5" t="inlineStr"/>
      <c r="P29" s="5" t="inlineStr">
        <is>
          <t>Крышка Сталь 35Л ГОСТ
977-88; Клин Сталь 35Л ГОСТ
977-88 ; Шпиндель Сталь 45ГОСТ 1050-88;Уплотнительная
прокладка
терморасширенный
графит (армир); Набивка
уплотнительная
терморасширенный
графит (армир);Крышка
сальника
Сталь 35Л ГОСТ
977-88; Упорная гайка Сталь 20Л ГОСТ
977-88; Пятикулачковая
муфта
Латунь Ц38МЦ2С2
ГОСТ17711-93</t>
        </is>
      </c>
      <c r="Q29" s="5" t="inlineStr">
        <is>
          <t>L=280мм; H=520мм</t>
        </is>
      </c>
      <c r="R29" s="5" t="inlineStr">
        <is>
          <t>нж - уплотнения из нержавеющей стали.</t>
        </is>
      </c>
      <c r="S29" s="4" t="n">
        <v>6</v>
      </c>
      <c r="T29" s="5" t="inlineStr">
        <is>
          <t>шт</t>
        </is>
      </c>
      <c r="U29" s="6" t="inlineStr">
        <is>
          <t>30с941нж Ду150 PN16 с электроприводом (ПТЗ)</t>
        </is>
      </c>
      <c r="V29" s="6" t="inlineStr">
        <is>
          <t>ООО «Пермский трубопроводный завод» (ИНН 5904173655)</t>
        </is>
      </c>
      <c r="W29" s="6" t="inlineStr">
        <is>
          <t>Россия</t>
        </is>
      </c>
      <c r="X29" s="6" t="inlineStr">
        <is>
          <t>10698940</t>
        </is>
      </c>
      <c r="Y29" s="6" t="inlineStr">
        <is>
          <t>17.02.2031</t>
        </is>
      </c>
      <c r="Z29" s="7" t="n"/>
      <c r="AA29" s="7" t="n"/>
      <c r="AB29" s="7" t="n"/>
      <c r="AC29" s="7" t="n"/>
      <c r="AD29" s="8">
        <f>AC29*S29</f>
        <v/>
      </c>
      <c r="AE29" s="7" t="n"/>
      <c r="AF29" s="7" t="n"/>
      <c r="AG29" s="7" t="n"/>
      <c r="AH29" s="5" t="inlineStr">
        <is>
          <t>Подтвердить комплектацию ГЗ-А.150 (или аналог, 150 Н·м, присоединение А); согласовать 25Л вместо 35Л; шпиндель ст.45.</t>
        </is>
      </c>
    </row>
    <row r="30" ht="60" customHeight="1">
      <c r="A30" s="4" t="n">
        <v>25</v>
      </c>
      <c r="B30" s="5" t="inlineStr">
        <is>
          <t>1.3/88</t>
        </is>
      </c>
      <c r="C30" s="5" t="inlineStr">
        <is>
          <t>Задвижка 30с964нж Ду 150 Ру 25 с электроприводом</t>
        </is>
      </c>
      <c r="D30" s="5" t="inlineStr">
        <is>
          <t>ТУ 3741-003-43179794-2009.</t>
        </is>
      </c>
      <c r="E30" s="5" t="inlineStr">
        <is>
          <t>150</t>
        </is>
      </c>
      <c r="F30" s="5" t="inlineStr">
        <is>
          <t>полнопроходной</t>
        </is>
      </c>
      <c r="G30" s="5" t="inlineStr">
        <is>
          <t>2.5</t>
        </is>
      </c>
      <c r="H30" s="5" t="inlineStr">
        <is>
          <t>от -40 до + 425</t>
        </is>
      </c>
      <c r="I30" s="5" t="inlineStr">
        <is>
          <t>Вода , пар, воздух, нгефть, масло,</t>
        </is>
      </c>
      <c r="J30" s="5" t="inlineStr">
        <is>
          <t>сталь 25Л</t>
        </is>
      </c>
      <c r="K30" s="5" t="inlineStr">
        <is>
          <t>по ГОСТ 15150-69. У1</t>
        </is>
      </c>
      <c r="L30" s="5" t="inlineStr">
        <is>
          <t>фланец-фланец</t>
        </is>
      </c>
      <c r="M30" s="5" t="inlineStr">
        <is>
          <t>электропривод DN.ru МТ-100-220, 220В</t>
        </is>
      </c>
      <c r="N30" s="5" t="inlineStr">
        <is>
          <t>тип присоединения электродвигателя-Б; Крутящий момент привода - 100 Нм
    ○ Напряжение питания - 220 В
    ○ Номинальный потребляемый ток - 1.8А
    Датчик обратной связи - Концевые выключатели
    Степень защиты корпуса - IP67
    Взрывозащита корпуса - нет
    ○ Тип ISO-фланца привода - F10, F14</t>
        </is>
      </c>
      <c r="O30" s="5" t="inlineStr">
        <is>
          <t>Электроприводом  вверх, но
допускается отклонение до 90° в любую сторону для задвижек до
DN 150 включительно,</t>
        </is>
      </c>
      <c r="P30" s="5" t="inlineStr">
        <is>
          <t>Шпиндель-20Х13; клин (диски)-сталь25; набивка сальника ТРГ; наплавка на клине-13Х25Т, 10Х17Т;</t>
        </is>
      </c>
      <c r="Q30" s="5" t="inlineStr">
        <is>
          <t>L=403мм; H=576мм</t>
        </is>
      </c>
      <c r="R30" s="5" t="inlineStr"/>
      <c r="S30" s="4" t="n">
        <v>1</v>
      </c>
      <c r="T30" s="5" t="inlineStr">
        <is>
          <t>шт</t>
        </is>
      </c>
      <c r="U30" s="6" t="inlineStr">
        <is>
          <t>30с964нж Ду150 PN25 с электроприводом (ПТЗ)</t>
        </is>
      </c>
      <c r="V30" s="6" t="inlineStr">
        <is>
          <t>ООО «Пермский трубопроводный завод» (ИНН 5904173655)</t>
        </is>
      </c>
      <c r="W30" s="6" t="inlineStr">
        <is>
          <t>Россия</t>
        </is>
      </c>
      <c r="X30" s="6" t="inlineStr">
        <is>
          <t>10698940</t>
        </is>
      </c>
      <c r="Y30" s="6" t="inlineStr">
        <is>
          <t>17.02.2031</t>
        </is>
      </c>
      <c r="Z30" s="7" t="n"/>
      <c r="AA30" s="7" t="n"/>
      <c r="AB30" s="7" t="n"/>
      <c r="AC30" s="7" t="n"/>
      <c r="AD30" s="8">
        <f>AC30*S30</f>
        <v/>
      </c>
      <c r="AE30" s="7" t="n"/>
      <c r="AF30" s="7" t="n"/>
      <c r="AG30" s="7" t="n"/>
      <c r="AH30" s="5" t="inlineStr">
        <is>
          <t>Запросить электропривод 100 Н·м 220 В тип Б (российский, с записью РПП).</t>
        </is>
      </c>
    </row>
    <row r="31" ht="60" customHeight="1">
      <c r="A31" s="4" t="n">
        <v>26</v>
      </c>
      <c r="B31" s="5" t="inlineStr">
        <is>
          <t>1.3/89</t>
        </is>
      </c>
      <c r="C31" s="5" t="inlineStr">
        <is>
          <t>Задвижка 30с964нж Ду 400 Ру 25</t>
        </is>
      </c>
      <c r="D31" s="5" t="inlineStr">
        <is>
          <t>ТУ 28.14.11-001-27709620-2022ТУ 28.14.11-001-27709620-2022</t>
        </is>
      </c>
      <c r="E31" s="5" t="inlineStr">
        <is>
          <t>400</t>
        </is>
      </c>
      <c r="F31" s="5" t="inlineStr">
        <is>
          <t>стандарт</t>
        </is>
      </c>
      <c r="G31" s="5" t="inlineStr">
        <is>
          <t>2.5</t>
        </is>
      </c>
      <c r="H31" s="5" t="inlineStr">
        <is>
          <t>от -40 до + 425</t>
        </is>
      </c>
      <c r="I31" s="5" t="inlineStr">
        <is>
          <t>вода, пар</t>
        </is>
      </c>
      <c r="J31" s="5" t="inlineStr">
        <is>
          <t>сталь 25Л</t>
        </is>
      </c>
      <c r="K31" s="5" t="inlineStr">
        <is>
          <t>У1</t>
        </is>
      </c>
      <c r="L31" s="5" t="inlineStr">
        <is>
          <t>фланец-фланец</t>
        </is>
      </c>
      <c r="M31" s="5" t="inlineStr">
        <is>
          <t>под электропривод</t>
        </is>
      </c>
      <c r="N31" s="5" t="inlineStr">
        <is>
          <t>AUMA SA 16.1-G3 или аналог</t>
        </is>
      </c>
      <c r="O31" s="5" t="inlineStr">
        <is>
          <t>любое</t>
        </is>
      </c>
      <c r="P31" s="5" t="inlineStr">
        <is>
          <t>Крышка: сталь 25Л Клин (диски): сталь 25Л  Шпиндель: 20Х13 Гайка шпинделя: латунь ЛС59-1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паронит, ТРГ Набивка сальника: АГИ, ТРГ Подшипник: шариковый упорный Наплавка на кольце в корпусе: 07Х25Н13, 08Х21Н10Г6 Наплавка на клине: 13Х25Т, 10Х17Т</t>
        </is>
      </c>
      <c r="Q31" s="5" t="inlineStr">
        <is>
          <t>600*1425</t>
        </is>
      </c>
      <c r="R31" s="5" t="inlineStr">
        <is>
          <t>В комплекте с крепежом и ответными фланцами (с КОФ).Под электропривод AUMA или аналог.</t>
        </is>
      </c>
      <c r="S31" s="4" t="n">
        <v>4</v>
      </c>
      <c r="T31" s="5" t="inlineStr">
        <is>
          <t>шт</t>
        </is>
      </c>
      <c r="U31" s="6" t="inlineStr">
        <is>
          <t>30с964нж Ду400 PN25 под электропривод (ПТЗ)</t>
        </is>
      </c>
      <c r="V31" s="6" t="inlineStr">
        <is>
          <t>ООО «Пермский трубопроводный завод» (ИНН 5904173655)</t>
        </is>
      </c>
      <c r="W31" s="6" t="inlineStr">
        <is>
          <t>Россия</t>
        </is>
      </c>
      <c r="X31" s="6" t="inlineStr">
        <is>
          <t>10698940</t>
        </is>
      </c>
      <c r="Y31" s="6" t="inlineStr">
        <is>
          <t>17.02.2031</t>
        </is>
      </c>
      <c r="Z31" s="7" t="n"/>
      <c r="AA31" s="7" t="n"/>
      <c r="AB31" s="7" t="n"/>
      <c r="AC31" s="7" t="n"/>
      <c r="AD31" s="8">
        <f>AC31*S31</f>
        <v/>
      </c>
      <c r="AE31" s="7" t="n"/>
      <c r="AF31" s="7" t="n"/>
      <c r="AG31" s="7" t="n"/>
      <c r="AH31" s="5" t="inlineStr">
        <is>
          <t>Подтвердить присоединение под SA 16.1 (F16/G3), КОФ, крепёж.</t>
        </is>
      </c>
    </row>
    <row r="32" ht="60" customHeight="1">
      <c r="A32" s="4" t="n">
        <v>27</v>
      </c>
      <c r="B32" s="5" t="inlineStr">
        <is>
          <t>1.3/90</t>
        </is>
      </c>
      <c r="C32" s="5" t="inlineStr">
        <is>
          <t>Задвижка стальная 30с964нж Ду 100 Ру 25 с электроприводом  МТ-100-220, 220В</t>
        </is>
      </c>
      <c r="D32" s="5" t="inlineStr">
        <is>
          <t>ГОСТ3706-93</t>
        </is>
      </c>
      <c r="E32" s="5" t="inlineStr">
        <is>
          <t>100</t>
        </is>
      </c>
      <c r="F32" s="5" t="inlineStr">
        <is>
          <t>полнопроходной</t>
        </is>
      </c>
      <c r="G32" s="5" t="inlineStr">
        <is>
          <t>25</t>
        </is>
      </c>
      <c r="H32" s="5" t="inlineStr">
        <is>
          <t>от -40 до + 425</t>
        </is>
      </c>
      <c r="I32" s="5" t="inlineStr">
        <is>
          <t>Вода , пар, воздух, нгефть, масло,</t>
        </is>
      </c>
      <c r="J32" s="5" t="inlineStr">
        <is>
          <t>сталь 25Л</t>
        </is>
      </c>
      <c r="K32" s="5" t="inlineStr">
        <is>
          <t>по ГОСТ 15150-69.</t>
        </is>
      </c>
      <c r="L32" s="5" t="inlineStr">
        <is>
          <t>фланец-фланец</t>
        </is>
      </c>
      <c r="M32" s="5" t="inlineStr">
        <is>
          <t>МТ-100-220, 220В</t>
        </is>
      </c>
      <c r="N32" s="5" t="inlineStr">
        <is>
          <t>тип присоединения электродвигателя-А; Крутящий момент привода - 100 Нм
    ○ Напряжение питания - 220 В
    ○ Номинальный потребляемый ток - 1.8А
    Датчик обратной связи - Концевые выключатели
    Степень защиты корпуса - IP67
    Взрывозащита корпуса - нет
    ○ Тип ISO-фланца привода - F10, F14</t>
        </is>
      </c>
      <c r="O32" s="5" t="inlineStr">
        <is>
          <t>любое</t>
        </is>
      </c>
      <c r="P32" s="5" t="inlineStr">
        <is>
          <t>Шпиндель-20Х13; клин (диски)-сталь25; набивка сальника ТРГ; наплавка на клине-13Х25Т, 10Х17Т;</t>
        </is>
      </c>
      <c r="Q32" s="5" t="inlineStr"/>
      <c r="R32" s="5" t="inlineStr">
        <is>
          <t>Класс герметичности по ГОСТ 9544-2015 - "A"</t>
        </is>
      </c>
      <c r="S32" s="4" t="n">
        <v>3</v>
      </c>
      <c r="T32" s="5" t="inlineStr">
        <is>
          <t>шт</t>
        </is>
      </c>
      <c r="U32" s="6" t="inlineStr">
        <is>
          <t>30с964нж Ду100 PN25 с электроприводом (ПТЗ)</t>
        </is>
      </c>
      <c r="V32" s="6" t="inlineStr">
        <is>
          <t>ООО «Пермский трубопроводный завод» (ИНН 5904173655)</t>
        </is>
      </c>
      <c r="W32" s="6" t="inlineStr">
        <is>
          <t>Россия</t>
        </is>
      </c>
      <c r="X32" s="6" t="inlineStr">
        <is>
          <t>10698940</t>
        </is>
      </c>
      <c r="Y32" s="6" t="inlineStr">
        <is>
          <t>17.02.2031</t>
        </is>
      </c>
      <c r="Z32" s="7" t="n"/>
      <c r="AA32" s="7" t="n"/>
      <c r="AB32" s="7" t="n"/>
      <c r="AC32" s="7" t="n"/>
      <c r="AD32" s="8">
        <f>AC32*S32</f>
        <v/>
      </c>
      <c r="AE32" s="7" t="n"/>
      <c r="AF32" s="7" t="n"/>
      <c r="AG32" s="7" t="n"/>
      <c r="AH32" s="5" t="inlineStr">
        <is>
          <t>Запросить электропривод 100 Н·м 220 В, тип А.</t>
        </is>
      </c>
    </row>
    <row r="33" ht="60" customHeight="1">
      <c r="A33" s="4" t="n">
        <v>28</v>
      </c>
      <c r="B33" s="5" t="inlineStr">
        <is>
          <t>1.3/91</t>
        </is>
      </c>
      <c r="C33" s="5" t="inlineStr">
        <is>
          <t>Задвижка 30с99нж Ду 50 Ру 25</t>
        </is>
      </c>
      <c r="D33" s="5" t="inlineStr">
        <is>
          <t>ТУ 26-07-412-87</t>
        </is>
      </c>
      <c r="E33" s="5" t="inlineStr">
        <is>
          <t>50</t>
        </is>
      </c>
      <c r="F33" s="5" t="inlineStr">
        <is>
          <t>полнопроходной</t>
        </is>
      </c>
      <c r="G33" s="5" t="inlineStr">
        <is>
          <t>25</t>
        </is>
      </c>
      <c r="H33" s="5" t="inlineStr">
        <is>
          <t>от -40 до + до 425</t>
        </is>
      </c>
      <c r="I33" s="5" t="inlineStr">
        <is>
          <t>Вода , пар, воздух, нгефть, масло,</t>
        </is>
      </c>
      <c r="J33" s="5" t="inlineStr">
        <is>
          <t>углеродистая сталь (20Л, 25Л по ГОСТ 977-88)</t>
        </is>
      </c>
      <c r="K33" s="5" t="inlineStr">
        <is>
          <t>по ГОСТ 15150-69.</t>
        </is>
      </c>
      <c r="L33" s="5" t="inlineStr">
        <is>
          <t>фланцевое (фланцы по ГОСТ 33259-2015)</t>
        </is>
      </c>
      <c r="M33" s="5" t="inlineStr">
        <is>
          <t>ручное</t>
        </is>
      </c>
      <c r="N33" s="5" t="inlineStr">
        <is>
          <t>маховик</t>
        </is>
      </c>
      <c r="O33" s="5" t="inlineStr">
        <is>
          <t>любое</t>
        </is>
      </c>
      <c r="P33" s="5" t="inlineStr">
        <is>
          <t>Шпиндель-20Х13; клин (диски)-сталь25; набивка сальника ТРГ; наплавка на клинеи в корпусе 20Х13;</t>
        </is>
      </c>
      <c r="Q33" s="5" t="inlineStr">
        <is>
          <t>L=250мм; H=410мм</t>
        </is>
      </c>
      <c r="R33" s="5" t="inlineStr"/>
      <c r="S33" s="4" t="n">
        <v>1</v>
      </c>
      <c r="T33" s="5" t="inlineStr">
        <is>
          <t>шт</t>
        </is>
      </c>
      <c r="U33" s="6" t="inlineStr">
        <is>
          <t>30с99нж Ду50 PN25 (ПТЗ)</t>
        </is>
      </c>
      <c r="V33" s="6" t="inlineStr">
        <is>
          <t>ООО «Пермский трубопроводный завод» (ИНН 5904173655)</t>
        </is>
      </c>
      <c r="W33" s="6" t="inlineStr">
        <is>
          <t>Россия</t>
        </is>
      </c>
      <c r="X33" s="6" t="inlineStr">
        <is>
          <t>10698940</t>
        </is>
      </c>
      <c r="Y33" s="6" t="inlineStr">
        <is>
          <t>17.02.2031</t>
        </is>
      </c>
      <c r="Z33" s="7" t="n"/>
      <c r="AA33" s="7" t="n"/>
      <c r="AB33" s="7" t="n"/>
      <c r="AC33" s="7" t="n"/>
      <c r="AD33" s="8">
        <f>AC33*S33</f>
        <v/>
      </c>
      <c r="AE33" s="7" t="n"/>
      <c r="AF33" s="7" t="n"/>
      <c r="AG33" s="7" t="n"/>
      <c r="AH33" s="5" t="inlineStr">
        <is>
          <t>Подтвердить наплавку 20Х13, ТРГ. ТУ ПТЗ 3740-035-83272983-2013 вместо ТУ 26-07-412-87 (инфо).</t>
        </is>
      </c>
    </row>
    <row r="34" ht="60" customHeight="1">
      <c r="A34" s="4" t="n">
        <v>29</v>
      </c>
      <c r="B34" s="5" t="inlineStr">
        <is>
          <t>1.3/92</t>
        </is>
      </c>
      <c r="C34" s="5" t="inlineStr">
        <is>
          <t>Задвижка 30с99нж Ду 80 Ру 25</t>
        </is>
      </c>
      <c r="D34" s="5" t="inlineStr">
        <is>
          <t>ТУ 26-07-412-87</t>
        </is>
      </c>
      <c r="E34" s="5" t="inlineStr">
        <is>
          <t>80</t>
        </is>
      </c>
      <c r="F34" s="5" t="inlineStr">
        <is>
          <t>полнопроходной</t>
        </is>
      </c>
      <c r="G34" s="5" t="inlineStr">
        <is>
          <t>25</t>
        </is>
      </c>
      <c r="H34" s="5" t="inlineStr">
        <is>
          <t>от -40 до + до 425</t>
        </is>
      </c>
      <c r="I34" s="5" t="inlineStr">
        <is>
          <t>Вода , пар, воздух, нгефть, масло,</t>
        </is>
      </c>
      <c r="J34" s="5" t="inlineStr">
        <is>
          <t>углеродистая сталь (20Л, 25Л по ГОСТ 977-88)</t>
        </is>
      </c>
      <c r="K34" s="5" t="inlineStr">
        <is>
          <t>по ГОСТ 15150-69.</t>
        </is>
      </c>
      <c r="L34" s="5" t="inlineStr">
        <is>
          <t>фланцевое (фланцы по ГОСТ 33259-2015)</t>
        </is>
      </c>
      <c r="M34" s="5" t="inlineStr">
        <is>
          <t>ручное</t>
        </is>
      </c>
      <c r="N34" s="5" t="inlineStr">
        <is>
          <t>маховик</t>
        </is>
      </c>
      <c r="O34" s="5" t="inlineStr">
        <is>
          <t>любое</t>
        </is>
      </c>
      <c r="P34" s="5" t="inlineStr">
        <is>
          <t>Шпиндель-20Х13; клин (диски)-сталь25; набивка сальника ТРГ; наплавка на клинеи в корпусе 20Х13;</t>
        </is>
      </c>
      <c r="Q34" s="5" t="inlineStr">
        <is>
          <t>L=280мм; H=515мм</t>
        </is>
      </c>
      <c r="R34" s="5" t="inlineStr"/>
      <c r="S34" s="4" t="n">
        <v>1</v>
      </c>
      <c r="T34" s="5" t="inlineStr">
        <is>
          <t>шт</t>
        </is>
      </c>
      <c r="U34" s="6" t="inlineStr">
        <is>
          <t>30с99нж Ду80 PN25 (ПТЗ)</t>
        </is>
      </c>
      <c r="V34" s="6" t="inlineStr">
        <is>
          <t>ООО «Пермский трубопроводный завод» (ИНН 5904173655)</t>
        </is>
      </c>
      <c r="W34" s="6" t="inlineStr">
        <is>
          <t>Россия</t>
        </is>
      </c>
      <c r="X34" s="6" t="inlineStr">
        <is>
          <t>10698940</t>
        </is>
      </c>
      <c r="Y34" s="6" t="inlineStr">
        <is>
          <t>17.02.2031</t>
        </is>
      </c>
      <c r="Z34" s="7" t="n"/>
      <c r="AA34" s="7" t="n"/>
      <c r="AB34" s="7" t="n"/>
      <c r="AC34" s="7" t="n"/>
      <c r="AD34" s="8">
        <f>AC34*S34</f>
        <v/>
      </c>
      <c r="AE34" s="7" t="n"/>
      <c r="AF34" s="7" t="n"/>
      <c r="AG34" s="7" t="n"/>
      <c r="AH34" s="5" t="inlineStr">
        <is>
          <t>Подтвердить наплавку 20Х13, ТРГ. ТУ ПТЗ 3740-035-83272983-2013 вместо ТУ 26-07-412-87 (инфо).</t>
        </is>
      </c>
    </row>
    <row r="35" ht="60" customHeight="1">
      <c r="A35" s="4" t="n">
        <v>30</v>
      </c>
      <c r="B35" s="5" t="inlineStr">
        <is>
          <t>1.5/2</t>
        </is>
      </c>
      <c r="C35" s="5" t="inlineStr">
        <is>
          <t>Задвижка 30с64нж Ду 50 Ру 25</t>
        </is>
      </c>
      <c r="D35" s="5" t="inlineStr">
        <is>
          <t>ГОСТ 5762-2002</t>
        </is>
      </c>
      <c r="E35" s="5" t="inlineStr">
        <is>
          <t>50</t>
        </is>
      </c>
      <c r="F35" s="5" t="inlineStr">
        <is>
          <t>стандарт</t>
        </is>
      </c>
      <c r="G35" s="5" t="inlineStr">
        <is>
          <t>2.5</t>
        </is>
      </c>
      <c r="H35" s="5" t="inlineStr">
        <is>
          <t>от −40°С  до +425°С</t>
        </is>
      </c>
      <c r="I35" s="5" t="inlineStr">
        <is>
          <t>вода, пар, неагрессивные нефтепродукты</t>
        </is>
      </c>
      <c r="J35" s="5" t="inlineStr">
        <is>
          <t>сталь 25л</t>
        </is>
      </c>
      <c r="K35" s="5" t="inlineStr">
        <is>
          <t>У1</t>
        </is>
      </c>
      <c r="L35" s="5" t="inlineStr">
        <is>
          <t>фланцевый</t>
        </is>
      </c>
      <c r="M35" s="5" t="inlineStr">
        <is>
          <t>ручной</t>
        </is>
      </c>
      <c r="N35" s="5" t="inlineStr">
        <is>
          <t>маховик</t>
        </is>
      </c>
      <c r="O35" s="5" t="inlineStr">
        <is>
          <t>горизонтальное, либо вертикальное</t>
        </is>
      </c>
      <c r="P35" s="5" t="inlineStr">
        <is>
          <t>Крышка, клин Ст25Л, шпиндель Ст20х13</t>
        </is>
      </c>
      <c r="Q35" s="5" t="inlineStr"/>
      <c r="R35" s="5" t="inlineStr"/>
      <c r="S35" s="4" t="n">
        <v>2</v>
      </c>
      <c r="T35" s="5" t="inlineStr">
        <is>
          <t>шт</t>
        </is>
      </c>
      <c r="U35" s="6" t="inlineStr">
        <is>
          <t>30с64нж Ду50 PN25 (ПТЗ)</t>
        </is>
      </c>
      <c r="V35" s="6" t="inlineStr">
        <is>
          <t>ООО «Пермский трубопроводный завод» (ИНН 5904173655)</t>
        </is>
      </c>
      <c r="W35" s="6" t="inlineStr">
        <is>
          <t>Россия</t>
        </is>
      </c>
      <c r="X35" s="6" t="inlineStr">
        <is>
          <t>10698940</t>
        </is>
      </c>
      <c r="Y35" s="6" t="inlineStr">
        <is>
          <t>17.02.2031</t>
        </is>
      </c>
      <c r="Z35" s="7" t="n"/>
      <c r="AA35" s="7" t="n"/>
      <c r="AB35" s="7" t="n"/>
      <c r="AC35" s="7" t="n"/>
      <c r="AD35" s="8">
        <f>AC35*S35</f>
        <v/>
      </c>
      <c r="AE35" s="7" t="n"/>
      <c r="AF35" s="7" t="n"/>
      <c r="AG35" s="7" t="n"/>
      <c r="AH35" s="5" t="inlineStr">
        <is>
          <t>Запросить паспорт: шпиндель 20Х13, наплавка, ТРГ.</t>
        </is>
      </c>
    </row>
    <row r="36" ht="60" customHeight="1">
      <c r="A36" s="4" t="n">
        <v>31</v>
      </c>
      <c r="B36" s="5" t="inlineStr">
        <is>
          <t>1.5/3</t>
        </is>
      </c>
      <c r="C36" s="5" t="inlineStr">
        <is>
          <t>Задвижка 30с64нж Ду 80 Ру 25</t>
        </is>
      </c>
      <c r="D36" s="5" t="inlineStr">
        <is>
          <t>ГОСТ 5762-2002</t>
        </is>
      </c>
      <c r="E36" s="5" t="inlineStr">
        <is>
          <t>80</t>
        </is>
      </c>
      <c r="F36" s="5" t="inlineStr">
        <is>
          <t>стандарт</t>
        </is>
      </c>
      <c r="G36" s="5" t="inlineStr">
        <is>
          <t>2.5</t>
        </is>
      </c>
      <c r="H36" s="5" t="inlineStr">
        <is>
          <t>от −40°С  до +425°С</t>
        </is>
      </c>
      <c r="I36" s="5" t="inlineStr">
        <is>
          <t>вода, пар, неагрессивные нефтепродукты</t>
        </is>
      </c>
      <c r="J36" s="5" t="inlineStr">
        <is>
          <t>сталь 25л</t>
        </is>
      </c>
      <c r="K36" s="5" t="inlineStr">
        <is>
          <t>У1</t>
        </is>
      </c>
      <c r="L36" s="5" t="inlineStr">
        <is>
          <t>фланцевый</t>
        </is>
      </c>
      <c r="M36" s="5" t="inlineStr">
        <is>
          <t>ручной</t>
        </is>
      </c>
      <c r="N36" s="5" t="inlineStr">
        <is>
          <t>маховик</t>
        </is>
      </c>
      <c r="O36" s="5" t="inlineStr">
        <is>
          <t>горизонтальное, либо вертикальное</t>
        </is>
      </c>
      <c r="P36" s="5" t="inlineStr">
        <is>
          <t>Крышка, клин Ст25Л, шпиндель Ст20х13</t>
        </is>
      </c>
      <c r="Q36" s="5" t="inlineStr"/>
      <c r="R36" s="5" t="inlineStr"/>
      <c r="S36" s="4" t="n">
        <v>2</v>
      </c>
      <c r="T36" s="5" t="inlineStr">
        <is>
          <t>шт</t>
        </is>
      </c>
      <c r="U36" s="6" t="inlineStr">
        <is>
          <t>30с64нж Ду80 PN25 (ПТЗ)</t>
        </is>
      </c>
      <c r="V36" s="6" t="inlineStr">
        <is>
          <t>ООО «Пермский трубопроводный завод» (ИНН 5904173655)</t>
        </is>
      </c>
      <c r="W36" s="6" t="inlineStr">
        <is>
          <t>Россия</t>
        </is>
      </c>
      <c r="X36" s="6" t="inlineStr">
        <is>
          <t>10698940</t>
        </is>
      </c>
      <c r="Y36" s="6" t="inlineStr">
        <is>
          <t>17.02.2031</t>
        </is>
      </c>
      <c r="Z36" s="7" t="n"/>
      <c r="AA36" s="7" t="n"/>
      <c r="AB36" s="7" t="n"/>
      <c r="AC36" s="7" t="n"/>
      <c r="AD36" s="8">
        <f>AC36*S36</f>
        <v/>
      </c>
      <c r="AE36" s="7" t="n"/>
      <c r="AF36" s="7" t="n"/>
      <c r="AG36" s="7" t="n"/>
      <c r="AH36" s="5" t="inlineStr">
        <is>
          <t>Запросить паспорт: шпиндель 20Х13, наплавка, ТРГ.</t>
        </is>
      </c>
    </row>
    <row r="37" ht="60" customHeight="1">
      <c r="A37" s="4" t="n">
        <v>32</v>
      </c>
      <c r="B37" s="5" t="inlineStr">
        <is>
          <t>1.6/15</t>
        </is>
      </c>
      <c r="C37" s="5" t="inlineStr">
        <is>
          <t>Клапан 15с18нж Ду 32, Ру 25</t>
        </is>
      </c>
      <c r="D37" s="5" t="inlineStr">
        <is>
          <t>ТУ 3742-005-27844275</t>
        </is>
      </c>
      <c r="E37" s="5" t="inlineStr">
        <is>
          <t>32</t>
        </is>
      </c>
      <c r="F37" s="5" t="inlineStr">
        <is>
          <t>стандарт</t>
        </is>
      </c>
      <c r="G37" s="5" t="inlineStr">
        <is>
          <t>2.5</t>
        </is>
      </c>
      <c r="H37" s="5" t="inlineStr">
        <is>
          <t>от -40°С до +425°С</t>
        </is>
      </c>
      <c r="I37" s="5" t="inlineStr">
        <is>
          <t>Среды жидкие и газообразные по отношению, к которым уплотнения и детали крана коррозиестойки (вода, пар, газообразные смеси, нефтепродукты и т.п.)</t>
        </is>
      </c>
      <c r="J37" s="5" t="inlineStr">
        <is>
          <t>сталь 20Л.</t>
        </is>
      </c>
      <c r="K37" s="5" t="inlineStr">
        <is>
          <t>У1</t>
        </is>
      </c>
      <c r="L37" s="5" t="inlineStr">
        <is>
          <t>фланцевый</t>
        </is>
      </c>
      <c r="M37" s="5" t="inlineStr"/>
      <c r="N37" s="5" t="inlineStr"/>
      <c r="O37" s="5" t="inlineStr">
        <is>
          <t>вертикальное, колпаком вверх</t>
        </is>
      </c>
      <c r="P37" s="5" t="inlineStr">
        <is>
          <t>ручное - маховик (многооборотное)  Корпусные детали: Сталь 20Л, 20ГЛ.
Тарельчатый затвор: Сталь 20Л, 20ГЛ с наплавкой из стали 20Х13.
Уплотнения сальника: ТРГ.
Уплотнения затвора: металл по металлу.
Коэффициент гидравлического сопротивления: не более 5.
Монтаж односторонний по стрелке на корпусе, подача среды под тарельчатый затвор.</t>
        </is>
      </c>
      <c r="Q37" s="5" t="inlineStr"/>
      <c r="R37" s="5" t="inlineStr"/>
      <c r="S37" s="4" t="n">
        <v>1</v>
      </c>
      <c r="T37" s="5" t="inlineStr">
        <is>
          <t>шт</t>
        </is>
      </c>
      <c r="U37" s="6" t="inlineStr">
        <is>
          <t>15с18нж Ду32 PN25 (ПТЗ)</t>
        </is>
      </c>
      <c r="V37" s="6" t="inlineStr">
        <is>
          <t>ООО «Пермский трубопроводный завод» (ИНН 5904173655)</t>
        </is>
      </c>
      <c r="W37" s="6" t="inlineStr">
        <is>
          <t>Россия</t>
        </is>
      </c>
      <c r="X37" s="6" t="inlineStr">
        <is>
          <t>10698937</t>
        </is>
      </c>
      <c r="Y37" s="6" t="inlineStr">
        <is>
          <t>17.02.2031</t>
        </is>
      </c>
      <c r="Z37" s="7" t="n"/>
      <c r="AA37" s="7" t="n"/>
      <c r="AB37" s="7" t="n"/>
      <c r="AC37" s="7" t="n"/>
      <c r="AD37" s="8">
        <f>AC37*S37</f>
        <v/>
      </c>
      <c r="AE37" s="7" t="n"/>
      <c r="AF37" s="7" t="n"/>
      <c r="AG37" s="7" t="n"/>
      <c r="AH37" s="5" t="inlineStr">
        <is>
          <t>Подтвердить: корпус 20Л/20ГЛ или согласовать 25Л; затвор с наплавкой 20Х13; сальник ТРГ.</t>
        </is>
      </c>
    </row>
    <row r="38" ht="60" customHeight="1">
      <c r="A38" s="4" t="n">
        <v>33</v>
      </c>
      <c r="B38" s="5" t="inlineStr">
        <is>
          <t>1.6/26</t>
        </is>
      </c>
      <c r="C38" s="5" t="inlineStr">
        <is>
          <t>Клапан запорный 15нж65нж Ду 80 Ру 16</t>
        </is>
      </c>
      <c r="D38" s="5" t="inlineStr">
        <is>
          <t>ГОСТ 33423-2015</t>
        </is>
      </c>
      <c r="E38" s="5" t="inlineStr">
        <is>
          <t>80</t>
        </is>
      </c>
      <c r="F38" s="5" t="inlineStr">
        <is>
          <t>стандарт</t>
        </is>
      </c>
      <c r="G38" s="5" t="inlineStr">
        <is>
          <t>1.6</t>
        </is>
      </c>
      <c r="H38" s="5" t="inlineStr">
        <is>
          <t>от -60 до +560</t>
        </is>
      </c>
      <c r="I38" s="5" t="inlineStr">
        <is>
          <t>нефть, нефтепродукты, природный и топливный газ, аммиак, вода, пар</t>
        </is>
      </c>
      <c r="J38" s="5" t="inlineStr">
        <is>
          <t>сталь AISI 304</t>
        </is>
      </c>
      <c r="K38" s="5" t="inlineStr">
        <is>
          <t>УХЛ1</t>
        </is>
      </c>
      <c r="L38" s="5" t="inlineStr">
        <is>
          <t>фланцевый</t>
        </is>
      </c>
      <c r="M38" s="5" t="inlineStr">
        <is>
          <t>ручной (маховик)</t>
        </is>
      </c>
      <c r="N38" s="5" t="inlineStr">
        <is>
          <t>-</t>
        </is>
      </c>
      <c r="O38" s="5" t="inlineStr">
        <is>
          <t>управляющим органом вверх</t>
        </is>
      </c>
      <c r="P38" s="5" t="inlineStr">
        <is>
          <t>Втулка сальника, болт откидной, шпилька, гайка - сталь 14Х17Н2 (ГОСТ 5632)
уплотнение затвора - "металл по металлу", уплотнение сальниковое - ТРГ</t>
        </is>
      </c>
      <c r="Q38" s="5" t="inlineStr">
        <is>
          <t>-</t>
        </is>
      </c>
      <c r="R38" s="5" t="inlineStr">
        <is>
          <t>-</t>
        </is>
      </c>
      <c r="S38" s="4" t="n">
        <v>1</v>
      </c>
      <c r="T38" s="5" t="inlineStr">
        <is>
          <t>шт</t>
        </is>
      </c>
      <c r="U38" s="6" t="inlineStr">
        <is>
          <t>15нж65нж Ду80 PN16 (ПТЗ)</t>
        </is>
      </c>
      <c r="V38" s="6" t="inlineStr">
        <is>
          <t>ООО «Пермский трубопроводный завод» (ИНН 5904173655)</t>
        </is>
      </c>
      <c r="W38" s="6" t="inlineStr">
        <is>
          <t>Россия</t>
        </is>
      </c>
      <c r="X38" s="6" t="inlineStr">
        <is>
          <t>10698937</t>
        </is>
      </c>
      <c r="Y38" s="6" t="inlineStr">
        <is>
          <t>17.02.2031</t>
        </is>
      </c>
      <c r="Z38" s="7" t="n"/>
      <c r="AA38" s="7" t="n"/>
      <c r="AB38" s="7" t="n"/>
      <c r="AC38" s="7" t="n"/>
      <c r="AD38" s="8">
        <f>AC38*S38</f>
        <v/>
      </c>
      <c r="AE38" s="7" t="n"/>
      <c r="AF38" s="7" t="n"/>
      <c r="AG38" s="7" t="n"/>
      <c r="AH38" s="5" t="inlineStr">
        <is>
          <t>Подтвердить корпус 08Х18Н10 (AISI 304), крепёж 14Х17Н2, ТРГ.</t>
        </is>
      </c>
    </row>
    <row r="39" ht="60" customHeight="1">
      <c r="A39" s="4" t="n">
        <v>34</v>
      </c>
      <c r="B39" s="5" t="inlineStr">
        <is>
          <t>1.6/27</t>
        </is>
      </c>
      <c r="C39" s="5" t="inlineStr">
        <is>
          <t>Клапан запорный 15нж65нж Ду 100 Ру 16</t>
        </is>
      </c>
      <c r="D39" s="5" t="inlineStr">
        <is>
          <t>ГОСТ 33423-2015</t>
        </is>
      </c>
      <c r="E39" s="5" t="inlineStr">
        <is>
          <t>100</t>
        </is>
      </c>
      <c r="F39" s="5" t="inlineStr">
        <is>
          <t>стандарт</t>
        </is>
      </c>
      <c r="G39" s="5" t="inlineStr">
        <is>
          <t>1.6</t>
        </is>
      </c>
      <c r="H39" s="5" t="inlineStr">
        <is>
          <t>от -60 до +560</t>
        </is>
      </c>
      <c r="I39" s="5" t="inlineStr">
        <is>
          <t>нефть, нефтепродукты, природный и топливный газ, аммиак, вода, пар</t>
        </is>
      </c>
      <c r="J39" s="5" t="inlineStr">
        <is>
          <t>сталь AISI 304</t>
        </is>
      </c>
      <c r="K39" s="5" t="inlineStr">
        <is>
          <t>УХЛ1</t>
        </is>
      </c>
      <c r="L39" s="5" t="inlineStr">
        <is>
          <t>фланцевый</t>
        </is>
      </c>
      <c r="M39" s="5" t="inlineStr">
        <is>
          <t>ручной (маховик)</t>
        </is>
      </c>
      <c r="N39" s="5" t="inlineStr">
        <is>
          <t>-</t>
        </is>
      </c>
      <c r="O39" s="5" t="inlineStr">
        <is>
          <t>управляющим органом вверх</t>
        </is>
      </c>
      <c r="P39" s="5" t="inlineStr">
        <is>
          <t>Втулка сальника, болт откидной, шпилька, гайка - сталь 14Х17Н2 (ГОСТ 5632)
уплотнение затвора - "металл по металлу", уплотнение сальниковое - ТРГ</t>
        </is>
      </c>
      <c r="Q39" s="5" t="inlineStr">
        <is>
          <t>-</t>
        </is>
      </c>
      <c r="R39" s="5" t="inlineStr">
        <is>
          <t>-</t>
        </is>
      </c>
      <c r="S39" s="4" t="n">
        <v>1</v>
      </c>
      <c r="T39" s="5" t="inlineStr">
        <is>
          <t>шт</t>
        </is>
      </c>
      <c r="U39" s="6" t="inlineStr">
        <is>
          <t>15нж65нж Ду100 PN16 (ПТЗ)</t>
        </is>
      </c>
      <c r="V39" s="6" t="inlineStr">
        <is>
          <t>ООО «Пермский трубопроводный завод» (ИНН 5904173655)</t>
        </is>
      </c>
      <c r="W39" s="6" t="inlineStr">
        <is>
          <t>Россия</t>
        </is>
      </c>
      <c r="X39" s="6" t="inlineStr">
        <is>
          <t>10698937</t>
        </is>
      </c>
      <c r="Y39" s="6" t="inlineStr">
        <is>
          <t>17.02.2031</t>
        </is>
      </c>
      <c r="Z39" s="7" t="n"/>
      <c r="AA39" s="7" t="n"/>
      <c r="AB39" s="7" t="n"/>
      <c r="AC39" s="7" t="n"/>
      <c r="AD39" s="8">
        <f>AC39*S39</f>
        <v/>
      </c>
      <c r="AE39" s="7" t="n"/>
      <c r="AF39" s="7" t="n"/>
      <c r="AG39" s="7" t="n"/>
      <c r="AH39" s="5" t="inlineStr">
        <is>
          <t>Подтвердить корпус 08Х18Н10 (AISI 304), крепёж 14Х17Н2, ТРГ.</t>
        </is>
      </c>
    </row>
    <row r="40" ht="60" customHeight="1">
      <c r="A40" s="4" t="n">
        <v>35</v>
      </c>
      <c r="B40" s="5" t="inlineStr">
        <is>
          <t>1.6/28</t>
        </is>
      </c>
      <c r="C40" s="5" t="inlineStr">
        <is>
          <t>Клапан запорный 15нж65нж Ду 32 Ру 16</t>
        </is>
      </c>
      <c r="D40" s="5" t="inlineStr">
        <is>
          <t>ГОСТ 33423-2015</t>
        </is>
      </c>
      <c r="E40" s="5" t="inlineStr">
        <is>
          <t>32</t>
        </is>
      </c>
      <c r="F40" s="5" t="inlineStr">
        <is>
          <t>стандарт</t>
        </is>
      </c>
      <c r="G40" s="5" t="inlineStr">
        <is>
          <t>1.6</t>
        </is>
      </c>
      <c r="H40" s="5" t="inlineStr">
        <is>
          <t>от -60 до +560</t>
        </is>
      </c>
      <c r="I40" s="5" t="inlineStr">
        <is>
          <t>нефть, нефтепродукты, природный и топливный газ, аммиак, вода, пар</t>
        </is>
      </c>
      <c r="J40" s="5" t="inlineStr">
        <is>
          <t>сталь AISI 304</t>
        </is>
      </c>
      <c r="K40" s="5" t="inlineStr">
        <is>
          <t>УХЛ1</t>
        </is>
      </c>
      <c r="L40" s="5" t="inlineStr">
        <is>
          <t>фланцевый</t>
        </is>
      </c>
      <c r="M40" s="5" t="inlineStr">
        <is>
          <t>ручной (маховик)</t>
        </is>
      </c>
      <c r="N40" s="5" t="inlineStr">
        <is>
          <t>-</t>
        </is>
      </c>
      <c r="O40" s="5" t="inlineStr">
        <is>
          <t>управляющим органом вверх</t>
        </is>
      </c>
      <c r="P40" s="5" t="inlineStr">
        <is>
          <t>Втулка сальника, болт откидной, шпилька, гайка - сталь 14Х17Н2 (ГОСТ 5632)
уплотнение затвора - "металл по металлу", уплотнение сальниковое - ТРГ</t>
        </is>
      </c>
      <c r="Q40" s="5" t="inlineStr">
        <is>
          <t>-</t>
        </is>
      </c>
      <c r="R40" s="5" t="inlineStr">
        <is>
          <t>-</t>
        </is>
      </c>
      <c r="S40" s="4" t="n">
        <v>1</v>
      </c>
      <c r="T40" s="5" t="inlineStr">
        <is>
          <t>шт</t>
        </is>
      </c>
      <c r="U40" s="6" t="inlineStr">
        <is>
          <t>15нж65нж Ду32 PN16 (ПТЗ)</t>
        </is>
      </c>
      <c r="V40" s="6" t="inlineStr">
        <is>
          <t>ООО «Пермский трубопроводный завод» (ИНН 5904173655)</t>
        </is>
      </c>
      <c r="W40" s="6" t="inlineStr">
        <is>
          <t>Россия</t>
        </is>
      </c>
      <c r="X40" s="6" t="inlineStr">
        <is>
          <t>10698937</t>
        </is>
      </c>
      <c r="Y40" s="6" t="inlineStr">
        <is>
          <t>17.02.2031</t>
        </is>
      </c>
      <c r="Z40" s="7" t="n"/>
      <c r="AA40" s="7" t="n"/>
      <c r="AB40" s="7" t="n"/>
      <c r="AC40" s="7" t="n"/>
      <c r="AD40" s="8">
        <f>AC40*S40</f>
        <v/>
      </c>
      <c r="AE40" s="7" t="n"/>
      <c r="AF40" s="7" t="n"/>
      <c r="AG40" s="7" t="n"/>
      <c r="AH40" s="5" t="inlineStr">
        <is>
          <t>Подтвердить корпус 08Х18Н10 (AISI 304), крепёж 14Х17Н2, ТРГ.</t>
        </is>
      </c>
    </row>
    <row r="41" ht="60" customHeight="1">
      <c r="A41" s="4" t="n">
        <v>36</v>
      </c>
      <c r="B41" s="5" t="inlineStr">
        <is>
          <t>1.6/29</t>
        </is>
      </c>
      <c r="C41" s="5" t="inlineStr">
        <is>
          <t>Клапан стальной запорный фланцевый 15с18нж Ду 32 Ру 16</t>
        </is>
      </c>
      <c r="D41" s="5" t="inlineStr">
        <is>
          <t>ГОСТ 33423-2015</t>
        </is>
      </c>
      <c r="E41" s="5" t="inlineStr">
        <is>
          <t>32</t>
        </is>
      </c>
      <c r="F41" s="5" t="inlineStr">
        <is>
          <t>стандарт</t>
        </is>
      </c>
      <c r="G41" s="5" t="inlineStr">
        <is>
          <t>1.6</t>
        </is>
      </c>
      <c r="H41" s="5" t="inlineStr">
        <is>
          <t>от -40°С до +425°С</t>
        </is>
      </c>
      <c r="I41" s="5" t="inlineStr">
        <is>
          <t>Жидкие и газообразные среды, в том числе хлорсодержащие с содержанием влаги в хлоре не более 0,04%, по отношению к которым применяемые материалы коррозионностойки</t>
        </is>
      </c>
      <c r="J41" s="5" t="inlineStr">
        <is>
          <t>Углеродистая сталь</t>
        </is>
      </c>
      <c r="K41" s="5" t="inlineStr">
        <is>
          <t>У1</t>
        </is>
      </c>
      <c r="L41" s="5" t="inlineStr">
        <is>
          <t>фланцевый</t>
        </is>
      </c>
      <c r="M41" s="5" t="inlineStr">
        <is>
          <t>ручной (маховик)</t>
        </is>
      </c>
      <c r="N41" s="5" t="inlineStr">
        <is>
          <t>-</t>
        </is>
      </c>
      <c r="O41" s="5" t="inlineStr">
        <is>
          <t>-</t>
        </is>
      </c>
      <c r="P41" s="5" t="inlineStr">
        <is>
          <t>-</t>
        </is>
      </c>
      <c r="Q41" s="5" t="inlineStr"/>
      <c r="R41" s="5" t="inlineStr"/>
      <c r="S41" s="4" t="n">
        <v>2</v>
      </c>
      <c r="T41" s="5" t="inlineStr">
        <is>
          <t>шт</t>
        </is>
      </c>
      <c r="U41" s="6" t="inlineStr">
        <is>
          <t>15с18нж Ду32 PN25 вместо PN16 (ПТЗ)</t>
        </is>
      </c>
      <c r="V41" s="6" t="inlineStr">
        <is>
          <t>ООО «Пермский трубопроводный завод» (ИНН 5904173655)</t>
        </is>
      </c>
      <c r="W41" s="6" t="inlineStr">
        <is>
          <t>Россия</t>
        </is>
      </c>
      <c r="X41" s="6" t="inlineStr">
        <is>
          <t>10698937</t>
        </is>
      </c>
      <c r="Y41" s="6" t="inlineStr">
        <is>
          <t>17.02.2031</t>
        </is>
      </c>
      <c r="Z41" s="7" t="n"/>
      <c r="AA41" s="7" t="n"/>
      <c r="AB41" s="7" t="n"/>
      <c r="AC41" s="7" t="n"/>
      <c r="AD41" s="8">
        <f>AC41*S41</f>
        <v/>
      </c>
      <c r="AE41" s="7" t="n"/>
      <c r="AF41" s="7" t="n"/>
      <c r="AG41" s="7" t="n"/>
      <c r="AH41" s="5" t="inlineStr">
        <is>
          <t>Подтвердить применимость на хлорсодержащих средах (ТЗ).</t>
        </is>
      </c>
    </row>
    <row r="42" ht="60" customHeight="1">
      <c r="A42" s="4" t="n">
        <v>37</v>
      </c>
      <c r="B42" s="5" t="inlineStr">
        <is>
          <t>1.6/30</t>
        </is>
      </c>
      <c r="C42" s="5" t="inlineStr">
        <is>
          <t>Клапан запорный 15с18п Ду 80 Ру 25</t>
        </is>
      </c>
      <c r="D42" s="5" t="inlineStr">
        <is>
          <t>ГОСТ 33423-2015</t>
        </is>
      </c>
      <c r="E42" s="5" t="inlineStr">
        <is>
          <t>80</t>
        </is>
      </c>
      <c r="F42" s="5" t="inlineStr">
        <is>
          <t>стандарт</t>
        </is>
      </c>
      <c r="G42" s="5" t="inlineStr">
        <is>
          <t>2.5</t>
        </is>
      </c>
      <c r="H42" s="5" t="inlineStr">
        <is>
          <t>от -40 до +150 °С</t>
        </is>
      </c>
      <c r="I42" s="5" t="inlineStr">
        <is>
          <t>аммиак при температуре от -40 до +150 °С; топливный газ при температуре до 100°С</t>
        </is>
      </c>
      <c r="J42" s="5" t="inlineStr">
        <is>
          <t>сталь 25Л</t>
        </is>
      </c>
      <c r="K42" s="5" t="inlineStr">
        <is>
          <t>-</t>
        </is>
      </c>
      <c r="L42" s="5" t="inlineStr">
        <is>
          <t>фланцевый</t>
        </is>
      </c>
      <c r="M42" s="5" t="inlineStr">
        <is>
          <t>ручной (маховик)</t>
        </is>
      </c>
      <c r="N42" s="5" t="inlineStr">
        <is>
          <t>-</t>
        </is>
      </c>
      <c r="O42" s="5" t="inlineStr">
        <is>
          <t>-</t>
        </is>
      </c>
      <c r="P42" s="5" t="inlineStr">
        <is>
          <t>Стальные вентили 15с18п используются для перекрытия потока жидкого и газообразного аммиака, а также топливного газа. Температурный режим рабочих сред запорных клапанов 15с18п может достигать в пиковых значениях 150°С при условном давлении в пределах 2,5 МПа. Вентиль 15с18п присоединяется к трубопроводу с помощью фланцев по ГОСТ 33259-2015. Управляется вручную, вращением маховика. Устанавливается на трубопроводах для перекрытия потока при проведении ремонтных, монтажных или профилактических работ. Запорные вентили 15с18п изготавливаются диаметрами условного прохода от 40 до 200 мм и имеют класс герметичности В</t>
        </is>
      </c>
      <c r="Q42" s="5" t="inlineStr"/>
      <c r="R42" s="5" t="inlineStr"/>
      <c r="S42" s="4" t="n">
        <v>1</v>
      </c>
      <c r="T42" s="5" t="inlineStr">
        <is>
          <t>шт</t>
        </is>
      </c>
      <c r="U42" s="6" t="inlineStr">
        <is>
          <t>15с18п Ду80 PN25 (ПТЗ)</t>
        </is>
      </c>
      <c r="V42" s="6" t="inlineStr">
        <is>
          <t>ООО «Пермский трубопроводный завод» (ИНН 5904173655)</t>
        </is>
      </c>
      <c r="W42" s="6" t="inlineStr">
        <is>
          <t>Россия</t>
        </is>
      </c>
      <c r="X42" s="6" t="inlineStr">
        <is>
          <t>10698937</t>
        </is>
      </c>
      <c r="Y42" s="6" t="inlineStr">
        <is>
          <t>17.02.2031</t>
        </is>
      </c>
      <c r="Z42" s="7" t="n"/>
      <c r="AA42" s="7" t="n"/>
      <c r="AB42" s="7" t="n"/>
      <c r="AC42" s="7" t="n"/>
      <c r="AD42" s="8">
        <f>AC42*S42</f>
        <v/>
      </c>
      <c r="AE42" s="7" t="n"/>
      <c r="AF42" s="7" t="n"/>
      <c r="AG42" s="7" t="n"/>
      <c r="AH42" s="5" t="inlineStr">
        <is>
          <t>Подтвердить применение на аммиаке и топливном газе.</t>
        </is>
      </c>
    </row>
    <row r="43" ht="60" customHeight="1">
      <c r="A43" s="4" t="n">
        <v>38</v>
      </c>
      <c r="B43" s="5" t="inlineStr">
        <is>
          <t>1.6/31</t>
        </is>
      </c>
      <c r="C43" s="5" t="inlineStr">
        <is>
          <t>Клапан запорный 15с18п Ду 100 Ру 25</t>
        </is>
      </c>
      <c r="D43" s="5" t="inlineStr">
        <is>
          <t>ГОСТ 33423-2015</t>
        </is>
      </c>
      <c r="E43" s="5" t="inlineStr">
        <is>
          <t>100</t>
        </is>
      </c>
      <c r="F43" s="5" t="inlineStr">
        <is>
          <t>стандарт</t>
        </is>
      </c>
      <c r="G43" s="5" t="inlineStr">
        <is>
          <t>2.5</t>
        </is>
      </c>
      <c r="H43" s="5" t="inlineStr">
        <is>
          <t>от -40 до +150 °С</t>
        </is>
      </c>
      <c r="I43" s="5" t="inlineStr">
        <is>
          <t>аммиак при температуре от -40 до +150 °С; топливный газ при температуре до 100°С</t>
        </is>
      </c>
      <c r="J43" s="5" t="inlineStr">
        <is>
          <t>сталь 25Л</t>
        </is>
      </c>
      <c r="K43" s="5" t="inlineStr">
        <is>
          <t>-</t>
        </is>
      </c>
      <c r="L43" s="5" t="inlineStr">
        <is>
          <t>фланцевый</t>
        </is>
      </c>
      <c r="M43" s="5" t="inlineStr">
        <is>
          <t>ручной (маховик)</t>
        </is>
      </c>
      <c r="N43" s="5" t="inlineStr">
        <is>
          <t>-</t>
        </is>
      </c>
      <c r="O43" s="5" t="inlineStr">
        <is>
          <t>-</t>
        </is>
      </c>
      <c r="P43" s="5" t="inlineStr">
        <is>
          <t>Стальные вентили 15с18п используются для перекрытия потока жидкого и газообразного аммиака, а также топливного газа. Температурный режим рабочих сред запорных клапанов 15с18п может достигать в пиковых значениях 150°С при условном давлении в пределах 2,5 МПа. Вентиль 15с18п присоединяется к трубопроводу с помощью фланцев по ГОСТ 33259-2015. Управляется вручную, вращением маховика. Устанавливается на трубопроводах для перекрытия потока при проведении ремонтных, монтажных или профилактических работ. Запорные вентили 15с18п изготавливаются диаметрами условного прохода от 40 до 200 мм и имеют класс герметичности В</t>
        </is>
      </c>
      <c r="Q43" s="5" t="inlineStr"/>
      <c r="R43" s="5" t="inlineStr"/>
      <c r="S43" s="4" t="n">
        <v>1</v>
      </c>
      <c r="T43" s="5" t="inlineStr">
        <is>
          <t>шт</t>
        </is>
      </c>
      <c r="U43" s="6" t="inlineStr">
        <is>
          <t>15с18п Ду100 PN25 (ПТЗ)</t>
        </is>
      </c>
      <c r="V43" s="6" t="inlineStr">
        <is>
          <t>ООО «Пермский трубопроводный завод» (ИНН 5904173655)</t>
        </is>
      </c>
      <c r="W43" s="6" t="inlineStr">
        <is>
          <t>Россия</t>
        </is>
      </c>
      <c r="X43" s="6" t="inlineStr">
        <is>
          <t>10698937</t>
        </is>
      </c>
      <c r="Y43" s="6" t="inlineStr">
        <is>
          <t>17.02.2031</t>
        </is>
      </c>
      <c r="Z43" s="7" t="n"/>
      <c r="AA43" s="7" t="n"/>
      <c r="AB43" s="7" t="n"/>
      <c r="AC43" s="7" t="n"/>
      <c r="AD43" s="8">
        <f>AC43*S43</f>
        <v/>
      </c>
      <c r="AE43" s="7" t="n"/>
      <c r="AF43" s="7" t="n"/>
      <c r="AG43" s="7" t="n"/>
      <c r="AH43" s="5" t="inlineStr">
        <is>
          <t>Подтвердить применение на аммиаке и топливном газе.</t>
        </is>
      </c>
    </row>
    <row r="44" ht="60" customHeight="1">
      <c r="A44" s="4" t="n">
        <v>39</v>
      </c>
      <c r="B44" s="5" t="inlineStr">
        <is>
          <t>1.6/41</t>
        </is>
      </c>
      <c r="C44" s="5" t="inlineStr">
        <is>
          <t>Задвижка 30нж41нж Ду 80 Ру 16 1исп. САЗ</t>
        </is>
      </c>
      <c r="D44" s="5" t="inlineStr">
        <is>
          <t>ГОСТ 5762-2002</t>
        </is>
      </c>
      <c r="E44" s="5" t="inlineStr">
        <is>
          <t>80</t>
        </is>
      </c>
      <c r="F44" s="5" t="inlineStr">
        <is>
          <t>стандарт</t>
        </is>
      </c>
      <c r="G44" s="5" t="inlineStr">
        <is>
          <t>1.6</t>
        </is>
      </c>
      <c r="H44" s="5" t="inlineStr">
        <is>
          <t>от -60 до +560</t>
        </is>
      </c>
      <c r="I44" s="5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44" s="5" t="inlineStr">
        <is>
          <t>сталь 12Х18Н9ТЛ</t>
        </is>
      </c>
      <c r="K44" s="5" t="inlineStr">
        <is>
          <t>УХЛ1</t>
        </is>
      </c>
      <c r="L44" s="5" t="inlineStr">
        <is>
          <t>фланцевый</t>
        </is>
      </c>
      <c r="M44" s="5" t="inlineStr">
        <is>
          <t>ручной (маховик)</t>
        </is>
      </c>
      <c r="N44" s="5" t="inlineStr">
        <is>
          <t>-</t>
        </is>
      </c>
      <c r="O44" s="5" t="inlineStr">
        <is>
          <t>любое</t>
        </is>
      </c>
      <c r="P44" s="5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44" s="5" t="inlineStr">
        <is>
          <t>-</t>
        </is>
      </c>
      <c r="R44" s="5" t="inlineStr">
        <is>
          <t>1 исп. САЗ</t>
        </is>
      </c>
      <c r="S44" s="4" t="n">
        <v>1</v>
      </c>
      <c r="T44" s="5" t="inlineStr">
        <is>
          <t>шт</t>
        </is>
      </c>
      <c r="U44" s="6" t="inlineStr">
        <is>
          <t>30нж41нж Ду80 PN16 (ПТЗ)</t>
        </is>
      </c>
      <c r="V44" s="6" t="inlineStr">
        <is>
          <t>ООО «Пермский трубопроводный завод» (ИНН 5904173655)</t>
        </is>
      </c>
      <c r="W44" s="6" t="inlineStr">
        <is>
          <t>Россия</t>
        </is>
      </c>
      <c r="X44" s="6" t="inlineStr">
        <is>
          <t>10698940</t>
        </is>
      </c>
      <c r="Y44" s="6" t="inlineStr">
        <is>
          <t>17.02.2031</t>
        </is>
      </c>
      <c r="Z44" s="7" t="n"/>
      <c r="AA44" s="7" t="n"/>
      <c r="AB44" s="7" t="n"/>
      <c r="AC44" s="7" t="n"/>
      <c r="AD44" s="8">
        <f>AC44*S44</f>
        <v/>
      </c>
      <c r="AE44" s="7" t="n"/>
      <c r="AF44" s="7" t="n"/>
      <c r="AG44" s="7" t="n"/>
      <c r="AH44" s="5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45" ht="60" customHeight="1">
      <c r="A45" s="4" t="n">
        <v>40</v>
      </c>
      <c r="B45" s="5" t="inlineStr">
        <is>
          <t>1.6/42</t>
        </is>
      </c>
      <c r="C45" s="5" t="inlineStr">
        <is>
          <t>Задвижка 30с41нж Ду 50 Ру 16</t>
        </is>
      </c>
      <c r="D45" s="5" t="inlineStr">
        <is>
          <t>ТУ 3741–001–24380482–2016</t>
        </is>
      </c>
      <c r="E45" s="5" t="inlineStr">
        <is>
          <t>50</t>
        </is>
      </c>
      <c r="F45" s="5" t="inlineStr">
        <is>
          <t>стандарт</t>
        </is>
      </c>
      <c r="G45" s="5" t="inlineStr">
        <is>
          <t>1.6</t>
        </is>
      </c>
      <c r="H45" s="5" t="inlineStr">
        <is>
          <t>до +425</t>
        </is>
      </c>
      <c r="I45" s="5" t="inlineStr">
        <is>
          <t>вода, пар, жидкие неагрессивные среды</t>
        </is>
      </c>
      <c r="J45" s="5" t="inlineStr">
        <is>
          <t>сталь 25Л</t>
        </is>
      </c>
      <c r="K45" s="5" t="inlineStr">
        <is>
          <t>У1</t>
        </is>
      </c>
      <c r="L45" s="5" t="inlineStr">
        <is>
          <t>фланцевый</t>
        </is>
      </c>
      <c r="M45" s="5" t="inlineStr">
        <is>
          <t>ручной (маховик)</t>
        </is>
      </c>
      <c r="N45" s="5" t="inlineStr">
        <is>
          <t>-</t>
        </is>
      </c>
      <c r="O45" s="5" t="inlineStr">
        <is>
          <t>маховиком вверх</t>
        </is>
      </c>
      <c r="P45" s="5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45" s="5" t="inlineStr">
        <is>
          <t>-</t>
        </is>
      </c>
      <c r="R45" s="5" t="inlineStr">
        <is>
          <t>-</t>
        </is>
      </c>
      <c r="S45" s="4" t="n">
        <v>14</v>
      </c>
      <c r="T45" s="5" t="inlineStr">
        <is>
          <t>шт</t>
        </is>
      </c>
      <c r="U45" s="6" t="inlineStr">
        <is>
          <t>30с41нж Ду50 PN16 (ПТЗ)</t>
        </is>
      </c>
      <c r="V45" s="6" t="inlineStr">
        <is>
          <t>ООО «Пермский трубопроводный завод» (ИНН 5904173655)</t>
        </is>
      </c>
      <c r="W45" s="6" t="inlineStr">
        <is>
          <t>Россия</t>
        </is>
      </c>
      <c r="X45" s="6" t="inlineStr">
        <is>
          <t>10698940</t>
        </is>
      </c>
      <c r="Y45" s="6" t="inlineStr">
        <is>
          <t>17.02.2031</t>
        </is>
      </c>
      <c r="Z45" s="7" t="n"/>
      <c r="AA45" s="7" t="n"/>
      <c r="AB45" s="7" t="n"/>
      <c r="AC45" s="7" t="n"/>
      <c r="AD45" s="8">
        <f>AC45*S45</f>
        <v/>
      </c>
      <c r="AE45" s="7" t="n"/>
      <c r="AF45" s="7" t="n"/>
      <c r="AG45" s="7" t="n"/>
      <c r="AH45" s="5" t="inlineStr">
        <is>
          <t>Подтвердить: шпиндель 20Х13, наплавка 20Х13 (или 07Х25Н13 где указано), ТРГ.</t>
        </is>
      </c>
    </row>
    <row r="46" ht="60" customHeight="1">
      <c r="A46" s="4" t="n">
        <v>41</v>
      </c>
      <c r="B46" s="5" t="inlineStr">
        <is>
          <t>1.6/43</t>
        </is>
      </c>
      <c r="C46" s="5" t="inlineStr">
        <is>
          <t>Задвижка 30с41нж Ду 80 Ру 16</t>
        </is>
      </c>
      <c r="D46" s="5" t="inlineStr">
        <is>
          <t>ТУ 3741–001–24380482–2016</t>
        </is>
      </c>
      <c r="E46" s="5" t="inlineStr">
        <is>
          <t>80</t>
        </is>
      </c>
      <c r="F46" s="5" t="inlineStr">
        <is>
          <t>стандарт</t>
        </is>
      </c>
      <c r="G46" s="5" t="inlineStr">
        <is>
          <t>1.6</t>
        </is>
      </c>
      <c r="H46" s="5" t="inlineStr">
        <is>
          <t>до +425</t>
        </is>
      </c>
      <c r="I46" s="5" t="inlineStr">
        <is>
          <t>вода, пар, жидкие неагрессивные среды</t>
        </is>
      </c>
      <c r="J46" s="5" t="inlineStr">
        <is>
          <t>сталь 25Л</t>
        </is>
      </c>
      <c r="K46" s="5" t="inlineStr">
        <is>
          <t>У1</t>
        </is>
      </c>
      <c r="L46" s="5" t="inlineStr">
        <is>
          <t>фланцевый</t>
        </is>
      </c>
      <c r="M46" s="5" t="inlineStr">
        <is>
          <t>ручной (маховик)</t>
        </is>
      </c>
      <c r="N46" s="5" t="inlineStr">
        <is>
          <t>-</t>
        </is>
      </c>
      <c r="O46" s="5" t="inlineStr">
        <is>
          <t>маховиком вверх</t>
        </is>
      </c>
      <c r="P46" s="5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46" s="5" t="inlineStr">
        <is>
          <t>-</t>
        </is>
      </c>
      <c r="R46" s="5" t="inlineStr">
        <is>
          <t>-</t>
        </is>
      </c>
      <c r="S46" s="4" t="n">
        <v>11</v>
      </c>
      <c r="T46" s="5" t="inlineStr">
        <is>
          <t>шт</t>
        </is>
      </c>
      <c r="U46" s="6" t="inlineStr">
        <is>
          <t>30с41нж Ду80 PN16 (ПТЗ)</t>
        </is>
      </c>
      <c r="V46" s="6" t="inlineStr">
        <is>
          <t>ООО «Пермский трубопроводный завод» (ИНН 5904173655)</t>
        </is>
      </c>
      <c r="W46" s="6" t="inlineStr">
        <is>
          <t>Россия</t>
        </is>
      </c>
      <c r="X46" s="6" t="inlineStr">
        <is>
          <t>10698940</t>
        </is>
      </c>
      <c r="Y46" s="6" t="inlineStr">
        <is>
          <t>17.02.2031</t>
        </is>
      </c>
      <c r="Z46" s="7" t="n"/>
      <c r="AA46" s="7" t="n"/>
      <c r="AB46" s="7" t="n"/>
      <c r="AC46" s="7" t="n"/>
      <c r="AD46" s="8">
        <f>AC46*S46</f>
        <v/>
      </c>
      <c r="AE46" s="7" t="n"/>
      <c r="AF46" s="7" t="n"/>
      <c r="AG46" s="7" t="n"/>
      <c r="AH46" s="5" t="inlineStr">
        <is>
          <t>Подтвердить: шпиндель 20Х13, наплавка 20Х13 (или 07Х25Н13 где указано), ТРГ.</t>
        </is>
      </c>
    </row>
    <row r="47" ht="60" customHeight="1">
      <c r="A47" s="4" t="n">
        <v>42</v>
      </c>
      <c r="B47" s="5" t="inlineStr">
        <is>
          <t>1.6/44</t>
        </is>
      </c>
      <c r="C47" s="5" t="inlineStr">
        <is>
          <t>Задвижка 30с41нж Ду 100 Ру 16</t>
        </is>
      </c>
      <c r="D47" s="5" t="inlineStr">
        <is>
          <t>ТУ 3741–001–24380482–2016</t>
        </is>
      </c>
      <c r="E47" s="5" t="inlineStr">
        <is>
          <t>100</t>
        </is>
      </c>
      <c r="F47" s="5" t="inlineStr">
        <is>
          <t>стандарт</t>
        </is>
      </c>
      <c r="G47" s="5" t="inlineStr">
        <is>
          <t>1.6</t>
        </is>
      </c>
      <c r="H47" s="5" t="inlineStr">
        <is>
          <t>до +425</t>
        </is>
      </c>
      <c r="I47" s="5" t="inlineStr">
        <is>
          <t>вода, пар, жидкие неагрессивные среды</t>
        </is>
      </c>
      <c r="J47" s="5" t="inlineStr">
        <is>
          <t>сталь 25Л</t>
        </is>
      </c>
      <c r="K47" s="5" t="inlineStr">
        <is>
          <t>У1</t>
        </is>
      </c>
      <c r="L47" s="5" t="inlineStr">
        <is>
          <t>фланцевый</t>
        </is>
      </c>
      <c r="M47" s="5" t="inlineStr">
        <is>
          <t>ручной (маховик)</t>
        </is>
      </c>
      <c r="N47" s="5" t="inlineStr">
        <is>
          <t>-</t>
        </is>
      </c>
      <c r="O47" s="5" t="inlineStr">
        <is>
          <t>маховиком вверх</t>
        </is>
      </c>
      <c r="P47" s="5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47" s="5" t="inlineStr">
        <is>
          <t>-</t>
        </is>
      </c>
      <c r="R47" s="5" t="inlineStr">
        <is>
          <t>-</t>
        </is>
      </c>
      <c r="S47" s="4" t="n">
        <v>10</v>
      </c>
      <c r="T47" s="5" t="inlineStr">
        <is>
          <t>шт</t>
        </is>
      </c>
      <c r="U47" s="6" t="inlineStr">
        <is>
          <t>30с41нж Ду100 PN16 (ПТЗ)</t>
        </is>
      </c>
      <c r="V47" s="6" t="inlineStr">
        <is>
          <t>ООО «Пермский трубопроводный завод» (ИНН 5904173655)</t>
        </is>
      </c>
      <c r="W47" s="6" t="inlineStr">
        <is>
          <t>Россия</t>
        </is>
      </c>
      <c r="X47" s="6" t="inlineStr">
        <is>
          <t>10698940</t>
        </is>
      </c>
      <c r="Y47" s="6" t="inlineStr">
        <is>
          <t>17.02.2031</t>
        </is>
      </c>
      <c r="Z47" s="7" t="n"/>
      <c r="AA47" s="7" t="n"/>
      <c r="AB47" s="7" t="n"/>
      <c r="AC47" s="7" t="n"/>
      <c r="AD47" s="8">
        <f>AC47*S47</f>
        <v/>
      </c>
      <c r="AE47" s="7" t="n"/>
      <c r="AF47" s="7" t="n"/>
      <c r="AG47" s="7" t="n"/>
      <c r="AH47" s="5" t="inlineStr">
        <is>
          <t>Подтвердить: шпиндель 20Х13, наплавка 20Х13 (или 07Х25Н13 где указано), ТРГ.</t>
        </is>
      </c>
    </row>
    <row r="48" ht="60" customHeight="1">
      <c r="A48" s="4" t="n">
        <v>43</v>
      </c>
      <c r="B48" s="5" t="inlineStr">
        <is>
          <t>1.6/45</t>
        </is>
      </c>
      <c r="C48" s="5" t="inlineStr">
        <is>
          <t>Задвижка 30с41нж Ду 150 Ру 16</t>
        </is>
      </c>
      <c r="D48" s="5" t="inlineStr">
        <is>
          <t>ТУ 3741–001–24380482–2016</t>
        </is>
      </c>
      <c r="E48" s="5" t="inlineStr">
        <is>
          <t>150</t>
        </is>
      </c>
      <c r="F48" s="5" t="inlineStr">
        <is>
          <t>стандарт</t>
        </is>
      </c>
      <c r="G48" s="5" t="inlineStr">
        <is>
          <t>1.6</t>
        </is>
      </c>
      <c r="H48" s="5" t="inlineStr">
        <is>
          <t>до +425</t>
        </is>
      </c>
      <c r="I48" s="5" t="inlineStr">
        <is>
          <t>вода, пар, жидкие неагрессивные среды</t>
        </is>
      </c>
      <c r="J48" s="5" t="inlineStr">
        <is>
          <t>сталь 25Л</t>
        </is>
      </c>
      <c r="K48" s="5" t="inlineStr">
        <is>
          <t>У1</t>
        </is>
      </c>
      <c r="L48" s="5" t="inlineStr">
        <is>
          <t>фланцевый</t>
        </is>
      </c>
      <c r="M48" s="5" t="inlineStr">
        <is>
          <t>ручной (маховик)</t>
        </is>
      </c>
      <c r="N48" s="5" t="inlineStr">
        <is>
          <t>-</t>
        </is>
      </c>
      <c r="O48" s="5" t="inlineStr">
        <is>
          <t>маховиком вверх</t>
        </is>
      </c>
      <c r="P48" s="5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48" s="5" t="inlineStr">
        <is>
          <t>-</t>
        </is>
      </c>
      <c r="R48" s="5" t="inlineStr">
        <is>
          <t>-</t>
        </is>
      </c>
      <c r="S48" s="4" t="n">
        <v>7</v>
      </c>
      <c r="T48" s="5" t="inlineStr">
        <is>
          <t>шт</t>
        </is>
      </c>
      <c r="U48" s="6" t="inlineStr">
        <is>
          <t>30с41нж Ду150 PN16 (ПТЗ)</t>
        </is>
      </c>
      <c r="V48" s="6" t="inlineStr">
        <is>
          <t>ООО «Пермский трубопроводный завод» (ИНН 5904173655)</t>
        </is>
      </c>
      <c r="W48" s="6" t="inlineStr">
        <is>
          <t>Россия</t>
        </is>
      </c>
      <c r="X48" s="6" t="inlineStr">
        <is>
          <t>10698940</t>
        </is>
      </c>
      <c r="Y48" s="6" t="inlineStr">
        <is>
          <t>17.02.2031</t>
        </is>
      </c>
      <c r="Z48" s="7" t="n"/>
      <c r="AA48" s="7" t="n"/>
      <c r="AB48" s="7" t="n"/>
      <c r="AC48" s="7" t="n"/>
      <c r="AD48" s="8">
        <f>AC48*S48</f>
        <v/>
      </c>
      <c r="AE48" s="7" t="n"/>
      <c r="AF48" s="7" t="n"/>
      <c r="AG48" s="7" t="n"/>
      <c r="AH48" s="5" t="inlineStr">
        <is>
          <t>Подтвердить: шпиндель 20Х13, наплавка 20Х13 (или 07Х25Н13 где указано), ТРГ.</t>
        </is>
      </c>
    </row>
    <row r="49" ht="60" customHeight="1">
      <c r="A49" s="4" t="n">
        <v>44</v>
      </c>
      <c r="B49" s="5" t="inlineStr">
        <is>
          <t>1.6/46</t>
        </is>
      </c>
      <c r="C49" s="5" t="inlineStr">
        <is>
          <t>Задвижка 30с41нж Ду 200 Ру 16</t>
        </is>
      </c>
      <c r="D49" s="5" t="inlineStr">
        <is>
          <t>ТУ 3741–001–24380482–2016</t>
        </is>
      </c>
      <c r="E49" s="5" t="inlineStr">
        <is>
          <t>200</t>
        </is>
      </c>
      <c r="F49" s="5" t="inlineStr">
        <is>
          <t>стандарт</t>
        </is>
      </c>
      <c r="G49" s="5" t="inlineStr">
        <is>
          <t>1.6</t>
        </is>
      </c>
      <c r="H49" s="5" t="inlineStr">
        <is>
          <t>до +425</t>
        </is>
      </c>
      <c r="I49" s="5" t="inlineStr">
        <is>
          <t>вода, пар, жидкие неагрессивные среды</t>
        </is>
      </c>
      <c r="J49" s="5" t="inlineStr">
        <is>
          <t>сталь 25Л</t>
        </is>
      </c>
      <c r="K49" s="5" t="inlineStr">
        <is>
          <t>У1</t>
        </is>
      </c>
      <c r="L49" s="5" t="inlineStr">
        <is>
          <t>фланцевый</t>
        </is>
      </c>
      <c r="M49" s="5" t="inlineStr">
        <is>
          <t>ручной (маховик)</t>
        </is>
      </c>
      <c r="N49" s="5" t="inlineStr">
        <is>
          <t>-</t>
        </is>
      </c>
      <c r="O49" s="5" t="inlineStr">
        <is>
          <t>маховиком вверх</t>
        </is>
      </c>
      <c r="P49" s="5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49" s="5" t="inlineStr">
        <is>
          <t>-</t>
        </is>
      </c>
      <c r="R49" s="5" t="inlineStr">
        <is>
          <t>-</t>
        </is>
      </c>
      <c r="S49" s="4" t="n">
        <v>2</v>
      </c>
      <c r="T49" s="5" t="inlineStr">
        <is>
          <t>шт</t>
        </is>
      </c>
      <c r="U49" s="6" t="inlineStr">
        <is>
          <t>30с41нж Ду200 PN16 (ПТЗ)</t>
        </is>
      </c>
      <c r="V49" s="6" t="inlineStr">
        <is>
          <t>ООО «Пермский трубопроводный завод» (ИНН 5904173655)</t>
        </is>
      </c>
      <c r="W49" s="6" t="inlineStr">
        <is>
          <t>Россия</t>
        </is>
      </c>
      <c r="X49" s="6" t="inlineStr">
        <is>
          <t>10698940</t>
        </is>
      </c>
      <c r="Y49" s="6" t="inlineStr">
        <is>
          <t>17.02.2031</t>
        </is>
      </c>
      <c r="Z49" s="7" t="n"/>
      <c r="AA49" s="7" t="n"/>
      <c r="AB49" s="7" t="n"/>
      <c r="AC49" s="7" t="n"/>
      <c r="AD49" s="8">
        <f>AC49*S49</f>
        <v/>
      </c>
      <c r="AE49" s="7" t="n"/>
      <c r="AF49" s="7" t="n"/>
      <c r="AG49" s="7" t="n"/>
      <c r="AH49" s="5" t="inlineStr">
        <is>
          <t>Подтвердить: шпиндель 20Х13, наплавка 20Х13 (или 07Х25Н13 где указано), ТРГ.</t>
        </is>
      </c>
    </row>
    <row r="50" ht="60" customHeight="1">
      <c r="A50" s="4" t="n">
        <v>45</v>
      </c>
      <c r="B50" s="5" t="inlineStr">
        <is>
          <t>1.8/1</t>
        </is>
      </c>
      <c r="C50" s="5" t="inlineStr">
        <is>
          <t>Задвижка 30нж41нж Ду 80 Ру 16 1исп. САЗ</t>
        </is>
      </c>
      <c r="D50" s="5" t="inlineStr">
        <is>
          <t>ТУ 3741-001-22294686-2008</t>
        </is>
      </c>
      <c r="E50" s="5" t="inlineStr">
        <is>
          <t>80</t>
        </is>
      </c>
      <c r="F50" s="5" t="inlineStr">
        <is>
          <t>стандарт</t>
        </is>
      </c>
      <c r="G50" s="5" t="inlineStr">
        <is>
          <t>1.6</t>
        </is>
      </c>
      <c r="H50" s="5" t="inlineStr">
        <is>
          <t>до +200°С</t>
        </is>
      </c>
      <c r="I50" s="5" t="inlineStr">
        <is>
          <t>Вода, пар</t>
        </is>
      </c>
      <c r="J50" s="5" t="inlineStr">
        <is>
          <t>углеродистая сталь</t>
        </is>
      </c>
      <c r="K50" s="5" t="inlineStr">
        <is>
          <t>УХЛ1</t>
        </is>
      </c>
      <c r="L50" s="5" t="inlineStr">
        <is>
          <t>Фланец-фланец  по ГОСТ 33259-2015</t>
        </is>
      </c>
      <c r="M50" s="5" t="inlineStr">
        <is>
          <t>Ручное</t>
        </is>
      </c>
      <c r="N50" s="5" t="inlineStr">
        <is>
          <t>Рукоятка</t>
        </is>
      </c>
      <c r="O50" s="5" t="inlineStr">
        <is>
          <t>любое</t>
        </is>
      </c>
      <c r="P50" s="5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50" s="5" t="inlineStr"/>
      <c r="R50" s="5" t="inlineStr"/>
      <c r="S50" s="4" t="n">
        <v>1</v>
      </c>
      <c r="T50" s="5" t="inlineStr">
        <is>
          <t>шт</t>
        </is>
      </c>
      <c r="U50" s="6" t="inlineStr">
        <is>
          <t>30нж41нж Ду80 PN16 (ПТЗ)</t>
        </is>
      </c>
      <c r="V50" s="6" t="inlineStr">
        <is>
          <t>ООО «Пермский трубопроводный завод» (ИНН 5904173655)</t>
        </is>
      </c>
      <c r="W50" s="6" t="inlineStr">
        <is>
          <t>Россия</t>
        </is>
      </c>
      <c r="X50" s="6" t="inlineStr">
        <is>
          <t>10698940</t>
        </is>
      </c>
      <c r="Y50" s="6" t="inlineStr">
        <is>
          <t>17.02.2031</t>
        </is>
      </c>
      <c r="Z50" s="7" t="n"/>
      <c r="AA50" s="7" t="n"/>
      <c r="AB50" s="7" t="n"/>
      <c r="AC50" s="7" t="n"/>
      <c r="AD50" s="8">
        <f>AC50*S50</f>
        <v/>
      </c>
      <c r="AE50" s="7" t="n"/>
      <c r="AF50" s="7" t="n"/>
      <c r="AG50" s="7" t="n"/>
      <c r="AH50" s="5" t="inlineStr">
        <is>
          <t>В ТЗ противоречие: марка 30нж41нж (нерж.), а «материал корпуса — углеродистая сталь». Согласовать нерж. исполнение.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2026-10-28T23:40:20Z</dcterms:created>
  <dcterms:modified xmlns:dcterms="http://purl.org/dc/terms/" xmlns:xsi="http://www.w3.org/2001/XMLSchema-instance" xsi:type="dcterms:W3CDTF">2026-10-28T23:40:20Z</dcterms:modified>
</cp:coreProperties>
</file>