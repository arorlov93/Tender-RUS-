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«Пензенский завод трубопроводной арматуры» (АО «ПЗТА»)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1.3/14</t>
        </is>
      </c>
      <c r="C6" s="5" t="inlineStr">
        <is>
          <t>Клапан обратный 19с53нж Ду 80 Ру 40</t>
        </is>
      </c>
      <c r="D6" s="5" t="inlineStr"/>
      <c r="E6" s="5" t="inlineStr">
        <is>
          <t>80</t>
        </is>
      </c>
      <c r="F6" s="5" t="inlineStr"/>
      <c r="G6" s="5" t="inlineStr">
        <is>
          <t>4</t>
        </is>
      </c>
      <c r="H6" s="5" t="inlineStr">
        <is>
          <t>От -29 до    +425С</t>
        </is>
      </c>
      <c r="I6" s="5" t="inlineStr">
        <is>
          <t>Вода</t>
        </is>
      </c>
      <c r="J6" s="5" t="inlineStr">
        <is>
          <t>Углеродистая сталь</t>
        </is>
      </c>
      <c r="K6" s="5" t="inlineStr">
        <is>
          <t>У</t>
        </is>
      </c>
      <c r="L6" s="5" t="inlineStr">
        <is>
          <t>Фланцевое</t>
        </is>
      </c>
      <c r="M6" s="5" t="inlineStr"/>
      <c r="N6" s="5" t="inlineStr"/>
      <c r="O6" s="5" t="inlineStr"/>
      <c r="P6" s="5" t="inlineStr">
        <is>
          <t>Материа запорного органа - Сталь (A216 WCB + 13Cr), Тип уплотнения - Графит+нержавеющая сталь</t>
        </is>
      </c>
      <c r="Q6" s="5" t="inlineStr"/>
      <c r="R6" s="5" t="inlineStr"/>
      <c r="S6" s="4" t="n">
        <v>2</v>
      </c>
      <c r="T6" s="5" t="inlineStr">
        <is>
          <t>шт</t>
        </is>
      </c>
      <c r="U6" s="6" t="inlineStr">
        <is>
          <t>Клапан (затвор) обратный поворотный ПЗТА.ЗО</t>
        </is>
      </c>
      <c r="V6" s="6" t="inlineStr">
        <is>
          <t>АО «Пензенский завод трубопроводной арматуры»</t>
        </is>
      </c>
      <c r="W6" s="6" t="inlineStr">
        <is>
          <t>Россия</t>
        </is>
      </c>
      <c r="X6" s="6" t="inlineStr">
        <is>
          <t>10706185</t>
        </is>
      </c>
      <c r="Y6" s="6" t="inlineStr">
        <is>
          <t>03.09.2028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/>
    </row>
    <row r="7" ht="60" customHeight="1">
      <c r="A7" s="4" t="n">
        <v>2</v>
      </c>
      <c r="B7" s="5" t="inlineStr">
        <is>
          <t>1.3/15</t>
        </is>
      </c>
      <c r="C7" s="5" t="inlineStr">
        <is>
          <t>Клапан обратный 19с53нж Ду 150 Ру 40</t>
        </is>
      </c>
      <c r="D7" s="5" t="inlineStr"/>
      <c r="E7" s="5" t="inlineStr">
        <is>
          <t>150</t>
        </is>
      </c>
      <c r="F7" s="5" t="inlineStr"/>
      <c r="G7" s="5" t="inlineStr">
        <is>
          <t>4</t>
        </is>
      </c>
      <c r="H7" s="5" t="inlineStr">
        <is>
          <t>От -29 до    +425С</t>
        </is>
      </c>
      <c r="I7" s="5" t="inlineStr">
        <is>
          <t>Вода</t>
        </is>
      </c>
      <c r="J7" s="5" t="inlineStr">
        <is>
          <t>Углеродистая сталь</t>
        </is>
      </c>
      <c r="K7" s="5" t="inlineStr">
        <is>
          <t>У</t>
        </is>
      </c>
      <c r="L7" s="5" t="inlineStr">
        <is>
          <t>Фланцевое</t>
        </is>
      </c>
      <c r="M7" s="5" t="inlineStr"/>
      <c r="N7" s="5" t="inlineStr"/>
      <c r="O7" s="5" t="inlineStr"/>
      <c r="P7" s="5" t="inlineStr">
        <is>
          <t>Материа запорного органа - Сталь (A216 WCB + 13Cr), Тип уплотнения - Графит+нержавеющая сталь</t>
        </is>
      </c>
      <c r="Q7" s="5" t="inlineStr"/>
      <c r="R7" s="5" t="inlineStr"/>
      <c r="S7" s="4" t="n">
        <v>2</v>
      </c>
      <c r="T7" s="5" t="inlineStr">
        <is>
          <t>шт</t>
        </is>
      </c>
      <c r="U7" s="6" t="inlineStr">
        <is>
          <t>Клапан (затвор) обратный поворотный ПЗТА.ЗО</t>
        </is>
      </c>
      <c r="V7" s="6" t="inlineStr">
        <is>
          <t>АО «Пензенский завод трубопроводной арматуры»</t>
        </is>
      </c>
      <c r="W7" s="6" t="inlineStr">
        <is>
          <t>Россия</t>
        </is>
      </c>
      <c r="X7" s="6" t="inlineStr">
        <is>
          <t>10706185</t>
        </is>
      </c>
      <c r="Y7" s="6" t="inlineStr">
        <is>
          <t>03.09.2028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/>
    </row>
    <row r="8" ht="60" customHeight="1">
      <c r="A8" s="4" t="n">
        <v>3</v>
      </c>
      <c r="B8" s="5" t="inlineStr">
        <is>
          <t>1.3/21</t>
        </is>
      </c>
      <c r="C8" s="5" t="inlineStr">
        <is>
          <t>Клапан обратный фланцевый Ду 50 Ру 40</t>
        </is>
      </c>
      <c r="D8" s="5" t="inlineStr"/>
      <c r="E8" s="5" t="inlineStr">
        <is>
          <t>50</t>
        </is>
      </c>
      <c r="F8" s="5" t="inlineStr"/>
      <c r="G8" s="5" t="inlineStr">
        <is>
          <t>4</t>
        </is>
      </c>
      <c r="H8" s="5" t="inlineStr">
        <is>
          <t>От -29 до    +425С</t>
        </is>
      </c>
      <c r="I8" s="5" t="inlineStr">
        <is>
          <t>Вода</t>
        </is>
      </c>
      <c r="J8" s="5" t="inlineStr">
        <is>
          <t>Углеродистая сталь</t>
        </is>
      </c>
      <c r="K8" s="5" t="inlineStr"/>
      <c r="L8" s="5" t="inlineStr">
        <is>
          <t>Фланцевое</t>
        </is>
      </c>
      <c r="M8" s="5" t="inlineStr"/>
      <c r="N8" s="5" t="inlineStr"/>
      <c r="O8" s="5" t="inlineStr"/>
      <c r="P8" s="5" t="inlineStr">
        <is>
          <t>Материа запорного органа - Сталь (A216 WCB + 13Cr), Тип уплотнения - Графит+нержавеющая сталь</t>
        </is>
      </c>
      <c r="Q8" s="5" t="inlineStr"/>
      <c r="R8" s="5" t="inlineStr"/>
      <c r="S8" s="4" t="n">
        <v>1</v>
      </c>
      <c r="T8" s="5" t="inlineStr">
        <is>
          <t>шт</t>
        </is>
      </c>
      <c r="U8" s="6" t="inlineStr">
        <is>
          <t>Клапан (затвор) обратный поворотный ПЗТА.ЗО</t>
        </is>
      </c>
      <c r="V8" s="6" t="inlineStr">
        <is>
          <t>АО «Пензенский завод трубопроводной арматуры»</t>
        </is>
      </c>
      <c r="W8" s="6" t="inlineStr">
        <is>
          <t>Россия</t>
        </is>
      </c>
      <c r="X8" s="6" t="inlineStr">
        <is>
          <t>10706185</t>
        </is>
      </c>
      <c r="Y8" s="6" t="inlineStr">
        <is>
          <t>03.09.2028</t>
        </is>
      </c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/>
    </row>
    <row r="9" ht="60" customHeight="1">
      <c r="A9" s="4" t="n">
        <v>4</v>
      </c>
      <c r="B9" s="5" t="inlineStr">
        <is>
          <t>1.3/26</t>
        </is>
      </c>
      <c r="C9" s="5" t="inlineStr">
        <is>
          <t>Клапан обратный 19нж76нж Ду 100 Ру 16</t>
        </is>
      </c>
      <c r="D9" s="5" t="inlineStr">
        <is>
          <t>ГОСТ 9697-87</t>
        </is>
      </c>
      <c r="E9" s="5" t="inlineStr">
        <is>
          <t>100</t>
        </is>
      </c>
      <c r="F9" s="5" t="inlineStr">
        <is>
          <t>стандарт</t>
        </is>
      </c>
      <c r="G9" s="5" t="inlineStr">
        <is>
          <t>1.6</t>
        </is>
      </c>
      <c r="H9" s="5" t="inlineStr">
        <is>
          <t>от -60 до +600°С</t>
        </is>
      </c>
      <c r="I9" s="5" t="inlineStr">
        <is>
          <t>агрессивные жидкие среды</t>
        </is>
      </c>
      <c r="J9" s="5" t="inlineStr">
        <is>
          <t>12Х18Н9ТЛ</t>
        </is>
      </c>
      <c r="K9" s="5" t="inlineStr">
        <is>
          <t>УХЛ1</t>
        </is>
      </c>
      <c r="L9" s="5" t="inlineStr">
        <is>
          <t>фланец-фланец</t>
        </is>
      </c>
      <c r="M9" s="5" t="inlineStr">
        <is>
          <t>ручное</t>
        </is>
      </c>
      <c r="N9" s="5" t="inlineStr">
        <is>
          <t>штурвал</t>
        </is>
      </c>
      <c r="O9" s="5" t="inlineStr">
        <is>
          <t>Монтаж вентиля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9" s="5" t="inlineStr">
        <is>
          <t>Материал изделия (корпус, крышка): сталь 12Х18Н9ТЛ;</t>
        </is>
      </c>
      <c r="Q9" s="5" t="inlineStr"/>
      <c r="R9" s="5" t="inlineStr"/>
      <c r="S9" s="4" t="n">
        <v>2</v>
      </c>
      <c r="T9" s="5" t="inlineStr">
        <is>
          <t>шт</t>
        </is>
      </c>
      <c r="U9" s="6" t="inlineStr">
        <is>
          <t>Клапан (затвор) обратный поворотный ПЗТА.ЗО</t>
        </is>
      </c>
      <c r="V9" s="6" t="inlineStr">
        <is>
          <t>АО «Пензенский завод трубопроводной арматуры»</t>
        </is>
      </c>
      <c r="W9" s="6" t="inlineStr">
        <is>
          <t>Россия</t>
        </is>
      </c>
      <c r="X9" s="6" t="inlineStr">
        <is>
          <t>10706185</t>
        </is>
      </c>
      <c r="Y9" s="6" t="inlineStr">
        <is>
          <t>03.09.2028</t>
        </is>
      </c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/>
    </row>
    <row r="10" ht="60" customHeight="1">
      <c r="A10" s="4" t="n">
        <v>5</v>
      </c>
      <c r="B10" s="5" t="inlineStr">
        <is>
          <t>1.6/13</t>
        </is>
      </c>
      <c r="C10" s="5" t="inlineStr">
        <is>
          <t>Клапан предохранительный 17с6нж Ду 50 Ру 16</t>
        </is>
      </c>
      <c r="D10" s="5" t="inlineStr">
        <is>
          <t>ТУ 3742-005-22294686-2009</t>
        </is>
      </c>
      <c r="E10" s="5" t="inlineStr">
        <is>
          <t>50</t>
        </is>
      </c>
      <c r="F10" s="5" t="inlineStr">
        <is>
          <t>стандарт</t>
        </is>
      </c>
      <c r="G10" s="5" t="inlineStr">
        <is>
          <t>1.6</t>
        </is>
      </c>
      <c r="H10" s="5" t="inlineStr">
        <is>
          <t>от -40 до +425</t>
        </is>
      </c>
      <c r="I10" s="5" t="inlineStr">
        <is>
          <t>жидкие и газообразные, нефть, нефтепродукты, углеводородные газы, вода, пар</t>
        </is>
      </c>
      <c r="J10" s="5" t="inlineStr">
        <is>
          <t>сталь 25Л</t>
        </is>
      </c>
      <c r="K10" s="5" t="inlineStr">
        <is>
          <t>У1</t>
        </is>
      </c>
      <c r="L10" s="5" t="inlineStr">
        <is>
          <t>фланцевый</t>
        </is>
      </c>
      <c r="M10" s="5" t="inlineStr"/>
      <c r="N10" s="5" t="inlineStr"/>
      <c r="O10" s="5" t="inlineStr">
        <is>
          <t>вертикальное, колпаком вверх</t>
        </is>
      </c>
      <c r="P10" s="5" t="inlineStr">
        <is>
          <t>Седло: сталь 20Х13
Шток: сталь 20Х13.
Пружина: 50ХФА
Прокладка: Паронит
Шпилька: сталь 35</t>
        </is>
      </c>
      <c r="Q10" s="5" t="inlineStr">
        <is>
          <t>-</t>
        </is>
      </c>
      <c r="R10" s="5" t="inlineStr">
        <is>
          <t>-</t>
        </is>
      </c>
      <c r="S10" s="4" t="n">
        <v>2</v>
      </c>
      <c r="T10" s="5" t="inlineStr">
        <is>
          <t>шт</t>
        </is>
      </c>
      <c r="U10" s="6" t="inlineStr">
        <is>
          <t>Клапан предохранительный пружинный ПЗТА.КП</t>
        </is>
      </c>
      <c r="V10" s="6" t="inlineStr">
        <is>
          <t>АО «Пензенский завод трубопроводной арматуры»</t>
        </is>
      </c>
      <c r="W10" s="6" t="inlineStr">
        <is>
          <t>Россия</t>
        </is>
      </c>
      <c r="X10" s="6" t="inlineStr">
        <is>
          <t>10706186</t>
        </is>
      </c>
      <c r="Y10" s="6" t="inlineStr">
        <is>
          <t>03.09.2028</t>
        </is>
      </c>
      <c r="Z10" s="7" t="n"/>
      <c r="AA10" s="7" t="n"/>
      <c r="AB10" s="7" t="n"/>
      <c r="AC10" s="7" t="n"/>
      <c r="AD10" s="8">
        <f>AC10*S10</f>
        <v/>
      </c>
      <c r="AE10" s="7" t="n"/>
      <c r="AF10" s="7" t="n"/>
      <c r="AG10" s="7" t="n"/>
      <c r="AH10" s="5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2026-10-28T23:40:20Z</dcterms:created>
  <dcterms:modified xmlns:dcterms="http://purl.org/dc/terms/" xmlns:xsi="http://www.w3.org/2001/XMLSchema-instance" xsi:type="dcterms:W3CDTF">2026-10-28T23:40:20Z</dcterms:modified>
</cp:coreProperties>
</file>