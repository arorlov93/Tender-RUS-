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«Восточная арматурная компания»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1.1/2</t>
        </is>
      </c>
      <c r="C6" s="5" t="inlineStr">
        <is>
          <t>Клапан запорный 15нж65нж Ду 200 Ру 16</t>
        </is>
      </c>
      <c r="D6" s="5" t="inlineStr">
        <is>
          <t>ТУ 3700-001-66364836-2010</t>
        </is>
      </c>
      <c r="E6" s="5" t="inlineStr">
        <is>
          <t>200</t>
        </is>
      </c>
      <c r="F6" s="5" t="inlineStr">
        <is>
          <t>Полнопроходной</t>
        </is>
      </c>
      <c r="G6" s="5" t="inlineStr">
        <is>
          <t>1.6</t>
        </is>
      </c>
      <c r="H6" s="5" t="inlineStr">
        <is>
          <t>до +6000С</t>
        </is>
      </c>
      <c r="I6" s="5" t="inlineStr">
        <is>
          <t>вода, пар</t>
        </is>
      </c>
      <c r="J6" s="5" t="inlineStr">
        <is>
          <t>12Х18Н10Т</t>
        </is>
      </c>
      <c r="K6" s="5" t="inlineStr">
        <is>
          <t>УХЛ1</t>
        </is>
      </c>
      <c r="L6" s="5" t="inlineStr">
        <is>
          <t>Фланцевое</t>
        </is>
      </c>
      <c r="M6" s="5" t="inlineStr">
        <is>
          <t>Ручное</t>
        </is>
      </c>
      <c r="N6" s="5" t="inlineStr">
        <is>
          <t>Маховик (штурвал)</t>
        </is>
      </c>
      <c r="O6" s="5" t="inlineStr">
        <is>
          <t>любое</t>
        </is>
      </c>
      <c r="P6" s="5" t="inlineStr">
        <is>
          <t>Крышка — 12Х18Н10Т; седло — 12Х18Н10Т; шпиндель — 12Х18Н10Т; диск (золотник) — 12Х18Н10Т; набивка сальниковая (сальник) — ТРГ</t>
        </is>
      </c>
      <c r="Q6" s="5" t="inlineStr">
        <is>
          <t>-</t>
        </is>
      </c>
      <c r="R6" s="5" t="inlineStr">
        <is>
          <t>Класс герметичности по ГОСТ 9544-2015 «А» Поставка клапана с ответными фланцами 12Х18Н10Т</t>
        </is>
      </c>
      <c r="S6" s="4" t="n">
        <v>4</v>
      </c>
      <c r="T6" s="5" t="inlineStr">
        <is>
          <t>шт</t>
        </is>
      </c>
      <c r="U6" s="6" t="inlineStr">
        <is>
          <t>Клапаны запорные DN 10-400 мм, PN 0,6-50,0 МПа</t>
        </is>
      </c>
      <c r="V6" s="6" t="inlineStr">
        <is>
          <t>ООО «Восточная арматурная компания»</t>
        </is>
      </c>
      <c r="W6" s="6" t="inlineStr">
        <is>
          <t>Россия</t>
        </is>
      </c>
      <c r="X6" s="6" t="inlineStr">
        <is>
          <t>10811565</t>
        </is>
      </c>
      <c r="Y6" s="6" t="inlineStr">
        <is>
          <t>31.05.2031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/>
    </row>
    <row r="7" ht="60" customHeight="1">
      <c r="A7" s="4" t="n">
        <v>2</v>
      </c>
      <c r="B7" s="5" t="inlineStr">
        <is>
          <t>1.1/3</t>
        </is>
      </c>
      <c r="C7" s="5" t="inlineStr">
        <is>
          <t>Клапан запорный15нж65нж Ду 50 Ру 16</t>
        </is>
      </c>
      <c r="D7" s="5" t="inlineStr">
        <is>
          <t>ТУ 3700-001-66364836-2010</t>
        </is>
      </c>
      <c r="E7" s="5" t="inlineStr">
        <is>
          <t>50</t>
        </is>
      </c>
      <c r="F7" s="5" t="inlineStr">
        <is>
          <t>Полнопроходной</t>
        </is>
      </c>
      <c r="G7" s="5" t="inlineStr">
        <is>
          <t>1.6</t>
        </is>
      </c>
      <c r="H7" s="5" t="inlineStr">
        <is>
          <t>до +6000С</t>
        </is>
      </c>
      <c r="I7" s="5" t="inlineStr">
        <is>
          <t>вода, пар</t>
        </is>
      </c>
      <c r="J7" s="5" t="inlineStr">
        <is>
          <t>12Х18Н10Т</t>
        </is>
      </c>
      <c r="K7" s="5" t="inlineStr">
        <is>
          <t>УХЛ1</t>
        </is>
      </c>
      <c r="L7" s="5" t="inlineStr">
        <is>
          <t>Фланцевое</t>
        </is>
      </c>
      <c r="M7" s="5" t="inlineStr">
        <is>
          <t>Ручное</t>
        </is>
      </c>
      <c r="N7" s="5" t="inlineStr">
        <is>
          <t>Маховик (штурвал)</t>
        </is>
      </c>
      <c r="O7" s="5" t="inlineStr">
        <is>
          <t>любое</t>
        </is>
      </c>
      <c r="P7" s="5" t="inlineStr">
        <is>
          <t>Крышка — 12Х18Н10Т; седло — 12Х18Н10Т; шпиндель — 12Х18Н10Т; диск (золотник) — 12Х18Н10Т; набивка сальниковая (сальник) — ТРГ</t>
        </is>
      </c>
      <c r="Q7" s="5" t="inlineStr">
        <is>
          <t>-</t>
        </is>
      </c>
      <c r="R7" s="5" t="inlineStr">
        <is>
          <t>Класс герметичности по ГОСТ 9544-2015 «А» Поставка клапана с ответными фланцами 12Х18Н10Т</t>
        </is>
      </c>
      <c r="S7" s="4" t="n">
        <v>3</v>
      </c>
      <c r="T7" s="5" t="inlineStr">
        <is>
          <t>шт</t>
        </is>
      </c>
      <c r="U7" s="6" t="inlineStr">
        <is>
          <t>Клапаны запорные DN 10-400 мм, PN 0,6-50,0 МПа</t>
        </is>
      </c>
      <c r="V7" s="6" t="inlineStr">
        <is>
          <t>ООО «Восточная арматурная компания»</t>
        </is>
      </c>
      <c r="W7" s="6" t="inlineStr">
        <is>
          <t>Россия</t>
        </is>
      </c>
      <c r="X7" s="6" t="inlineStr">
        <is>
          <t>10811565</t>
        </is>
      </c>
      <c r="Y7" s="6" t="inlineStr">
        <is>
          <t>31.05.2031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/>
    </row>
    <row r="8" ht="60" customHeight="1">
      <c r="A8" s="4" t="n">
        <v>3</v>
      </c>
      <c r="B8" s="5" t="inlineStr">
        <is>
          <t>1.1/4</t>
        </is>
      </c>
      <c r="C8" s="5" t="inlineStr">
        <is>
          <t>Клапан запорный15с52нж11 Ду 32 Ру 63 под приварку</t>
        </is>
      </c>
      <c r="D8" s="5" t="inlineStr">
        <is>
          <t>ГОСТ 12.2.063-2015</t>
        </is>
      </c>
      <c r="E8" s="5" t="inlineStr">
        <is>
          <t>32</t>
        </is>
      </c>
      <c r="F8" s="5" t="inlineStr">
        <is>
          <t>стандарт</t>
        </is>
      </c>
      <c r="G8" s="5" t="inlineStr">
        <is>
          <t>6.3</t>
        </is>
      </c>
      <c r="H8" s="5" t="inlineStr">
        <is>
          <t>До +400</t>
        </is>
      </c>
      <c r="I8" s="5" t="inlineStr">
        <is>
          <t>вода пар газ и другие  рабочие среды, неагрессивные к деталям задвижки</t>
        </is>
      </c>
      <c r="J8" s="5" t="inlineStr">
        <is>
          <t>Сталь 20</t>
        </is>
      </c>
      <c r="K8" s="5" t="inlineStr">
        <is>
          <t>У1</t>
        </is>
      </c>
      <c r="L8" s="5" t="inlineStr">
        <is>
          <t>под приварку</t>
        </is>
      </c>
      <c r="M8" s="5" t="inlineStr">
        <is>
          <t>ручное</t>
        </is>
      </c>
      <c r="N8" s="5" t="inlineStr">
        <is>
          <t>рукоятка</t>
        </is>
      </c>
      <c r="O8" s="5" t="inlineStr">
        <is>
          <t>направленная</t>
        </is>
      </c>
      <c r="P8" s="5" t="inlineStr">
        <is>
          <t>корпус сталь 20     золотник сталь 20х13   шпиндель сталь35 сальниковая набивка АГИ</t>
        </is>
      </c>
      <c r="Q8" s="5" t="inlineStr"/>
      <c r="R8" s="5" t="inlineStr"/>
      <c r="S8" s="4" t="n">
        <v>12</v>
      </c>
      <c r="T8" s="5" t="inlineStr">
        <is>
          <t>шт</t>
        </is>
      </c>
      <c r="U8" s="6" t="inlineStr">
        <is>
          <t>Клапаны запорные DN 10-400 мм, PN 0,6-50,0 МПа</t>
        </is>
      </c>
      <c r="V8" s="6" t="inlineStr">
        <is>
          <t>ООО «Восточная арматурная компания»</t>
        </is>
      </c>
      <c r="W8" s="6" t="inlineStr">
        <is>
          <t>Россия</t>
        </is>
      </c>
      <c r="X8" s="6" t="inlineStr">
        <is>
          <t>10811565</t>
        </is>
      </c>
      <c r="Y8" s="6" t="inlineStr">
        <is>
          <t>31.05.2031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/>
    </row>
    <row r="9" ht="60" customHeight="1">
      <c r="A9" s="4" t="n">
        <v>4</v>
      </c>
      <c r="B9" s="5" t="inlineStr">
        <is>
          <t>1.3/54</t>
        </is>
      </c>
      <c r="C9" s="5" t="inlineStr">
        <is>
          <t>Клапан запорны 15нж65нж Ду 80 Ру 16 фланцевый</t>
        </is>
      </c>
      <c r="D9" s="5" t="inlineStr">
        <is>
          <t>ГОСТ 9697-87</t>
        </is>
      </c>
      <c r="E9" s="5" t="inlineStr">
        <is>
          <t>80</t>
        </is>
      </c>
      <c r="F9" s="5" t="inlineStr">
        <is>
          <t>стандарт</t>
        </is>
      </c>
      <c r="G9" s="5" t="inlineStr">
        <is>
          <t>1.6</t>
        </is>
      </c>
      <c r="H9" s="5" t="inlineStr">
        <is>
          <t>от -60 до +600°С</t>
        </is>
      </c>
      <c r="I9" s="5" t="inlineStr">
        <is>
          <t>агрессивные жидкие среды</t>
        </is>
      </c>
      <c r="J9" s="5" t="inlineStr">
        <is>
          <t>12Х18Н9ТЛ</t>
        </is>
      </c>
      <c r="K9" s="5" t="inlineStr">
        <is>
          <t>УХЛ1</t>
        </is>
      </c>
      <c r="L9" s="5" t="inlineStr">
        <is>
          <t>фланец-фланец</t>
        </is>
      </c>
      <c r="M9" s="5" t="inlineStr">
        <is>
          <t>ручное</t>
        </is>
      </c>
      <c r="N9" s="5" t="inlineStr">
        <is>
          <t>штурвал</t>
        </is>
      </c>
      <c r="O9" s="5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9" s="5" t="inlineStr">
        <is>
          <t>Материал изделия (корпус, крышка): сталь 12Х18Н9ТЛ;</t>
        </is>
      </c>
      <c r="Q9" s="5" t="inlineStr">
        <is>
          <t>-</t>
        </is>
      </c>
      <c r="R9" s="5" t="inlineStr">
        <is>
          <t>С комплектом ответных фланцев (С КОФ)</t>
        </is>
      </c>
      <c r="S9" s="4" t="n">
        <v>2</v>
      </c>
      <c r="T9" s="5" t="inlineStr">
        <is>
          <t>шт</t>
        </is>
      </c>
      <c r="U9" s="6" t="inlineStr">
        <is>
          <t>Клапаны запорные DN 10-400 мм, PN 0,6-50,0 МПа</t>
        </is>
      </c>
      <c r="V9" s="6" t="inlineStr">
        <is>
          <t>ООО «Восточная арматурная компания»</t>
        </is>
      </c>
      <c r="W9" s="6" t="inlineStr">
        <is>
          <t>Россия</t>
        </is>
      </c>
      <c r="X9" s="6" t="inlineStr">
        <is>
          <t>10811565</t>
        </is>
      </c>
      <c r="Y9" s="6" t="inlineStr">
        <is>
          <t>31.05.2031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/>
    </row>
    <row r="10" ht="60" customHeight="1">
      <c r="A10" s="4" t="n">
        <v>5</v>
      </c>
      <c r="B10" s="5" t="inlineStr">
        <is>
          <t>1.3/55</t>
        </is>
      </c>
      <c r="C10" s="5" t="inlineStr">
        <is>
          <t>Клапан запорны 15нж65нж Ду 100 Ру 16 фланцевый</t>
        </is>
      </c>
      <c r="D10" s="5" t="inlineStr">
        <is>
          <t>ГОСТ 9697-87</t>
        </is>
      </c>
      <c r="E10" s="5" t="inlineStr">
        <is>
          <t>100</t>
        </is>
      </c>
      <c r="F10" s="5" t="inlineStr">
        <is>
          <t>стандарт</t>
        </is>
      </c>
      <c r="G10" s="5" t="inlineStr">
        <is>
          <t>1.6</t>
        </is>
      </c>
      <c r="H10" s="5" t="inlineStr">
        <is>
          <t>от -60 до +600°С</t>
        </is>
      </c>
      <c r="I10" s="5" t="inlineStr">
        <is>
          <t>агрессивные жидкие среды</t>
        </is>
      </c>
      <c r="J10" s="5" t="inlineStr">
        <is>
          <t>12Х18Н9ТЛ</t>
        </is>
      </c>
      <c r="K10" s="5" t="inlineStr">
        <is>
          <t>УХЛ1</t>
        </is>
      </c>
      <c r="L10" s="5" t="inlineStr">
        <is>
          <t>фланец-фланец</t>
        </is>
      </c>
      <c r="M10" s="5" t="inlineStr">
        <is>
          <t>ручное</t>
        </is>
      </c>
      <c r="N10" s="5" t="inlineStr">
        <is>
          <t>штурвал</t>
        </is>
      </c>
      <c r="O10" s="5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10" s="5" t="inlineStr">
        <is>
          <t>Материал изделия (корпус, крышка): сталь 12Х18Н9ТЛ;</t>
        </is>
      </c>
      <c r="Q10" s="5" t="inlineStr"/>
      <c r="R10" s="5" t="inlineStr"/>
      <c r="S10" s="4" t="n">
        <v>9</v>
      </c>
      <c r="T10" s="5" t="inlineStr">
        <is>
          <t>шт</t>
        </is>
      </c>
      <c r="U10" s="6" t="inlineStr">
        <is>
          <t>Клапаны запорные DN 10-400 мм, PN 0,6-50,0 МПа</t>
        </is>
      </c>
      <c r="V10" s="6" t="inlineStr">
        <is>
          <t>ООО «Восточная арматурная компания»</t>
        </is>
      </c>
      <c r="W10" s="6" t="inlineStr">
        <is>
          <t>Россия</t>
        </is>
      </c>
      <c r="X10" s="6" t="inlineStr">
        <is>
          <t>10811565</t>
        </is>
      </c>
      <c r="Y10" s="6" t="inlineStr">
        <is>
          <t>31.05.2031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/>
    </row>
    <row r="11" ht="60" customHeight="1">
      <c r="A11" s="4" t="n">
        <v>6</v>
      </c>
      <c r="B11" s="5" t="inlineStr">
        <is>
          <t>1.3/58</t>
        </is>
      </c>
      <c r="C11" s="5" t="inlineStr">
        <is>
          <t>Клапан запорны 15нж65нж Ду 32 Ру 16 фланцевый</t>
        </is>
      </c>
      <c r="D11" s="5" t="inlineStr">
        <is>
          <t>ГОСТ 9697-87</t>
        </is>
      </c>
      <c r="E11" s="5" t="inlineStr">
        <is>
          <t>32</t>
        </is>
      </c>
      <c r="F11" s="5" t="inlineStr">
        <is>
          <t>стандарт</t>
        </is>
      </c>
      <c r="G11" s="5" t="inlineStr">
        <is>
          <t>1.6</t>
        </is>
      </c>
      <c r="H11" s="5" t="inlineStr">
        <is>
          <t>от -60 до +600°С</t>
        </is>
      </c>
      <c r="I11" s="5" t="inlineStr">
        <is>
          <t>агрессивные жидкие среды</t>
        </is>
      </c>
      <c r="J11" s="5" t="inlineStr">
        <is>
          <t>12Х18Н9ТЛ</t>
        </is>
      </c>
      <c r="K11" s="5" t="inlineStr">
        <is>
          <t>УХЛ1</t>
        </is>
      </c>
      <c r="L11" s="5" t="inlineStr">
        <is>
          <t>фланец-фланец</t>
        </is>
      </c>
      <c r="M11" s="5" t="inlineStr">
        <is>
          <t>ручное</t>
        </is>
      </c>
      <c r="N11" s="5" t="inlineStr">
        <is>
          <t>штурвал</t>
        </is>
      </c>
      <c r="O11" s="5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11" s="5" t="inlineStr">
        <is>
          <t>Материал изделия (корпус, крышка): сталь 12Х18Н9ТЛ;</t>
        </is>
      </c>
      <c r="Q11" s="5" t="inlineStr"/>
      <c r="R11" s="5" t="inlineStr"/>
      <c r="S11" s="4" t="n">
        <v>4</v>
      </c>
      <c r="T11" s="5" t="inlineStr">
        <is>
          <t>шт</t>
        </is>
      </c>
      <c r="U11" s="6" t="inlineStr">
        <is>
          <t>Клапаны запорные DN 10-400 мм, PN 0,6-50,0 МПа</t>
        </is>
      </c>
      <c r="V11" s="6" t="inlineStr">
        <is>
          <t>ООО «Восточная арматурная компания»</t>
        </is>
      </c>
      <c r="W11" s="6" t="inlineStr">
        <is>
          <t>Россия</t>
        </is>
      </c>
      <c r="X11" s="6" t="inlineStr">
        <is>
          <t>10811565</t>
        </is>
      </c>
      <c r="Y11" s="6" t="inlineStr">
        <is>
          <t>31.05.2031</t>
        </is>
      </c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/>
    </row>
    <row r="12" ht="60" customHeight="1">
      <c r="A12" s="4" t="n">
        <v>7</v>
      </c>
      <c r="B12" s="5" t="inlineStr">
        <is>
          <t>1.3/59</t>
        </is>
      </c>
      <c r="C12" s="5" t="inlineStr">
        <is>
          <t>Клапан запорны 15нж65нж Ду 50 Ру 16 фланцевый</t>
        </is>
      </c>
      <c r="D12" s="5" t="inlineStr">
        <is>
          <t>ГОСТ 9697-87</t>
        </is>
      </c>
      <c r="E12" s="5" t="inlineStr">
        <is>
          <t>50</t>
        </is>
      </c>
      <c r="F12" s="5" t="inlineStr">
        <is>
          <t>стандарт</t>
        </is>
      </c>
      <c r="G12" s="5" t="inlineStr">
        <is>
          <t>1.6</t>
        </is>
      </c>
      <c r="H12" s="5" t="inlineStr">
        <is>
          <t>от -60 до +600°С</t>
        </is>
      </c>
      <c r="I12" s="5" t="inlineStr">
        <is>
          <t>агрессивные жидкие среды</t>
        </is>
      </c>
      <c r="J12" s="5" t="inlineStr">
        <is>
          <t>12Х18Н9ТЛ</t>
        </is>
      </c>
      <c r="K12" s="5" t="inlineStr">
        <is>
          <t>УХЛ1</t>
        </is>
      </c>
      <c r="L12" s="5" t="inlineStr">
        <is>
          <t>фланец-фланец</t>
        </is>
      </c>
      <c r="M12" s="5" t="inlineStr">
        <is>
          <t>ручное</t>
        </is>
      </c>
      <c r="N12" s="5" t="inlineStr">
        <is>
          <t>штурвал</t>
        </is>
      </c>
      <c r="O12" s="5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12" s="5" t="inlineStr">
        <is>
          <t>Материал изделия (корпус, крышка): сталь 12Х18Н9ТЛ;</t>
        </is>
      </c>
      <c r="Q12" s="5" t="inlineStr"/>
      <c r="R12" s="5" t="inlineStr"/>
      <c r="S12" s="4" t="n">
        <v>4</v>
      </c>
      <c r="T12" s="5" t="inlineStr">
        <is>
          <t>шт</t>
        </is>
      </c>
      <c r="U12" s="6" t="inlineStr">
        <is>
          <t>Клапаны запорные DN 10-400 мм, PN 0,6-50,0 МПа</t>
        </is>
      </c>
      <c r="V12" s="6" t="inlineStr">
        <is>
          <t>ООО «Восточная арматурная компания»</t>
        </is>
      </c>
      <c r="W12" s="6" t="inlineStr">
        <is>
          <t>Россия</t>
        </is>
      </c>
      <c r="X12" s="6" t="inlineStr">
        <is>
          <t>10811565</t>
        </is>
      </c>
      <c r="Y12" s="6" t="inlineStr">
        <is>
          <t>31.05.2031</t>
        </is>
      </c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/>
    </row>
    <row r="13" ht="60" customHeight="1">
      <c r="A13" s="4" t="n">
        <v>8</v>
      </c>
      <c r="B13" s="5" t="inlineStr">
        <is>
          <t>1.3/60</t>
        </is>
      </c>
      <c r="C13" s="5" t="inlineStr">
        <is>
          <t>Клапан запорный 15с22нж Ду 32 Ру 40</t>
        </is>
      </c>
      <c r="D13" s="5" t="inlineStr">
        <is>
          <t>ТУ 3740-002-30995032-2014</t>
        </is>
      </c>
      <c r="E13" s="5" t="inlineStr">
        <is>
          <t>32</t>
        </is>
      </c>
      <c r="F13" s="5" t="inlineStr">
        <is>
          <t>стандарт</t>
        </is>
      </c>
      <c r="G13" s="5" t="inlineStr">
        <is>
          <t>4</t>
        </is>
      </c>
      <c r="H13" s="5" t="inlineStr">
        <is>
          <t>до +425</t>
        </is>
      </c>
      <c r="I13" s="5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13" s="5" t="inlineStr">
        <is>
          <t>сталь 25Л</t>
        </is>
      </c>
      <c r="K13" s="5" t="inlineStr">
        <is>
          <t>У1</t>
        </is>
      </c>
      <c r="L13" s="5" t="inlineStr">
        <is>
          <t>фланец-фланец</t>
        </is>
      </c>
      <c r="M13" s="5" t="inlineStr">
        <is>
          <t>ручное</t>
        </is>
      </c>
      <c r="N13" s="5" t="inlineStr">
        <is>
          <t>маховик</t>
        </is>
      </c>
      <c r="O13" s="5" t="inlineStr">
        <is>
          <t>любое</t>
        </is>
      </c>
      <c r="P13" s="5" t="inlineStr">
        <is>
          <t>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Q13" s="5" t="inlineStr"/>
      <c r="R13" s="5" t="inlineStr"/>
      <c r="S13" s="4" t="n">
        <v>2</v>
      </c>
      <c r="T13" s="5" t="inlineStr">
        <is>
          <t>шт</t>
        </is>
      </c>
      <c r="U13" s="6" t="inlineStr">
        <is>
          <t>Клапаны запорные DN 10-400 мм, PN 0,6-50,0 МПа</t>
        </is>
      </c>
      <c r="V13" s="6" t="inlineStr">
        <is>
          <t>ООО «Восточная арматурная компания»</t>
        </is>
      </c>
      <c r="W13" s="6" t="inlineStr">
        <is>
          <t>Россия</t>
        </is>
      </c>
      <c r="X13" s="6" t="inlineStr">
        <is>
          <t>10811565</t>
        </is>
      </c>
      <c r="Y13" s="6" t="inlineStr">
        <is>
          <t>31.05.2031</t>
        </is>
      </c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/>
    </row>
    <row r="14" ht="60" customHeight="1">
      <c r="A14" s="4" t="n">
        <v>9</v>
      </c>
      <c r="B14" s="5" t="inlineStr">
        <is>
          <t>1.3/61</t>
        </is>
      </c>
      <c r="C14" s="5" t="inlineStr">
        <is>
          <t>Клапан запорный 15с22нж Ду 50 Ру 40</t>
        </is>
      </c>
      <c r="D14" s="5" t="inlineStr">
        <is>
          <t>ТУ 3740-002-30995032-2014</t>
        </is>
      </c>
      <c r="E14" s="5" t="inlineStr">
        <is>
          <t>50</t>
        </is>
      </c>
      <c r="F14" s="5" t="inlineStr">
        <is>
          <t>стандартный</t>
        </is>
      </c>
      <c r="G14" s="5" t="inlineStr">
        <is>
          <t>4</t>
        </is>
      </c>
      <c r="H14" s="5" t="inlineStr">
        <is>
          <t>до +425</t>
        </is>
      </c>
      <c r="I14" s="5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14" s="5" t="inlineStr">
        <is>
          <t>сталь 25Л</t>
        </is>
      </c>
      <c r="K14" s="5" t="inlineStr">
        <is>
          <t>У1</t>
        </is>
      </c>
      <c r="L14" s="5" t="inlineStr">
        <is>
          <t>фланцевый</t>
        </is>
      </c>
      <c r="M14" s="5" t="inlineStr">
        <is>
          <t>ручной (маховик)</t>
        </is>
      </c>
      <c r="N14" s="5" t="inlineStr">
        <is>
          <t>-</t>
        </is>
      </c>
      <c r="O14" s="5" t="inlineStr">
        <is>
          <t>любое</t>
        </is>
      </c>
      <c r="P14" s="5" t="inlineStr">
        <is>
          <t>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Q14" s="5" t="inlineStr">
        <is>
          <t>строительная длина 230 мм,</t>
        </is>
      </c>
      <c r="R14" s="5" t="inlineStr"/>
      <c r="S14" s="4" t="n">
        <v>9</v>
      </c>
      <c r="T14" s="5" t="inlineStr">
        <is>
          <t>шт</t>
        </is>
      </c>
      <c r="U14" s="6" t="inlineStr">
        <is>
          <t>Клапаны запорные DN 10-400 мм, PN 0,6-50,0 МПа</t>
        </is>
      </c>
      <c r="V14" s="6" t="inlineStr">
        <is>
          <t>ООО «Восточная арматурная компания»</t>
        </is>
      </c>
      <c r="W14" s="6" t="inlineStr">
        <is>
          <t>Россия</t>
        </is>
      </c>
      <c r="X14" s="6" t="inlineStr">
        <is>
          <t>10811565</t>
        </is>
      </c>
      <c r="Y14" s="6" t="inlineStr">
        <is>
          <t>31.05.2031</t>
        </is>
      </c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/>
    </row>
    <row r="15" ht="60" customHeight="1">
      <c r="A15" s="4" t="n">
        <v>10</v>
      </c>
      <c r="B15" s="5" t="inlineStr">
        <is>
          <t>1.3/62</t>
        </is>
      </c>
      <c r="C15" s="5" t="inlineStr">
        <is>
          <t>Клапан запорный 15с22нж Ду 80 Ру 40</t>
        </is>
      </c>
      <c r="D15" s="5" t="inlineStr">
        <is>
          <t>ТУ 3740-002-30995032-2014</t>
        </is>
      </c>
      <c r="E15" s="5" t="inlineStr">
        <is>
          <t>80</t>
        </is>
      </c>
      <c r="F15" s="5" t="inlineStr">
        <is>
          <t>стандарт</t>
        </is>
      </c>
      <c r="G15" s="5" t="inlineStr">
        <is>
          <t>4</t>
        </is>
      </c>
      <c r="H15" s="5" t="inlineStr">
        <is>
          <t>до +425</t>
        </is>
      </c>
      <c r="I15" s="5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15" s="5" t="inlineStr">
        <is>
          <t>сталь 25Л</t>
        </is>
      </c>
      <c r="K15" s="5" t="inlineStr">
        <is>
          <t>Температура окружающей среды от -40 до +40 °C</t>
        </is>
      </c>
      <c r="L15" s="5" t="inlineStr">
        <is>
          <t>фланцевый</t>
        </is>
      </c>
      <c r="M15" s="5" t="inlineStr">
        <is>
          <t>ручной (маховик)</t>
        </is>
      </c>
      <c r="N15" s="5" t="inlineStr">
        <is>
          <t>-</t>
        </is>
      </c>
      <c r="O15" s="5" t="inlineStr">
        <is>
          <t>любое</t>
        </is>
      </c>
      <c r="P15" s="5" t="inlineStr">
        <is>
          <t>Золотник: Сталь 20Х13 Шпиндель: Сталь 20Х13 Контргайка: Сталь 35 Маховик: Сталь 25Л</t>
        </is>
      </c>
      <c r="Q15" s="5" t="inlineStr"/>
      <c r="R15" s="5" t="inlineStr"/>
      <c r="S15" s="4" t="n">
        <v>6</v>
      </c>
      <c r="T15" s="5" t="inlineStr">
        <is>
          <t>шт</t>
        </is>
      </c>
      <c r="U15" s="6" t="inlineStr">
        <is>
          <t>Клапаны запорные DN 10-400 мм, PN 0,6-50,0 МПа</t>
        </is>
      </c>
      <c r="V15" s="6" t="inlineStr">
        <is>
          <t>ООО «Восточная арматурная компания»</t>
        </is>
      </c>
      <c r="W15" s="6" t="inlineStr">
        <is>
          <t>Россия</t>
        </is>
      </c>
      <c r="X15" s="6" t="inlineStr">
        <is>
          <t>10811565</t>
        </is>
      </c>
      <c r="Y15" s="6" t="inlineStr">
        <is>
          <t>31.05.2031</t>
        </is>
      </c>
      <c r="Z15" s="7" t="n"/>
      <c r="AA15" s="7" t="n"/>
      <c r="AB15" s="7" t="n"/>
      <c r="AC15" s="7" t="n"/>
      <c r="AD15" s="8">
        <f>AC15*S15</f>
        <v/>
      </c>
      <c r="AE15" s="7" t="n"/>
      <c r="AF15" s="7" t="n"/>
      <c r="AG15" s="7" t="n"/>
      <c r="AH15" s="5" t="inlineStr"/>
    </row>
    <row r="16" ht="60" customHeight="1">
      <c r="A16" s="4" t="n">
        <v>11</v>
      </c>
      <c r="B16" s="5" t="inlineStr">
        <is>
          <t>1.3/63</t>
        </is>
      </c>
      <c r="C16" s="5" t="inlineStr">
        <is>
          <t>Клапан запорный 15с52нж11 Ду 20 Ру 63 под приварку</t>
        </is>
      </c>
      <c r="D16" s="5" t="inlineStr">
        <is>
          <t>ГОСТ 9697-87</t>
        </is>
      </c>
      <c r="E16" s="5" t="inlineStr">
        <is>
          <t>20</t>
        </is>
      </c>
      <c r="F16" s="5" t="inlineStr">
        <is>
          <t>стандарт</t>
        </is>
      </c>
      <c r="G16" s="5" t="inlineStr">
        <is>
          <t>6.3</t>
        </is>
      </c>
      <c r="H16" s="5" t="inlineStr">
        <is>
          <t>до + 425°С</t>
        </is>
      </c>
      <c r="I16" s="5" t="inlineStr">
        <is>
          <t>вода, слабоагрессивные жидкие среды</t>
        </is>
      </c>
      <c r="J16" s="5" t="inlineStr">
        <is>
          <t>Сталь 25 Л</t>
        </is>
      </c>
      <c r="K16" s="5" t="inlineStr">
        <is>
          <t>У1</t>
        </is>
      </c>
      <c r="L16" s="5" t="inlineStr">
        <is>
          <t>под приварку</t>
        </is>
      </c>
      <c r="M16" s="5" t="inlineStr">
        <is>
          <t>ручное</t>
        </is>
      </c>
      <c r="N16" s="5" t="inlineStr">
        <is>
          <t>маховик, рукоятка</t>
        </is>
      </c>
      <c r="O16" s="5" t="inlineStr">
        <is>
          <t>любом рабочем положении</t>
        </is>
      </c>
      <c r="P16" s="5" t="inlineStr">
        <is>
          <t>Материал корпуса, диска, крышки: сталь 25
Материал седла, шпинделя: нержавеющая сталь</t>
        </is>
      </c>
      <c r="Q16" s="5" t="inlineStr">
        <is>
          <t>-</t>
        </is>
      </c>
      <c r="R16" s="5" t="inlineStr"/>
      <c r="S16" s="4" t="n">
        <v>6</v>
      </c>
      <c r="T16" s="5" t="inlineStr">
        <is>
          <t>шт</t>
        </is>
      </c>
      <c r="U16" s="6" t="inlineStr">
        <is>
          <t>Клапаны запорные DN 10-400 мм, PN 0,6-50,0 МПа</t>
        </is>
      </c>
      <c r="V16" s="6" t="inlineStr">
        <is>
          <t>ООО «Восточная арматурная компания»</t>
        </is>
      </c>
      <c r="W16" s="6" t="inlineStr">
        <is>
          <t>Россия</t>
        </is>
      </c>
      <c r="X16" s="6" t="inlineStr">
        <is>
          <t>10811565</t>
        </is>
      </c>
      <c r="Y16" s="6" t="inlineStr">
        <is>
          <t>31.05.2031</t>
        </is>
      </c>
      <c r="Z16" s="7" t="n"/>
      <c r="AA16" s="7" t="n"/>
      <c r="AB16" s="7" t="n"/>
      <c r="AC16" s="7" t="n"/>
      <c r="AD16" s="8">
        <f>AC16*S16</f>
        <v/>
      </c>
      <c r="AE16" s="7" t="n"/>
      <c r="AF16" s="7" t="n"/>
      <c r="AG16" s="7" t="n"/>
      <c r="AH16" s="5" t="inlineStr"/>
    </row>
    <row r="17" ht="60" customHeight="1">
      <c r="A17" s="4" t="n">
        <v>12</v>
      </c>
      <c r="B17" s="5" t="inlineStr">
        <is>
          <t>1.6/32</t>
        </is>
      </c>
      <c r="C17" s="5" t="inlineStr">
        <is>
          <t>Клапан запорный 15с22нж Ду 25 Ру 40</t>
        </is>
      </c>
      <c r="D17" s="5" t="inlineStr">
        <is>
          <t>ТУ 3740-002-30995032-2014</t>
        </is>
      </c>
      <c r="E17" s="5" t="inlineStr">
        <is>
          <t>25</t>
        </is>
      </c>
      <c r="F17" s="5" t="inlineStr">
        <is>
          <t>стандарт</t>
        </is>
      </c>
      <c r="G17" s="5" t="inlineStr">
        <is>
          <t>4</t>
        </is>
      </c>
      <c r="H17" s="5" t="inlineStr">
        <is>
          <t>до +425</t>
        </is>
      </c>
      <c r="I17" s="5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7" s="5" t="inlineStr">
        <is>
          <t>сталь 25Л</t>
        </is>
      </c>
      <c r="K17" s="5" t="inlineStr">
        <is>
          <t>Температура окружающей среды от -40 до +40 °C</t>
        </is>
      </c>
      <c r="L17" s="5" t="inlineStr">
        <is>
          <t>фланцевый</t>
        </is>
      </c>
      <c r="M17" s="5" t="inlineStr">
        <is>
          <t>ручной (маховик)</t>
        </is>
      </c>
      <c r="N17" s="5" t="inlineStr">
        <is>
          <t>-</t>
        </is>
      </c>
      <c r="O17" s="5" t="inlineStr">
        <is>
          <t>любое</t>
        </is>
      </c>
      <c r="P17" s="5" t="inlineStr">
        <is>
          <t>Золотник: Сталь 20Х13
Шпиндель: Сталь 20Х13
Контргайка: Сталь 35
Маховик: Сталь 25Л</t>
        </is>
      </c>
      <c r="Q17" s="5" t="inlineStr">
        <is>
          <t>-</t>
        </is>
      </c>
      <c r="R17" s="5" t="inlineStr">
        <is>
          <t>-</t>
        </is>
      </c>
      <c r="S17" s="4" t="n">
        <v>1</v>
      </c>
      <c r="T17" s="5" t="inlineStr">
        <is>
          <t>шт</t>
        </is>
      </c>
      <c r="U17" s="6" t="inlineStr">
        <is>
          <t>Клапаны запорные DN 10-400 мм, PN 0,6-50,0 МПа</t>
        </is>
      </c>
      <c r="V17" s="6" t="inlineStr">
        <is>
          <t>ООО «Восточная арматурная компания»</t>
        </is>
      </c>
      <c r="W17" s="6" t="inlineStr">
        <is>
          <t>Россия</t>
        </is>
      </c>
      <c r="X17" s="6" t="inlineStr">
        <is>
          <t>10811565</t>
        </is>
      </c>
      <c r="Y17" s="6" t="inlineStr">
        <is>
          <t>31.05.2031</t>
        </is>
      </c>
      <c r="Z17" s="7" t="n"/>
      <c r="AA17" s="7" t="n"/>
      <c r="AB17" s="7" t="n"/>
      <c r="AC17" s="7" t="n"/>
      <c r="AD17" s="8">
        <f>AC17*S17</f>
        <v/>
      </c>
      <c r="AE17" s="7" t="n"/>
      <c r="AF17" s="7" t="n"/>
      <c r="AG17" s="7" t="n"/>
      <c r="AH17" s="5" t="inlineStr"/>
    </row>
    <row r="18" ht="60" customHeight="1">
      <c r="A18" s="4" t="n">
        <v>13</v>
      </c>
      <c r="B18" s="5" t="inlineStr">
        <is>
          <t>1.6/33</t>
        </is>
      </c>
      <c r="C18" s="5" t="inlineStr">
        <is>
          <t>Клапан запорный 15с22нж Ду 32 Ру 40</t>
        </is>
      </c>
      <c r="D18" s="5" t="inlineStr">
        <is>
          <t>ТУ 3740-002-30995032-2014</t>
        </is>
      </c>
      <c r="E18" s="5" t="inlineStr">
        <is>
          <t>32</t>
        </is>
      </c>
      <c r="F18" s="5" t="inlineStr">
        <is>
          <t>стандарт</t>
        </is>
      </c>
      <c r="G18" s="5" t="inlineStr">
        <is>
          <t>4</t>
        </is>
      </c>
      <c r="H18" s="5" t="inlineStr">
        <is>
          <t>до +425</t>
        </is>
      </c>
      <c r="I18" s="5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8" s="5" t="inlineStr">
        <is>
          <t>сталь 25Л</t>
        </is>
      </c>
      <c r="K18" s="5" t="inlineStr">
        <is>
          <t>Температура окружающей среды от -40 до +40 °C</t>
        </is>
      </c>
      <c r="L18" s="5" t="inlineStr">
        <is>
          <t>фланцевый</t>
        </is>
      </c>
      <c r="M18" s="5" t="inlineStr">
        <is>
          <t>ручной (маховик)</t>
        </is>
      </c>
      <c r="N18" s="5" t="inlineStr">
        <is>
          <t>-</t>
        </is>
      </c>
      <c r="O18" s="5" t="inlineStr">
        <is>
          <t>любое</t>
        </is>
      </c>
      <c r="P18" s="5" t="inlineStr">
        <is>
          <t>Золотник: Сталь 20Х13
Шпиндель: Сталь 20Х13
Контргайка: Сталь 35
Маховик: Сталь 25Л</t>
        </is>
      </c>
      <c r="Q18" s="5" t="inlineStr">
        <is>
          <t>-</t>
        </is>
      </c>
      <c r="R18" s="5" t="inlineStr">
        <is>
          <t>-</t>
        </is>
      </c>
      <c r="S18" s="4" t="n">
        <v>5</v>
      </c>
      <c r="T18" s="5" t="inlineStr">
        <is>
          <t>шт</t>
        </is>
      </c>
      <c r="U18" s="6" t="inlineStr">
        <is>
          <t>Клапаны запорные DN 10-400 мм, PN 0,6-50,0 МПа</t>
        </is>
      </c>
      <c r="V18" s="6" t="inlineStr">
        <is>
          <t>ООО «Восточная арматурная компания»</t>
        </is>
      </c>
      <c r="W18" s="6" t="inlineStr">
        <is>
          <t>Россия</t>
        </is>
      </c>
      <c r="X18" s="6" t="inlineStr">
        <is>
          <t>10811565</t>
        </is>
      </c>
      <c r="Y18" s="6" t="inlineStr">
        <is>
          <t>31.05.2031</t>
        </is>
      </c>
      <c r="Z18" s="7" t="n"/>
      <c r="AA18" s="7" t="n"/>
      <c r="AB18" s="7" t="n"/>
      <c r="AC18" s="7" t="n"/>
      <c r="AD18" s="8">
        <f>AC18*S18</f>
        <v/>
      </c>
      <c r="AE18" s="7" t="n"/>
      <c r="AF18" s="7" t="n"/>
      <c r="AG18" s="7" t="n"/>
      <c r="AH18" s="5" t="inlineStr"/>
    </row>
    <row r="19" ht="60" customHeight="1">
      <c r="A19" s="4" t="n">
        <v>14</v>
      </c>
      <c r="B19" s="5" t="inlineStr">
        <is>
          <t>1.6/34</t>
        </is>
      </c>
      <c r="C19" s="5" t="inlineStr">
        <is>
          <t>Клапан запорный 15с22нж Ду 40 Ру 40</t>
        </is>
      </c>
      <c r="D19" s="5" t="inlineStr">
        <is>
          <t>ТУ 3740-002-30995032-2014</t>
        </is>
      </c>
      <c r="E19" s="5" t="inlineStr">
        <is>
          <t>40</t>
        </is>
      </c>
      <c r="F19" s="5" t="inlineStr">
        <is>
          <t>стандарт</t>
        </is>
      </c>
      <c r="G19" s="5" t="inlineStr">
        <is>
          <t>4</t>
        </is>
      </c>
      <c r="H19" s="5" t="inlineStr">
        <is>
          <t>до +425</t>
        </is>
      </c>
      <c r="I19" s="5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9" s="5" t="inlineStr">
        <is>
          <t>сталь 25Л</t>
        </is>
      </c>
      <c r="K19" s="5" t="inlineStr">
        <is>
          <t>Температура окружающей среды от -40 до +40 °C</t>
        </is>
      </c>
      <c r="L19" s="5" t="inlineStr">
        <is>
          <t>фланцевый</t>
        </is>
      </c>
      <c r="M19" s="5" t="inlineStr">
        <is>
          <t>ручной (маховик)</t>
        </is>
      </c>
      <c r="N19" s="5" t="inlineStr">
        <is>
          <t>-</t>
        </is>
      </c>
      <c r="O19" s="5" t="inlineStr">
        <is>
          <t>любое</t>
        </is>
      </c>
      <c r="P19" s="5" t="inlineStr">
        <is>
          <t>Золотник: Сталь 20Х13
Шпиндель: Сталь 20Х13
Контргайка: Сталь 35
Маховик: Сталь 25Л</t>
        </is>
      </c>
      <c r="Q19" s="5" t="inlineStr">
        <is>
          <t>-</t>
        </is>
      </c>
      <c r="R19" s="5" t="inlineStr">
        <is>
          <t>-</t>
        </is>
      </c>
      <c r="S19" s="4" t="n">
        <v>2</v>
      </c>
      <c r="T19" s="5" t="inlineStr">
        <is>
          <t>шт</t>
        </is>
      </c>
      <c r="U19" s="6" t="inlineStr">
        <is>
          <t>Клапаны запорные DN 10-400 мм, PN 0,6-50,0 МПа</t>
        </is>
      </c>
      <c r="V19" s="6" t="inlineStr">
        <is>
          <t>ООО «Восточная арматурная компания»</t>
        </is>
      </c>
      <c r="W19" s="6" t="inlineStr">
        <is>
          <t>Россия</t>
        </is>
      </c>
      <c r="X19" s="6" t="inlineStr">
        <is>
          <t>10811565</t>
        </is>
      </c>
      <c r="Y19" s="6" t="inlineStr">
        <is>
          <t>31.05.2031</t>
        </is>
      </c>
      <c r="Z19" s="7" t="n"/>
      <c r="AA19" s="7" t="n"/>
      <c r="AB19" s="7" t="n"/>
      <c r="AC19" s="7" t="n"/>
      <c r="AD19" s="8">
        <f>AC19*S19</f>
        <v/>
      </c>
      <c r="AE19" s="7" t="n"/>
      <c r="AF19" s="7" t="n"/>
      <c r="AG19" s="7" t="n"/>
      <c r="AH19" s="5" t="inlineStr"/>
    </row>
    <row r="20" ht="60" customHeight="1">
      <c r="A20" s="4" t="n">
        <v>15</v>
      </c>
      <c r="B20" s="5" t="inlineStr">
        <is>
          <t>1.6/35</t>
        </is>
      </c>
      <c r="C20" s="5" t="inlineStr">
        <is>
          <t>Клапан запорный 15с22нж Ду 50 Ру 40</t>
        </is>
      </c>
      <c r="D20" s="5" t="inlineStr">
        <is>
          <t>ТУ 3740-002-30995032-2014</t>
        </is>
      </c>
      <c r="E20" s="5" t="inlineStr">
        <is>
          <t>50</t>
        </is>
      </c>
      <c r="F20" s="5" t="inlineStr">
        <is>
          <t>стандарт</t>
        </is>
      </c>
      <c r="G20" s="5" t="inlineStr">
        <is>
          <t>4</t>
        </is>
      </c>
      <c r="H20" s="5" t="inlineStr">
        <is>
          <t>до +425</t>
        </is>
      </c>
      <c r="I20" s="5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20" s="5" t="inlineStr">
        <is>
          <t>сталь 25Л</t>
        </is>
      </c>
      <c r="K20" s="5" t="inlineStr">
        <is>
          <t>Температура окружающей среды от -40 до +40 °C</t>
        </is>
      </c>
      <c r="L20" s="5" t="inlineStr">
        <is>
          <t>фланцевый</t>
        </is>
      </c>
      <c r="M20" s="5" t="inlineStr">
        <is>
          <t>ручной (маховик)</t>
        </is>
      </c>
      <c r="N20" s="5" t="inlineStr">
        <is>
          <t>-</t>
        </is>
      </c>
      <c r="O20" s="5" t="inlineStr">
        <is>
          <t>любое</t>
        </is>
      </c>
      <c r="P20" s="5" t="inlineStr">
        <is>
          <t>Золотник: Сталь 20Х13
Шпиндель: Сталь 20Х13
Контргайка: Сталь 35
Маховик: Сталь 25Л</t>
        </is>
      </c>
      <c r="Q20" s="5" t="inlineStr">
        <is>
          <t>-</t>
        </is>
      </c>
      <c r="R20" s="5" t="inlineStr">
        <is>
          <t>-</t>
        </is>
      </c>
      <c r="S20" s="4" t="n">
        <v>4</v>
      </c>
      <c r="T20" s="5" t="inlineStr">
        <is>
          <t>шт</t>
        </is>
      </c>
      <c r="U20" s="6" t="inlineStr">
        <is>
          <t>Клапаны запорные DN 10-400 мм, PN 0,6-50,0 МПа</t>
        </is>
      </c>
      <c r="V20" s="6" t="inlineStr">
        <is>
          <t>ООО «Восточная арматурная компания»</t>
        </is>
      </c>
      <c r="W20" s="6" t="inlineStr">
        <is>
          <t>Россия</t>
        </is>
      </c>
      <c r="X20" s="6" t="inlineStr">
        <is>
          <t>10811565</t>
        </is>
      </c>
      <c r="Y20" s="6" t="inlineStr">
        <is>
          <t>31.05.2031</t>
        </is>
      </c>
      <c r="Z20" s="7" t="n"/>
      <c r="AA20" s="7" t="n"/>
      <c r="AB20" s="7" t="n"/>
      <c r="AC20" s="7" t="n"/>
      <c r="AD20" s="8">
        <f>AC20*S20</f>
        <v/>
      </c>
      <c r="AE20" s="7" t="n"/>
      <c r="AF20" s="7" t="n"/>
      <c r="AG20" s="7" t="n"/>
      <c r="AH20" s="5" t="inlineStr"/>
    </row>
    <row r="21" ht="60" customHeight="1">
      <c r="A21" s="4" t="n">
        <v>16</v>
      </c>
      <c r="B21" s="5" t="inlineStr">
        <is>
          <t>1.6/36</t>
        </is>
      </c>
      <c r="C21" s="5" t="inlineStr">
        <is>
          <t>Клапан запорный 15с22нж Ду 80 Ру 40</t>
        </is>
      </c>
      <c r="D21" s="5" t="inlineStr">
        <is>
          <t>ТУ 3740-002-30995032-2014</t>
        </is>
      </c>
      <c r="E21" s="5" t="inlineStr">
        <is>
          <t>80</t>
        </is>
      </c>
      <c r="F21" s="5" t="inlineStr">
        <is>
          <t>стандарт</t>
        </is>
      </c>
      <c r="G21" s="5" t="inlineStr">
        <is>
          <t>4</t>
        </is>
      </c>
      <c r="H21" s="5" t="inlineStr">
        <is>
          <t>до +425</t>
        </is>
      </c>
      <c r="I21" s="5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21" s="5" t="inlineStr">
        <is>
          <t>сталь 25Л</t>
        </is>
      </c>
      <c r="K21" s="5" t="inlineStr">
        <is>
          <t>Температура окружающей среды от -40 до +40 °C</t>
        </is>
      </c>
      <c r="L21" s="5" t="inlineStr">
        <is>
          <t>фланцевый</t>
        </is>
      </c>
      <c r="M21" s="5" t="inlineStr">
        <is>
          <t>ручной (маховик)</t>
        </is>
      </c>
      <c r="N21" s="5" t="inlineStr">
        <is>
          <t>-</t>
        </is>
      </c>
      <c r="O21" s="5" t="inlineStr">
        <is>
          <t>любое</t>
        </is>
      </c>
      <c r="P21" s="5" t="inlineStr">
        <is>
          <t>Золотник: Сталь 20Х13
Шпиндель: Сталь 20Х13
Контргайка: Сталь 35
Маховик: Сталь 25Л</t>
        </is>
      </c>
      <c r="Q21" s="5" t="inlineStr">
        <is>
          <t>-</t>
        </is>
      </c>
      <c r="R21" s="5" t="inlineStr">
        <is>
          <t>-</t>
        </is>
      </c>
      <c r="S21" s="4" t="n">
        <v>2</v>
      </c>
      <c r="T21" s="5" t="inlineStr">
        <is>
          <t>шт</t>
        </is>
      </c>
      <c r="U21" s="6" t="inlineStr">
        <is>
          <t>Клапаны запорные DN 10-400 мм, PN 0,6-50,0 МПа</t>
        </is>
      </c>
      <c r="V21" s="6" t="inlineStr">
        <is>
          <t>ООО «Восточная арматурная компания»</t>
        </is>
      </c>
      <c r="W21" s="6" t="inlineStr">
        <is>
          <t>Россия</t>
        </is>
      </c>
      <c r="X21" s="6" t="inlineStr">
        <is>
          <t>10811565</t>
        </is>
      </c>
      <c r="Y21" s="6" t="inlineStr">
        <is>
          <t>31.05.2031</t>
        </is>
      </c>
      <c r="Z21" s="7" t="n"/>
      <c r="AA21" s="7" t="n"/>
      <c r="AB21" s="7" t="n"/>
      <c r="AC21" s="7" t="n"/>
      <c r="AD21" s="8">
        <f>AC21*S21</f>
        <v/>
      </c>
      <c r="AE21" s="7" t="n"/>
      <c r="AF21" s="7" t="n"/>
      <c r="AG21" s="7" t="n"/>
      <c r="AH21" s="5" t="inlineStr"/>
    </row>
    <row r="22" ht="60" customHeight="1">
      <c r="A22" s="4" t="n">
        <v>17</v>
      </c>
      <c r="B22" s="5" t="inlineStr">
        <is>
          <t>1.6/37</t>
        </is>
      </c>
      <c r="C22" s="5" t="inlineStr">
        <is>
          <t>Клапан запорный 15с65нж Ду 100 Ру 16 с КОФ</t>
        </is>
      </c>
      <c r="D22" s="5" t="inlineStr">
        <is>
          <t>ТУ У 32200218325-004-94</t>
        </is>
      </c>
      <c r="E22" s="5" t="inlineStr">
        <is>
          <t>100</t>
        </is>
      </c>
      <c r="F22" s="5" t="inlineStr">
        <is>
          <t>стандарт</t>
        </is>
      </c>
      <c r="G22" s="5" t="inlineStr">
        <is>
          <t>1.6</t>
        </is>
      </c>
      <c r="H22" s="5" t="inlineStr">
        <is>
          <t>от -40 до +425</t>
        </is>
      </c>
      <c r="I22" s="5" t="inlineStr">
        <is>
          <t>вода, пар, неагрессивные среды</t>
        </is>
      </c>
      <c r="J22" s="5" t="inlineStr">
        <is>
          <t>сталь 25Л</t>
        </is>
      </c>
      <c r="K22" s="5" t="inlineStr">
        <is>
          <t>У1</t>
        </is>
      </c>
      <c r="L22" s="5" t="inlineStr">
        <is>
          <t>фланцевый</t>
        </is>
      </c>
      <c r="M22" s="5" t="inlineStr">
        <is>
          <t>ручной (маховик)</t>
        </is>
      </c>
      <c r="N22" s="5" t="inlineStr">
        <is>
          <t>-</t>
        </is>
      </c>
      <c r="O22" s="5" t="inlineStr">
        <is>
          <t>любое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с комплектом ответных фланцев</t>
        </is>
      </c>
      <c r="S22" s="4" t="n">
        <v>1</v>
      </c>
      <c r="T22" s="5" t="inlineStr">
        <is>
          <t>шт</t>
        </is>
      </c>
      <c r="U22" s="6" t="inlineStr">
        <is>
          <t>Клапаны запорные DN 10-400 мм, PN 0,6-50,0 МПа</t>
        </is>
      </c>
      <c r="V22" s="6" t="inlineStr">
        <is>
          <t>ООО «Восточная арматурная компания»</t>
        </is>
      </c>
      <c r="W22" s="6" t="inlineStr">
        <is>
          <t>Россия</t>
        </is>
      </c>
      <c r="X22" s="6" t="inlineStr">
        <is>
          <t>10811565</t>
        </is>
      </c>
      <c r="Y22" s="6" t="inlineStr">
        <is>
          <t>31.05.2031</t>
        </is>
      </c>
      <c r="Z22" s="7" t="n"/>
      <c r="AA22" s="7" t="n"/>
      <c r="AB22" s="7" t="n"/>
      <c r="AC22" s="7" t="n"/>
      <c r="AD22" s="8">
        <f>AC22*S22</f>
        <v/>
      </c>
      <c r="AE22" s="7" t="n"/>
      <c r="AF22" s="7" t="n"/>
      <c r="AG22" s="7" t="n"/>
      <c r="AH22" s="5" t="inlineStr"/>
    </row>
    <row r="23" ht="60" customHeight="1">
      <c r="A23" s="4" t="n">
        <v>18</v>
      </c>
      <c r="B23" s="5" t="inlineStr">
        <is>
          <t>1.6/38</t>
        </is>
      </c>
      <c r="C23" s="5" t="inlineStr">
        <is>
          <t>Клапан запорный 15с65нж Ду 25 Ру 16 с КОФ</t>
        </is>
      </c>
      <c r="D23" s="5" t="inlineStr">
        <is>
          <t>ТУ У 32200218325-004-94</t>
        </is>
      </c>
      <c r="E23" s="5" t="inlineStr">
        <is>
          <t>25</t>
        </is>
      </c>
      <c r="F23" s="5" t="inlineStr">
        <is>
          <t>стандарт</t>
        </is>
      </c>
      <c r="G23" s="5" t="inlineStr">
        <is>
          <t>1.6</t>
        </is>
      </c>
      <c r="H23" s="5" t="inlineStr">
        <is>
          <t>от -40 до +425</t>
        </is>
      </c>
      <c r="I23" s="5" t="inlineStr">
        <is>
          <t>вода, пар, неагрессивные среды</t>
        </is>
      </c>
      <c r="J23" s="5" t="inlineStr">
        <is>
          <t>сталь 25Л</t>
        </is>
      </c>
      <c r="K23" s="5" t="inlineStr">
        <is>
          <t>У1</t>
        </is>
      </c>
      <c r="L23" s="5" t="inlineStr">
        <is>
          <t>фланцевый</t>
        </is>
      </c>
      <c r="M23" s="5" t="inlineStr">
        <is>
          <t>ручной (маховик)</t>
        </is>
      </c>
      <c r="N23" s="5" t="inlineStr">
        <is>
          <t>-</t>
        </is>
      </c>
      <c r="O23" s="5" t="inlineStr">
        <is>
          <t>любое</t>
        </is>
      </c>
      <c r="P23" s="5" t="inlineStr">
        <is>
          <t>-</t>
        </is>
      </c>
      <c r="Q23" s="5" t="inlineStr">
        <is>
          <t>-</t>
        </is>
      </c>
      <c r="R23" s="5" t="inlineStr">
        <is>
          <t>с комплектом ответных фланцев</t>
        </is>
      </c>
      <c r="S23" s="4" t="n">
        <v>1</v>
      </c>
      <c r="T23" s="5" t="inlineStr">
        <is>
          <t>шт</t>
        </is>
      </c>
      <c r="U23" s="6" t="inlineStr">
        <is>
          <t>Клапаны запорные DN 10-400 мм, PN 0,6-50,0 МПа</t>
        </is>
      </c>
      <c r="V23" s="6" t="inlineStr">
        <is>
          <t>ООО «Восточная арматурная компания»</t>
        </is>
      </c>
      <c r="W23" s="6" t="inlineStr">
        <is>
          <t>Россия</t>
        </is>
      </c>
      <c r="X23" s="6" t="inlineStr">
        <is>
          <t>10811565</t>
        </is>
      </c>
      <c r="Y23" s="6" t="inlineStr">
        <is>
          <t>31.05.2031</t>
        </is>
      </c>
      <c r="Z23" s="7" t="n"/>
      <c r="AA23" s="7" t="n"/>
      <c r="AB23" s="7" t="n"/>
      <c r="AC23" s="7" t="n"/>
      <c r="AD23" s="8">
        <f>AC23*S23</f>
        <v/>
      </c>
      <c r="AE23" s="7" t="n"/>
      <c r="AF23" s="7" t="n"/>
      <c r="AG23" s="7" t="n"/>
      <c r="AH23" s="5" t="inlineStr"/>
    </row>
    <row r="24" ht="60" customHeight="1">
      <c r="A24" s="4" t="n">
        <v>19</v>
      </c>
      <c r="B24" s="5" t="inlineStr">
        <is>
          <t>1.6/39</t>
        </is>
      </c>
      <c r="C24" s="5" t="inlineStr">
        <is>
          <t>Клапан запорный 15с65нж Ду 40 Ру 16 с КОФ</t>
        </is>
      </c>
      <c r="D24" s="5" t="inlineStr">
        <is>
          <t>ТУ У 32200218325-004-94</t>
        </is>
      </c>
      <c r="E24" s="5" t="inlineStr">
        <is>
          <t>40</t>
        </is>
      </c>
      <c r="F24" s="5" t="inlineStr">
        <is>
          <t>стандарт</t>
        </is>
      </c>
      <c r="G24" s="5" t="inlineStr">
        <is>
          <t>1.6</t>
        </is>
      </c>
      <c r="H24" s="5" t="inlineStr">
        <is>
          <t>от -40 до +425</t>
        </is>
      </c>
      <c r="I24" s="5" t="inlineStr">
        <is>
          <t>вода, пар, неагрессивные среды</t>
        </is>
      </c>
      <c r="J24" s="5" t="inlineStr">
        <is>
          <t>сталь 25Л</t>
        </is>
      </c>
      <c r="K24" s="5" t="inlineStr">
        <is>
          <t>У1</t>
        </is>
      </c>
      <c r="L24" s="5" t="inlineStr">
        <is>
          <t>фланцевый</t>
        </is>
      </c>
      <c r="M24" s="5" t="inlineStr">
        <is>
          <t>ручной (маховик)</t>
        </is>
      </c>
      <c r="N24" s="5" t="inlineStr">
        <is>
          <t>-</t>
        </is>
      </c>
      <c r="O24" s="5" t="inlineStr">
        <is>
          <t>любое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с комплектом ответных фланцев</t>
        </is>
      </c>
      <c r="S24" s="4" t="n">
        <v>1</v>
      </c>
      <c r="T24" s="5" t="inlineStr">
        <is>
          <t>шт</t>
        </is>
      </c>
      <c r="U24" s="6" t="inlineStr">
        <is>
          <t>Клапаны запорные DN 10-400 мм, PN 0,6-50,0 МПа</t>
        </is>
      </c>
      <c r="V24" s="6" t="inlineStr">
        <is>
          <t>ООО «Восточная арматурная компания»</t>
        </is>
      </c>
      <c r="W24" s="6" t="inlineStr">
        <is>
          <t>Россия</t>
        </is>
      </c>
      <c r="X24" s="6" t="inlineStr">
        <is>
          <t>10811565</t>
        </is>
      </c>
      <c r="Y24" s="6" t="inlineStr">
        <is>
          <t>31.05.2031</t>
        </is>
      </c>
      <c r="Z24" s="7" t="n"/>
      <c r="AA24" s="7" t="n"/>
      <c r="AB24" s="7" t="n"/>
      <c r="AC24" s="7" t="n"/>
      <c r="AD24" s="8">
        <f>AC24*S24</f>
        <v/>
      </c>
      <c r="AE24" s="7" t="n"/>
      <c r="AF24" s="7" t="n"/>
      <c r="AG24" s="7" t="n"/>
      <c r="AH24" s="5" t="inlineStr"/>
    </row>
    <row r="25" ht="60" customHeight="1">
      <c r="A25" s="4" t="n">
        <v>20</v>
      </c>
      <c r="B25" s="5" t="inlineStr">
        <is>
          <t>1.6/40</t>
        </is>
      </c>
      <c r="C25" s="5" t="inlineStr">
        <is>
          <t>Клапан запорный 15с65нж Ду 50 Ру 16 с КОФ</t>
        </is>
      </c>
      <c r="D25" s="5" t="inlineStr">
        <is>
          <t>ТУ У 32200218325-004-94</t>
        </is>
      </c>
      <c r="E25" s="5" t="inlineStr">
        <is>
          <t>50</t>
        </is>
      </c>
      <c r="F25" s="5" t="inlineStr">
        <is>
          <t>стандарт</t>
        </is>
      </c>
      <c r="G25" s="5" t="inlineStr">
        <is>
          <t>1.6</t>
        </is>
      </c>
      <c r="H25" s="5" t="inlineStr">
        <is>
          <t>от -40 до +425</t>
        </is>
      </c>
      <c r="I25" s="5" t="inlineStr">
        <is>
          <t>вода, пар, неагрессивные среды</t>
        </is>
      </c>
      <c r="J25" s="5" t="inlineStr">
        <is>
          <t>сталь 25Л</t>
        </is>
      </c>
      <c r="K25" s="5" t="inlineStr">
        <is>
          <t>У1</t>
        </is>
      </c>
      <c r="L25" s="5" t="inlineStr">
        <is>
          <t>фланцевый</t>
        </is>
      </c>
      <c r="M25" s="5" t="inlineStr">
        <is>
          <t>ручной (маховик)</t>
        </is>
      </c>
      <c r="N25" s="5" t="inlineStr">
        <is>
          <t>-</t>
        </is>
      </c>
      <c r="O25" s="5" t="inlineStr">
        <is>
          <t>любое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с комплектом ответных фланцев</t>
        </is>
      </c>
      <c r="S25" s="4" t="n">
        <v>2</v>
      </c>
      <c r="T25" s="5" t="inlineStr">
        <is>
          <t>шт</t>
        </is>
      </c>
      <c r="U25" s="6" t="inlineStr">
        <is>
          <t>Клапаны запорные DN 10-400 мм, PN 0,6-50,0 МПа</t>
        </is>
      </c>
      <c r="V25" s="6" t="inlineStr">
        <is>
          <t>ООО «Восточная арматурная компания»</t>
        </is>
      </c>
      <c r="W25" s="6" t="inlineStr">
        <is>
          <t>Россия</t>
        </is>
      </c>
      <c r="X25" s="6" t="inlineStr">
        <is>
          <t>10811565</t>
        </is>
      </c>
      <c r="Y25" s="6" t="inlineStr">
        <is>
          <t>31.05.2031</t>
        </is>
      </c>
      <c r="Z25" s="7" t="n"/>
      <c r="AA25" s="7" t="n"/>
      <c r="AB25" s="7" t="n"/>
      <c r="AC25" s="7" t="n"/>
      <c r="AD25" s="8">
        <f>AC25*S25</f>
        <v/>
      </c>
      <c r="AE25" s="7" t="n"/>
      <c r="AF25" s="7" t="n"/>
      <c r="AG25" s="7" t="n"/>
      <c r="AH25" s="5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2026-10-29T13:30:51Z</dcterms:created>
  <dcterms:modified xmlns:dcterms="http://purl.org/dc/terms/" xmlns:xsi="http://www.w3.org/2001/XMLSchema-instance" xsi:type="dcterms:W3CDTF">2026-10-29T13:30:51Z</dcterms:modified>
</cp:coreProperties>
</file>