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1" activeTab="1" autoFilterDateGrouping="1"/>
  </bookViews>
  <sheets>
    <sheet xmlns:r="http://schemas.openxmlformats.org/officeDocument/2006/relationships" name="Итог" sheetId="1" state="visible" r:id="rId1"/>
    <sheet xmlns:r="http://schemas.openxmlformats.org/officeDocument/2006/relationships" name="Прил.1 — предложение участника" sheetId="2" state="visible" r:id="rId2"/>
    <sheet xmlns:r="http://schemas.openxmlformats.org/officeDocument/2006/relationships" name="Выбор поставщика" sheetId="3" state="visible" r:id="rId3"/>
    <sheet xmlns:r="http://schemas.openxmlformats.org/officeDocument/2006/relationships" name="Для КП (ТТ п. 1.5)" sheetId="4" state="visible" r:id="rId4"/>
  </sheets>
  <definedNames>
    <definedName name="_xlnm._FilterDatabase" localSheetId="2" hidden="1">'Выбор поставщика'!$A$1:$L$316</definedName>
    <definedName name="_xlnm._FilterDatabase" localSheetId="3" hidden="1">'Для КП (ТТ п. 1.5)'!$A$1:$I$316</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00"/>
  </numFmts>
  <fonts count="47">
    <font>
      <name val="Calibri"/>
      <family val="2"/>
      <color rgb="FF000000"/>
      <sz val="11"/>
    </font>
    <font>
      <name val="Arial"/>
      <family val="0"/>
      <sz val="10"/>
    </font>
    <font>
      <name val="Arial"/>
      <family val="0"/>
      <sz val="10"/>
    </font>
    <font>
      <name val="Arial"/>
      <family val="0"/>
      <sz val="10"/>
    </font>
    <font>
      <name val="Calibri"/>
      <charset val="1"/>
      <family val="2"/>
      <color rgb="FF000000"/>
      <sz val="11"/>
    </font>
    <font>
      <name val="Calibri"/>
      <family val="2"/>
      <sz val="11"/>
    </font>
    <font>
      <name val="Times New Roman"/>
      <family val="1"/>
      <sz val="11"/>
    </font>
    <font>
      <name val="Times New Roman"/>
      <family val="1"/>
      <b val="1"/>
      <sz val="11"/>
    </font>
    <font>
      <name val="Calibri"/>
      <family val="2"/>
      <b val="1"/>
      <i val="1"/>
      <sz val="12"/>
    </font>
    <font>
      <name val="Times New Roman"/>
      <family val="1"/>
      <i val="1"/>
      <sz val="11"/>
    </font>
    <font>
      <name val="Calibri"/>
      <family val="2"/>
      <i val="1"/>
      <sz val="11"/>
    </font>
    <font>
      <name val="Times New Roman"/>
      <family val="1"/>
      <b val="1"/>
      <sz val="10"/>
    </font>
    <font>
      <name val="Times New Roman"/>
      <family val="1"/>
      <b val="1"/>
      <sz val="12"/>
    </font>
    <font>
      <name val="Times New Roman"/>
      <family val="1"/>
      <sz val="12"/>
    </font>
    <font>
      <name val="Times New Roman"/>
      <family val="1"/>
      <color rgb="FF000000"/>
      <sz val="10"/>
    </font>
    <font>
      <name val="Times New Roman"/>
      <family val="1"/>
      <color rgb="FF000000"/>
      <sz val="11"/>
    </font>
    <font>
      <name val="Times New Roman"/>
      <family val="1"/>
      <color rgb="FF000000"/>
      <sz val="11"/>
      <vertAlign val="superscript"/>
    </font>
    <font>
      <name val="Times New Roman"/>
      <family val="1"/>
      <b val="1"/>
      <color rgb="FFFF0000"/>
      <sz val="11"/>
    </font>
    <font>
      <name val="Times New Roman"/>
      <family val="1"/>
      <color rgb="FFFF0000"/>
      <sz val="11"/>
    </font>
    <font>
      <name val="Times New Roman"/>
      <family val="1"/>
      <i val="1"/>
      <color rgb="FF000000"/>
      <sz val="11"/>
    </font>
    <font>
      <name val="Times New Roman"/>
      <family val="1"/>
      <b val="1"/>
      <color rgb="FF000000"/>
      <sz val="12"/>
    </font>
    <font>
      <name val="Times New Roman"/>
      <family val="1"/>
      <sz val="10"/>
    </font>
    <font>
      <name val="Times New Roman"/>
      <family val="1"/>
      <b val="1"/>
      <color rgb="FF000000"/>
      <sz val="11"/>
    </font>
    <font>
      <name val="Times New Roman"/>
      <family val="1"/>
      <b val="1"/>
      <color rgb="FF000000"/>
      <sz val="14"/>
    </font>
    <font>
      <name val="Times New Roman"/>
      <charset val="1"/>
      <family val="1"/>
      <color rgb="FF000000"/>
      <sz val="11"/>
    </font>
    <font>
      <name val="Times New Roman"/>
      <charset val="1"/>
      <family val="0"/>
      <sz val="10"/>
    </font>
    <font>
      <name val="Times New Roman"/>
      <charset val="1"/>
      <family val="0"/>
      <color rgb="FF000000"/>
      <sz val="10"/>
    </font>
    <font>
      <name val="Times New Roman"/>
      <charset val="1"/>
      <family val="0"/>
      <i val="1"/>
      <color rgb="FF000000"/>
      <sz val="10"/>
    </font>
    <font>
      <name val="Times New Roman"/>
      <charset val="1"/>
      <family val="0"/>
      <i val="1"/>
      <color rgb="FF000000"/>
      <sz val="10"/>
      <vertAlign val="superscript"/>
    </font>
    <font>
      <name val="Times New Roman"/>
      <charset val="1"/>
      <family val="1"/>
      <sz val="11"/>
    </font>
    <font>
      <name val="Times New Roman"/>
      <family val="0"/>
      <sz val="10"/>
    </font>
    <font>
      <name val="Times New Roman"/>
      <charset val="1"/>
      <family val="1"/>
      <color rgb="FF000000"/>
      <sz val="10"/>
    </font>
    <font>
      <name val="Times New Roman"/>
      <charset val="1"/>
      <family val="1"/>
      <i val="1"/>
      <color rgb="FF000000"/>
      <sz val="11"/>
    </font>
    <font>
      <name val="Times New Roman"/>
      <charset val="1"/>
      <family val="0"/>
      <i val="1"/>
      <sz val="10"/>
    </font>
    <font>
      <name val="DejaVu Sans"/>
      <family val="1"/>
      <sz val="10"/>
    </font>
    <font>
      <name val="Calibri"/>
      <charset val="1"/>
      <family val="1"/>
      <color rgb="FF000000"/>
      <sz val="10"/>
    </font>
    <font>
      <name val="Tinos"/>
      <charset val="1"/>
      <family val="0"/>
      <color rgb="FF000000"/>
      <sz val="10"/>
    </font>
    <font>
      <name val="Times New Roman"/>
      <charset val="1"/>
      <family val="1"/>
      <sz val="10"/>
    </font>
    <font>
      <name val="Times New Roman"/>
      <charset val="1"/>
      <family val="1"/>
      <i val="1"/>
      <color rgb="FF000000"/>
      <sz val="10"/>
    </font>
    <font>
      <name val="Times New Roman"/>
      <family val="1"/>
      <color rgb="FF000000"/>
      <sz val="12"/>
    </font>
    <font>
      <name val="Tinos"/>
      <charset val="1"/>
      <family val="0"/>
      <sz val="10"/>
    </font>
    <font>
      <name val="Tinos"/>
      <charset val="1"/>
      <family val="0"/>
      <color rgb="FF272727"/>
      <sz val="10"/>
    </font>
    <font>
      <name val="Tinos"/>
      <charset val="1"/>
      <family val="0"/>
      <i val="1"/>
      <color rgb="FF000000"/>
      <sz val="10"/>
    </font>
    <font>
      <name val="Tinos"/>
      <charset val="1"/>
      <family val="0"/>
      <i val="1"/>
      <color rgb="FF323232"/>
      <sz val="10"/>
    </font>
    <font>
      <name val="Times New Roman"/>
      <charset val="1"/>
      <family val="1"/>
      <b val="1"/>
      <sz val="12"/>
    </font>
    <font>
      <b val="1"/>
      <color rgb="00FFFFFF"/>
    </font>
    <font>
      <b val="1"/>
      <sz val="12"/>
    </font>
  </fonts>
  <fills count="12">
    <fill>
      <patternFill/>
    </fill>
    <fill>
      <patternFill patternType="gray125"/>
    </fill>
    <fill>
      <patternFill patternType="solid">
        <fgColor rgb="FFFFFFFF"/>
        <bgColor rgb="FFFFFFCC"/>
      </patternFill>
    </fill>
    <fill>
      <patternFill patternType="solid">
        <fgColor rgb="FF8FAADC"/>
        <bgColor rgb="FF969696"/>
      </patternFill>
    </fill>
    <fill>
      <patternFill patternType="solid">
        <fgColor rgb="FFF8CBAD"/>
        <bgColor rgb="FFC5E0B4"/>
      </patternFill>
    </fill>
    <fill>
      <patternFill patternType="solid">
        <fgColor rgb="FFC5E0B4"/>
        <bgColor rgb="FFCCFFCC"/>
      </patternFill>
    </fill>
    <fill>
      <patternFill patternType="solid">
        <fgColor rgb="FFFF0000"/>
        <bgColor rgb="FF993300"/>
      </patternFill>
    </fill>
    <fill>
      <patternFill patternType="solid">
        <fgColor rgb="00E2EFDA"/>
      </patternFill>
    </fill>
    <fill>
      <patternFill patternType="solid">
        <fgColor rgb="00FFF2CC"/>
      </patternFill>
    </fill>
    <fill>
      <patternFill patternType="solid">
        <fgColor rgb="00F8CBAD"/>
      </patternFill>
    </fill>
    <fill>
      <patternFill patternType="solid">
        <fgColor rgb="00FCE4D6"/>
      </patternFill>
    </fill>
    <fill>
      <patternFill patternType="solid">
        <fgColor rgb="00305496"/>
      </patternFill>
    </fill>
  </fills>
  <borders count="31">
    <border>
      <left/>
      <right/>
      <top/>
      <bottom/>
      <diagonal/>
    </border>
    <border>
      <left style="thin"/>
      <right style="thin"/>
      <top style="thin"/>
      <bottom style="thin"/>
      <diagonal/>
    </border>
    <border>
      <left style="thin"/>
      <right style="thin"/>
      <top style="thin"/>
      <bottom/>
      <diagonal/>
    </border>
    <border>
      <left style="thin"/>
      <right style="medium"/>
      <top style="thin"/>
      <bottom style="thin"/>
      <diagonal/>
    </border>
    <border>
      <left style="medium"/>
      <right style="thin"/>
      <top style="thin"/>
      <bottom style="thin"/>
      <diagonal/>
    </border>
    <border>
      <left style="hair"/>
      <right style="thin"/>
      <top style="thin"/>
      <bottom style="hair"/>
      <diagonal/>
    </border>
    <border>
      <left style="hair"/>
      <right style="thin"/>
      <top style="hair"/>
      <bottom style="hair"/>
      <diagonal/>
    </border>
    <border>
      <left style="medium"/>
      <right style="medium"/>
      <top style="thin"/>
      <bottom style="thin"/>
      <diagonal/>
    </border>
    <border>
      <left style="hair"/>
      <right/>
      <top/>
      <bottom style="hair"/>
      <diagonal/>
    </border>
    <border>
      <left style="hair"/>
      <right style="hair"/>
      <top style="hair"/>
      <bottom style="hair"/>
      <diagonal/>
    </border>
    <border>
      <left/>
      <right style="medium"/>
      <top/>
      <bottom style="thin"/>
      <diagonal/>
    </border>
    <border>
      <left style="thin"/>
      <right style="thin"/>
      <top/>
      <bottom style="thin"/>
      <diagonal/>
    </border>
    <border>
      <left/>
      <right/>
      <top/>
      <bottom style="thin"/>
      <diagonal/>
    </border>
    <border>
      <left style="thin"/>
      <right/>
      <top style="thin"/>
      <bottom style="thin"/>
      <diagonal/>
    </border>
    <border>
      <left/>
      <right style="thin"/>
      <top/>
      <bottom style="thin"/>
      <diagonal/>
    </border>
    <border>
      <left style="hair"/>
      <right/>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right style="medium"/>
      <top style="thin"/>
      <bottom/>
      <diagonal/>
    </border>
    <border>
      <left/>
      <right style="medium"/>
      <top style="thin"/>
      <bottom style="thin"/>
      <diagonal/>
    </border>
    <border>
      <left style="medium"/>
      <right/>
      <top/>
      <bottom/>
      <diagonal/>
    </border>
    <border>
      <left style="medium"/>
      <right style="thin"/>
      <top/>
      <bottom/>
      <diagonal/>
    </border>
    <border>
      <left style="medium"/>
      <right style="thin"/>
      <top/>
      <bottom style="thin"/>
      <diagonal/>
    </border>
    <border>
      <left style="thin"/>
      <right style="medium"/>
      <top/>
      <bottom/>
      <diagonal/>
    </border>
    <border>
      <left style="thin"/>
      <right style="medium"/>
      <top/>
      <bottom style="thin"/>
      <diagonal/>
    </border>
    <border>
      <left/>
      <right style="medium"/>
      <top/>
      <bottom/>
      <diagonal/>
    </border>
    <border>
      <left style="thin">
        <color rgb="00BFBFBF"/>
      </left>
      <right style="thin">
        <color rgb="00BFBFBF"/>
      </right>
      <top style="thin">
        <color rgb="00BFBFBF"/>
      </top>
      <bottom style="thin">
        <color rgb="00BFBFBF"/>
      </bottom>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cellStyleXfs>
  <cellXfs count="278">
    <xf numFmtId="0" fontId="0"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center" vertical="bottom" wrapText="1"/>
    </xf>
    <xf numFmtId="0" fontId="6" fillId="0" borderId="0" applyAlignment="1" pivotButton="0" quotePrefix="0" xfId="0">
      <alignment horizontal="center" vertical="bottom"/>
    </xf>
    <xf numFmtId="0" fontId="5" fillId="2" borderId="0" applyAlignment="1" pivotButton="0" quotePrefix="0" xfId="0">
      <alignment horizontal="center" vertical="bottom"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6" fillId="0" borderId="0" applyAlignment="1" pivotButton="0" quotePrefix="0" xfId="0">
      <alignment horizontal="center" vertical="center" wrapText="1"/>
    </xf>
    <xf numFmtId="0" fontId="8" fillId="2" borderId="0" applyAlignment="1" pivotButton="0" quotePrefix="0" xfId="0">
      <alignment horizontal="center" vertical="bottom" wrapText="1"/>
    </xf>
    <xf numFmtId="0" fontId="9" fillId="2" borderId="0" applyAlignment="1" pivotButton="0" quotePrefix="0" xfId="0">
      <alignment horizontal="center" vertical="center" wrapText="1"/>
    </xf>
    <xf numFmtId="0" fontId="10" fillId="2" borderId="1" applyAlignment="1" pivotButton="0" quotePrefix="0" xfId="0">
      <alignment horizontal="center" vertical="bottom" wrapText="1"/>
    </xf>
    <xf numFmtId="0" fontId="9"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0" applyAlignment="1" pivotButton="0" quotePrefix="0" xfId="0">
      <alignment horizontal="general" vertical="bottom"/>
    </xf>
    <xf numFmtId="0" fontId="11" fillId="2" borderId="1" applyAlignment="1" pivotButton="0" quotePrefix="0" xfId="0">
      <alignment horizontal="center" vertical="center" wrapText="1"/>
    </xf>
    <xf numFmtId="0" fontId="7" fillId="2" borderId="1" applyAlignment="1" pivotButton="0" quotePrefix="0" xfId="0">
      <alignment horizontal="center" vertical="center" wrapText="1"/>
    </xf>
    <xf numFmtId="0" fontId="12" fillId="3" borderId="1" applyAlignment="1" pivotButton="0" quotePrefix="0" xfId="0">
      <alignment horizontal="general" vertical="center"/>
    </xf>
    <xf numFmtId="0" fontId="12" fillId="3" borderId="1" applyAlignment="1" pivotButton="0" quotePrefix="0" xfId="0">
      <alignment horizontal="general" vertical="center" wrapText="1"/>
    </xf>
    <xf numFmtId="0" fontId="6" fillId="3" borderId="1" applyAlignment="1" pivotButton="0" quotePrefix="0" xfId="0">
      <alignment horizontal="center" vertical="center" wrapText="1"/>
    </xf>
    <xf numFmtId="0" fontId="6" fillId="3" borderId="1" applyAlignment="1" pivotButton="0" quotePrefix="0" xfId="0">
      <alignment horizontal="center" vertical="center"/>
    </xf>
    <xf numFmtId="1" fontId="12" fillId="4" borderId="1" applyAlignment="1" pivotButton="0" quotePrefix="0" xfId="0">
      <alignment horizontal="general" vertical="center" wrapText="1"/>
    </xf>
    <xf numFmtId="0" fontId="12" fillId="4" borderId="1" applyAlignment="1" pivotButton="0" quotePrefix="0" xfId="0">
      <alignment horizontal="general" vertical="center" wrapText="1"/>
    </xf>
    <xf numFmtId="0" fontId="13" fillId="4" borderId="1" applyAlignment="1" pivotButton="0" quotePrefix="0" xfId="0">
      <alignment horizontal="general" vertical="center" wrapText="1"/>
    </xf>
    <xf numFmtId="0" fontId="12"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center" vertical="center"/>
    </xf>
    <xf numFmtId="0" fontId="5" fillId="5" borderId="0" applyAlignment="1" pivotButton="0" quotePrefix="0" xfId="0">
      <alignment horizontal="general" vertical="bottom"/>
    </xf>
    <xf numFmtId="0" fontId="6" fillId="4" borderId="1" applyAlignment="1" pivotButton="0" quotePrefix="0" xfId="0">
      <alignment horizontal="center" vertical="bottom" wrapText="1"/>
    </xf>
    <xf numFmtId="0" fontId="6" fillId="4" borderId="1" applyAlignment="1" pivotButton="0" quotePrefix="0" xfId="0">
      <alignment horizontal="general" vertical="bottom" wrapText="1"/>
    </xf>
    <xf numFmtId="0" fontId="5" fillId="4" borderId="1" applyAlignment="1" pivotButton="0" quotePrefix="0" xfId="0">
      <alignment horizontal="general" vertical="bottom" wrapText="1"/>
    </xf>
    <xf numFmtId="0" fontId="12" fillId="3" borderId="1" applyAlignment="1" pivotButton="0" quotePrefix="0" xfId="0">
      <alignment horizontal="center" vertical="center" wrapText="1"/>
    </xf>
    <xf numFmtId="0" fontId="13" fillId="0" borderId="1" applyAlignment="1" pivotButton="0" quotePrefix="0" xfId="0">
      <alignment horizontal="general" vertical="center" wrapText="1"/>
    </xf>
    <xf numFmtId="0" fontId="1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0" applyAlignment="1" pivotButton="0" quotePrefix="0" xfId="0">
      <alignment horizontal="general" vertical="bottom" wrapText="1"/>
    </xf>
    <xf numFmtId="0" fontId="5" fillId="0" borderId="0" applyAlignment="1" pivotButton="0" quotePrefix="0" xfId="0">
      <alignment horizontal="general" vertical="bottom" wrapText="1"/>
    </xf>
    <xf numFmtId="2" fontId="14" fillId="4" borderId="1" applyAlignment="1" pivotButton="0" quotePrefix="0" xfId="0">
      <alignment horizontal="center" vertical="center" wrapText="1"/>
    </xf>
    <xf numFmtId="4" fontId="6" fillId="4" borderId="1" applyAlignment="1" pivotButton="0" quotePrefix="0" xfId="0">
      <alignment horizontal="center" vertical="center" wrapText="1"/>
    </xf>
    <xf numFmtId="0" fontId="6" fillId="4" borderId="0" applyAlignment="1" pivotButton="0" quotePrefix="0" xfId="0">
      <alignment horizontal="center" vertical="bottom"/>
    </xf>
    <xf numFmtId="0" fontId="15" fillId="0" borderId="1" applyAlignment="1" pivotButton="0" quotePrefix="0" xfId="0">
      <alignment horizontal="center" vertical="center" wrapText="1"/>
    </xf>
    <xf numFmtId="0" fontId="15" fillId="0" borderId="1" applyAlignment="1" pivotButton="0" quotePrefix="0" xfId="0">
      <alignment horizontal="center" vertical="center"/>
    </xf>
    <xf numFmtId="0" fontId="17" fillId="4" borderId="1" applyAlignment="1" pivotButton="0" quotePrefix="0" xfId="0">
      <alignment horizontal="center" vertical="center" wrapText="1"/>
    </xf>
    <xf numFmtId="0" fontId="6" fillId="6" borderId="1" applyAlignment="1" pivotButton="0" quotePrefix="0" xfId="0">
      <alignment horizontal="center" vertical="center" wrapText="1"/>
    </xf>
    <xf numFmtId="0" fontId="15" fillId="0" borderId="0" applyAlignment="1" pivotButton="0" quotePrefix="0" xfId="0">
      <alignment horizontal="center" vertical="center" wrapText="1"/>
    </xf>
    <xf numFmtId="49" fontId="6" fillId="4" borderId="1" applyAlignment="1" pivotButton="0" quotePrefix="0" xfId="0">
      <alignment horizontal="center" vertical="center" wrapText="1"/>
    </xf>
    <xf numFmtId="0" fontId="17" fillId="0" borderId="1" applyAlignment="1" pivotButton="0" quotePrefix="0" xfId="0">
      <alignment horizontal="center" vertical="center" wrapText="1"/>
    </xf>
    <xf numFmtId="0" fontId="5" fillId="4" borderId="0" applyAlignment="1" pivotButton="0" quotePrefix="0" xfId="0">
      <alignment horizontal="general" vertical="bottom"/>
    </xf>
    <xf numFmtId="0" fontId="6" fillId="4" borderId="0" applyAlignment="1" pivotButton="0" quotePrefix="0" xfId="0">
      <alignment horizontal="general" vertical="bottom" wrapText="1"/>
    </xf>
    <xf numFmtId="0" fontId="6" fillId="4" borderId="0" applyAlignment="1" pivotButton="0" quotePrefix="0" xfId="0">
      <alignment horizontal="center" vertical="bottom" wrapText="1"/>
    </xf>
    <xf numFmtId="0" fontId="18" fillId="4" borderId="1" applyAlignment="1" pivotButton="0" quotePrefix="0" xfId="0">
      <alignment horizontal="center" vertical="center" wrapText="1"/>
    </xf>
    <xf numFmtId="0" fontId="19" fillId="0" borderId="1" applyAlignment="1" pivotButton="0" quotePrefix="0" xfId="20">
      <alignment horizontal="center" vertical="center" wrapText="1"/>
    </xf>
    <xf numFmtId="0" fontId="19" fillId="0" borderId="1" applyAlignment="1" pivotButton="0" quotePrefix="0" xfId="0">
      <alignment horizontal="center" vertical="center" wrapText="1"/>
    </xf>
    <xf numFmtId="0" fontId="15" fillId="0" borderId="1" applyAlignment="1" pivotButton="0" quotePrefix="0" xfId="20">
      <alignment horizontal="center" vertical="center" wrapText="1"/>
    </xf>
    <xf numFmtId="164" fontId="6" fillId="0" borderId="1" applyAlignment="1" pivotButton="0" quotePrefix="0" xfId="0">
      <alignment horizontal="center" vertical="center" wrapText="1"/>
    </xf>
    <xf numFmtId="0" fontId="0" fillId="0" borderId="0" applyAlignment="1" pivotButton="0" quotePrefix="0" xfId="0">
      <alignment horizontal="general" vertical="bottom" wrapText="1"/>
    </xf>
    <xf numFmtId="0" fontId="18" fillId="4" borderId="1" applyAlignment="1" pivotButton="0" quotePrefix="0" xfId="0">
      <alignment horizontal="center" vertical="center"/>
    </xf>
    <xf numFmtId="1" fontId="20" fillId="4" borderId="1" applyAlignment="1" pivotButton="0" quotePrefix="0" xfId="0">
      <alignment horizontal="general" vertical="center" wrapText="1"/>
    </xf>
    <xf numFmtId="0" fontId="20" fillId="4" borderId="1" applyAlignment="1" pivotButton="0" quotePrefix="0" xfId="0">
      <alignment horizontal="general" vertical="center" wrapText="1"/>
    </xf>
    <xf numFmtId="0" fontId="20" fillId="4" borderId="1" applyAlignment="1" pivotButton="0" quotePrefix="0" xfId="0">
      <alignment horizontal="center" vertical="center" wrapText="1"/>
    </xf>
    <xf numFmtId="0" fontId="15" fillId="4" borderId="1" applyAlignment="1" pivotButton="0" quotePrefix="0" xfId="0">
      <alignment horizontal="center" vertical="center" wrapText="1"/>
    </xf>
    <xf numFmtId="0" fontId="0" fillId="4" borderId="0" applyAlignment="1" pivotButton="0" quotePrefix="0" xfId="0">
      <alignment horizontal="general" vertical="bottom" wrapText="1"/>
    </xf>
    <xf numFmtId="0" fontId="15" fillId="0" borderId="0" applyAlignment="1" pivotButton="0" quotePrefix="0" xfId="0">
      <alignment horizontal="general" vertical="bottom" wrapText="1"/>
    </xf>
    <xf numFmtId="0" fontId="21"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6" fillId="0" borderId="2" applyAlignment="1" pivotButton="0" quotePrefix="0" xfId="0">
      <alignment horizontal="center" vertical="center" wrapText="1"/>
    </xf>
    <xf numFmtId="0" fontId="19" fillId="0" borderId="2" applyAlignment="1" pivotButton="0" quotePrefix="0" xfId="0">
      <alignment horizontal="center" vertical="center" wrapText="1"/>
    </xf>
    <xf numFmtId="0" fontId="19" fillId="0" borderId="2" applyAlignment="1" pivotButton="0" quotePrefix="0" xfId="20">
      <alignment horizontal="center" vertical="center" wrapText="1"/>
    </xf>
    <xf numFmtId="0" fontId="15" fillId="0" borderId="2" applyAlignment="1" pivotButton="0" quotePrefix="0" xfId="20">
      <alignment horizontal="center" vertical="center" wrapText="1"/>
    </xf>
    <xf numFmtId="164" fontId="6" fillId="0" borderId="2" applyAlignment="1" pivotButton="0" quotePrefix="0" xfId="0">
      <alignment horizontal="center" vertical="center"/>
    </xf>
    <xf numFmtId="164" fontId="6" fillId="0"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applyAlignment="1" pivotButton="0" quotePrefix="0" xfId="0">
      <alignment horizontal="center" vertical="center" wrapText="1"/>
    </xf>
    <xf numFmtId="0" fontId="15" fillId="0" borderId="0" applyAlignment="1" pivotButton="0" quotePrefix="0" xfId="0">
      <alignment horizontal="general" vertical="bottom"/>
    </xf>
    <xf numFmtId="0" fontId="15" fillId="0" borderId="0" applyAlignment="1" pivotButton="0" quotePrefix="0" xfId="0">
      <alignment horizontal="center" vertical="bottom"/>
    </xf>
    <xf numFmtId="0" fontId="22" fillId="0" borderId="0" applyAlignment="1" pivotButton="0" quotePrefix="0" xfId="0">
      <alignment horizontal="right" vertical="bottom"/>
    </xf>
    <xf numFmtId="0" fontId="22" fillId="0" borderId="0" applyAlignment="1" pivotButton="0" quotePrefix="0" xfId="0">
      <alignment horizontal="left" vertical="bottom"/>
    </xf>
    <xf numFmtId="0" fontId="11"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1"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7" fillId="0" borderId="6" applyAlignment="1" pivotButton="0" quotePrefix="0" xfId="0">
      <alignment horizontal="center" vertical="center" wrapText="1"/>
    </xf>
    <xf numFmtId="0" fontId="23" fillId="0" borderId="3" applyAlignment="1" pivotButton="0" quotePrefix="0" xfId="0">
      <alignment horizontal="left" vertical="bottom"/>
    </xf>
    <xf numFmtId="0" fontId="23" fillId="0" borderId="7" applyAlignment="1" pivotButton="0" quotePrefix="0" xfId="0">
      <alignment horizontal="left" vertical="bottom"/>
    </xf>
    <xf numFmtId="0" fontId="0" fillId="0" borderId="6" applyAlignment="1" pivotButton="0" quotePrefix="0" xfId="0">
      <alignment horizontal="center" vertical="center" wrapText="1"/>
    </xf>
    <xf numFmtId="1" fontId="12" fillId="0" borderId="1" applyAlignment="1" pivotButton="0" quotePrefix="0" xfId="0">
      <alignment horizontal="center" vertical="center" wrapText="1"/>
    </xf>
    <xf numFmtId="0" fontId="24" fillId="0" borderId="8" applyAlignment="1" pivotButton="0" quotePrefix="0" xfId="0">
      <alignment horizontal="left" vertical="center" wrapText="1"/>
    </xf>
    <xf numFmtId="0" fontId="25" fillId="0" borderId="1" applyAlignment="1" pivotButton="0" quotePrefix="0" xfId="0">
      <alignment horizontal="center" vertical="center" wrapText="1"/>
    </xf>
    <xf numFmtId="0" fontId="25" fillId="0" borderId="1" applyAlignment="1" pivotButton="0" quotePrefix="0" xfId="0">
      <alignment horizontal="left" vertical="center" wrapText="1"/>
    </xf>
    <xf numFmtId="0" fontId="25" fillId="0" borderId="1" applyAlignment="1" pivotButton="0" quotePrefix="0" xfId="0">
      <alignment horizontal="left" vertical="top" wrapText="1"/>
    </xf>
    <xf numFmtId="0" fontId="24" fillId="0" borderId="1" applyAlignment="1" pivotButton="0" quotePrefix="0" xfId="0">
      <alignment horizontal="center" vertical="center" wrapText="1"/>
    </xf>
    <xf numFmtId="1" fontId="12" fillId="0" borderId="4" applyAlignment="1" pivotButton="0" quotePrefix="0" xfId="0">
      <alignment horizontal="center" vertical="center" wrapText="1"/>
    </xf>
    <xf numFmtId="0" fontId="15" fillId="0" borderId="1" applyAlignment="1" pivotButton="0" quotePrefix="0" xfId="0">
      <alignment horizontal="center" vertical="top" wrapText="1"/>
    </xf>
    <xf numFmtId="0" fontId="15" fillId="0" borderId="3" applyAlignment="1" pivotButton="0" quotePrefix="0" xfId="0">
      <alignment horizontal="center" vertical="top" wrapText="1"/>
    </xf>
    <xf numFmtId="0" fontId="14" fillId="0" borderId="6" applyAlignment="1" pivotButton="0" quotePrefix="0" xfId="0">
      <alignment horizontal="center" vertical="center" wrapText="1"/>
    </xf>
    <xf numFmtId="0" fontId="26" fillId="0" borderId="1" applyAlignment="1" pivotButton="0" quotePrefix="0" xfId="0">
      <alignment horizontal="center" vertical="center" wrapText="1"/>
    </xf>
    <xf numFmtId="0" fontId="27" fillId="0" borderId="1" applyAlignment="1" pivotButton="0" quotePrefix="0" xfId="0">
      <alignment horizontal="center" vertical="center" wrapText="1"/>
    </xf>
    <xf numFmtId="0" fontId="0" fillId="0" borderId="0" applyAlignment="1" pivotButton="0" quotePrefix="0" xfId="0">
      <alignment horizontal="general" vertical="bottom"/>
    </xf>
    <xf numFmtId="0" fontId="29" fillId="0" borderId="1" applyAlignment="1" pivotButton="0" quotePrefix="0" xfId="0">
      <alignment horizontal="center" vertical="center" wrapText="1"/>
    </xf>
    <xf numFmtId="0" fontId="30" fillId="0" borderId="1" applyAlignment="1" pivotButton="0" quotePrefix="0" xfId="0">
      <alignment horizontal="center" vertical="center" wrapText="1"/>
    </xf>
    <xf numFmtId="0" fontId="25" fillId="0" borderId="1" applyAlignment="1" pivotButton="0" quotePrefix="0" xfId="0">
      <alignment horizontal="center" vertical="top" wrapText="1"/>
    </xf>
    <xf numFmtId="0" fontId="31" fillId="0" borderId="1" applyAlignment="1" pivotButton="0" quotePrefix="0" xfId="0">
      <alignment horizontal="center" vertical="center" wrapText="1"/>
    </xf>
    <xf numFmtId="0" fontId="6" fillId="0" borderId="3" applyAlignment="1" pivotButton="0" quotePrefix="0" xfId="0">
      <alignment horizontal="center" vertical="center" wrapText="1"/>
    </xf>
    <xf numFmtId="0" fontId="31" fillId="0" borderId="1" applyAlignment="1" pivotButton="0" quotePrefix="0" xfId="0">
      <alignment horizontal="center" vertical="center"/>
    </xf>
    <xf numFmtId="0" fontId="26" fillId="0" borderId="1" applyAlignment="1" pivotButton="0" quotePrefix="0" xfId="0">
      <alignment horizontal="left" vertical="center" wrapText="1"/>
    </xf>
    <xf numFmtId="0" fontId="27" fillId="0" borderId="1" applyAlignment="1" pivotButton="0" quotePrefix="0" xfId="0">
      <alignment horizontal="left"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21" fillId="0" borderId="1" applyAlignment="1" pivotButton="0" quotePrefix="0" xfId="0">
      <alignment horizontal="center" vertical="center" wrapText="1"/>
    </xf>
    <xf numFmtId="1" fontId="12" fillId="0" borderId="3" applyAlignment="1" pivotButton="0" quotePrefix="0" xfId="0">
      <alignment horizontal="left" vertical="center" wrapText="1"/>
    </xf>
    <xf numFmtId="1" fontId="12" fillId="0" borderId="7" applyAlignment="1" pivotButton="0" quotePrefix="0" xfId="0">
      <alignment horizontal="center" vertical="center" wrapText="1"/>
    </xf>
    <xf numFmtId="0" fontId="36" fillId="0" borderId="9" applyAlignment="1" pivotButton="0" quotePrefix="0" xfId="0">
      <alignment horizontal="center" vertical="center" wrapText="1"/>
    </xf>
    <xf numFmtId="0" fontId="36" fillId="0" borderId="1" applyAlignment="1" pivotButton="0" quotePrefix="0" xfId="0">
      <alignment horizontal="center" vertical="center" wrapText="1"/>
    </xf>
    <xf numFmtId="0" fontId="36" fillId="0" borderId="0" applyAlignment="1" pivotButton="0" quotePrefix="0" xfId="0">
      <alignment horizontal="center" vertical="center" wrapText="1"/>
    </xf>
    <xf numFmtId="0" fontId="14" fillId="0" borderId="1" applyAlignment="1" pivotButton="0" quotePrefix="0" xfId="0">
      <alignment horizontal="center" vertical="top" wrapText="1"/>
    </xf>
    <xf numFmtId="0" fontId="15" fillId="0" borderId="10" applyAlignment="1" pivotButton="0" quotePrefix="0" xfId="0">
      <alignment horizontal="center" vertical="top" wrapText="1"/>
    </xf>
    <xf numFmtId="0" fontId="31" fillId="0" borderId="1" applyAlignment="1" pivotButton="0" quotePrefix="0" xfId="0">
      <alignment horizontal="center" vertical="center" wrapText="1"/>
    </xf>
    <xf numFmtId="0" fontId="31" fillId="0" borderId="1" applyAlignment="1" pivotButton="0" quotePrefix="0" xfId="0">
      <alignment horizontal="center" vertical="center" wrapText="1"/>
    </xf>
    <xf numFmtId="0" fontId="31" fillId="0" borderId="1" applyAlignment="1" pivotButton="0" quotePrefix="0" xfId="0">
      <alignment horizontal="center" vertical="center" wrapText="1"/>
    </xf>
    <xf numFmtId="0" fontId="37" fillId="0" borderId="1" applyAlignment="1" pivotButton="0" quotePrefix="0" xfId="0">
      <alignment horizontal="center" vertical="center" wrapText="1"/>
    </xf>
    <xf numFmtId="0" fontId="38" fillId="0" borderId="1" applyAlignment="1" pivotButton="0" quotePrefix="0" xfId="0">
      <alignment horizontal="center" vertical="center" wrapText="1"/>
    </xf>
    <xf numFmtId="0" fontId="31" fillId="0" borderId="9" applyAlignment="1" pivotButton="0" quotePrefix="0" xfId="0">
      <alignment horizontal="center" vertical="center" wrapText="1"/>
    </xf>
    <xf numFmtId="0" fontId="24" fillId="0" borderId="9" applyAlignment="1" pivotButton="0" quotePrefix="0" xfId="0">
      <alignment horizontal="center" vertical="center" wrapText="1"/>
    </xf>
    <xf numFmtId="0" fontId="15" fillId="0" borderId="11" applyAlignment="1" pivotButton="0" quotePrefix="0" xfId="0">
      <alignment horizontal="center" vertical="center" wrapText="1"/>
    </xf>
    <xf numFmtId="0" fontId="15" fillId="0" borderId="12" applyAlignment="1" pivotButton="0" quotePrefix="0" xfId="0">
      <alignment horizontal="center" vertical="center" wrapText="1"/>
    </xf>
    <xf numFmtId="0" fontId="15" fillId="0" borderId="13" applyAlignment="1" pivotButton="0" quotePrefix="0" xfId="0">
      <alignment horizontal="center" vertical="center" wrapText="1"/>
    </xf>
    <xf numFmtId="0" fontId="15" fillId="0" borderId="1" applyAlignment="1" pivotButton="0" quotePrefix="0" xfId="0">
      <alignment horizontal="center" vertical="center" wrapText="1"/>
    </xf>
    <xf numFmtId="0" fontId="24" fillId="0" borderId="9" applyAlignment="1" pivotButton="0" quotePrefix="0" xfId="0">
      <alignment horizontal="center" vertical="center"/>
    </xf>
    <xf numFmtId="0" fontId="31" fillId="0" borderId="1" applyAlignment="1" pivotButton="0" quotePrefix="0" xfId="20">
      <alignment horizontal="center" vertical="center" wrapText="1"/>
    </xf>
    <xf numFmtId="0" fontId="31" fillId="0" borderId="12" applyAlignment="1" pivotButton="0" quotePrefix="0" xfId="0">
      <alignment horizontal="center" vertical="center" wrapText="1"/>
    </xf>
    <xf numFmtId="0" fontId="31" fillId="0" borderId="11" applyAlignment="1" pivotButton="0" quotePrefix="0" xfId="0">
      <alignment horizontal="center" vertical="center" wrapText="1"/>
    </xf>
    <xf numFmtId="0" fontId="31" fillId="0" borderId="12" applyAlignment="1" pivotButton="0" quotePrefix="0" xfId="0">
      <alignment horizontal="center" vertical="center" wrapText="1"/>
    </xf>
    <xf numFmtId="0" fontId="31" fillId="0" borderId="13" applyAlignment="1" pivotButton="0" quotePrefix="0" xfId="0">
      <alignment horizontal="center" vertical="center" wrapText="1"/>
    </xf>
    <xf numFmtId="0" fontId="31" fillId="0" borderId="14" applyAlignment="1" pivotButton="0" quotePrefix="0" xfId="0">
      <alignment horizontal="center" vertical="center" wrapText="1"/>
    </xf>
    <xf numFmtId="0" fontId="39" fillId="0" borderId="8" applyAlignment="1" pivotButton="0" quotePrefix="0" xfId="0">
      <alignment horizontal="left" vertical="center" wrapText="1"/>
    </xf>
    <xf numFmtId="0" fontId="31" fillId="0" borderId="3" applyAlignment="1" pivotButton="0" quotePrefix="0" xfId="0">
      <alignment horizontal="center" vertical="center" wrapText="1"/>
    </xf>
    <xf numFmtId="0" fontId="15" fillId="0" borderId="14" applyAlignment="1" pivotButton="0" quotePrefix="0" xfId="0">
      <alignment horizontal="center" vertical="center" wrapText="1"/>
    </xf>
    <xf numFmtId="49" fontId="31" fillId="0" borderId="1" applyAlignment="1" pivotButton="0" quotePrefix="0" xfId="0">
      <alignment horizontal="center" vertical="center" wrapText="1"/>
    </xf>
    <xf numFmtId="0" fontId="38" fillId="0" borderId="1" applyAlignment="1" pivotButton="0" quotePrefix="0" xfId="0">
      <alignment horizontal="center" vertical="center" wrapText="1"/>
    </xf>
    <xf numFmtId="0" fontId="31" fillId="0" borderId="0" applyAlignment="1" pivotButton="0" quotePrefix="0" xfId="0">
      <alignment horizontal="center" vertical="center" wrapText="1"/>
    </xf>
    <xf numFmtId="0" fontId="31" fillId="0" borderId="9" applyAlignment="1" pivotButton="0" quotePrefix="0" xfId="0">
      <alignment horizontal="center" vertical="center" wrapText="1"/>
    </xf>
    <xf numFmtId="1" fontId="12" fillId="0" borderId="1" applyAlignment="1" pivotButton="0" quotePrefix="0" xfId="0">
      <alignment horizontal="left" vertical="center" wrapText="1"/>
    </xf>
    <xf numFmtId="1" fontId="12" fillId="0" borderId="4" applyAlignment="1" pivotButton="0" quotePrefix="0" xfId="0">
      <alignment horizontal="left" vertical="center" wrapText="1"/>
    </xf>
    <xf numFmtId="0" fontId="31" fillId="0" borderId="1" applyAlignment="1" pivotButton="0" quotePrefix="0" xfId="0">
      <alignment horizontal="center" vertical="top" wrapText="1"/>
    </xf>
    <xf numFmtId="0" fontId="36" fillId="0" borderId="1" applyAlignment="1" pivotButton="0" quotePrefix="0" xfId="0">
      <alignment horizontal="center" vertical="center"/>
    </xf>
    <xf numFmtId="0" fontId="40" fillId="0" borderId="1" applyAlignment="1" pivotButton="0" quotePrefix="0" xfId="0">
      <alignment horizontal="center" vertical="center" wrapText="1"/>
    </xf>
    <xf numFmtId="0" fontId="24" fillId="0" borderId="1" applyAlignment="1" pivotButton="0" quotePrefix="0" xfId="0">
      <alignment horizontal="center" vertical="top" wrapText="1"/>
    </xf>
    <xf numFmtId="0" fontId="36" fillId="0" borderId="0" applyAlignment="1" pivotButton="0" quotePrefix="0" xfId="0">
      <alignment horizontal="center" vertical="center"/>
    </xf>
    <xf numFmtId="0" fontId="41" fillId="0" borderId="0" applyAlignment="1" pivotButton="0" quotePrefix="0" xfId="0">
      <alignment horizontal="center" vertical="center" wrapText="1"/>
    </xf>
    <xf numFmtId="0" fontId="24" fillId="0" borderId="9" applyAlignment="1" pivotButton="0" quotePrefix="0" xfId="0">
      <alignment horizontal="left" vertical="center" wrapText="1"/>
    </xf>
    <xf numFmtId="0" fontId="41" fillId="0" borderId="1" applyAlignment="1" pivotButton="0" quotePrefix="0" xfId="0">
      <alignment horizontal="center" vertical="center" wrapText="1"/>
    </xf>
    <xf numFmtId="0" fontId="41" fillId="0" borderId="1" applyAlignment="1" pivotButton="0" quotePrefix="0" xfId="0">
      <alignment horizontal="center" vertical="center"/>
    </xf>
    <xf numFmtId="0" fontId="42" fillId="0" borderId="1" applyAlignment="1" pivotButton="0" quotePrefix="0" xfId="0">
      <alignment horizontal="center" vertical="center" wrapText="1"/>
    </xf>
    <xf numFmtId="0" fontId="40" fillId="0" borderId="1" applyAlignment="1" pivotButton="0" quotePrefix="0" xfId="0">
      <alignment horizontal="center" vertical="center"/>
    </xf>
    <xf numFmtId="0" fontId="36" fillId="0" borderId="1" applyAlignment="1" pivotButton="0" quotePrefix="0" xfId="0">
      <alignment horizontal="center" vertical="center" wrapText="1"/>
    </xf>
    <xf numFmtId="0" fontId="0" fillId="0" borderId="0" applyAlignment="1" pivotButton="0" quotePrefix="0" xfId="0">
      <alignment horizontal="general" vertical="bottom"/>
    </xf>
    <xf numFmtId="0" fontId="36" fillId="0" borderId="1" applyAlignment="1" pivotButton="0" quotePrefix="0" xfId="0">
      <alignment horizontal="center" vertical="center"/>
    </xf>
    <xf numFmtId="0" fontId="42" fillId="0" borderId="1" applyAlignment="1" pivotButton="0" quotePrefix="0" xfId="0">
      <alignment horizontal="center" vertical="center"/>
    </xf>
    <xf numFmtId="0" fontId="43" fillId="0" borderId="1" applyAlignment="1" pivotButton="0" quotePrefix="0" xfId="0">
      <alignment horizontal="center" vertical="center" wrapText="1"/>
    </xf>
    <xf numFmtId="0" fontId="40" fillId="0" borderId="0" applyAlignment="1" pivotButton="0" quotePrefix="0" xfId="0">
      <alignment horizontal="center" vertical="center" wrapText="1"/>
    </xf>
    <xf numFmtId="1" fontId="44"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24" fillId="0" borderId="15" applyAlignment="1" pivotButton="0" quotePrefix="0" xfId="0">
      <alignment horizontal="left" vertical="center" wrapText="1"/>
    </xf>
    <xf numFmtId="0" fontId="0" fillId="0" borderId="0" pivotButton="0" quotePrefix="0" xfId="0"/>
    <xf numFmtId="0" fontId="46" fillId="0" borderId="0" pivotButton="0" quotePrefix="0" xfId="0"/>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center" vertical="center" wrapText="1"/>
    </xf>
    <xf numFmtId="0" fontId="15" fillId="0" borderId="0" applyAlignment="1" pivotButton="0" quotePrefix="0" xfId="0">
      <alignment horizontal="general" vertical="bottom"/>
    </xf>
    <xf numFmtId="0" fontId="15" fillId="0" borderId="0" applyAlignment="1" pivotButton="0" quotePrefix="0" xfId="0">
      <alignment horizontal="center" vertical="bottom"/>
    </xf>
    <xf numFmtId="0" fontId="22" fillId="0" borderId="0" applyAlignment="1" pivotButton="0" quotePrefix="0" xfId="0">
      <alignment horizontal="right" vertical="bottom"/>
    </xf>
    <xf numFmtId="0" fontId="22" fillId="0" borderId="0" applyAlignment="1" pivotButton="0" quotePrefix="0" xfId="0">
      <alignment horizontal="left" vertical="bottom"/>
    </xf>
    <xf numFmtId="0" fontId="11"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19" pivotButton="0" quotePrefix="0" xfId="0"/>
    <xf numFmtId="0" fontId="7" fillId="0" borderId="3" applyAlignment="1" pivotButton="0" quotePrefix="0" xfId="0">
      <alignment horizontal="center" vertical="center" wrapText="1"/>
    </xf>
    <xf numFmtId="0" fontId="0" fillId="0" borderId="18" pivotButton="0" quotePrefix="0" xfId="0"/>
    <xf numFmtId="0" fontId="0" fillId="0" borderId="23" pivotButton="0" quotePrefix="0" xfId="0"/>
    <xf numFmtId="0" fontId="11"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1" pivotButton="0" quotePrefix="0" xfId="0"/>
    <xf numFmtId="0" fontId="0" fillId="0" borderId="26" pivotButton="0" quotePrefix="0" xfId="0"/>
    <xf numFmtId="0" fontId="7" fillId="0" borderId="6" applyAlignment="1" pivotButton="0" quotePrefix="0" xfId="0">
      <alignment horizontal="center" vertical="center" wrapText="1"/>
    </xf>
    <xf numFmtId="0" fontId="23" fillId="0" borderId="3" applyAlignment="1" pivotButton="0" quotePrefix="0" xfId="0">
      <alignment horizontal="left" vertical="bottom"/>
    </xf>
    <xf numFmtId="0" fontId="23" fillId="0" borderId="7" applyAlignment="1" pivotButton="0" quotePrefix="0" xfId="0">
      <alignment horizontal="left" vertical="bottom"/>
    </xf>
    <xf numFmtId="0" fontId="0" fillId="0" borderId="6" applyAlignment="1" pivotButton="0" quotePrefix="0" xfId="0">
      <alignment horizontal="center" vertical="center" wrapText="1"/>
    </xf>
    <xf numFmtId="1" fontId="12" fillId="0" borderId="1" applyAlignment="1" pivotButton="0" quotePrefix="0" xfId="0">
      <alignment horizontal="center" vertical="center" wrapText="1"/>
    </xf>
    <xf numFmtId="0" fontId="24" fillId="0" borderId="8" applyAlignment="1" pivotButton="0" quotePrefix="0" xfId="0">
      <alignment horizontal="left" vertical="center" wrapText="1"/>
    </xf>
    <xf numFmtId="0" fontId="25" fillId="0" borderId="1" applyAlignment="1" pivotButton="0" quotePrefix="0" xfId="0">
      <alignment horizontal="center" vertical="center" wrapText="1"/>
    </xf>
    <xf numFmtId="0" fontId="25" fillId="0" borderId="1" applyAlignment="1" pivotButton="0" quotePrefix="0" xfId="0">
      <alignment horizontal="left" vertical="center" wrapText="1"/>
    </xf>
    <xf numFmtId="0" fontId="25" fillId="0" borderId="1" applyAlignment="1" pivotButton="0" quotePrefix="0" xfId="0">
      <alignment horizontal="left" vertical="top" wrapText="1"/>
    </xf>
    <xf numFmtId="0" fontId="24" fillId="0" borderId="1" applyAlignment="1" pivotButton="0" quotePrefix="0" xfId="0">
      <alignment horizontal="center" vertical="center" wrapText="1"/>
    </xf>
    <xf numFmtId="1" fontId="12" fillId="0" borderId="4" applyAlignment="1" pivotButton="0" quotePrefix="0" xfId="0">
      <alignment horizontal="center" vertical="center" wrapText="1"/>
    </xf>
    <xf numFmtId="0" fontId="15" fillId="0" borderId="1" applyAlignment="1" pivotButton="0" quotePrefix="0" xfId="0">
      <alignment horizontal="center" vertical="top" wrapText="1"/>
    </xf>
    <xf numFmtId="0" fontId="15" fillId="7" borderId="1" applyAlignment="1" pivotButton="0" quotePrefix="0" xfId="0">
      <alignment horizontal="center" vertical="top" wrapText="1"/>
    </xf>
    <xf numFmtId="0" fontId="15" fillId="0" borderId="3" applyAlignment="1" pivotButton="0" quotePrefix="0" xfId="0">
      <alignment horizontal="center" vertical="top" wrapText="1"/>
    </xf>
    <xf numFmtId="0" fontId="14" fillId="8" borderId="6" applyAlignment="1" pivotButton="0" quotePrefix="0" xfId="0">
      <alignment horizontal="center" vertical="center" wrapText="1"/>
    </xf>
    <xf numFmtId="0" fontId="26" fillId="0" borderId="1" applyAlignment="1" pivotButton="0" quotePrefix="0" xfId="0">
      <alignment horizontal="center" vertical="center" wrapText="1"/>
    </xf>
    <xf numFmtId="0" fontId="27" fillId="0" borderId="1" applyAlignment="1" pivotButton="0" quotePrefix="0" xfId="0">
      <alignment horizontal="center" vertical="center" wrapText="1"/>
    </xf>
    <xf numFmtId="0" fontId="0" fillId="0" borderId="21" pivotButton="0" quotePrefix="0" xfId="0"/>
    <xf numFmtId="0" fontId="0" fillId="0" borderId="27" pivotButton="0" quotePrefix="0" xfId="0"/>
    <xf numFmtId="0" fontId="29" fillId="0" borderId="1" applyAlignment="1" pivotButton="0" quotePrefix="0" xfId="0">
      <alignment horizontal="center" vertical="center" wrapText="1"/>
    </xf>
    <xf numFmtId="0" fontId="30" fillId="0" borderId="1" applyAlignment="1" pivotButton="0" quotePrefix="0" xfId="0">
      <alignment horizontal="center" vertical="center" wrapText="1"/>
    </xf>
    <xf numFmtId="0" fontId="25" fillId="0" borderId="1" applyAlignment="1" pivotButton="0" quotePrefix="0" xfId="0">
      <alignment horizontal="center" vertical="top" wrapText="1"/>
    </xf>
    <xf numFmtId="0" fontId="31" fillId="0" borderId="1" applyAlignment="1" pivotButton="0" quotePrefix="0" xfId="0">
      <alignment horizontal="center" vertical="center" wrapText="1"/>
    </xf>
    <xf numFmtId="0" fontId="6" fillId="0" borderId="3" applyAlignment="1" pivotButton="0" quotePrefix="0" xfId="0">
      <alignment horizontal="center" vertical="center" wrapText="1"/>
    </xf>
    <xf numFmtId="0" fontId="31" fillId="0" borderId="1" applyAlignment="1" pivotButton="0" quotePrefix="0" xfId="0">
      <alignment horizontal="center" vertical="center"/>
    </xf>
    <xf numFmtId="0" fontId="26" fillId="0" borderId="1" applyAlignment="1" pivotButton="0" quotePrefix="0" xfId="0">
      <alignment horizontal="left" vertical="center" wrapText="1"/>
    </xf>
    <xf numFmtId="0" fontId="27" fillId="0" borderId="1" applyAlignment="1" pivotButton="0" quotePrefix="0" xfId="0">
      <alignment horizontal="left"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21" fillId="0" borderId="1" applyAlignment="1" pivotButton="0" quotePrefix="0" xfId="0">
      <alignment horizontal="center" vertical="center" wrapText="1"/>
    </xf>
    <xf numFmtId="0" fontId="0" fillId="0" borderId="28" pivotButton="0" quotePrefix="0" xfId="0"/>
    <xf numFmtId="1" fontId="12" fillId="0" borderId="3" applyAlignment="1" pivotButton="0" quotePrefix="0" xfId="0">
      <alignment horizontal="left" vertical="center" wrapText="1"/>
    </xf>
    <xf numFmtId="1" fontId="12" fillId="0" borderId="7" applyAlignment="1" pivotButton="0" quotePrefix="0" xfId="0">
      <alignment horizontal="center" vertical="center" wrapText="1"/>
    </xf>
    <xf numFmtId="0" fontId="36" fillId="0" borderId="9" applyAlignment="1" pivotButton="0" quotePrefix="0" xfId="0">
      <alignment horizontal="center" vertical="center" wrapText="1"/>
    </xf>
    <xf numFmtId="0" fontId="36" fillId="0" borderId="1" applyAlignment="1" pivotButton="0" quotePrefix="0" xfId="0">
      <alignment horizontal="center" vertical="center" wrapText="1"/>
    </xf>
    <xf numFmtId="0" fontId="36" fillId="0" borderId="0" applyAlignment="1" pivotButton="0" quotePrefix="0" xfId="0">
      <alignment horizontal="center" vertical="center" wrapText="1"/>
    </xf>
    <xf numFmtId="0" fontId="14" fillId="8" borderId="1" applyAlignment="1" pivotButton="0" quotePrefix="0" xfId="0">
      <alignment horizontal="center" vertical="top" wrapText="1"/>
    </xf>
    <xf numFmtId="0" fontId="15" fillId="0" borderId="10" applyAlignment="1" pivotButton="0" quotePrefix="0" xfId="0">
      <alignment horizontal="center" vertical="top" wrapText="1"/>
    </xf>
    <xf numFmtId="0" fontId="0" fillId="0" borderId="29" pivotButton="0" quotePrefix="0" xfId="0"/>
    <xf numFmtId="0" fontId="0" fillId="0" borderId="10" pivotButton="0" quotePrefix="0" xfId="0"/>
    <xf numFmtId="0" fontId="15" fillId="9" borderId="1" applyAlignment="1" pivotButton="0" quotePrefix="0" xfId="0">
      <alignment horizontal="center" vertical="top" wrapText="1"/>
    </xf>
    <xf numFmtId="0" fontId="37" fillId="0" borderId="1" applyAlignment="1" pivotButton="0" quotePrefix="0" xfId="0">
      <alignment horizontal="center" vertical="center" wrapText="1"/>
    </xf>
    <xf numFmtId="0" fontId="38" fillId="0" borderId="1" applyAlignment="1" pivotButton="0" quotePrefix="0" xfId="0">
      <alignment horizontal="center" vertical="center" wrapText="1"/>
    </xf>
    <xf numFmtId="0" fontId="31" fillId="0" borderId="9" applyAlignment="1" pivotButton="0" quotePrefix="0" xfId="0">
      <alignment horizontal="center" vertical="center" wrapText="1"/>
    </xf>
    <xf numFmtId="0" fontId="24" fillId="0" borderId="9" applyAlignment="1" pivotButton="0" quotePrefix="0" xfId="0">
      <alignment horizontal="center" vertical="center" wrapText="1"/>
    </xf>
    <xf numFmtId="0" fontId="15" fillId="0" borderId="11" applyAlignment="1" pivotButton="0" quotePrefix="0" xfId="0">
      <alignment horizontal="center" vertical="center" wrapText="1"/>
    </xf>
    <xf numFmtId="0" fontId="15" fillId="0" borderId="12" applyAlignment="1" pivotButton="0" quotePrefix="0" xfId="0">
      <alignment horizontal="center" vertical="center" wrapText="1"/>
    </xf>
    <xf numFmtId="0" fontId="15" fillId="0" borderId="13" applyAlignment="1" pivotButton="0" quotePrefix="0" xfId="0">
      <alignment horizontal="center" vertical="center" wrapText="1"/>
    </xf>
    <xf numFmtId="0" fontId="15" fillId="0" borderId="1" applyAlignment="1" pivotButton="0" quotePrefix="0" xfId="0">
      <alignment horizontal="center" vertical="center" wrapText="1"/>
    </xf>
    <xf numFmtId="0" fontId="24" fillId="0" borderId="9" applyAlignment="1" pivotButton="0" quotePrefix="0" xfId="0">
      <alignment horizontal="center" vertical="center"/>
    </xf>
    <xf numFmtId="0" fontId="31" fillId="0" borderId="1" applyAlignment="1" pivotButton="0" quotePrefix="0" xfId="20">
      <alignment horizontal="center" vertical="center" wrapText="1"/>
    </xf>
    <xf numFmtId="0" fontId="31" fillId="0" borderId="12" applyAlignment="1" pivotButton="0" quotePrefix="0" xfId="0">
      <alignment horizontal="center" vertical="center" wrapText="1"/>
    </xf>
    <xf numFmtId="0" fontId="31" fillId="0" borderId="11" applyAlignment="1" pivotButton="0" quotePrefix="0" xfId="0">
      <alignment horizontal="center" vertical="center" wrapText="1"/>
    </xf>
    <xf numFmtId="0" fontId="31" fillId="0" borderId="13" applyAlignment="1" pivotButton="0" quotePrefix="0" xfId="0">
      <alignment horizontal="center" vertical="center" wrapText="1"/>
    </xf>
    <xf numFmtId="0" fontId="31" fillId="0" borderId="14" applyAlignment="1" pivotButton="0" quotePrefix="0" xfId="0">
      <alignment horizontal="center" vertical="center" wrapText="1"/>
    </xf>
    <xf numFmtId="0" fontId="39" fillId="0" borderId="8" applyAlignment="1" pivotButton="0" quotePrefix="0" xfId="0">
      <alignment horizontal="left" vertical="center" wrapText="1"/>
    </xf>
    <xf numFmtId="0" fontId="31" fillId="0" borderId="3" applyAlignment="1" pivotButton="0" quotePrefix="0" xfId="0">
      <alignment horizontal="center" vertical="center" wrapText="1"/>
    </xf>
    <xf numFmtId="0" fontId="15" fillId="0" borderId="14" applyAlignment="1" pivotButton="0" quotePrefix="0" xfId="0">
      <alignment horizontal="center" vertical="center" wrapText="1"/>
    </xf>
    <xf numFmtId="49" fontId="31" fillId="0" borderId="1" applyAlignment="1" pivotButton="0" quotePrefix="0" xfId="0">
      <alignment horizontal="center" vertical="center" wrapText="1"/>
    </xf>
    <xf numFmtId="0" fontId="31" fillId="0" borderId="0" applyAlignment="1" pivotButton="0" quotePrefix="0" xfId="0">
      <alignment horizontal="center" vertical="center" wrapText="1"/>
    </xf>
    <xf numFmtId="0" fontId="14" fillId="0" borderId="6" applyAlignment="1" pivotButton="0" quotePrefix="0" xfId="0">
      <alignment horizontal="center" vertical="center" wrapText="1"/>
    </xf>
    <xf numFmtId="1" fontId="12" fillId="0" borderId="1" applyAlignment="1" pivotButton="0" quotePrefix="0" xfId="0">
      <alignment horizontal="left" vertical="center" wrapText="1"/>
    </xf>
    <xf numFmtId="1" fontId="12" fillId="0" borderId="4" applyAlignment="1" pivotButton="0" quotePrefix="0" xfId="0">
      <alignment horizontal="left" vertical="center" wrapText="1"/>
    </xf>
    <xf numFmtId="0" fontId="31" fillId="8" borderId="1" applyAlignment="1" pivotButton="0" quotePrefix="0" xfId="0">
      <alignment horizontal="center" vertical="center" wrapText="1"/>
    </xf>
    <xf numFmtId="0" fontId="31" fillId="8" borderId="1" applyAlignment="1" pivotButton="0" quotePrefix="0" xfId="0">
      <alignment horizontal="center" vertical="top" wrapText="1"/>
    </xf>
    <xf numFmtId="0" fontId="36" fillId="0" borderId="1" applyAlignment="1" pivotButton="0" quotePrefix="0" xfId="0">
      <alignment horizontal="center" vertical="center"/>
    </xf>
    <xf numFmtId="0" fontId="40" fillId="0" borderId="1" applyAlignment="1" pivotButton="0" quotePrefix="0" xfId="0">
      <alignment horizontal="center" vertical="center" wrapText="1"/>
    </xf>
    <xf numFmtId="0" fontId="24" fillId="9" borderId="1" applyAlignment="1" pivotButton="0" quotePrefix="0" xfId="0">
      <alignment horizontal="center" vertical="top" wrapText="1"/>
    </xf>
    <xf numFmtId="0" fontId="24" fillId="8" borderId="1" applyAlignment="1" pivotButton="0" quotePrefix="0" xfId="0">
      <alignment horizontal="center" vertical="top" wrapText="1"/>
    </xf>
    <xf numFmtId="0" fontId="36" fillId="0" borderId="0" applyAlignment="1" pivotButton="0" quotePrefix="0" xfId="0">
      <alignment horizontal="center" vertical="center"/>
    </xf>
    <xf numFmtId="0" fontId="41" fillId="0" borderId="0" applyAlignment="1" pivotButton="0" quotePrefix="0" xfId="0">
      <alignment horizontal="center" vertical="center" wrapText="1"/>
    </xf>
    <xf numFmtId="0" fontId="24" fillId="0" borderId="9" applyAlignment="1" pivotButton="0" quotePrefix="0" xfId="0">
      <alignment horizontal="left" vertical="center" wrapText="1"/>
    </xf>
    <xf numFmtId="0" fontId="41" fillId="0" borderId="1" applyAlignment="1" pivotButton="0" quotePrefix="0" xfId="0">
      <alignment horizontal="center" vertical="center" wrapText="1"/>
    </xf>
    <xf numFmtId="0" fontId="41" fillId="0" borderId="1" applyAlignment="1" pivotButton="0" quotePrefix="0" xfId="0">
      <alignment horizontal="center" vertical="center"/>
    </xf>
    <xf numFmtId="0" fontId="42" fillId="0" borderId="1" applyAlignment="1" pivotButton="0" quotePrefix="0" xfId="0">
      <alignment horizontal="center" vertical="center" wrapText="1"/>
    </xf>
    <xf numFmtId="0" fontId="40" fillId="0" borderId="1" applyAlignment="1" pivotButton="0" quotePrefix="0" xfId="0">
      <alignment horizontal="center" vertical="center"/>
    </xf>
    <xf numFmtId="0" fontId="42" fillId="0" borderId="1" applyAlignment="1" pivotButton="0" quotePrefix="0" xfId="0">
      <alignment horizontal="center" vertical="center"/>
    </xf>
    <xf numFmtId="0" fontId="43" fillId="0" borderId="1" applyAlignment="1" pivotButton="0" quotePrefix="0" xfId="0">
      <alignment horizontal="center" vertical="center" wrapText="1"/>
    </xf>
    <xf numFmtId="0" fontId="40" fillId="0" borderId="0" applyAlignment="1" pivotButton="0" quotePrefix="0" xfId="0">
      <alignment horizontal="center" vertical="center" wrapText="1"/>
    </xf>
    <xf numFmtId="0" fontId="15" fillId="8" borderId="1" applyAlignment="1" pivotButton="0" quotePrefix="0" xfId="0">
      <alignment horizontal="center" vertical="top" wrapText="1"/>
    </xf>
    <xf numFmtId="0" fontId="15" fillId="8" borderId="1" applyAlignment="1" pivotButton="0" quotePrefix="0" xfId="0">
      <alignment horizontal="center" vertical="center" wrapText="1"/>
    </xf>
    <xf numFmtId="1" fontId="44" fillId="0" borderId="1" applyAlignment="1" pivotButton="0" quotePrefix="0" xfId="0">
      <alignment horizontal="left" vertical="center" wrapText="1"/>
    </xf>
    <xf numFmtId="0" fontId="14" fillId="0" borderId="1" applyAlignment="1" pivotButton="0" quotePrefix="0" xfId="0">
      <alignment horizontal="center" vertical="center" wrapText="1"/>
    </xf>
    <xf numFmtId="0" fontId="24" fillId="0" borderId="1" applyAlignment="1" pivotButton="0" quotePrefix="0" xfId="0">
      <alignment horizontal="center" vertical="top" wrapText="1"/>
    </xf>
    <xf numFmtId="0" fontId="24" fillId="7" borderId="1" applyAlignment="1" pivotButton="0" quotePrefix="0" xfId="0">
      <alignment horizontal="center" vertical="top" wrapText="1"/>
    </xf>
    <xf numFmtId="0" fontId="24" fillId="10" borderId="1" applyAlignment="1" pivotButton="0" quotePrefix="0" xfId="0">
      <alignment horizontal="center" vertical="top" wrapText="1"/>
    </xf>
    <xf numFmtId="0" fontId="24" fillId="0" borderId="15" applyAlignment="1" pivotButton="0" quotePrefix="0" xfId="0">
      <alignment horizontal="left" vertical="center" wrapText="1"/>
    </xf>
    <xf numFmtId="0" fontId="45" fillId="11" borderId="0" applyAlignment="1" pivotButton="0" quotePrefix="0" xfId="0">
      <alignment vertical="center" wrapText="1"/>
    </xf>
    <xf numFmtId="0" fontId="0" fillId="0" borderId="30" applyAlignment="1" pivotButton="0" quotePrefix="0" xfId="0">
      <alignment vertical="top" wrapText="1"/>
    </xf>
    <xf numFmtId="0" fontId="0" fillId="8" borderId="30" applyAlignment="1" pivotButton="0" quotePrefix="0" xfId="0">
      <alignmen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Обычный 2" xfId="6"/>
  </cellStyles>
  <dxfs count="6">
    <dxf>
      <fill>
        <patternFill patternType="solid">
          <fgColor rgb="FF8FAADC"/>
          <bgColor rgb="FF000000"/>
        </patternFill>
      </fill>
    </dxf>
    <dxf>
      <fill>
        <patternFill patternType="solid">
          <fgColor rgb="FFF8CBAD"/>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272727"/>
      <rgbColor rgb="FF993300"/>
      <rgbColor rgb="FF993366"/>
      <rgbColor rgb="FF333399"/>
      <rgbColor rgb="FF32323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60" customWidth="1" style="169" min="1" max="1"/>
    <col width="10" customWidth="1" style="169" min="2" max="2"/>
  </cols>
  <sheetData>
    <row r="1">
      <c r="A1" s="170" t="inlineStr">
        <is>
          <t>Камчатскэнерго 32616346943 — финальная таблица для заполнения заявки</t>
        </is>
      </c>
    </row>
    <row r="2">
      <c r="A2" t="inlineStr">
        <is>
          <t>Лист «Прил.1 — предложение участника» — официальная форма ТТ (столбцы 1–18 «Предложение участника»): зелёное — по ТЗ, подтверждено; оранжевое — значение завода (эквивалент); жёлтое — заполнить по ответу завода; красное — не закрыто.</t>
        </is>
      </c>
    </row>
    <row r="3">
      <c r="A3" t="inlineStr">
        <is>
          <t>Лист «Для КП» — производитель, страна, № реестровой записи по каждой позиции (ТТ п. 1.5.1–1.5.3); цену вносить после ответов. Номера — открытое зеркало реестра, перед подачей сверить с выписками ГИСП.</t>
        </is>
      </c>
    </row>
    <row r="5">
      <c r="A5" t="inlineStr">
        <is>
          <t>Источник</t>
        </is>
      </c>
      <c r="B5" t="inlineStr">
        <is>
          <t>Позиций</t>
        </is>
      </c>
    </row>
    <row r="6">
      <c r="A6" t="inlineStr">
        <is>
          <t>завод (новый запрос КП)</t>
        </is>
      </c>
      <c r="B6" t="n">
        <v>128</v>
      </c>
    </row>
    <row r="7">
      <c r="A7" t="inlineStr">
        <is>
          <t>завод вместо ДН.РУ</t>
        </is>
      </c>
      <c r="B7" t="n">
        <v>117</v>
      </c>
    </row>
    <row r="8">
      <c r="A8" t="inlineStr">
        <is>
          <t>НЕ ЗАКРЫТО</t>
        </is>
      </c>
      <c r="B8" t="n">
        <v>29</v>
      </c>
    </row>
    <row r="9">
      <c r="A9" t="inlineStr">
        <is>
          <t>текущий поставщик (номера записи нет)</t>
        </is>
      </c>
      <c r="B9" t="n">
        <v>21</v>
      </c>
    </row>
    <row r="10">
      <c r="A10" t="inlineStr">
        <is>
          <t>текущий поставщик</t>
        </is>
      </c>
      <c r="B10" t="n">
        <v>20</v>
      </c>
    </row>
    <row r="12">
      <c r="A12" t="inlineStr">
        <is>
          <t>Проверка ТЗ</t>
        </is>
      </c>
      <c r="B12" t="inlineStr">
        <is>
          <t>Позиций</t>
        </is>
      </c>
    </row>
    <row r="13">
      <c r="A13" t="inlineStr">
        <is>
          <t>не подтверждено</t>
        </is>
      </c>
      <c r="B13" t="n">
        <v>113</v>
      </c>
    </row>
    <row r="14">
      <c r="A14" t="inlineStr">
        <is>
          <t>ок</t>
        </is>
      </c>
      <c r="B14" t="n">
        <v>96</v>
      </c>
    </row>
    <row r="15">
      <c r="A15" t="inlineStr">
        <is>
          <t>не проверено построчно</t>
        </is>
      </c>
      <c r="B15" t="n">
        <v>53</v>
      </c>
    </row>
    <row r="16">
      <c r="A16" t="inlineStr">
        <is>
          <t>нет поставщика с записью ПП 719 и соотве</t>
        </is>
      </c>
      <c r="B16" t="n">
        <v>29</v>
      </c>
    </row>
    <row r="17">
      <c r="A17" t="inlineStr">
        <is>
          <t>нет записи ПП 719 — не проходит нацрежим</t>
        </is>
      </c>
      <c r="B17" t="n">
        <v>21</v>
      </c>
    </row>
    <row r="18">
      <c r="A18" t="inlineStr">
        <is>
          <t>подтвердить: дороже на +26%</t>
        </is>
      </c>
      <c r="B18" t="n">
        <v>1</v>
      </c>
    </row>
    <row r="19">
      <c r="A19" t="inlineStr">
        <is>
          <t>подтвердить: дороже на +13%</t>
        </is>
      </c>
      <c r="B19" t="n">
        <v>1</v>
      </c>
    </row>
    <row r="20">
      <c r="A20" t="inlineStr">
        <is>
          <t>подтвердить: КНР/импорт — номер в реестр</t>
        </is>
      </c>
      <c r="B20" t="n">
        <v>1</v>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AI32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625" defaultRowHeight="15" zeroHeight="0" outlineLevelRow="0"/>
  <cols>
    <col width="8.85" customWidth="1" style="171" min="1" max="1"/>
    <col width="30.7" customWidth="1" style="171" min="2" max="2"/>
    <col width="15.41" customWidth="1" style="171" min="3" max="3"/>
    <col width="10.13" customWidth="1" style="172" min="4" max="4"/>
    <col width="11.28" customWidth="1" style="171" min="5" max="5"/>
    <col width="8.56" customWidth="1" style="171" min="6" max="7"/>
    <col width="17.99" customWidth="1" style="171" min="8" max="8"/>
    <col width="12.99" customWidth="1" style="171" min="9" max="9"/>
    <col width="28.99" customWidth="1" style="171" min="10" max="10"/>
    <col width="15.85" customWidth="1" style="171" min="11" max="11"/>
    <col width="12.14" customWidth="1" style="171" min="12" max="12"/>
    <col width="30.99" customWidth="1" style="171" min="13" max="13"/>
    <col width="16.28" customWidth="1" style="171" min="14" max="14"/>
    <col width="44.41" customWidth="1" style="171" min="15" max="15"/>
    <col width="17.7" customWidth="1" style="171" min="16" max="16"/>
    <col width="41.28" customWidth="1" style="171" min="17" max="17"/>
    <col width="8.41" customWidth="1" style="171" min="18" max="18"/>
    <col width="30.7" customWidth="1" style="171" min="19" max="19"/>
    <col width="15.41" customWidth="1" style="171" min="20" max="20"/>
    <col width="10.13" customWidth="1" style="171" min="21" max="21"/>
    <col width="8.56" customWidth="1" style="171" min="22" max="24"/>
    <col width="17.99" customWidth="1" style="171" min="25" max="25"/>
    <col width="12.99" customWidth="1" style="171" min="26" max="26"/>
    <col width="28.99" customWidth="1" style="171" min="27" max="27"/>
    <col width="15.85" customWidth="1" style="171" min="28" max="28"/>
    <col width="12.14" customWidth="1" style="171" min="29" max="29"/>
    <col width="30.99" customWidth="1" style="171" min="30" max="30"/>
    <col width="8.56" customWidth="1" style="171" min="31" max="31"/>
    <col width="44.41" customWidth="1" style="171" min="32" max="32"/>
    <col width="17.7" customWidth="1" style="171" min="33" max="33"/>
    <col width="29.28" customWidth="1" style="171" min="34" max="34"/>
    <col width="19.14" customWidth="1" style="173" min="35" max="35"/>
    <col width="8.56" customWidth="1" style="171" min="36" max="257"/>
  </cols>
  <sheetData>
    <row r="1" ht="15" customHeight="1" s="169">
      <c r="A1" s="174" t="n"/>
      <c r="B1" s="174" t="n"/>
      <c r="C1" s="174" t="n"/>
      <c r="D1" s="175" t="n"/>
      <c r="E1" s="174" t="n"/>
      <c r="F1" s="174" t="n"/>
      <c r="G1" s="174" t="n"/>
      <c r="H1" s="174" t="n"/>
      <c r="I1" s="174" t="n"/>
      <c r="J1" s="174" t="n"/>
      <c r="K1" s="174" t="n"/>
      <c r="L1" s="174" t="n"/>
      <c r="M1" s="174" t="n"/>
      <c r="N1" s="174" t="n"/>
      <c r="O1" s="176" t="inlineStr">
        <is>
          <t>Приложение 1 к Техническим требованиям</t>
        </is>
      </c>
      <c r="R1" s="174" t="inlineStr">
        <is>
          <t>Предложение участника по характеристикам (заполнено ООО «ГИДРОПАС»: зелёное — по ТЗ, подтверждено; оранжевое — значение завода; жёлтое — заполнить по ответу завода; красное — не закрыто)</t>
        </is>
      </c>
      <c r="S1" s="177" t="inlineStr">
        <is>
          <t>Предложение участника по характеристикам и параметрам</t>
        </is>
      </c>
    </row>
    <row r="2" ht="15" customHeight="1" s="169">
      <c r="A2" s="178" t="inlineStr">
        <is>
          <t>№ п/п</t>
        </is>
      </c>
      <c r="B2" s="178" t="inlineStr">
        <is>
          <t>Наименование</t>
        </is>
      </c>
      <c r="C2" s="179" t="inlineStr">
        <is>
          <t>ГОСТ/ТУ</t>
        </is>
      </c>
      <c r="D2" s="179" t="inlineStr">
        <is>
          <t>Диаметр номинальный Ду, мм</t>
        </is>
      </c>
      <c r="E2" s="179" t="inlineStr">
        <is>
          <t>Проход</t>
        </is>
      </c>
      <c r="F2" s="179" t="inlineStr">
        <is>
          <t>Давление  Мпа</t>
        </is>
      </c>
      <c r="G2" s="179" t="inlineStr">
        <is>
          <t>Температура t, гр. С</t>
        </is>
      </c>
      <c r="H2" s="179" t="inlineStr">
        <is>
          <t>Среда</t>
        </is>
      </c>
      <c r="I2" s="179" t="inlineStr">
        <is>
          <t>Материал корпуса</t>
        </is>
      </c>
      <c r="J2" s="179" t="inlineStr">
        <is>
          <t>Климатическое исполнение</t>
        </is>
      </c>
      <c r="K2" s="179" t="inlineStr">
        <is>
          <t>Тип присоединения к трубопроводу</t>
        </is>
      </c>
      <c r="L2" s="179" t="inlineStr">
        <is>
          <t>Приводное устройство</t>
        </is>
      </c>
      <c r="M2" s="180" t="n"/>
      <c r="N2" s="181" t="inlineStr">
        <is>
          <t>Дополнительные требования</t>
        </is>
      </c>
      <c r="O2" s="182" t="n"/>
      <c r="P2" s="182" t="n"/>
      <c r="Q2" s="183" t="n"/>
      <c r="R2" s="184" t="inlineStr">
        <is>
          <t>№ п/п</t>
        </is>
      </c>
      <c r="S2" s="178" t="inlineStr">
        <is>
          <t>Наименование</t>
        </is>
      </c>
      <c r="T2" s="179" t="inlineStr">
        <is>
          <t>ГОСТ/ТУ</t>
        </is>
      </c>
      <c r="U2" s="179" t="inlineStr">
        <is>
          <t>Диаметр номинальный Ду, мм</t>
        </is>
      </c>
      <c r="V2" s="179" t="inlineStr">
        <is>
          <t>Проход</t>
        </is>
      </c>
      <c r="W2" s="179" t="inlineStr">
        <is>
          <t>Давление  Мпа</t>
        </is>
      </c>
      <c r="X2" s="179" t="inlineStr">
        <is>
          <t>Температура t, гр. С</t>
        </is>
      </c>
      <c r="Y2" s="179" t="inlineStr">
        <is>
          <t>Среда</t>
        </is>
      </c>
      <c r="Z2" s="179" t="inlineStr">
        <is>
          <t>Материал корпуса</t>
        </is>
      </c>
      <c r="AA2" s="179" t="inlineStr">
        <is>
          <t>Климетическое исполнение</t>
        </is>
      </c>
      <c r="AB2" s="179" t="inlineStr">
        <is>
          <t>Тип присоединения к трубопроводу</t>
        </is>
      </c>
      <c r="AC2" s="179" t="inlineStr">
        <is>
          <t>Приводное устройство</t>
        </is>
      </c>
      <c r="AD2" s="180" t="n"/>
      <c r="AE2" s="181" t="inlineStr">
        <is>
          <t>Дополнительные требования</t>
        </is>
      </c>
      <c r="AF2" s="182" t="n"/>
      <c r="AG2" s="182" t="n"/>
      <c r="AH2" s="183" t="n"/>
      <c r="AI2" s="185" t="n"/>
    </row>
    <row r="3" ht="57" customHeight="1" s="169">
      <c r="A3" s="186" t="n"/>
      <c r="B3" s="186" t="n"/>
      <c r="C3" s="186" t="n"/>
      <c r="D3" s="186" t="n"/>
      <c r="E3" s="186" t="n"/>
      <c r="F3" s="186" t="n"/>
      <c r="G3" s="186" t="n"/>
      <c r="H3" s="186" t="n"/>
      <c r="I3" s="186" t="n"/>
      <c r="J3" s="186" t="n"/>
      <c r="K3" s="186" t="n"/>
      <c r="L3" s="179" t="inlineStr">
        <is>
          <t>Наименование</t>
        </is>
      </c>
      <c r="M3" s="179" t="inlineStr">
        <is>
          <t xml:space="preserve">Технические характеристики </t>
        </is>
      </c>
      <c r="N3" s="179" t="inlineStr">
        <is>
          <t>Устанавочное положение</t>
        </is>
      </c>
      <c r="O3" s="179" t="inlineStr">
        <is>
          <t>Материал штока, шара, уплотнения и т.д</t>
        </is>
      </c>
      <c r="P3" s="179" t="inlineStr">
        <is>
          <t>Габариты</t>
        </is>
      </c>
      <c r="Q3" s="181" t="inlineStr">
        <is>
          <t>Примечание</t>
        </is>
      </c>
      <c r="R3" s="187" t="n"/>
      <c r="S3" s="186" t="n"/>
      <c r="T3" s="186" t="n"/>
      <c r="U3" s="186" t="n"/>
      <c r="V3" s="186" t="n"/>
      <c r="W3" s="186" t="n"/>
      <c r="X3" s="186" t="n"/>
      <c r="Y3" s="186" t="n"/>
      <c r="Z3" s="186" t="n"/>
      <c r="AA3" s="186" t="n"/>
      <c r="AB3" s="186" t="n"/>
      <c r="AC3" s="179" t="inlineStr">
        <is>
          <t>Наименование</t>
        </is>
      </c>
      <c r="AD3" s="179" t="inlineStr">
        <is>
          <t xml:space="preserve">Технические характеристики </t>
        </is>
      </c>
      <c r="AE3" s="179" t="inlineStr">
        <is>
          <t>Устанавочное положение</t>
        </is>
      </c>
      <c r="AF3" s="179" t="inlineStr">
        <is>
          <t>Материал штока, шара, уплотнения и т.д</t>
        </is>
      </c>
      <c r="AG3" s="179" t="inlineStr">
        <is>
          <t>Габариты</t>
        </is>
      </c>
      <c r="AH3" s="181" t="inlineStr">
        <is>
          <t>Примечание</t>
        </is>
      </c>
      <c r="AI3" s="188" t="inlineStr">
        <is>
          <t>Гарантийный срок</t>
        </is>
      </c>
    </row>
    <row r="4" ht="15" customHeight="1" s="169">
      <c r="A4" s="178" t="n">
        <v>1</v>
      </c>
      <c r="B4" s="178" t="n">
        <v>2</v>
      </c>
      <c r="C4" s="179" t="n">
        <v>3</v>
      </c>
      <c r="D4" s="179" t="n">
        <v>4</v>
      </c>
      <c r="E4" s="179" t="n">
        <v>5</v>
      </c>
      <c r="F4" s="179" t="n">
        <v>6</v>
      </c>
      <c r="G4" s="179" t="n">
        <v>7</v>
      </c>
      <c r="H4" s="179" t="n">
        <v>8</v>
      </c>
      <c r="I4" s="179" t="n">
        <v>9</v>
      </c>
      <c r="J4" s="179" t="n">
        <v>10</v>
      </c>
      <c r="K4" s="179" t="n">
        <v>11</v>
      </c>
      <c r="L4" s="179" t="n">
        <v>12</v>
      </c>
      <c r="M4" s="179" t="n">
        <v>13</v>
      </c>
      <c r="N4" s="179" t="n">
        <v>14</v>
      </c>
      <c r="O4" s="179" t="n">
        <v>15</v>
      </c>
      <c r="P4" s="179" t="n">
        <v>16</v>
      </c>
      <c r="Q4" s="181" t="n">
        <v>17</v>
      </c>
      <c r="R4" s="184" t="n">
        <v>1</v>
      </c>
      <c r="S4" s="178" t="n">
        <v>2</v>
      </c>
      <c r="T4" s="179" t="n">
        <v>3</v>
      </c>
      <c r="U4" s="179" t="n">
        <v>4</v>
      </c>
      <c r="V4" s="179" t="n">
        <v>5</v>
      </c>
      <c r="W4" s="179" t="n">
        <v>6</v>
      </c>
      <c r="X4" s="179" t="n">
        <v>7</v>
      </c>
      <c r="Y4" s="179" t="n">
        <v>8</v>
      </c>
      <c r="Z4" s="179" t="n">
        <v>9</v>
      </c>
      <c r="AA4" s="179" t="n">
        <v>10</v>
      </c>
      <c r="AB4" s="179" t="n">
        <v>11</v>
      </c>
      <c r="AC4" s="179" t="n">
        <v>12</v>
      </c>
      <c r="AD4" s="179" t="n">
        <v>13</v>
      </c>
      <c r="AE4" s="179" t="n">
        <v>14</v>
      </c>
      <c r="AF4" s="179" t="n">
        <v>15</v>
      </c>
      <c r="AG4" s="179" t="n">
        <v>16</v>
      </c>
      <c r="AH4" s="181" t="n">
        <v>17</v>
      </c>
      <c r="AI4" s="188" t="n">
        <v>18</v>
      </c>
    </row>
    <row r="5" ht="18.75" customHeight="1" s="169">
      <c r="A5" s="189" t="inlineStr">
        <is>
          <t>Спецификация №1, Грузополучатель №1 Таблица 1.1 (филиал Возобновляемая энергетика) по статье затрат – энергоремонтное производство»</t>
        </is>
      </c>
      <c r="B5" s="182" t="n"/>
      <c r="C5" s="182" t="n"/>
      <c r="D5" s="182" t="n"/>
      <c r="E5" s="182" t="n"/>
      <c r="F5" s="182" t="n"/>
      <c r="G5" s="182" t="n"/>
      <c r="H5" s="182" t="n"/>
      <c r="I5" s="182" t="n"/>
      <c r="J5" s="182" t="n"/>
      <c r="K5" s="182" t="n"/>
      <c r="L5" s="182" t="n"/>
      <c r="M5" s="182" t="n"/>
      <c r="N5" s="182" t="n"/>
      <c r="O5" s="182" t="n"/>
      <c r="P5" s="182" t="n"/>
      <c r="Q5" s="183" t="n"/>
      <c r="R5" s="190">
        <f>A5</f>
        <v/>
      </c>
      <c r="S5" s="182" t="n"/>
      <c r="T5" s="182" t="n"/>
      <c r="U5" s="182" t="n"/>
      <c r="V5" s="182" t="n"/>
      <c r="W5" s="182" t="n"/>
      <c r="X5" s="182" t="n"/>
      <c r="Y5" s="182" t="n"/>
      <c r="Z5" s="182" t="n"/>
      <c r="AA5" s="182" t="n"/>
      <c r="AB5" s="182" t="n"/>
      <c r="AC5" s="182" t="n"/>
      <c r="AD5" s="182" t="n"/>
      <c r="AE5" s="182" t="n"/>
      <c r="AF5" s="182" t="n"/>
      <c r="AG5" s="182" t="n"/>
      <c r="AH5" s="183" t="n"/>
      <c r="AI5" s="191" t="n"/>
    </row>
    <row r="6" ht="81.40000000000001" customFormat="1" customHeight="1" s="171">
      <c r="A6" s="192" t="n">
        <v>1</v>
      </c>
      <c r="B6" s="193" t="inlineStr">
        <is>
          <t>Клапан предохранительный 17лс17нж Ду 200-300  Ру 16-6 полноподъемный пружинный фланцевый</t>
        </is>
      </c>
      <c r="C6" s="194" t="inlineStr">
        <is>
          <t>ТУ 3742-001-09212465-2016; ГОСТ 5761-2005, ГОСТ 9544-2015, ГОСТ 16587-71, ГОСТ 356-80</t>
        </is>
      </c>
      <c r="D6" s="194" t="n">
        <v>200</v>
      </c>
      <c r="E6" s="194" t="inlineStr">
        <is>
          <t>стандарт</t>
        </is>
      </c>
      <c r="F6" s="194" t="n">
        <v>1.6</v>
      </c>
      <c r="G6" s="194" t="inlineStr">
        <is>
          <t>От -40 °C до +225°С</t>
        </is>
      </c>
      <c r="H6" s="194" t="inlineStr">
        <is>
          <t>Жидкая и газообразная в которой скорость коррозии сталей не превышает 0,1 мм/год</t>
        </is>
      </c>
      <c r="I6" s="195" t="inlineStr">
        <is>
          <t>Корпус — сталь 20ГЛ ГОСТ 977-88;  Крышка — ст.20</t>
        </is>
      </c>
      <c r="J6" s="194" t="inlineStr">
        <is>
          <t>У1</t>
        </is>
      </c>
      <c r="K6" s="194" t="inlineStr">
        <is>
          <t xml:space="preserve">фланец-фланец </t>
        </is>
      </c>
      <c r="L6" s="195" t="inlineStr">
        <is>
          <t>автоматическое/ручное</t>
        </is>
      </c>
      <c r="M6" s="194" t="inlineStr">
        <is>
          <t>Рукоятка</t>
        </is>
      </c>
      <c r="N6" s="195" t="inlineStr">
        <is>
          <t>вертикально, колпаком вверх с подачей среды под золотник</t>
        </is>
      </c>
      <c r="O6" s="196" t="inlineStr">
        <is>
          <t xml:space="preserve">Седло — ст.20Х13; Золотник — ст.30Х13, Шток — ст.20Х13, Пружина — 50ХФА или 51ХФА. Площадь седла F - 15836 мм2; </t>
        </is>
      </c>
      <c r="P6" s="196" t="inlineStr">
        <is>
          <t>Строительная длина L/L1 мм — 280/320</t>
        </is>
      </c>
      <c r="Q6" s="197" t="n"/>
      <c r="R6" s="198">
        <f>A6</f>
        <v/>
      </c>
      <c r="S6" s="199" t="inlineStr">
        <is>
          <t>СППК4Р 200-16 лс (17лс17нж), корпус 20ГЛ</t>
        </is>
      </c>
      <c r="T6" s="199" t="inlineStr">
        <is>
          <t>ТУ 3742-004-07533604-2008</t>
        </is>
      </c>
      <c r="U6" s="200" t="inlineStr">
        <is>
          <t>200</t>
        </is>
      </c>
      <c r="V6" s="200" t="inlineStr">
        <is>
          <t>стандарт</t>
        </is>
      </c>
      <c r="W6" s="200" t="inlineStr">
        <is>
          <t>1.6</t>
        </is>
      </c>
      <c r="X6" s="200" t="inlineStr">
        <is>
          <t>От -40 °C до +225°С</t>
        </is>
      </c>
      <c r="Y6" s="200" t="inlineStr">
        <is>
          <t>Жидкая и газообразная в которой скорость коррозии сталей не превышает 0,1 мм/год</t>
        </is>
      </c>
      <c r="Z6" s="200" t="inlineStr">
        <is>
          <t>Корпус — сталь 20ГЛ ГОСТ 977-88;  Крышка — ст.20</t>
        </is>
      </c>
      <c r="AA6" s="200" t="inlineStr">
        <is>
          <t>У1</t>
        </is>
      </c>
      <c r="AB6" s="200" t="inlineStr">
        <is>
          <t>фланец-фланец</t>
        </is>
      </c>
      <c r="AC6" s="200" t="inlineStr">
        <is>
          <t>автоматическое/ручное</t>
        </is>
      </c>
      <c r="AD6" s="200" t="inlineStr">
        <is>
          <t>Рукоятка</t>
        </is>
      </c>
      <c r="AE6" s="200" t="inlineStr">
        <is>
          <t>вертикально, колпаком вверх с подачей среды под золотник</t>
        </is>
      </c>
      <c r="AF6" s="200" t="inlineStr">
        <is>
          <t>Седло — ст.20Х13; Золотник — ст.30Х13, Шток — ст.20Х13, Пружина — 50ХФА или 51ХФА. Площадь седла F - 15836 мм2;</t>
        </is>
      </c>
      <c r="AG6" s="200" t="inlineStr">
        <is>
          <t>Строительная длина L/L1 мм — 280/320</t>
        </is>
      </c>
      <c r="AH6" s="201" t="inlineStr">
        <is>
          <t>Производитель: АО «Благовещенский арматурный завод» (ИНН 0258001489); страна происхождения: Россия; № реестровой записи (ПП 719): 10329690, действует до 16.09.2030</t>
        </is>
      </c>
      <c r="AI6" s="202" t="n"/>
    </row>
    <row r="7" ht="51" customFormat="1" customHeight="1" s="171">
      <c r="A7" s="192" t="n">
        <v>2</v>
      </c>
      <c r="B7" s="193" t="inlineStr">
        <is>
          <t>Клапан запорный 15нж65нж Ду 200 Ру 16</t>
        </is>
      </c>
      <c r="C7" s="203" t="inlineStr">
        <is>
          <t>ТУ 3700-001-66364836-2010</t>
        </is>
      </c>
      <c r="D7" s="203" t="n">
        <v>200</v>
      </c>
      <c r="E7" s="203" t="inlineStr">
        <is>
          <t>Полнопроходной</t>
        </is>
      </c>
      <c r="F7" s="203" t="n">
        <v>1.6</v>
      </c>
      <c r="G7" s="204" t="inlineStr">
        <is>
          <t xml:space="preserve"> до +6000С</t>
        </is>
      </c>
      <c r="H7" s="203" t="inlineStr">
        <is>
          <t>вода, пар</t>
        </is>
      </c>
      <c r="I7" s="203" t="inlineStr">
        <is>
          <t>12Х18Н10Т</t>
        </is>
      </c>
      <c r="J7" s="203" t="inlineStr">
        <is>
          <t>УХЛ1</t>
        </is>
      </c>
      <c r="K7" s="203" t="inlineStr">
        <is>
          <t>Фланцевое</t>
        </is>
      </c>
      <c r="L7" s="203" t="inlineStr">
        <is>
          <t xml:space="preserve">Ручное </t>
        </is>
      </c>
      <c r="M7" s="203" t="inlineStr">
        <is>
          <t>Маховик (штурвал)</t>
        </is>
      </c>
      <c r="N7" s="203" t="inlineStr">
        <is>
          <t>любое</t>
        </is>
      </c>
      <c r="O7" s="203" t="inlineStr">
        <is>
          <t>Крышка — 12Х18Н10Т; седло — 12Х18Н10Т; шпиндель — 12Х18Н10Т; диск (золотник) — 12Х18Н10Т; набивка сальниковая (сальник) — ТРГ</t>
        </is>
      </c>
      <c r="P7" s="203" t="inlineStr">
        <is>
          <t>-</t>
        </is>
      </c>
      <c r="Q7" s="203" t="inlineStr">
        <is>
          <t>Класс герметичности по ГОСТ 9544-2015 «А» Поставка клапана с ответными фланцами 12Х18Н10Т</t>
        </is>
      </c>
      <c r="R7" s="198">
        <f>A7</f>
        <v/>
      </c>
      <c r="S7" s="205" t="n"/>
      <c r="T7" s="205" t="n"/>
      <c r="U7" s="205" t="n"/>
      <c r="V7" s="205" t="n"/>
      <c r="W7" s="205" t="n"/>
      <c r="X7" s="205" t="n"/>
      <c r="Y7" s="205" t="n"/>
      <c r="Z7" s="205" t="n"/>
      <c r="AA7" s="205" t="n"/>
      <c r="AB7" s="205" t="n"/>
      <c r="AC7" s="205" t="n"/>
      <c r="AD7" s="205" t="n"/>
      <c r="AE7" s="205" t="n"/>
      <c r="AF7" s="205" t="n"/>
      <c r="AG7" s="205" t="n"/>
      <c r="AH7" s="206" t="n"/>
      <c r="AI7" s="202" t="n"/>
    </row>
    <row r="8" ht="51" customFormat="1" customHeight="1" s="171">
      <c r="A8" s="192" t="n">
        <v>3</v>
      </c>
      <c r="B8" s="193" t="inlineStr">
        <is>
          <t>Клапан запорный15нж65нж Ду 50 Ру 16</t>
        </is>
      </c>
      <c r="C8" s="203" t="inlineStr">
        <is>
          <t>ТУ 3700-001-66364836-2010</t>
        </is>
      </c>
      <c r="D8" s="203" t="n">
        <v>50</v>
      </c>
      <c r="E8" s="203" t="inlineStr">
        <is>
          <t>Полнопроходной</t>
        </is>
      </c>
      <c r="F8" s="203" t="n">
        <v>1.6</v>
      </c>
      <c r="G8" s="204" t="inlineStr">
        <is>
          <t xml:space="preserve"> до +6000С</t>
        </is>
      </c>
      <c r="H8" s="203" t="inlineStr">
        <is>
          <t>вода, пар</t>
        </is>
      </c>
      <c r="I8" s="203" t="inlineStr">
        <is>
          <t>12Х18Н10Т</t>
        </is>
      </c>
      <c r="J8" s="203" t="inlineStr">
        <is>
          <t>УХЛ1</t>
        </is>
      </c>
      <c r="K8" s="203" t="inlineStr">
        <is>
          <t>Фланцевое</t>
        </is>
      </c>
      <c r="L8" s="203" t="inlineStr">
        <is>
          <t xml:space="preserve">Ручное </t>
        </is>
      </c>
      <c r="M8" s="203" t="inlineStr">
        <is>
          <t>Маховик (штурвал)</t>
        </is>
      </c>
      <c r="N8" s="203" t="inlineStr">
        <is>
          <t>любое</t>
        </is>
      </c>
      <c r="O8" s="203" t="inlineStr">
        <is>
          <t>Крышка — 12Х18Н10Т; седло — 12Х18Н10Т; шпиндель — 12Х18Н10Т; диск (золотник) — 12Х18Н10Т; набивка сальниковая (сальник) — ТРГ</t>
        </is>
      </c>
      <c r="P8" s="203" t="inlineStr">
        <is>
          <t>-</t>
        </is>
      </c>
      <c r="Q8" s="203" t="inlineStr">
        <is>
          <t>Класс герметичности по ГОСТ 9544-2015 «А» Поставка клапана с ответными фланцами 12Х18Н10Т</t>
        </is>
      </c>
      <c r="R8" s="198">
        <f>A8</f>
        <v/>
      </c>
      <c r="S8" s="205" t="n"/>
      <c r="T8" s="205" t="n"/>
      <c r="U8" s="205" t="n"/>
      <c r="V8" s="205" t="n"/>
      <c r="W8" s="205" t="n"/>
      <c r="X8" s="205" t="n"/>
      <c r="Y8" s="205" t="n"/>
      <c r="Z8" s="205" t="n"/>
      <c r="AA8" s="205" t="n"/>
      <c r="AB8" s="205" t="n"/>
      <c r="AC8" s="205" t="n"/>
      <c r="AD8" s="205" t="n"/>
      <c r="AE8" s="205" t="n"/>
      <c r="AF8" s="205" t="n"/>
      <c r="AG8" s="205" t="n"/>
      <c r="AH8" s="206" t="n"/>
      <c r="AI8" s="202" t="n"/>
    </row>
    <row r="9" ht="63.75" customFormat="1" customHeight="1" s="171">
      <c r="A9" s="192" t="n">
        <v>4</v>
      </c>
      <c r="B9" s="193" t="inlineStr">
        <is>
          <t>Клапан запорный15с52нж11 Ду 32 Ру 63 под приварку</t>
        </is>
      </c>
      <c r="C9" s="203" t="inlineStr">
        <is>
          <t xml:space="preserve"> ГОСТ 12.2.063-2015 </t>
        </is>
      </c>
      <c r="D9" s="203" t="n">
        <v>32</v>
      </c>
      <c r="E9" s="203" t="inlineStr">
        <is>
          <t xml:space="preserve">стандарт </t>
        </is>
      </c>
      <c r="F9" s="203" t="n">
        <v>6.3</v>
      </c>
      <c r="G9" s="203" t="inlineStr">
        <is>
          <t>До +400</t>
        </is>
      </c>
      <c r="H9" s="203" t="inlineStr">
        <is>
          <t xml:space="preserve">вода пар газ и другие  рабочие среды, неагрессивные к деталям задвижки </t>
        </is>
      </c>
      <c r="I9" s="203" t="inlineStr">
        <is>
          <t>Сталь 20</t>
        </is>
      </c>
      <c r="J9" s="194" t="inlineStr">
        <is>
          <t>У1</t>
        </is>
      </c>
      <c r="K9" s="203" t="inlineStr">
        <is>
          <t xml:space="preserve">под приварку </t>
        </is>
      </c>
      <c r="L9" s="203" t="inlineStr">
        <is>
          <t xml:space="preserve">ручное </t>
        </is>
      </c>
      <c r="M9" s="203" t="inlineStr">
        <is>
          <t>рукоятка</t>
        </is>
      </c>
      <c r="N9" s="203" t="inlineStr">
        <is>
          <t>направленная</t>
        </is>
      </c>
      <c r="O9" s="203" t="inlineStr">
        <is>
          <t xml:space="preserve">корпус сталь 20     золотник сталь 20х13   шпиндель сталь35 сальниковая набивка АГИ </t>
        </is>
      </c>
      <c r="P9" s="203" t="n"/>
      <c r="Q9" s="203" t="n"/>
      <c r="R9" s="198">
        <f>A9</f>
        <v/>
      </c>
      <c r="S9" s="205" t="n"/>
      <c r="T9" s="205" t="n"/>
      <c r="U9" s="205" t="n"/>
      <c r="V9" s="205" t="n"/>
      <c r="W9" s="205" t="n"/>
      <c r="X9" s="205" t="n"/>
      <c r="Y9" s="205" t="n"/>
      <c r="Z9" s="205" t="n"/>
      <c r="AA9" s="205" t="n"/>
      <c r="AB9" s="205" t="n"/>
      <c r="AC9" s="205" t="n"/>
      <c r="AD9" s="205" t="n"/>
      <c r="AE9" s="205" t="n"/>
      <c r="AF9" s="205" t="n"/>
      <c r="AG9" s="205" t="n"/>
      <c r="AH9" s="206" t="n"/>
      <c r="AI9" s="202" t="n"/>
    </row>
    <row r="10" ht="135" customFormat="1" customHeight="1" s="171">
      <c r="A10" s="192" t="n">
        <v>5</v>
      </c>
      <c r="B10" s="193" t="inlineStr">
        <is>
          <t>Задвижка 30нж41нж Ду 150 Ру 16 1исп. САЗ</t>
        </is>
      </c>
      <c r="C10" s="207" t="inlineStr">
        <is>
          <t>ГОСТ 5762-2002</t>
        </is>
      </c>
      <c r="D10" s="207" t="n">
        <v>150</v>
      </c>
      <c r="E10" s="207" t="inlineStr">
        <is>
          <t>стандартный</t>
        </is>
      </c>
      <c r="F10" s="207" t="n">
        <v>1.6</v>
      </c>
      <c r="G10" s="207" t="inlineStr">
        <is>
          <t>от -60 до +560</t>
        </is>
      </c>
      <c r="H10" s="207" t="inlineStr">
        <is>
          <t>Жидкие и газообразные углеводороды, нефть, нефтепродукты, природный газ, газоконденсат, вода пар и другие жидкости и газы</t>
        </is>
      </c>
      <c r="I10" s="207" t="inlineStr">
        <is>
          <t>сталь 12Х18Н9ТЛ</t>
        </is>
      </c>
      <c r="J10" s="207" t="inlineStr">
        <is>
          <t>УХЛ1</t>
        </is>
      </c>
      <c r="K10" s="207" t="inlineStr">
        <is>
          <t>фланцевый</t>
        </is>
      </c>
      <c r="L10" s="207" t="inlineStr">
        <is>
          <t>ручной (маховик)</t>
        </is>
      </c>
      <c r="M10" s="207" t="inlineStr">
        <is>
          <t>-</t>
        </is>
      </c>
      <c r="N10" s="207" t="inlineStr">
        <is>
          <t>любое</t>
        </is>
      </c>
      <c r="O10" s="207" t="inlineStr">
        <is>
          <t>1) Диски-12Х18Н9ТЛ; 2) Шпиндель-12Х18Н9Т; 3) Прокладка-Паронит ПМБ; 4) Крышка-12Х18Н9ТЛ; 5) Гайка-12Х18Н9Т; 6) Шпилька 45Х14Н14В2М; 7) Набивка сальника-ТРГ; 8)Сальник-12Х18Н9ТЛ; 9) Болт откидной-45Х14Н14В2М; 10) Втулка резьбовая-Лц 40С; 11)Маховик-20ГЛ; 12) Контргайка-35Х; 13)Шпонка-40Х; 14) Ось-2Х18Н9</t>
        </is>
      </c>
      <c r="P10" s="197" t="n"/>
      <c r="Q10" s="197" t="n"/>
      <c r="R10" s="198">
        <f>A10</f>
        <v/>
      </c>
      <c r="S10" s="205" t="n"/>
      <c r="T10" s="205" t="n"/>
      <c r="U10" s="205" t="n"/>
      <c r="V10" s="205" t="n"/>
      <c r="W10" s="205" t="n"/>
      <c r="X10" s="205" t="n"/>
      <c r="Y10" s="205" t="n"/>
      <c r="Z10" s="205" t="n"/>
      <c r="AA10" s="205" t="n"/>
      <c r="AB10" s="205" t="n"/>
      <c r="AC10" s="205" t="n"/>
      <c r="AD10" s="205" t="n"/>
      <c r="AE10" s="205" t="n"/>
      <c r="AF10" s="205" t="n"/>
      <c r="AG10" s="205" t="n"/>
      <c r="AH10" s="206" t="n"/>
      <c r="AI10" s="202" t="n"/>
    </row>
    <row r="11" ht="89.25" customFormat="1" customHeight="1" s="171">
      <c r="A11" s="192" t="n">
        <v>6</v>
      </c>
      <c r="B11" s="193" t="inlineStr">
        <is>
          <t>Задвижка 30нж947нж Ду 1000 Ру 4</t>
        </is>
      </c>
      <c r="C11" s="194" t="inlineStr">
        <is>
          <t>ТУ 3741-001-09212465-2016</t>
        </is>
      </c>
      <c r="D11" s="194" t="n">
        <v>1000</v>
      </c>
      <c r="E11" s="194" t="inlineStr">
        <is>
          <t>стандарт</t>
        </is>
      </c>
      <c r="F11" s="194" t="n">
        <v>0.4</v>
      </c>
      <c r="G11" s="194" t="inlineStr">
        <is>
          <t xml:space="preserve">0т -40°С до 300°С  </t>
        </is>
      </c>
      <c r="H11" s="194" t="inlineStr">
        <is>
          <t>Вода</t>
        </is>
      </c>
      <c r="I11" s="194" t="inlineStr">
        <is>
          <t>Ст.12Х18Н10Т</t>
        </is>
      </c>
      <c r="J11" s="194" t="inlineStr">
        <is>
          <t>У</t>
        </is>
      </c>
      <c r="K11" s="194" t="inlineStr">
        <is>
          <t>фланец-фланец по ГОСТ 33259-2015</t>
        </is>
      </c>
      <c r="L11" s="208" t="inlineStr">
        <is>
          <t>Под привод , тип присоединения: ЦКБ-В/ISO-F25</t>
        </is>
      </c>
      <c r="M11" s="194" t="inlineStr">
        <is>
          <t xml:space="preserve">Максимально крутящий момент: 840Нм; Число оборотов втулки: 141 </t>
        </is>
      </c>
      <c r="N11" s="194" t="inlineStr">
        <is>
          <t>Вертикально</t>
        </is>
      </c>
      <c r="O11" s="209" t="inlineStr">
        <is>
          <t>Корпус — 12Х18Н10Т;                                                       Крышка — 12Х18Н10Т;                                                      Клин- 12Х18Н10Т;                                                               Пошипниковый узел — ст.20;                                           Шпиндель — 20Х13;                                                           Сальниковое уплотнение — набивка из ТРГ;                 Наплавка колец корпуса и клина — ЦН6Л</t>
        </is>
      </c>
      <c r="P11" s="194" t="inlineStr">
        <is>
          <t>Н-3320мм * L-550 мм</t>
        </is>
      </c>
      <c r="Q11" s="197" t="n"/>
      <c r="R11" s="198">
        <f>A11</f>
        <v/>
      </c>
      <c r="S11" s="205" t="n"/>
      <c r="T11" s="205" t="n"/>
      <c r="U11" s="205" t="n"/>
      <c r="V11" s="205" t="n"/>
      <c r="W11" s="205" t="n"/>
      <c r="X11" s="205" t="n"/>
      <c r="Y11" s="205" t="n"/>
      <c r="Z11" s="205" t="n"/>
      <c r="AA11" s="205" t="n"/>
      <c r="AB11" s="205" t="n"/>
      <c r="AC11" s="205" t="n"/>
      <c r="AD11" s="205" t="n"/>
      <c r="AE11" s="205" t="n"/>
      <c r="AF11" s="205" t="n"/>
      <c r="AG11" s="205" t="n"/>
      <c r="AH11" s="206" t="n"/>
      <c r="AI11" s="202" t="n"/>
    </row>
    <row r="12" ht="63.75" customFormat="1" customHeight="1" s="171">
      <c r="A12" s="192" t="n">
        <v>7</v>
      </c>
      <c r="B12" s="193" t="inlineStr">
        <is>
          <t>Задвижка 30с41нж Ду 50 Ру 16</t>
        </is>
      </c>
      <c r="C12" s="210" t="inlineStr">
        <is>
          <t>ТУ 3741–001–24380482–2016</t>
        </is>
      </c>
      <c r="D12" s="210" t="n">
        <v>50</v>
      </c>
      <c r="E12" s="210" t="inlineStr">
        <is>
          <t>стандарт</t>
        </is>
      </c>
      <c r="F12" s="210" t="n">
        <v>1.6</v>
      </c>
      <c r="G12" s="210" t="inlineStr">
        <is>
          <t>до +425</t>
        </is>
      </c>
      <c r="H12" s="210" t="inlineStr">
        <is>
          <t>Вода</t>
        </is>
      </c>
      <c r="I12" s="210" t="inlineStr">
        <is>
          <t>Сталь 25 Л</t>
        </is>
      </c>
      <c r="J12" s="210" t="inlineStr">
        <is>
          <t>У1</t>
        </is>
      </c>
      <c r="K12" s="210" t="inlineStr">
        <is>
          <t>фланец-фланец по ГОСТ 33259-2015</t>
        </is>
      </c>
      <c r="L12" s="210" t="inlineStr">
        <is>
          <t xml:space="preserve">Ручное  </t>
        </is>
      </c>
      <c r="M12" s="210" t="inlineStr">
        <is>
          <t>штурвал</t>
        </is>
      </c>
      <c r="N12" s="210" t="inlineStr">
        <is>
          <t>Любое</t>
        </is>
      </c>
      <c r="O12" s="210" t="inlineStr">
        <is>
          <t>Корпус, крышка, клин, маховик - сталь 25Л ГОСТ 977
шпиндель - сталь 20Х13 ГОСТ 5632
прокладка и уплотнение сальниковое - ТРГ
наплавка на кольце в корпусе и клине - тип 20Х13</t>
        </is>
      </c>
      <c r="P12" s="210" t="inlineStr">
        <is>
          <t>180 *281</t>
        </is>
      </c>
      <c r="Q12" s="211" t="n"/>
      <c r="R12" s="198">
        <f>A12</f>
        <v/>
      </c>
      <c r="S12" s="205" t="n"/>
      <c r="T12" s="205" t="n"/>
      <c r="U12" s="205" t="n"/>
      <c r="V12" s="205" t="n"/>
      <c r="W12" s="205" t="n"/>
      <c r="X12" s="205" t="n"/>
      <c r="Y12" s="205" t="n"/>
      <c r="Z12" s="205" t="n"/>
      <c r="AA12" s="205" t="n"/>
      <c r="AB12" s="205" t="n"/>
      <c r="AC12" s="205" t="n"/>
      <c r="AD12" s="205" t="n"/>
      <c r="AE12" s="205" t="n"/>
      <c r="AF12" s="205" t="n"/>
      <c r="AG12" s="205" t="n"/>
      <c r="AH12" s="206" t="n"/>
      <c r="AI12" s="202" t="n"/>
    </row>
    <row r="13" ht="63.75" customFormat="1" customHeight="1" s="171">
      <c r="A13" s="192" t="n">
        <v>8</v>
      </c>
      <c r="B13" s="193" t="inlineStr">
        <is>
          <t>Задвижка 30с41нж Ду 100 Ру 16</t>
        </is>
      </c>
      <c r="C13" s="210" t="inlineStr">
        <is>
          <t>ТУ 3741–001–24380482–2016</t>
        </is>
      </c>
      <c r="D13" s="210" t="n">
        <v>100</v>
      </c>
      <c r="E13" s="210" t="inlineStr">
        <is>
          <t>стандарт</t>
        </is>
      </c>
      <c r="F13" s="210" t="n">
        <v>1.6</v>
      </c>
      <c r="G13" s="210" t="inlineStr">
        <is>
          <t>до +425</t>
        </is>
      </c>
      <c r="H13" s="210" t="inlineStr">
        <is>
          <t>вода, пар, жидкие неагрессивные среды</t>
        </is>
      </c>
      <c r="I13" s="210" t="inlineStr">
        <is>
          <t>сталь 25Л</t>
        </is>
      </c>
      <c r="J13" s="210" t="inlineStr">
        <is>
          <t>У1</t>
        </is>
      </c>
      <c r="K13" s="210" t="inlineStr">
        <is>
          <t>фланцевый</t>
        </is>
      </c>
      <c r="L13" s="210" t="inlineStr">
        <is>
          <t>ручной (маховик)</t>
        </is>
      </c>
      <c r="M13" s="212" t="inlineStr">
        <is>
          <t>-</t>
        </is>
      </c>
      <c r="N13" s="210" t="inlineStr">
        <is>
          <t>маховиком вверх</t>
        </is>
      </c>
      <c r="O13" s="210" t="inlineStr">
        <is>
          <t>Корпус, крышка, клин, маховик - сталь 25Л ГОСТ 977
шпиндель - сталь 20Х13 ГОСТ 5632
прокладка и уплотнение сальниковое - ТРГ
наплавка на кольце в корпусе и клине - тип 20Х13</t>
        </is>
      </c>
      <c r="P13" s="210" t="inlineStr">
        <is>
          <t>-</t>
        </is>
      </c>
      <c r="Q13" s="210" t="inlineStr">
        <is>
          <t>-</t>
        </is>
      </c>
      <c r="R13" s="198">
        <f>A13</f>
        <v/>
      </c>
      <c r="S13" s="205" t="n"/>
      <c r="T13" s="205" t="n"/>
      <c r="U13" s="205" t="n"/>
      <c r="V13" s="205" t="n"/>
      <c r="W13" s="205" t="n"/>
      <c r="X13" s="205" t="n"/>
      <c r="Y13" s="205" t="n"/>
      <c r="Z13" s="205" t="n"/>
      <c r="AA13" s="205" t="n"/>
      <c r="AB13" s="205" t="n"/>
      <c r="AC13" s="205" t="n"/>
      <c r="AD13" s="205" t="n"/>
      <c r="AE13" s="205" t="n"/>
      <c r="AF13" s="205" t="n"/>
      <c r="AG13" s="205" t="n"/>
      <c r="AH13" s="206" t="n"/>
      <c r="AI13" s="202" t="n"/>
    </row>
    <row r="14" ht="63.75" customFormat="1" customHeight="1" s="171">
      <c r="A14" s="192" t="n">
        <v>9</v>
      </c>
      <c r="B14" s="193" t="inlineStr">
        <is>
          <t>Задвижка 30с41нж Ду 150 Ру 16</t>
        </is>
      </c>
      <c r="C14" s="210" t="inlineStr">
        <is>
          <t>ТУ 3741–001–24380482–2016</t>
        </is>
      </c>
      <c r="D14" s="210" t="n">
        <v>150</v>
      </c>
      <c r="E14" s="210" t="inlineStr">
        <is>
          <t>стандарт</t>
        </is>
      </c>
      <c r="F14" s="210" t="n">
        <v>1.6</v>
      </c>
      <c r="G14" s="210" t="inlineStr">
        <is>
          <t>до +425</t>
        </is>
      </c>
      <c r="H14" s="210" t="inlineStr">
        <is>
          <t>вода, пар, жидкие неагрессивные среды</t>
        </is>
      </c>
      <c r="I14" s="210" t="inlineStr">
        <is>
          <t>сталь 25Л</t>
        </is>
      </c>
      <c r="J14" s="210" t="inlineStr">
        <is>
          <t>У1</t>
        </is>
      </c>
      <c r="K14" s="210" t="inlineStr">
        <is>
          <t>фланцевый</t>
        </is>
      </c>
      <c r="L14" s="210" t="inlineStr">
        <is>
          <t>ручной (маховик)</t>
        </is>
      </c>
      <c r="M14" s="212" t="inlineStr">
        <is>
          <t>-</t>
        </is>
      </c>
      <c r="N14" s="210" t="inlineStr">
        <is>
          <t>маховиком вверх</t>
        </is>
      </c>
      <c r="O14" s="210" t="inlineStr">
        <is>
          <t>Корпус, крышка, клин, маховик - сталь 25Л ГОСТ 977
шпиндель - сталь 20Х13 ГОСТ 5632
прокладка и уплотнение сальниковое - ТРГ
наплавка на кольце в корпусе и клине - тип 20Х13</t>
        </is>
      </c>
      <c r="P14" s="210" t="inlineStr">
        <is>
          <t>-</t>
        </is>
      </c>
      <c r="Q14" s="210" t="inlineStr">
        <is>
          <t>-</t>
        </is>
      </c>
      <c r="R14" s="198">
        <f>A14</f>
        <v/>
      </c>
      <c r="S14" s="205" t="n"/>
      <c r="T14" s="205" t="n"/>
      <c r="U14" s="205" t="n"/>
      <c r="V14" s="205" t="n"/>
      <c r="W14" s="205" t="n"/>
      <c r="X14" s="205" t="n"/>
      <c r="Y14" s="205" t="n"/>
      <c r="Z14" s="205" t="n"/>
      <c r="AA14" s="205" t="n"/>
      <c r="AB14" s="205" t="n"/>
      <c r="AC14" s="205" t="n"/>
      <c r="AD14" s="205" t="n"/>
      <c r="AE14" s="205" t="n"/>
      <c r="AF14" s="205" t="n"/>
      <c r="AG14" s="205" t="n"/>
      <c r="AH14" s="206" t="n"/>
      <c r="AI14" s="202" t="n"/>
    </row>
    <row r="15" ht="63.75" customFormat="1" customHeight="1" s="171">
      <c r="A15" s="192" t="n">
        <v>10</v>
      </c>
      <c r="B15" s="193" t="inlineStr">
        <is>
          <t>Задвижка клиновая фланцевая 30с41нж Ду 300 Ру 16 с КОФ</t>
        </is>
      </c>
      <c r="C15" s="194" t="inlineStr">
        <is>
          <t>ТУ3741–001–27104101–2014</t>
        </is>
      </c>
      <c r="D15" s="194" t="n">
        <v>300</v>
      </c>
      <c r="E15" s="194" t="inlineStr">
        <is>
          <t>стандарт</t>
        </is>
      </c>
      <c r="F15" s="194" t="n">
        <v>1.6</v>
      </c>
      <c r="G15" s="210" t="inlineStr">
        <is>
          <t>до +425</t>
        </is>
      </c>
      <c r="H15" s="194" t="inlineStr">
        <is>
          <t>вода / пар/ газы</t>
        </is>
      </c>
      <c r="I15" s="194" t="inlineStr">
        <is>
          <t>сталь 25Л</t>
        </is>
      </c>
      <c r="J15" s="194" t="inlineStr">
        <is>
          <t>У1</t>
        </is>
      </c>
      <c r="K15" s="194" t="inlineStr">
        <is>
          <t xml:space="preserve">фланец-фланец </t>
        </is>
      </c>
      <c r="L15" s="194" t="inlineStr">
        <is>
          <t xml:space="preserve">Ручное  </t>
        </is>
      </c>
      <c r="M15" s="194" t="inlineStr">
        <is>
          <t>штурвал</t>
        </is>
      </c>
      <c r="N15" s="194" t="inlineStr">
        <is>
          <t>Любое</t>
        </is>
      </c>
      <c r="O15" s="209" t="inlineStr">
        <is>
          <t>Материал корпуса — Сталь 25Л;                        Материал клина - Нержавеющая сталь;         Уплотнение - Металл по металлу.</t>
        </is>
      </c>
      <c r="P15" s="209" t="inlineStr">
        <is>
          <t>Габариты ДхШхВ, мм: 500х460х1375       Строительная длина: L 500 мм; Высота 1145 мм</t>
        </is>
      </c>
      <c r="Q15" s="207" t="n"/>
      <c r="R15" s="198">
        <f>A15</f>
        <v/>
      </c>
      <c r="S15" s="205" t="n"/>
      <c r="T15" s="205" t="n"/>
      <c r="U15" s="205" t="n"/>
      <c r="V15" s="205" t="n"/>
      <c r="W15" s="205" t="n"/>
      <c r="X15" s="205" t="n"/>
      <c r="Y15" s="205" t="n"/>
      <c r="Z15" s="205" t="n"/>
      <c r="AA15" s="205" t="n"/>
      <c r="AB15" s="205" t="n"/>
      <c r="AC15" s="205" t="n"/>
      <c r="AD15" s="205" t="n"/>
      <c r="AE15" s="205" t="n"/>
      <c r="AF15" s="205" t="n"/>
      <c r="AG15" s="205" t="n"/>
      <c r="AH15" s="206" t="n"/>
      <c r="AI15" s="202" t="n"/>
    </row>
    <row r="16" ht="178.5" customFormat="1" customHeight="1" s="171">
      <c r="A16" s="192" t="n">
        <v>11</v>
      </c>
      <c r="B16" s="193" t="inlineStr">
        <is>
          <t>Задвижка 30С576НЖ Ду 300 Ру 63 с редуктором РК-Г-1М, в комплекте с крепежом и ответными фланцами.</t>
        </is>
      </c>
      <c r="C16" s="213" t="inlineStr">
        <is>
          <t>ГОСТ 9544-2015</t>
        </is>
      </c>
      <c r="D16" s="203" t="n">
        <v>300</v>
      </c>
      <c r="E16" s="203" t="inlineStr">
        <is>
          <t xml:space="preserve">стандарт </t>
        </is>
      </c>
      <c r="F16" s="203" t="n">
        <v>6.3</v>
      </c>
      <c r="G16" s="210" t="inlineStr">
        <is>
          <t>до +425</t>
        </is>
      </c>
      <c r="H16" s="213" t="inlineStr">
        <is>
          <t>жидкие и газообразные углеводороды, нефть, нефтепродукты, природный газ, газоконденсат, вода, пар, а так же другие агрессивные жидкости и газы, неагрессивные к примененным в задвижке клиновой материалам</t>
        </is>
      </c>
      <c r="I16" s="203" t="inlineStr">
        <is>
          <t>Сталь 25Л</t>
        </is>
      </c>
      <c r="J16" s="194" t="inlineStr">
        <is>
          <t>У1</t>
        </is>
      </c>
      <c r="K16" s="203" t="inlineStr">
        <is>
          <t xml:space="preserve">фланец -фланец под приварку </t>
        </is>
      </c>
      <c r="L16" s="203" t="inlineStr">
        <is>
          <t>редуктор РК-Г1</t>
        </is>
      </c>
      <c r="M16" s="203" t="inlineStr">
        <is>
          <t>РК-Г-1</t>
        </is>
      </c>
      <c r="N16" s="203" t="inlineStr">
        <is>
          <t>любое</t>
        </is>
      </c>
      <c r="O16" s="203" t="inlineStr">
        <is>
          <t xml:space="preserve">    Корпус: сталь 25Л    Крышка: сталь 25Л Клин: сталь 25Л  Шпиндель: сталь 20Х13     Гайка шпинделя: латунь ЛС59    Гайка: сталь 45     Шпилька, болт: сталь 35ХМ     . Болт откидной: сталь 35ХМ      Прокладка: спирально-навитая     • 10. Набивка сальника: ТРГ     • 11. Редуктор: редуктор конический или цилиндрический     • 12. Подшипник: по ГОСТ 7872-89     • 13. Наплавка на кольце в корпусе: сталь 07Х25Н13   Наплавка на клине: сталь 13Х25Т</t>
        </is>
      </c>
      <c r="P16" s="203" t="n"/>
      <c r="Q16" s="203" t="n"/>
      <c r="R16" s="198">
        <f>A16</f>
        <v/>
      </c>
      <c r="S16" s="205" t="n"/>
      <c r="T16" s="205" t="n"/>
      <c r="U16" s="205" t="n"/>
      <c r="V16" s="205" t="n"/>
      <c r="W16" s="205" t="n"/>
      <c r="X16" s="205" t="n"/>
      <c r="Y16" s="205" t="n"/>
      <c r="Z16" s="205" t="n"/>
      <c r="AA16" s="205" t="n"/>
      <c r="AB16" s="205" t="n"/>
      <c r="AC16" s="205" t="n"/>
      <c r="AD16" s="205" t="n"/>
      <c r="AE16" s="205" t="n"/>
      <c r="AF16" s="205" t="n"/>
      <c r="AG16" s="205" t="n"/>
      <c r="AH16" s="206" t="n"/>
      <c r="AI16" s="202" t="n"/>
    </row>
    <row r="17" ht="153" customFormat="1" customHeight="1" s="171">
      <c r="A17" s="192" t="n">
        <v>12</v>
      </c>
      <c r="B17" s="193" t="inlineStr">
        <is>
          <t>Задвижка клиновая фланцевая 30с941нж Ду 500 Ру 16 с КОФ под электропривод Bernard ST-30</t>
        </is>
      </c>
      <c r="C17" s="195" t="inlineStr">
        <is>
          <t>ТУ 28.14.11-001-27709620-2022ТУ 28.14.11-001-27709620-2022</t>
        </is>
      </c>
      <c r="D17" s="194" t="n">
        <v>500</v>
      </c>
      <c r="E17" s="194" t="inlineStr">
        <is>
          <t>стандарт</t>
        </is>
      </c>
      <c r="F17" s="194" t="inlineStr">
        <is>
          <t>1,6 МПа</t>
        </is>
      </c>
      <c r="G17" s="210" t="inlineStr">
        <is>
          <t>до +425</t>
        </is>
      </c>
      <c r="H17" s="195" t="inlineStr">
        <is>
          <t>вода / пар/ газы</t>
        </is>
      </c>
      <c r="I17" s="194" t="inlineStr">
        <is>
          <t>сталь 25Л</t>
        </is>
      </c>
      <c r="J17" s="194" t="inlineStr">
        <is>
          <t>У1</t>
        </is>
      </c>
      <c r="K17" s="194" t="inlineStr">
        <is>
          <t xml:space="preserve">фланец-фланец </t>
        </is>
      </c>
      <c r="L17" s="194" t="inlineStr">
        <is>
          <t>под электропривод</t>
        </is>
      </c>
      <c r="M17" s="194" t="inlineStr">
        <is>
          <t>Bernard ST-30</t>
        </is>
      </c>
      <c r="N17" s="194" t="inlineStr">
        <is>
          <t>Любое</t>
        </is>
      </c>
      <c r="O17" s="196" t="inlineStr">
        <is>
          <t>Крышка: сталь 25Л Клин (диски): сталь 25Л  Шпиндель: 20Х13 Гайка шпинделя: латунь ЛС59-1 Гайка: углеродистая сталь ГОСТ 1050—88 класс прочности не ниже 5.6 по ГОСТ 1759.5—87 Шпилька, болт: углеродистая сталь ГОСТ 1050—88 класс прочности не ниже 5.6 по ГОСТ 1759.5—87 Болт откидной: сталь 35 Уплотнение между корпусом и крышкой (прокладка, кольцо): паронит, ТРГ Набивка сальника: АГИ, ТРГ Подшипник: шариковый упорный Наплавка на кольце в корпусе: 07Х25Н13, 08Х21Н10Г6 Наплавка на клине: 13Х25Т, 10Х17Т</t>
        </is>
      </c>
      <c r="P17" s="194" t="inlineStr">
        <is>
          <t xml:space="preserve">700 * 1545 </t>
        </is>
      </c>
      <c r="Q17" s="197" t="inlineStr">
        <is>
          <t>Тип присоединения электропривода» — «F16»</t>
        </is>
      </c>
      <c r="R17" s="198">
        <f>A17</f>
        <v/>
      </c>
      <c r="S17" s="205" t="n"/>
      <c r="T17" s="205" t="n"/>
      <c r="U17" s="205" t="n"/>
      <c r="V17" s="205" t="n"/>
      <c r="W17" s="205" t="n"/>
      <c r="X17" s="205" t="n"/>
      <c r="Y17" s="205" t="n"/>
      <c r="Z17" s="205" t="n"/>
      <c r="AA17" s="205" t="n"/>
      <c r="AB17" s="205" t="n"/>
      <c r="AC17" s="205" t="n"/>
      <c r="AD17" s="205" t="n"/>
      <c r="AE17" s="205" t="n"/>
      <c r="AF17" s="205" t="n"/>
      <c r="AG17" s="205" t="n"/>
      <c r="AH17" s="206" t="n"/>
      <c r="AI17" s="202" t="n"/>
    </row>
    <row r="18" ht="60" customFormat="1" customHeight="1" s="171">
      <c r="A18" s="192" t="n">
        <v>13</v>
      </c>
      <c r="B18" s="193" t="inlineStr">
        <is>
          <t>Задвижка 30с964нж Ду 300 Ру 25</t>
        </is>
      </c>
      <c r="C18" s="214" t="inlineStr">
        <is>
          <t>ТУ 3740-002-30995032-2014</t>
        </is>
      </c>
      <c r="D18" s="204" t="n">
        <v>300</v>
      </c>
      <c r="E18" s="207" t="inlineStr">
        <is>
          <t>стандарт</t>
        </is>
      </c>
      <c r="F18" s="204" t="n">
        <v>2.5</v>
      </c>
      <c r="G18" s="207" t="inlineStr">
        <is>
          <t>от −40°С до + 425°С</t>
        </is>
      </c>
      <c r="H18" s="214" t="inlineStr">
        <is>
          <t>вода, пар</t>
        </is>
      </c>
      <c r="I18" s="203" t="inlineStr">
        <is>
          <t>Сталь 25Л</t>
        </is>
      </c>
      <c r="J18" s="194" t="inlineStr">
        <is>
          <t>У1</t>
        </is>
      </c>
      <c r="K18" s="204" t="inlineStr">
        <is>
          <t>Под приварку</t>
        </is>
      </c>
      <c r="L18" s="204" t="inlineStr">
        <is>
          <t>Под привод, ручное</t>
        </is>
      </c>
      <c r="M18" s="204" t="inlineStr">
        <is>
          <t>Фланец тип В (ЦКБА 062-2009)</t>
        </is>
      </c>
      <c r="N18" s="204" t="inlineStr">
        <is>
          <t>Любое, кроме положения электроприводом вниз</t>
        </is>
      </c>
      <c r="O18" s="204" t="inlineStr">
        <is>
          <t>Крышка — 25Л; клин — 25Л; шпиндель — 20Х13; набивка сальниковая (сальник) — ТРГ</t>
        </is>
      </c>
      <c r="P18" s="204" t="inlineStr">
        <is>
          <t>-</t>
        </is>
      </c>
      <c r="Q18" s="204" t="inlineStr">
        <is>
          <t>Класс герметичности по ГОСТ 9544-2015 «А» Под электропривод Н-В-02 У2, фланец тип В (ЦКБА 062-2009)</t>
        </is>
      </c>
      <c r="R18" s="198">
        <f>A18</f>
        <v/>
      </c>
      <c r="S18" s="205" t="n"/>
      <c r="T18" s="205" t="n"/>
      <c r="U18" s="205" t="n"/>
      <c r="V18" s="205" t="n"/>
      <c r="W18" s="205" t="n"/>
      <c r="X18" s="205" t="n"/>
      <c r="Y18" s="205" t="n"/>
      <c r="Z18" s="205" t="n"/>
      <c r="AA18" s="205" t="n"/>
      <c r="AB18" s="205" t="n"/>
      <c r="AC18" s="205" t="n"/>
      <c r="AD18" s="205" t="n"/>
      <c r="AE18" s="205" t="n"/>
      <c r="AF18" s="205" t="n"/>
      <c r="AG18" s="205" t="n"/>
      <c r="AH18" s="206" t="n"/>
      <c r="AI18" s="202" t="n"/>
    </row>
    <row r="19" ht="90" customFormat="1" customHeight="1" s="171">
      <c r="A19" s="192" t="n">
        <v>14</v>
      </c>
      <c r="B19" s="193" t="inlineStr">
        <is>
          <t>Кран шаровой 11б27п1 Ду 15 Ру 16</t>
        </is>
      </c>
      <c r="C19" s="197" t="inlineStr">
        <is>
          <t xml:space="preserve">ГОСТ 9544-2015 ГОСТ 28343 ГОСТ 21345 </t>
        </is>
      </c>
      <c r="D19" s="197" t="n">
        <v>15</v>
      </c>
      <c r="E19" s="197" t="inlineStr">
        <is>
          <t>полный</t>
        </is>
      </c>
      <c r="F19" s="197" t="n">
        <v>1.6</v>
      </c>
      <c r="G19" s="197" t="inlineStr">
        <is>
          <t>От -10 до +90 °С</t>
        </is>
      </c>
      <c r="H19" s="197" t="inlineStr">
        <is>
          <t>вода</t>
        </is>
      </c>
      <c r="I19" s="197" t="inlineStr">
        <is>
          <t>латунь HPb58-2A</t>
        </is>
      </c>
      <c r="J19" s="197" t="inlineStr">
        <is>
          <t>У1</t>
        </is>
      </c>
      <c r="K19" s="197" t="inlineStr">
        <is>
          <t>Муфта-муфта ВР-ВР</t>
        </is>
      </c>
      <c r="L19" s="197" t="inlineStr">
        <is>
          <t xml:space="preserve">Ручное </t>
        </is>
      </c>
      <c r="M19" s="197" t="inlineStr">
        <is>
          <t>рукоятка</t>
        </is>
      </c>
      <c r="N19" s="197" t="inlineStr">
        <is>
          <t>любое</t>
        </is>
      </c>
      <c r="O19" s="207"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19" s="197" t="n"/>
      <c r="Q19" s="197" t="inlineStr">
        <is>
          <t xml:space="preserve"> (класс гермитичности "А" по ГОСТ 9544-2015).  </t>
        </is>
      </c>
      <c r="R19" s="198">
        <f>A19</f>
        <v/>
      </c>
      <c r="S19" s="205" t="n"/>
      <c r="T19" s="205" t="n"/>
      <c r="U19" s="205" t="n"/>
      <c r="V19" s="205" t="n"/>
      <c r="W19" s="205" t="n"/>
      <c r="X19" s="205" t="n"/>
      <c r="Y19" s="205" t="n"/>
      <c r="Z19" s="205" t="n"/>
      <c r="AA19" s="205" t="n"/>
      <c r="AB19" s="205" t="n"/>
      <c r="AC19" s="205" t="n"/>
      <c r="AD19" s="205" t="n"/>
      <c r="AE19" s="205" t="n"/>
      <c r="AF19" s="205" t="n"/>
      <c r="AG19" s="205" t="n"/>
      <c r="AH19" s="206" t="n"/>
      <c r="AI19" s="202" t="n"/>
    </row>
    <row r="20" ht="90" customFormat="1" customHeight="1" s="171">
      <c r="A20" s="192" t="n">
        <v>15</v>
      </c>
      <c r="B20" s="193" t="inlineStr">
        <is>
          <t>Кран шаровой 11б27п1 Ду 20 Ру 16</t>
        </is>
      </c>
      <c r="C20" s="197" t="inlineStr">
        <is>
          <t xml:space="preserve">ГОСТ 9544-2015 ГОСТ 28343 ГОСТ 21345 </t>
        </is>
      </c>
      <c r="D20" s="197" t="n">
        <v>20</v>
      </c>
      <c r="E20" s="197" t="inlineStr">
        <is>
          <t>полный</t>
        </is>
      </c>
      <c r="F20" s="197" t="n">
        <v>1.6</v>
      </c>
      <c r="G20" s="197" t="inlineStr">
        <is>
          <t>От -10 до +90 °С</t>
        </is>
      </c>
      <c r="H20" s="197" t="inlineStr">
        <is>
          <t>вода</t>
        </is>
      </c>
      <c r="I20" s="197" t="inlineStr">
        <is>
          <t>латунь HPb58-2A</t>
        </is>
      </c>
      <c r="J20" s="197" t="inlineStr">
        <is>
          <t>У1</t>
        </is>
      </c>
      <c r="K20" s="197" t="inlineStr">
        <is>
          <t>Муфта-муфта ВР-ВР</t>
        </is>
      </c>
      <c r="L20" s="197" t="inlineStr">
        <is>
          <t xml:space="preserve">Ручное </t>
        </is>
      </c>
      <c r="M20" s="197" t="inlineStr">
        <is>
          <t>рукоятка</t>
        </is>
      </c>
      <c r="N20" s="197" t="inlineStr">
        <is>
          <t>любое</t>
        </is>
      </c>
      <c r="O20" s="207"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20" s="197" t="n"/>
      <c r="Q20" s="197" t="inlineStr">
        <is>
          <t xml:space="preserve"> (класс гермитичности "А" по ГОСТ 9544-2015).</t>
        </is>
      </c>
      <c r="R20" s="198">
        <f>A20</f>
        <v/>
      </c>
      <c r="S20" s="205" t="n"/>
      <c r="T20" s="205" t="n"/>
      <c r="U20" s="205" t="n"/>
      <c r="V20" s="205" t="n"/>
      <c r="W20" s="205" t="n"/>
      <c r="X20" s="205" t="n"/>
      <c r="Y20" s="205" t="n"/>
      <c r="Z20" s="205" t="n"/>
      <c r="AA20" s="205" t="n"/>
      <c r="AB20" s="205" t="n"/>
      <c r="AC20" s="205" t="n"/>
      <c r="AD20" s="205" t="n"/>
      <c r="AE20" s="205" t="n"/>
      <c r="AF20" s="205" t="n"/>
      <c r="AG20" s="205" t="n"/>
      <c r="AH20" s="206" t="n"/>
      <c r="AI20" s="202" t="n"/>
    </row>
    <row r="21" ht="90" customFormat="1" customHeight="1" s="171">
      <c r="A21" s="192" t="n">
        <v>16</v>
      </c>
      <c r="B21" s="193" t="inlineStr">
        <is>
          <t>Кран шаровой 11б27п1 Ду 25 Ру 16</t>
        </is>
      </c>
      <c r="C21" s="197" t="inlineStr">
        <is>
          <t xml:space="preserve">ГОСТ 9544-2015 ГОСТ 28343 ГОСТ 21345 </t>
        </is>
      </c>
      <c r="D21" s="197" t="n">
        <v>25</v>
      </c>
      <c r="E21" s="197" t="inlineStr">
        <is>
          <t>полный</t>
        </is>
      </c>
      <c r="F21" s="197" t="n">
        <v>1.6</v>
      </c>
      <c r="G21" s="197" t="inlineStr">
        <is>
          <t>От -10 до +90 °С</t>
        </is>
      </c>
      <c r="H21" s="197" t="inlineStr">
        <is>
          <t>вода</t>
        </is>
      </c>
      <c r="I21" s="197" t="inlineStr">
        <is>
          <t>латунь HPb58-2A</t>
        </is>
      </c>
      <c r="J21" s="197" t="inlineStr">
        <is>
          <t>У1</t>
        </is>
      </c>
      <c r="K21" s="197" t="inlineStr">
        <is>
          <t>Муфта-муфта ВР-ВР</t>
        </is>
      </c>
      <c r="L21" s="197" t="inlineStr">
        <is>
          <t xml:space="preserve">Ручное </t>
        </is>
      </c>
      <c r="M21" s="197" t="inlineStr">
        <is>
          <t>рукоятка</t>
        </is>
      </c>
      <c r="N21" s="197" t="inlineStr">
        <is>
          <t>любое</t>
        </is>
      </c>
      <c r="O21" s="207"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21" s="210" t="n"/>
      <c r="Q21" s="210" t="n"/>
      <c r="R21" s="198">
        <f>A21</f>
        <v/>
      </c>
      <c r="S21" s="205" t="n"/>
      <c r="T21" s="205" t="n"/>
      <c r="U21" s="205" t="n"/>
      <c r="V21" s="205" t="n"/>
      <c r="W21" s="205" t="n"/>
      <c r="X21" s="205" t="n"/>
      <c r="Y21" s="205" t="n"/>
      <c r="Z21" s="205" t="n"/>
      <c r="AA21" s="205" t="n"/>
      <c r="AB21" s="205" t="n"/>
      <c r="AC21" s="205" t="n"/>
      <c r="AD21" s="205" t="n"/>
      <c r="AE21" s="205" t="n"/>
      <c r="AF21" s="205" t="n"/>
      <c r="AG21" s="205" t="n"/>
      <c r="AH21" s="206" t="n"/>
      <c r="AI21" s="202" t="n"/>
    </row>
    <row r="22" ht="90" customFormat="1" customHeight="1" s="171">
      <c r="A22" s="192" t="n">
        <v>17</v>
      </c>
      <c r="B22" s="193" t="inlineStr">
        <is>
          <t>Кран шаровой 11б27п1 Ду 32 Ру 16</t>
        </is>
      </c>
      <c r="C22" s="197" t="inlineStr">
        <is>
          <t xml:space="preserve">ГОСТ 9544-2015 ГОСТ 28343 ГОСТ 21345 </t>
        </is>
      </c>
      <c r="D22" s="197" t="n">
        <v>32</v>
      </c>
      <c r="E22" s="197" t="inlineStr">
        <is>
          <t>полный</t>
        </is>
      </c>
      <c r="F22" s="197" t="n">
        <v>1.6</v>
      </c>
      <c r="G22" s="197" t="inlineStr">
        <is>
          <t>От -10 до +90 °С</t>
        </is>
      </c>
      <c r="H22" s="197" t="inlineStr">
        <is>
          <t>вода</t>
        </is>
      </c>
      <c r="I22" s="197" t="inlineStr">
        <is>
          <t>латунь HPb58-2A</t>
        </is>
      </c>
      <c r="J22" s="197" t="inlineStr">
        <is>
          <t>У1</t>
        </is>
      </c>
      <c r="K22" s="197" t="inlineStr">
        <is>
          <t>Муфта-муфта ВР-ВР</t>
        </is>
      </c>
      <c r="L22" s="197" t="inlineStr">
        <is>
          <t xml:space="preserve">Ручное </t>
        </is>
      </c>
      <c r="M22" s="197" t="inlineStr">
        <is>
          <t>рукоятка</t>
        </is>
      </c>
      <c r="N22" s="197" t="inlineStr">
        <is>
          <t>любое</t>
        </is>
      </c>
      <c r="O22" s="207"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22" s="197" t="n"/>
      <c r="Q22" s="207" t="inlineStr">
        <is>
          <t xml:space="preserve">(класс гермитичности "А" по ГОСТ 9544-2015). </t>
        </is>
      </c>
      <c r="R22" s="198">
        <f>A22</f>
        <v/>
      </c>
      <c r="S22" s="205" t="n"/>
      <c r="T22" s="205" t="n"/>
      <c r="U22" s="205" t="n"/>
      <c r="V22" s="205" t="n"/>
      <c r="W22" s="205" t="n"/>
      <c r="X22" s="205" t="n"/>
      <c r="Y22" s="205" t="n"/>
      <c r="Z22" s="205" t="n"/>
      <c r="AA22" s="205" t="n"/>
      <c r="AB22" s="205" t="n"/>
      <c r="AC22" s="205" t="n"/>
      <c r="AD22" s="205" t="n"/>
      <c r="AE22" s="205" t="n"/>
      <c r="AF22" s="205" t="n"/>
      <c r="AG22" s="205" t="n"/>
      <c r="AH22" s="206" t="n"/>
      <c r="AI22" s="202" t="n"/>
    </row>
    <row r="23" ht="90" customFormat="1" customHeight="1" s="171">
      <c r="A23" s="192" t="n">
        <v>18</v>
      </c>
      <c r="B23" s="193" t="inlineStr">
        <is>
          <t>Кран шаровой 11б27п1 Ду 40 Ру 16</t>
        </is>
      </c>
      <c r="C23" s="197" t="inlineStr">
        <is>
          <t xml:space="preserve">ГОСТ 9544-2015 ГОСТ 28343 ГОСТ 21345 </t>
        </is>
      </c>
      <c r="D23" s="197" t="n">
        <v>40</v>
      </c>
      <c r="E23" s="197" t="inlineStr">
        <is>
          <t>полный</t>
        </is>
      </c>
      <c r="F23" s="197" t="n">
        <v>1.6</v>
      </c>
      <c r="G23" s="197" t="inlineStr">
        <is>
          <t>От -10 до +90 °С</t>
        </is>
      </c>
      <c r="H23" s="197" t="inlineStr">
        <is>
          <t>вода</t>
        </is>
      </c>
      <c r="I23" s="197" t="inlineStr">
        <is>
          <t>латунь HPb58-2A</t>
        </is>
      </c>
      <c r="J23" s="197" t="inlineStr">
        <is>
          <t>У1</t>
        </is>
      </c>
      <c r="K23" s="197" t="inlineStr">
        <is>
          <t>Муфта-муфта ВР-ВР</t>
        </is>
      </c>
      <c r="L23" s="197" t="inlineStr">
        <is>
          <t xml:space="preserve">Ручное </t>
        </is>
      </c>
      <c r="M23" s="197" t="inlineStr">
        <is>
          <t>рукоятка</t>
        </is>
      </c>
      <c r="N23" s="197" t="inlineStr">
        <is>
          <t>любое</t>
        </is>
      </c>
      <c r="O23" s="207"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23" s="207" t="n"/>
      <c r="Q23" s="210" t="n"/>
      <c r="R23" s="198">
        <f>A23</f>
        <v/>
      </c>
      <c r="S23" s="205" t="n"/>
      <c r="T23" s="205" t="n"/>
      <c r="U23" s="205" t="n"/>
      <c r="V23" s="205" t="n"/>
      <c r="W23" s="205" t="n"/>
      <c r="X23" s="205" t="n"/>
      <c r="Y23" s="205" t="n"/>
      <c r="Z23" s="205" t="n"/>
      <c r="AA23" s="205" t="n"/>
      <c r="AB23" s="205" t="n"/>
      <c r="AC23" s="205" t="n"/>
      <c r="AD23" s="205" t="n"/>
      <c r="AE23" s="205" t="n"/>
      <c r="AF23" s="205" t="n"/>
      <c r="AG23" s="205" t="n"/>
      <c r="AH23" s="206" t="n"/>
      <c r="AI23" s="202" t="n"/>
    </row>
    <row r="24" ht="90" customFormat="1" customHeight="1" s="171">
      <c r="A24" s="192" t="n">
        <v>19</v>
      </c>
      <c r="B24" s="193" t="inlineStr">
        <is>
          <t>Кран шаровой 11б27п1 Ду 50 Ру 16</t>
        </is>
      </c>
      <c r="C24" s="197" t="inlineStr">
        <is>
          <t xml:space="preserve">ГОСТ 9544-2015 ГОСТ 28343 ГОСТ 21345 </t>
        </is>
      </c>
      <c r="D24" s="197" t="n">
        <v>50</v>
      </c>
      <c r="E24" s="197" t="inlineStr">
        <is>
          <t>полный</t>
        </is>
      </c>
      <c r="F24" s="197" t="n">
        <v>1.6</v>
      </c>
      <c r="G24" s="197" t="inlineStr">
        <is>
          <t>От -10 до +90 °С</t>
        </is>
      </c>
      <c r="H24" s="197" t="inlineStr">
        <is>
          <t>вода</t>
        </is>
      </c>
      <c r="I24" s="197" t="inlineStr">
        <is>
          <t>латунь HPb58-2A</t>
        </is>
      </c>
      <c r="J24" s="197" t="inlineStr">
        <is>
          <t>У1</t>
        </is>
      </c>
      <c r="K24" s="197" t="inlineStr">
        <is>
          <t>Муфта-муфта ВР-ВР</t>
        </is>
      </c>
      <c r="L24" s="197" t="inlineStr">
        <is>
          <t xml:space="preserve">Ручное </t>
        </is>
      </c>
      <c r="M24" s="197" t="inlineStr">
        <is>
          <t>рукоятка</t>
        </is>
      </c>
      <c r="N24" s="197" t="inlineStr">
        <is>
          <t>любое</t>
        </is>
      </c>
      <c r="O24" s="207"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24" s="215" t="inlineStr">
        <is>
          <t>размер b (толщина) согласно ГОСТ 33259-2015: b = 22 мм</t>
        </is>
      </c>
      <c r="Q24" s="197" t="n"/>
      <c r="R24" s="198">
        <f>A24</f>
        <v/>
      </c>
      <c r="S24" s="205" t="n"/>
      <c r="T24" s="205" t="n"/>
      <c r="U24" s="205" t="n"/>
      <c r="V24" s="205" t="n"/>
      <c r="W24" s="205" t="n"/>
      <c r="X24" s="205" t="n"/>
      <c r="Y24" s="205" t="n"/>
      <c r="Z24" s="205" t="n"/>
      <c r="AA24" s="205" t="n"/>
      <c r="AB24" s="205" t="n"/>
      <c r="AC24" s="205" t="n"/>
      <c r="AD24" s="205" t="n"/>
      <c r="AE24" s="205" t="n"/>
      <c r="AF24" s="205" t="n"/>
      <c r="AG24" s="205" t="n"/>
      <c r="AH24" s="206" t="n"/>
      <c r="AI24" s="202" t="n"/>
    </row>
    <row r="25" ht="60" customFormat="1" customHeight="1" s="171">
      <c r="A25" s="192" t="n">
        <v>20</v>
      </c>
      <c r="B25" s="193" t="inlineStr">
        <is>
          <t>Кран шаровой 11с67п Ду 150 Ру 25 цельносварной под приварку</t>
        </is>
      </c>
      <c r="C25" s="197" t="inlineStr">
        <is>
          <t xml:space="preserve">ГОСТ 9544-2015 ГОСТ 28343 ГОСТ 21345 </t>
        </is>
      </c>
      <c r="D25" s="203" t="n">
        <v>150</v>
      </c>
      <c r="E25" s="203" t="inlineStr">
        <is>
          <t>Полнопроходной</t>
        </is>
      </c>
      <c r="F25" s="203" t="n">
        <v>2.5</v>
      </c>
      <c r="G25" s="204" t="inlineStr">
        <is>
          <t>от -400С до +2000С</t>
        </is>
      </c>
      <c r="H25" s="203" t="inlineStr">
        <is>
          <t>вода, пар, ГСМ</t>
        </is>
      </c>
      <c r="I25" s="203" t="inlineStr">
        <is>
          <t>Сталь 20</t>
        </is>
      </c>
      <c r="J25" s="203" t="inlineStr">
        <is>
          <t>У1</t>
        </is>
      </c>
      <c r="K25" s="203" t="inlineStr">
        <is>
          <t>Под приварку</t>
        </is>
      </c>
      <c r="L25" s="203" t="inlineStr">
        <is>
          <t xml:space="preserve">Ручное </t>
        </is>
      </c>
      <c r="M25" s="203" t="inlineStr">
        <is>
          <t>Рычаг</t>
        </is>
      </c>
      <c r="N25" s="203" t="inlineStr">
        <is>
          <t>любое</t>
        </is>
      </c>
      <c r="O25" s="203" t="inlineStr">
        <is>
          <t>Шар — 12Х18Н10Т; шпиндель — 20X13; уплотнение шпинделя , кольцо, седло — фторопласт Ф4ГЗК6, кольцо уплотнительное — резина РТС-002мчп</t>
        </is>
      </c>
      <c r="P25" s="203" t="inlineStr">
        <is>
          <t>-</t>
        </is>
      </c>
      <c r="Q25" s="203" t="inlineStr">
        <is>
          <t>Класс герметичности по ГОСТ 9544-2015 «А»</t>
        </is>
      </c>
      <c r="R25" s="198">
        <f>A25</f>
        <v/>
      </c>
      <c r="S25" s="205" t="n"/>
      <c r="T25" s="205" t="n"/>
      <c r="U25" s="205" t="n"/>
      <c r="V25" s="205" t="n"/>
      <c r="W25" s="205" t="n"/>
      <c r="X25" s="205" t="n"/>
      <c r="Y25" s="205" t="n"/>
      <c r="Z25" s="205" t="n"/>
      <c r="AA25" s="205" t="n"/>
      <c r="AB25" s="205" t="n"/>
      <c r="AC25" s="205" t="n"/>
      <c r="AD25" s="205" t="n"/>
      <c r="AE25" s="205" t="n"/>
      <c r="AF25" s="205" t="n"/>
      <c r="AG25" s="205" t="n"/>
      <c r="AH25" s="206" t="n"/>
      <c r="AI25" s="202" t="n"/>
    </row>
    <row r="26" ht="76.5" customFormat="1" customHeight="1" s="171">
      <c r="A26" s="192" t="n">
        <v>21</v>
      </c>
      <c r="B26" s="193" t="inlineStr">
        <is>
          <t>Кран шаровой 11с67п Ду 200 Ру 16 ЦУФ.001 КШ укороченный полнопроходной фланцевый с рукояткой</t>
        </is>
      </c>
      <c r="C26" s="197" t="inlineStr">
        <is>
          <t xml:space="preserve">ГОСТ 9544-2015 ГОСТ 28343 ГОСТ 21345 </t>
        </is>
      </c>
      <c r="D26" s="216" t="n">
        <v>200</v>
      </c>
      <c r="E26" s="216" t="inlineStr">
        <is>
          <t>полнопроходной</t>
        </is>
      </c>
      <c r="F26" s="216" t="n">
        <v>1.6</v>
      </c>
      <c r="G26" s="216" t="inlineStr">
        <is>
          <t>от –40°С до +200°С</t>
        </is>
      </c>
      <c r="H26" s="216" t="inlineStr">
        <is>
          <t>Вода, газ, нефтепродукты и другие нетоксичные и неагрессивные среды</t>
        </is>
      </c>
      <c r="I26" s="216" t="inlineStr">
        <is>
          <t>Сталь 20</t>
        </is>
      </c>
      <c r="J26" s="216" t="inlineStr">
        <is>
          <t>У1</t>
        </is>
      </c>
      <c r="K26" s="216" t="inlineStr">
        <is>
          <t>Фланец-фланец тип В по ГОСТ 33259</t>
        </is>
      </c>
      <c r="L26" s="216" t="inlineStr">
        <is>
          <t xml:space="preserve">Ручное </t>
        </is>
      </c>
      <c r="M26" s="216" t="inlineStr">
        <is>
          <t>Рычаг</t>
        </is>
      </c>
      <c r="N26" s="216" t="inlineStr">
        <is>
          <t>любое</t>
        </is>
      </c>
      <c r="O26" s="216" t="inlineStr">
        <is>
          <t>Корпус сталь 20, Шар
сталь 08Х13 (AISI 409)
сталь 08Х18Н10 (AISI 304), Кольцо уплотнительное фторопласт Ф4К20</t>
        </is>
      </c>
      <c r="P26" s="216" t="inlineStr">
        <is>
          <t>_</t>
        </is>
      </c>
      <c r="Q26" s="197" t="n"/>
      <c r="R26" s="198">
        <f>A26</f>
        <v/>
      </c>
      <c r="S26" s="205" t="n"/>
      <c r="T26" s="205" t="n"/>
      <c r="U26" s="205" t="n"/>
      <c r="V26" s="205" t="n"/>
      <c r="W26" s="205" t="n"/>
      <c r="X26" s="205" t="n"/>
      <c r="Y26" s="205" t="n"/>
      <c r="Z26" s="205" t="n"/>
      <c r="AA26" s="205" t="n"/>
      <c r="AB26" s="205" t="n"/>
      <c r="AC26" s="205" t="n"/>
      <c r="AD26" s="205" t="n"/>
      <c r="AE26" s="205" t="n"/>
      <c r="AF26" s="205" t="n"/>
      <c r="AG26" s="205" t="n"/>
      <c r="AH26" s="206" t="n"/>
      <c r="AI26" s="202" t="n"/>
    </row>
    <row r="27" ht="89.25" customFormat="1" customHeight="1" s="171">
      <c r="A27" s="192" t="n">
        <v>22</v>
      </c>
      <c r="B27" s="193" t="inlineStr">
        <is>
          <t>Затвор дисковый поворотный межфланцевый Stensel 31070-01 Ду 200 Ру 25</t>
        </is>
      </c>
      <c r="C27" s="194" t="inlineStr">
        <is>
          <t>нет</t>
        </is>
      </c>
      <c r="D27" s="194" t="n">
        <v>200</v>
      </c>
      <c r="E27" s="194" t="inlineStr">
        <is>
          <t>стандарт</t>
        </is>
      </c>
      <c r="F27" s="194" t="n">
        <v>2.5</v>
      </c>
      <c r="G27" s="194" t="inlineStr">
        <is>
          <t xml:space="preserve">0т -40°С до 300°С  </t>
        </is>
      </c>
      <c r="H27" s="209" t="inlineStr">
        <is>
          <t>Вода, воздух, пар, природный газ и газообразные углеводороды, нефть, нефтепродукты, кислоты, щелочи,</t>
        </is>
      </c>
      <c r="I27" s="209" t="inlineStr">
        <is>
          <t>Корпус - нержавеющая сталь</t>
        </is>
      </c>
      <c r="J27" s="194" t="inlineStr">
        <is>
          <t>УХЛ1</t>
        </is>
      </c>
      <c r="K27" s="194" t="inlineStr">
        <is>
          <t>межфланцевое по ГОСТ 33259-2015</t>
        </is>
      </c>
      <c r="L27" s="194" t="inlineStr">
        <is>
          <t>Верхний фланец выполнен по стандарту ISO 5211. под эл.привод</t>
        </is>
      </c>
      <c r="M27" s="194" t="inlineStr">
        <is>
          <t>под Эл. привод AUMA SQ 10.2-F10, t: 8s/90°, М закр. 200-450 Nm, M откр. 200-450 Nm</t>
        </is>
      </c>
      <c r="N27" s="194" t="inlineStr">
        <is>
          <t>любое</t>
        </is>
      </c>
      <c r="O27" s="217" t="inlineStr">
        <is>
          <t xml:space="preserve">Затвор полностью из нержавеющей стали, в том числе и седло, Уплотнение цельнометаллическое, металл по металлу, без применения графита.                                                                          </t>
        </is>
      </c>
      <c r="P27" s="194" t="inlineStr">
        <is>
          <t>L=71 мм</t>
        </is>
      </c>
      <c r="Q27" s="207" t="n"/>
      <c r="R27" s="198">
        <f>A27</f>
        <v/>
      </c>
      <c r="S27" s="205" t="n"/>
      <c r="T27" s="205" t="n"/>
      <c r="U27" s="205" t="n"/>
      <c r="V27" s="205" t="n"/>
      <c r="W27" s="205" t="n"/>
      <c r="X27" s="205" t="n"/>
      <c r="Y27" s="205" t="n"/>
      <c r="Z27" s="205" t="n"/>
      <c r="AA27" s="205" t="n"/>
      <c r="AB27" s="205" t="n"/>
      <c r="AC27" s="205" t="n"/>
      <c r="AD27" s="205" t="n"/>
      <c r="AE27" s="205" t="n"/>
      <c r="AF27" s="205" t="n"/>
      <c r="AG27" s="205" t="n"/>
      <c r="AH27" s="206" t="n"/>
      <c r="AI27" s="202" t="n"/>
    </row>
    <row r="28" ht="178.5" customFormat="1" customHeight="1" s="171">
      <c r="A28" s="192" t="n">
        <v>23</v>
      </c>
      <c r="B28" s="193" t="inlineStr">
        <is>
          <t>Затвор дисковый поворотный межфланцевый ПА954.450.10-05 Ду 450 Ру 10</t>
        </is>
      </c>
      <c r="C28" s="194" t="inlineStr">
        <is>
          <t>ТУ 3700-001-55604618-2013</t>
        </is>
      </c>
      <c r="D28" s="194" t="n">
        <v>450</v>
      </c>
      <c r="E28" s="194" t="inlineStr">
        <is>
          <t>стандарт</t>
        </is>
      </c>
      <c r="F28" s="194" t="n">
        <v>1</v>
      </c>
      <c r="G28" s="194" t="inlineStr">
        <is>
          <t xml:space="preserve">0т 05°С до 425°С  </t>
        </is>
      </c>
      <c r="H28" s="209" t="inlineStr">
        <is>
          <t>Вода, воздух, пар, природный газ и газообразные углеводороды, нефть, нефтепродукты, коксовый газ, аммиак, кислоты, щелочи, спирты</t>
        </is>
      </c>
      <c r="I28" s="209" t="inlineStr">
        <is>
          <t>Корпус - коррозионностойкая молибденосодержащая сталь, применение в условиях особо агрессивной среды и при низких температурах сталь CF8M</t>
        </is>
      </c>
      <c r="J28" s="194" t="inlineStr">
        <is>
          <t>У</t>
        </is>
      </c>
      <c r="K28" s="194" t="inlineStr">
        <is>
          <t>межфланцевое с гладкими проушинами</t>
        </is>
      </c>
      <c r="L28" s="194" t="inlineStr">
        <is>
          <t>Редуктор DN 450</t>
        </is>
      </c>
      <c r="M28" s="194" t="inlineStr">
        <is>
          <t>Штурвал</t>
        </is>
      </c>
      <c r="N28" s="194" t="inlineStr">
        <is>
          <t>любое</t>
        </is>
      </c>
      <c r="O28" s="209" t="inlineStr">
        <is>
          <t xml:space="preserve">Затворы дисковые с тройным эксцентриситетом. Размеры верхнего фланца под привод — В соответствии со стандартом ISO 5211                               1. Корпус - сталь CF8M ASTM A351
2. Диск — сталь WCB по ASTM A216
3. Уплотнение — нержавеющая сталь + графит
4. Прижимное кольцо - сталь CF8M ASTM A351
5. Шток - сталь CF8M ASTM A351
6. Фланец сальника - сталь SS304
7. Сальниковая набивка — сталь SS304 + graphite
</t>
        </is>
      </c>
      <c r="P28" s="209" t="inlineStr">
        <is>
          <t xml:space="preserve">A - 380мм; B-570мм; L-114мм; D1-565мм; n*d-20×26мм </t>
        </is>
      </c>
      <c r="Q28" s="207" t="n"/>
      <c r="R28" s="198">
        <f>A28</f>
        <v/>
      </c>
      <c r="S28" s="205" t="n"/>
      <c r="T28" s="205" t="n"/>
      <c r="U28" s="205" t="n"/>
      <c r="V28" s="205" t="n"/>
      <c r="W28" s="205" t="n"/>
      <c r="X28" s="205" t="n"/>
      <c r="Y28" s="205" t="n"/>
      <c r="Z28" s="205" t="n"/>
      <c r="AA28" s="205" t="n"/>
      <c r="AB28" s="205" t="n"/>
      <c r="AC28" s="205" t="n"/>
      <c r="AD28" s="205" t="n"/>
      <c r="AE28" s="205" t="n"/>
      <c r="AF28" s="205" t="n"/>
      <c r="AG28" s="205" t="n"/>
      <c r="AH28" s="206" t="n"/>
      <c r="AI28" s="202" t="n"/>
    </row>
    <row r="29" ht="51" customFormat="1" customHeight="1" s="171">
      <c r="A29" s="192" t="n">
        <v>24</v>
      </c>
      <c r="B29" s="193" t="inlineStr">
        <is>
          <t>Электропривод общепромышленный Н-В-02 У2</t>
        </is>
      </c>
      <c r="C29" s="203" t="inlineStr">
        <is>
          <t>ТУ 26-07-015-89</t>
        </is>
      </c>
      <c r="D29" s="203" t="inlineStr">
        <is>
          <t>Под задвижку 30с964нж Ду 300</t>
        </is>
      </c>
      <c r="E29" s="203" t="inlineStr">
        <is>
          <t>-</t>
        </is>
      </c>
      <c r="F29" s="203" t="inlineStr">
        <is>
          <t>-</t>
        </is>
      </c>
      <c r="G29" s="203" t="inlineStr">
        <is>
          <t>-</t>
        </is>
      </c>
      <c r="H29" s="203" t="inlineStr">
        <is>
          <t>-</t>
        </is>
      </c>
      <c r="I29" s="203" t="inlineStr">
        <is>
          <t>-</t>
        </is>
      </c>
      <c r="J29" s="203" t="inlineStr">
        <is>
          <t>У2</t>
        </is>
      </c>
      <c r="K29" s="203" t="inlineStr">
        <is>
          <t>-</t>
        </is>
      </c>
      <c r="L29" s="203" t="inlineStr">
        <is>
          <t>Электропривод Н-В-02 У2</t>
        </is>
      </c>
      <c r="M29" s="203" t="inlineStr">
        <is>
          <t>Крутящий момет 250-630 Нм; частота вращения 24 об/мин; эл.двигатель 3,2 кВт, 1400об/мин</t>
        </is>
      </c>
      <c r="N29" s="203" t="inlineStr">
        <is>
          <t>Любое, кроме положения электроприводом вниз</t>
        </is>
      </c>
      <c r="O29" s="203" t="inlineStr">
        <is>
          <t>-</t>
        </is>
      </c>
      <c r="P29" s="203" t="inlineStr">
        <is>
          <t>-</t>
        </is>
      </c>
      <c r="Q29" s="203" t="inlineStr">
        <is>
          <t>Присоединение к задвижке - фланец тип В (ЦКБА 062-2009)</t>
        </is>
      </c>
      <c r="R29" s="198">
        <f>A29</f>
        <v/>
      </c>
      <c r="S29" s="186" t="n"/>
      <c r="T29" s="186" t="n"/>
      <c r="U29" s="186" t="n"/>
      <c r="V29" s="186" t="n"/>
      <c r="W29" s="186" t="n"/>
      <c r="X29" s="186" t="n"/>
      <c r="Y29" s="186" t="n"/>
      <c r="Z29" s="186" t="n"/>
      <c r="AA29" s="186" t="n"/>
      <c r="AB29" s="186" t="n"/>
      <c r="AC29" s="186" t="n"/>
      <c r="AD29" s="186" t="n"/>
      <c r="AE29" s="186" t="n"/>
      <c r="AF29" s="186" t="n"/>
      <c r="AG29" s="186" t="n"/>
      <c r="AH29" s="218" t="n"/>
      <c r="AI29" s="202" t="n"/>
    </row>
    <row r="30" ht="15" customHeight="1" s="169">
      <c r="A30" s="219" t="inlineStr">
        <is>
          <t>Спецификация №2 Грузополучатель №2 Таблица 1.2 (филиал КТЭЦ) — Ремонт арендованного имущества</t>
        </is>
      </c>
      <c r="B30" s="182" t="n"/>
      <c r="C30" s="182" t="n"/>
      <c r="D30" s="182" t="n"/>
      <c r="E30" s="182" t="n"/>
      <c r="F30" s="182" t="n"/>
      <c r="G30" s="182" t="n"/>
      <c r="H30" s="182" t="n"/>
      <c r="I30" s="182" t="n"/>
      <c r="J30" s="182" t="n"/>
      <c r="K30" s="182" t="n"/>
      <c r="L30" s="182" t="n"/>
      <c r="M30" s="182" t="n"/>
      <c r="N30" s="182" t="n"/>
      <c r="O30" s="182" t="n"/>
      <c r="P30" s="182" t="n"/>
      <c r="Q30" s="183" t="n"/>
      <c r="R30" s="220">
        <f>A30</f>
        <v/>
      </c>
      <c r="S30" s="182" t="n"/>
      <c r="T30" s="182" t="n"/>
      <c r="U30" s="182" t="n"/>
      <c r="V30" s="182" t="n"/>
      <c r="W30" s="182" t="n"/>
      <c r="X30" s="182" t="n"/>
      <c r="Y30" s="182" t="n"/>
      <c r="Z30" s="182" t="n"/>
      <c r="AA30" s="182" t="n"/>
      <c r="AB30" s="182" t="n"/>
      <c r="AC30" s="182" t="n"/>
      <c r="AD30" s="182" t="n"/>
      <c r="AE30" s="182" t="n"/>
      <c r="AF30" s="182" t="n"/>
      <c r="AG30" s="182" t="n"/>
      <c r="AH30" s="182" t="n"/>
      <c r="AI30" s="183" t="n"/>
    </row>
    <row r="31" ht="33.75" customFormat="1" customHeight="1" s="171">
      <c r="A31" s="192" t="n">
        <v>1</v>
      </c>
      <c r="B31" s="193" t="inlineStr">
        <is>
          <t>Кран шаровой 11с67п Ду 32 Ру 25 цельносварной под приварку</t>
        </is>
      </c>
      <c r="C31" s="221" t="inlineStr">
        <is>
          <t>ТУ У 04671406-003-1999; ГОСТ 21345-2005</t>
        </is>
      </c>
      <c r="D31" s="222" t="n">
        <v>32</v>
      </c>
      <c r="E31" s="223" t="inlineStr">
        <is>
          <t>стандарт</t>
        </is>
      </c>
      <c r="F31" s="222" t="n">
        <v>2.5</v>
      </c>
      <c r="G31" s="223" t="inlineStr">
        <is>
          <t>от -30 до +180</t>
        </is>
      </c>
      <c r="H31" s="222" t="inlineStr">
        <is>
          <t>природный газ, вода, нефтепродукты, сжиженный  газ и прочие среды</t>
        </is>
      </c>
      <c r="I31" s="223" t="inlineStr">
        <is>
          <t>сталь 20</t>
        </is>
      </c>
      <c r="J31" s="222" t="inlineStr">
        <is>
          <t>У1</t>
        </is>
      </c>
      <c r="K31" s="223" t="inlineStr">
        <is>
          <t>приварной</t>
        </is>
      </c>
      <c r="L31" s="222" t="inlineStr">
        <is>
          <t>ручной (рукоятка)</t>
        </is>
      </c>
      <c r="M31" s="223" t="inlineStr">
        <is>
          <t>-</t>
        </is>
      </c>
      <c r="N31" s="222" t="inlineStr">
        <is>
          <t>любое</t>
        </is>
      </c>
      <c r="O31" s="223"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P31" s="222" t="inlineStr">
        <is>
          <t>-</t>
        </is>
      </c>
      <c r="Q31" s="222" t="inlineStr">
        <is>
          <t>-</t>
        </is>
      </c>
      <c r="R31" s="198" t="n">
        <v>1</v>
      </c>
      <c r="S31" s="199" t="inlineStr">
        <is>
          <t>LD КШЦП (КШ.Ц.П) ст.20 Ду32 Н/П PN4,0</t>
        </is>
      </c>
      <c r="T31" s="224" t="n"/>
      <c r="U31" s="224" t="n"/>
      <c r="V31" s="224" t="n"/>
      <c r="W31" s="224" t="n"/>
      <c r="X31" s="224" t="n"/>
      <c r="Y31" s="224" t="n"/>
      <c r="Z31" s="224" t="n"/>
      <c r="AA31" s="224" t="n"/>
      <c r="AB31" s="224" t="n"/>
      <c r="AC31" s="224" t="n"/>
      <c r="AD31" s="224" t="n"/>
      <c r="AE31" s="224" t="n"/>
      <c r="AF31" s="224" t="n"/>
      <c r="AG31" s="224" t="n"/>
      <c r="AH31" s="225" t="inlineStr">
        <is>
          <t>Производитель: ООО «ЧелябинскСпецГражданСтрой» (ИНН 7451211335); страна происхождения: Россия; № реестровой записи (ПП 719): 10655491, действует до 30.06.2028</t>
        </is>
      </c>
      <c r="AI31" s="202" t="n"/>
    </row>
    <row r="32" ht="51" customHeight="1" s="169">
      <c r="A32" s="192" t="n">
        <v>2</v>
      </c>
      <c r="B32" s="193" t="inlineStr">
        <is>
          <t>Кран шаровой 11с67п Ду 100 Ру 25 цельносварной под приварку</t>
        </is>
      </c>
      <c r="C32" s="210" t="inlineStr">
        <is>
          <t>ГОСТ 21345-2005</t>
        </is>
      </c>
      <c r="D32" s="210" t="n">
        <v>100</v>
      </c>
      <c r="E32" s="210" t="inlineStr">
        <is>
          <t>полнопроходной</t>
        </is>
      </c>
      <c r="F32" s="210" t="n">
        <v>2.5</v>
      </c>
      <c r="G32" s="210" t="inlineStr">
        <is>
          <t>от -40 до +200</t>
        </is>
      </c>
      <c r="H32" s="210" t="inlineStr">
        <is>
          <t>вода</t>
        </is>
      </c>
      <c r="I32" s="210" t="inlineStr">
        <is>
          <t>сталь 20</t>
        </is>
      </c>
      <c r="J32" s="210" t="inlineStr">
        <is>
          <t>У1</t>
        </is>
      </c>
      <c r="K32" s="210" t="inlineStr">
        <is>
          <t>под приварку</t>
        </is>
      </c>
      <c r="L32" s="210" t="inlineStr">
        <is>
          <t>ручное</t>
        </is>
      </c>
      <c r="M32" s="210" t="inlineStr">
        <is>
          <t>рукоятка</t>
        </is>
      </c>
      <c r="N32" s="210" t="inlineStr">
        <is>
          <t>любое</t>
        </is>
      </c>
      <c r="O32"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32" s="210" t="inlineStr">
        <is>
          <t>строительная длина 390мм</t>
        </is>
      </c>
      <c r="Q32" s="197" t="n"/>
      <c r="R32" s="198" t="n">
        <v>2</v>
      </c>
      <c r="S32" s="205" t="n"/>
      <c r="T32" s="205" t="n"/>
      <c r="U32" s="205" t="n"/>
      <c r="V32" s="205" t="n"/>
      <c r="W32" s="205" t="n"/>
      <c r="X32" s="205" t="n"/>
      <c r="Y32" s="205" t="n"/>
      <c r="Z32" s="205" t="n"/>
      <c r="AA32" s="205" t="n"/>
      <c r="AB32" s="205" t="n"/>
      <c r="AC32" s="205" t="n"/>
      <c r="AD32" s="205" t="n"/>
      <c r="AE32" s="205" t="n"/>
      <c r="AF32" s="205" t="n"/>
      <c r="AG32" s="205" t="n"/>
      <c r="AH32" s="226" t="n"/>
      <c r="AI32" s="202" t="n"/>
    </row>
    <row r="33" ht="51" customHeight="1" s="169">
      <c r="A33" s="192" t="n">
        <v>3</v>
      </c>
      <c r="B33" s="193" t="inlineStr">
        <is>
          <t>Кран шаровой 11с67п Ду 50 Ру 25 полнопрох. с КОФ (КЗШС41нж)</t>
        </is>
      </c>
      <c r="C33" s="210" t="inlineStr">
        <is>
          <t>ТУ У 04671406-003-1999 (ТУ У 04671406-02-96)</t>
        </is>
      </c>
      <c r="D33" s="210" t="n">
        <v>50</v>
      </c>
      <c r="E33" s="210" t="inlineStr">
        <is>
          <t>полнопроходной</t>
        </is>
      </c>
      <c r="F33" s="210" t="n">
        <v>2.5</v>
      </c>
      <c r="G33" s="210" t="inlineStr">
        <is>
          <t>От -40°С до +200°С</t>
        </is>
      </c>
      <c r="H33" s="210" t="inlineStr">
        <is>
          <t>Вода</t>
        </is>
      </c>
      <c r="I33" s="210" t="inlineStr">
        <is>
          <t>сталь 20</t>
        </is>
      </c>
      <c r="J33" s="210" t="inlineStr">
        <is>
          <t>У1</t>
        </is>
      </c>
      <c r="K33" s="210" t="inlineStr">
        <is>
          <t>фланец-фланец</t>
        </is>
      </c>
      <c r="L33" s="210" t="inlineStr">
        <is>
          <t xml:space="preserve">Ручное </t>
        </is>
      </c>
      <c r="M33" s="210" t="inlineStr">
        <is>
          <t>Рукоятка</t>
        </is>
      </c>
      <c r="N33" s="210" t="inlineStr">
        <is>
          <t>любое</t>
        </is>
      </c>
      <c r="O33" s="210" t="inlineStr">
        <is>
          <t>Шпиндель:  Сталь 20Х13 Уплотнения горловины: Фторопласт Ф4 Уплотнения седла: Фторопласт Ф4  Горловина:  Сталь 20 Шар: Нержавеющая сталь 12Х18Н10Т</t>
        </is>
      </c>
      <c r="P33" s="210" t="inlineStr">
        <is>
          <t>180мм</t>
        </is>
      </c>
      <c r="Q33" s="197" t="n"/>
      <c r="R33" s="198">
        <f>A33</f>
        <v/>
      </c>
      <c r="S33" s="205" t="n"/>
      <c r="T33" s="205" t="n"/>
      <c r="U33" s="205" t="n"/>
      <c r="V33" s="205" t="n"/>
      <c r="W33" s="205" t="n"/>
      <c r="X33" s="205" t="n"/>
      <c r="Y33" s="205" t="n"/>
      <c r="Z33" s="205" t="n"/>
      <c r="AA33" s="205" t="n"/>
      <c r="AB33" s="205" t="n"/>
      <c r="AC33" s="205" t="n"/>
      <c r="AD33" s="205" t="n"/>
      <c r="AE33" s="205" t="n"/>
      <c r="AF33" s="205" t="n"/>
      <c r="AG33" s="205" t="n"/>
      <c r="AH33" s="226" t="n"/>
      <c r="AI33" s="202" t="n"/>
    </row>
    <row r="34" ht="51" customHeight="1" s="169">
      <c r="A34" s="192" t="n">
        <v>4</v>
      </c>
      <c r="B34" s="193" t="inlineStr">
        <is>
          <t>Кран шаровой 11с67п Ду 80 Ру 25 полнопрох. с КОФ (КЗШС41нж)</t>
        </is>
      </c>
      <c r="C34" s="210" t="inlineStr">
        <is>
          <t xml:space="preserve">ТУ У 04671406-003-1999; ГОСТ 21345, ГОСТ 28343 </t>
        </is>
      </c>
      <c r="D34" s="210" t="n">
        <v>80</v>
      </c>
      <c r="E34" s="210" t="inlineStr">
        <is>
          <t>полнопроходной</t>
        </is>
      </c>
      <c r="F34" s="210" t="n">
        <v>2.5</v>
      </c>
      <c r="G34" s="210" t="inlineStr">
        <is>
          <t>От -40°С до +200°С</t>
        </is>
      </c>
      <c r="H34" s="210" t="inlineStr">
        <is>
          <t>Вода</t>
        </is>
      </c>
      <c r="I34" s="210" t="inlineStr">
        <is>
          <t>сталь 20</t>
        </is>
      </c>
      <c r="J34" s="210" t="inlineStr">
        <is>
          <t>У1</t>
        </is>
      </c>
      <c r="K34" s="210" t="inlineStr">
        <is>
          <t>фланцевое</t>
        </is>
      </c>
      <c r="L34" s="210" t="inlineStr">
        <is>
          <t xml:space="preserve">Ручное </t>
        </is>
      </c>
      <c r="M34" s="210" t="inlineStr">
        <is>
          <t>Рукоятка</t>
        </is>
      </c>
      <c r="N34" s="210" t="inlineStr">
        <is>
          <t>любое</t>
        </is>
      </c>
      <c r="O34"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34" s="210" t="inlineStr">
        <is>
          <t xml:space="preserve">строительная длина 210мм </t>
        </is>
      </c>
      <c r="Q34" s="197" t="n"/>
      <c r="R34" s="198">
        <f>A34</f>
        <v/>
      </c>
      <c r="S34" s="205" t="n"/>
      <c r="T34" s="205" t="n"/>
      <c r="U34" s="205" t="n"/>
      <c r="V34" s="205" t="n"/>
      <c r="W34" s="205" t="n"/>
      <c r="X34" s="205" t="n"/>
      <c r="Y34" s="205" t="n"/>
      <c r="Z34" s="205" t="n"/>
      <c r="AA34" s="205" t="n"/>
      <c r="AB34" s="205" t="n"/>
      <c r="AC34" s="205" t="n"/>
      <c r="AD34" s="205" t="n"/>
      <c r="AE34" s="205" t="n"/>
      <c r="AF34" s="205" t="n"/>
      <c r="AG34" s="205" t="n"/>
      <c r="AH34" s="226" t="n"/>
      <c r="AI34" s="202" t="n"/>
    </row>
    <row r="35" ht="76.5" customHeight="1" s="169">
      <c r="A35" s="192" t="n">
        <v>5</v>
      </c>
      <c r="B35" s="193" t="inlineStr">
        <is>
          <t>Кран шаровой 11с67п Ду 100 Ру 16 ЦУФ.001 КШ укороченный полнопроходной фланцевый с рукояткой</t>
        </is>
      </c>
      <c r="C35" s="210" t="inlineStr">
        <is>
          <t>ТУ У 046714006-003-1999</t>
        </is>
      </c>
      <c r="D35" s="210" t="n">
        <v>100</v>
      </c>
      <c r="E35" s="210" t="inlineStr">
        <is>
          <t>полнопроходной</t>
        </is>
      </c>
      <c r="F35" s="210" t="n">
        <v>1.6</v>
      </c>
      <c r="G35" s="210" t="inlineStr">
        <is>
          <t>от -40 до +200</t>
        </is>
      </c>
      <c r="H35" s="210" t="inlineStr">
        <is>
          <t>вода</t>
        </is>
      </c>
      <c r="I35" s="210" t="inlineStr">
        <is>
          <t>сталь 20</t>
        </is>
      </c>
      <c r="J35" s="210" t="inlineStr">
        <is>
          <t>У1</t>
        </is>
      </c>
      <c r="K35" s="210" t="inlineStr">
        <is>
          <t>фланцевое</t>
        </is>
      </c>
      <c r="L35" s="210" t="inlineStr">
        <is>
          <t>ручное</t>
        </is>
      </c>
      <c r="M35" s="210" t="inlineStr">
        <is>
          <t>рукоятка</t>
        </is>
      </c>
      <c r="N35" s="210" t="inlineStr">
        <is>
          <t>любое</t>
        </is>
      </c>
      <c r="O35" s="210"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P35" s="210" t="inlineStr">
        <is>
          <t>строительная длина 230 мм</t>
        </is>
      </c>
      <c r="Q35" s="197" t="n"/>
      <c r="R35" s="198">
        <f>A35</f>
        <v/>
      </c>
      <c r="S35" s="186" t="n"/>
      <c r="T35" s="186" t="n"/>
      <c r="U35" s="186" t="n"/>
      <c r="V35" s="186" t="n"/>
      <c r="W35" s="186" t="n"/>
      <c r="X35" s="186" t="n"/>
      <c r="Y35" s="186" t="n"/>
      <c r="Z35" s="186" t="n"/>
      <c r="AA35" s="186" t="n"/>
      <c r="AB35" s="186" t="n"/>
      <c r="AC35" s="186" t="n"/>
      <c r="AD35" s="186" t="n"/>
      <c r="AE35" s="186" t="n"/>
      <c r="AF35" s="186" t="n"/>
      <c r="AG35" s="186" t="n"/>
      <c r="AH35" s="227" t="n"/>
      <c r="AI35" s="202" t="n"/>
    </row>
    <row r="36" ht="15" customHeight="1" s="169">
      <c r="A36" s="219" t="inlineStr">
        <is>
          <t>Спецификация №2 Грузополучатель №2 Таблица 1.3 (филиал КТЭЦ) — Ремонт</t>
        </is>
      </c>
      <c r="B36" s="182" t="n"/>
      <c r="C36" s="182" t="n"/>
      <c r="D36" s="182" t="n"/>
      <c r="E36" s="182" t="n"/>
      <c r="F36" s="182" t="n"/>
      <c r="G36" s="182" t="n"/>
      <c r="H36" s="182" t="n"/>
      <c r="I36" s="182" t="n"/>
      <c r="J36" s="182" t="n"/>
      <c r="K36" s="182" t="n"/>
      <c r="L36" s="182" t="n"/>
      <c r="M36" s="182" t="n"/>
      <c r="N36" s="182" t="n"/>
      <c r="O36" s="182" t="n"/>
      <c r="P36" s="182" t="n"/>
      <c r="Q36" s="183" t="n"/>
      <c r="R36" s="198">
        <f>A36</f>
        <v/>
      </c>
      <c r="S36" s="182" t="n"/>
      <c r="T36" s="182" t="n"/>
      <c r="U36" s="182" t="n"/>
      <c r="V36" s="182" t="n"/>
      <c r="W36" s="182" t="n"/>
      <c r="X36" s="182" t="n"/>
      <c r="Y36" s="182" t="n"/>
      <c r="Z36" s="182" t="n"/>
      <c r="AA36" s="182" t="n"/>
      <c r="AB36" s="182" t="n"/>
      <c r="AC36" s="182" t="n"/>
      <c r="AD36" s="182" t="n"/>
      <c r="AE36" s="182" t="n"/>
      <c r="AF36" s="182" t="n"/>
      <c r="AG36" s="182" t="n"/>
      <c r="AH36" s="182" t="n"/>
      <c r="AI36" s="180" t="n"/>
    </row>
    <row r="37" ht="37.35" customHeight="1" s="169">
      <c r="A37" s="192" t="n">
        <v>1</v>
      </c>
      <c r="B37" s="193" t="inlineStr">
        <is>
          <t>Клапан регулирующий 25с947нж Ду 50 Ру 25 с ЭИМ</t>
        </is>
      </c>
      <c r="C37" s="210" t="inlineStr">
        <is>
          <t>ГОСТ 33259-2015 ТУ 3722-002-22294686-2005</t>
        </is>
      </c>
      <c r="D37" s="210" t="n">
        <v>50</v>
      </c>
      <c r="E37" s="210" t="inlineStr">
        <is>
          <t>стандарт</t>
        </is>
      </c>
      <c r="F37" s="210" t="n">
        <v>2.5</v>
      </c>
      <c r="G37" s="210" t="inlineStr">
        <is>
          <t>до    +425С</t>
        </is>
      </c>
      <c r="H37" s="210" t="inlineStr">
        <is>
          <t>вода</t>
        </is>
      </c>
      <c r="I37" s="210" t="inlineStr">
        <is>
          <t>Сталь марки 25Л ГОСТ 977-88</t>
        </is>
      </c>
      <c r="J37" s="210" t="inlineStr">
        <is>
          <t>У1</t>
        </is>
      </c>
      <c r="K37" s="210" t="inlineStr">
        <is>
          <t>фланец-фланец</t>
        </is>
      </c>
      <c r="L37" s="210" t="inlineStr">
        <is>
          <t>электропривод</t>
        </is>
      </c>
      <c r="M37" s="210" t="inlineStr">
        <is>
          <t>для автоматического регулирования технологических процессов</t>
        </is>
      </c>
      <c r="N37" s="210" t="inlineStr">
        <is>
          <t>горизонтальное       (ЭИМ вверх)</t>
        </is>
      </c>
      <c r="O37" s="210" t="inlineStr">
        <is>
          <t>плунжер, седло - Сталь 20Х13 ГОСТ 5632-2014 уплотнение в затворе - «металл по металлу» уплотнение сальника - ТРГ</t>
        </is>
      </c>
      <c r="P37" s="210" t="inlineStr">
        <is>
          <t>L=160мм.</t>
        </is>
      </c>
      <c r="Q37" s="210" t="n"/>
      <c r="R37" s="198">
        <f>A37</f>
        <v/>
      </c>
      <c r="S37" s="228" t="inlineStr">
        <is>
          <t>Клапан регулирующий Авангард КР 25с947нж Ду50 Ру25 односедельный неразгруженный, присоединение фланцевое, корпус - сталь 25Л, 1 шт уплотнение - металл</t>
        </is>
      </c>
      <c r="T37" s="224" t="n"/>
      <c r="U37" s="224" t="n"/>
      <c r="V37" s="224" t="n"/>
      <c r="W37" s="224" t="n"/>
      <c r="X37" s="224" t="n"/>
      <c r="Y37" s="224" t="n"/>
      <c r="Z37" s="224" t="n"/>
      <c r="AA37" s="224" t="n"/>
      <c r="AB37" s="224" t="n"/>
      <c r="AC37" s="224" t="n"/>
      <c r="AD37" s="224" t="n"/>
      <c r="AE37" s="224" t="n"/>
      <c r="AF37" s="224" t="n"/>
      <c r="AG37" s="224" t="n"/>
      <c r="AH37" s="224" t="n"/>
      <c r="AI37" s="202" t="n"/>
    </row>
    <row r="38" ht="51" customFormat="1" customHeight="1" s="171">
      <c r="A38" s="192" t="n">
        <v>2</v>
      </c>
      <c r="B38" s="193" t="inlineStr">
        <is>
          <t>Клапан регулирующий 25ч945п Ду 15 Ру 16 с ЭИМ</t>
        </is>
      </c>
      <c r="C38" s="210" t="inlineStr">
        <is>
          <t>ТУ 3722-011-50987615</t>
        </is>
      </c>
      <c r="D38" s="210" t="n">
        <v>15</v>
      </c>
      <c r="E38" s="210" t="inlineStr">
        <is>
          <t>стандарт</t>
        </is>
      </c>
      <c r="F38" s="210" t="n">
        <v>1.6</v>
      </c>
      <c r="G38" s="210" t="inlineStr">
        <is>
          <t>От -15°С до +150°С</t>
        </is>
      </c>
      <c r="H38" s="210" t="inlineStr">
        <is>
          <t>вода</t>
        </is>
      </c>
      <c r="I38" s="210" t="inlineStr">
        <is>
          <t>чугун СЧ20</t>
        </is>
      </c>
      <c r="J38" s="210" t="inlineStr">
        <is>
          <t>У2</t>
        </is>
      </c>
      <c r="K38" s="210" t="inlineStr">
        <is>
          <t>фланцевое</t>
        </is>
      </c>
      <c r="L38" s="210" t="inlineStr">
        <is>
          <t>автоматический</t>
        </is>
      </c>
      <c r="M38" s="210" t="inlineStr">
        <is>
          <t>электропривод</t>
        </is>
      </c>
      <c r="N38" s="210" t="inlineStr">
        <is>
          <t>горизонтальное ЭИМ вверх</t>
        </is>
      </c>
      <c r="O38" s="210" t="inlineStr">
        <is>
          <t>Корпус, крышка: СЧ20
Плунжер, седло: Сталь 12Х13
Уплотнение в затворе_x0001_: Фторопласт-4
Уплотнение сальника:_x0001_Фторопласт-4</t>
        </is>
      </c>
      <c r="P38" s="210" t="inlineStr">
        <is>
          <t>строительная длинна 130мм</t>
        </is>
      </c>
      <c r="Q38" s="210" t="inlineStr">
        <is>
          <t xml:space="preserve">Пропускная способность — 4 м3 </t>
        </is>
      </c>
      <c r="R38" s="198">
        <f>A38</f>
        <v/>
      </c>
      <c r="S38" s="205" t="n"/>
      <c r="T38" s="205" t="n"/>
      <c r="U38" s="205" t="n"/>
      <c r="V38" s="205" t="n"/>
      <c r="W38" s="205" t="n"/>
      <c r="X38" s="205" t="n"/>
      <c r="Y38" s="205" t="n"/>
      <c r="Z38" s="205" t="n"/>
      <c r="AA38" s="205" t="n"/>
      <c r="AB38" s="205" t="n"/>
      <c r="AC38" s="205" t="n"/>
      <c r="AD38" s="205" t="n"/>
      <c r="AE38" s="205" t="n"/>
      <c r="AF38" s="205" t="n"/>
      <c r="AG38" s="205" t="n"/>
      <c r="AH38" s="205" t="n"/>
      <c r="AI38" s="202" t="n"/>
    </row>
    <row r="39" ht="51" customHeight="1" s="169">
      <c r="A39" s="192" t="n">
        <v>3</v>
      </c>
      <c r="B39" s="193" t="inlineStr">
        <is>
          <t>Клапан регулирующий 25ч945п Ду 25 Ру 16 с ЭИМ</t>
        </is>
      </c>
      <c r="C39" s="210" t="inlineStr">
        <is>
          <t>ТУ 3722-011-50987615</t>
        </is>
      </c>
      <c r="D39" s="210" t="n">
        <v>25</v>
      </c>
      <c r="E39" s="210" t="inlineStr">
        <is>
          <t>стандарт</t>
        </is>
      </c>
      <c r="F39" s="210" t="n">
        <v>1.6</v>
      </c>
      <c r="G39" s="210" t="inlineStr">
        <is>
          <t>От -15°С до +150°С</t>
        </is>
      </c>
      <c r="H39" s="210" t="inlineStr">
        <is>
          <t>вода</t>
        </is>
      </c>
      <c r="I39" s="210" t="inlineStr">
        <is>
          <t>чугун СЧ20</t>
        </is>
      </c>
      <c r="J39" s="210" t="inlineStr">
        <is>
          <t>У2</t>
        </is>
      </c>
      <c r="K39" s="210" t="inlineStr">
        <is>
          <t>фланцевое</t>
        </is>
      </c>
      <c r="L39" s="210" t="inlineStr">
        <is>
          <t>автоматический</t>
        </is>
      </c>
      <c r="M39" s="210" t="inlineStr">
        <is>
          <t>электропривод</t>
        </is>
      </c>
      <c r="N39" s="210" t="inlineStr">
        <is>
          <t>горизонтальное ЭИМ вверх</t>
        </is>
      </c>
      <c r="O39" s="210" t="inlineStr">
        <is>
          <t>Корпус, крышка: СЧ20
Плунжер, седло: Сталь 12Х13
Уплотнение в затворе_x0001_: Фторопласт-4
Уплотнение сальника:_x0001_Фторопласт-4</t>
        </is>
      </c>
      <c r="P39" s="210" t="inlineStr">
        <is>
          <t>строительная длинна 160мм</t>
        </is>
      </c>
      <c r="Q39" s="210" t="inlineStr">
        <is>
          <t xml:space="preserve">Пропускная способность — 4 м3 </t>
        </is>
      </c>
      <c r="R39" s="198">
        <f>A39</f>
        <v/>
      </c>
      <c r="S39" s="205" t="n"/>
      <c r="T39" s="205" t="n"/>
      <c r="U39" s="205" t="n"/>
      <c r="V39" s="205" t="n"/>
      <c r="W39" s="205" t="n"/>
      <c r="X39" s="205" t="n"/>
      <c r="Y39" s="205" t="n"/>
      <c r="Z39" s="205" t="n"/>
      <c r="AA39" s="205" t="n"/>
      <c r="AB39" s="205" t="n"/>
      <c r="AC39" s="205" t="n"/>
      <c r="AD39" s="205" t="n"/>
      <c r="AE39" s="205" t="n"/>
      <c r="AF39" s="205" t="n"/>
      <c r="AG39" s="205" t="n"/>
      <c r="AH39" s="205" t="n"/>
      <c r="AI39" s="202" t="n"/>
    </row>
    <row r="40" ht="51" customHeight="1" s="169">
      <c r="A40" s="192" t="n">
        <v>4</v>
      </c>
      <c r="B40" s="193" t="inlineStr">
        <is>
          <t>Клапан регулирующий 25ч945п Ду 50 Ру 16 KV100 с ЭИМ</t>
        </is>
      </c>
      <c r="C40" s="210" t="inlineStr">
        <is>
          <t>ТУ 3722-011-50987615</t>
        </is>
      </c>
      <c r="D40" s="210" t="n">
        <v>50</v>
      </c>
      <c r="E40" s="210" t="inlineStr">
        <is>
          <t>стандарт</t>
        </is>
      </c>
      <c r="F40" s="210" t="n">
        <v>1.6</v>
      </c>
      <c r="G40" s="210" t="inlineStr">
        <is>
          <t>От -20°С до +150°С</t>
        </is>
      </c>
      <c r="H40" s="210" t="inlineStr">
        <is>
          <t>вода</t>
        </is>
      </c>
      <c r="I40" s="210" t="inlineStr">
        <is>
          <t>чугун СЧ20</t>
        </is>
      </c>
      <c r="J40" s="210" t="inlineStr">
        <is>
          <t>У2</t>
        </is>
      </c>
      <c r="K40" s="210" t="inlineStr">
        <is>
          <t>фланцевое</t>
        </is>
      </c>
      <c r="L40" s="210" t="inlineStr">
        <is>
          <t>автоматический</t>
        </is>
      </c>
      <c r="M40" s="210" t="inlineStr">
        <is>
          <t>электропривод</t>
        </is>
      </c>
      <c r="N40" s="210" t="inlineStr">
        <is>
          <t>горизонтальное ЭИМ вверх</t>
        </is>
      </c>
      <c r="O40" s="210" t="inlineStr">
        <is>
          <t>Корпус, крышка: СЧ20
Плунжер, седло: Сталь 12Х13
Уплотнение в затворе_x0001_: Фторопласт-4
Уплотнение сальника:_x0001_Фторопласт-4</t>
        </is>
      </c>
      <c r="P40" s="210" t="inlineStr">
        <is>
          <t>строительная длинна 230мм</t>
        </is>
      </c>
      <c r="Q40" s="210" t="inlineStr">
        <is>
          <t xml:space="preserve">Максимальная пропускная способность - 65 м3. Допустима 40 м3 </t>
        </is>
      </c>
      <c r="R40" s="198">
        <f>A40</f>
        <v/>
      </c>
      <c r="S40" s="205" t="n"/>
      <c r="T40" s="205" t="n"/>
      <c r="U40" s="205" t="n"/>
      <c r="V40" s="205" t="n"/>
      <c r="W40" s="205" t="n"/>
      <c r="X40" s="205" t="n"/>
      <c r="Y40" s="205" t="n"/>
      <c r="Z40" s="205" t="n"/>
      <c r="AA40" s="205" t="n"/>
      <c r="AB40" s="205" t="n"/>
      <c r="AC40" s="205" t="n"/>
      <c r="AD40" s="205" t="n"/>
      <c r="AE40" s="205" t="n"/>
      <c r="AF40" s="205" t="n"/>
      <c r="AG40" s="205" t="n"/>
      <c r="AH40" s="205" t="n"/>
      <c r="AI40" s="202" t="n"/>
    </row>
    <row r="41" ht="51" customHeight="1" s="169">
      <c r="A41" s="192" t="n">
        <v>5</v>
      </c>
      <c r="B41" s="193" t="inlineStr">
        <is>
          <t>Клапан регулирующий 25ч945п Ду 80 Ру 16 с ЭИМ</t>
        </is>
      </c>
      <c r="C41" s="210" t="inlineStr">
        <is>
          <t>ТУ 3722-011-50987615</t>
        </is>
      </c>
      <c r="D41" s="210" t="n">
        <v>80</v>
      </c>
      <c r="E41" s="210" t="inlineStr">
        <is>
          <t>стандарт</t>
        </is>
      </c>
      <c r="F41" s="210" t="n">
        <v>1.6</v>
      </c>
      <c r="G41" s="210" t="inlineStr">
        <is>
          <t>От -15°С до +150°С</t>
        </is>
      </c>
      <c r="H41" s="210" t="inlineStr">
        <is>
          <t>вода</t>
        </is>
      </c>
      <c r="I41" s="210" t="inlineStr">
        <is>
          <t>чугун СЧ20</t>
        </is>
      </c>
      <c r="J41" s="210" t="inlineStr">
        <is>
          <t>У2</t>
        </is>
      </c>
      <c r="K41" s="210" t="inlineStr">
        <is>
          <t>фланцевое</t>
        </is>
      </c>
      <c r="L41" s="210" t="inlineStr">
        <is>
          <t>автоматический</t>
        </is>
      </c>
      <c r="M41" s="210" t="inlineStr">
        <is>
          <t>электропривод</t>
        </is>
      </c>
      <c r="N41" s="210" t="inlineStr">
        <is>
          <t>горизонтальное ЭИМ вверх</t>
        </is>
      </c>
      <c r="O41" s="210" t="inlineStr">
        <is>
          <t>Корпус, крышка: СЧ20
Плунжер, седло: Сталь 12Х13
Уплотнение в затворе_x0001_: Фторопласт-4
Уплотнение сальника:_x0001_Фторопласт-4</t>
        </is>
      </c>
      <c r="P41" s="210" t="inlineStr">
        <is>
          <t>строительная длинна 160мм</t>
        </is>
      </c>
      <c r="Q41" s="210" t="inlineStr">
        <is>
          <t xml:space="preserve">Пропускная способность — 4 м3 </t>
        </is>
      </c>
      <c r="R41" s="198">
        <f>A41</f>
        <v/>
      </c>
      <c r="S41" s="205" t="n"/>
      <c r="T41" s="205" t="n"/>
      <c r="U41" s="205" t="n"/>
      <c r="V41" s="205" t="n"/>
      <c r="W41" s="205" t="n"/>
      <c r="X41" s="205" t="n"/>
      <c r="Y41" s="205" t="n"/>
      <c r="Z41" s="205" t="n"/>
      <c r="AA41" s="205" t="n"/>
      <c r="AB41" s="205" t="n"/>
      <c r="AC41" s="205" t="n"/>
      <c r="AD41" s="205" t="n"/>
      <c r="AE41" s="205" t="n"/>
      <c r="AF41" s="205" t="n"/>
      <c r="AG41" s="205" t="n"/>
      <c r="AH41" s="205" t="n"/>
      <c r="AI41" s="202" t="n"/>
    </row>
    <row r="42" ht="306" customHeight="1" s="169">
      <c r="A42" s="192" t="n">
        <v>6</v>
      </c>
      <c r="B42" s="193" t="inlineStr">
        <is>
          <t>Регулирующий клапан Ридан VFG-2R Ду 100, Kvs 125, Ру 16</t>
        </is>
      </c>
      <c r="C42" s="210" t="inlineStr">
        <is>
          <t>ТУ 28.14.11-002-72323163-2022</t>
        </is>
      </c>
      <c r="D42" s="210" t="n">
        <v>100</v>
      </c>
      <c r="E42" s="210" t="n"/>
      <c r="F42" s="210" t="n">
        <v>1.6</v>
      </c>
      <c r="G42" s="210" t="inlineStr">
        <is>
          <t xml:space="preserve">
от 2–150 °С</t>
        </is>
      </c>
      <c r="H42" s="210" t="inlineStr">
        <is>
          <t>Вода или 30% водный раствор гликоля</t>
        </is>
      </c>
      <c r="I42" s="210" t="inlineStr">
        <is>
          <t>Углеродистая сталь WCB</t>
        </is>
      </c>
      <c r="J42" s="210" t="n"/>
      <c r="K42" s="210" t="inlineStr">
        <is>
          <t>фланцевое болтовое</t>
        </is>
      </c>
      <c r="L42" s="210" t="n"/>
      <c r="M42" s="210" t="n"/>
      <c r="N42" s="210" t="inlineStr">
        <is>
          <t>горизонтальное</t>
        </is>
      </c>
      <c r="O42" s="210" t="inlineStr">
        <is>
          <t>Номинальный диаметр (DN), мм 100
Номинальное давление (PN), бар 16
Климатическое исполнение Категория 3 по ГОСТ 15150-69
L, мм 350
Запорный элемент (шар, диск, золотник) Нержавеющая сталь
Рабочая среда Вода или 30% водный раствор гликоля
Температура рабочей среды, °С 2–150 °С
Коэффициент начала кавитации 0,4
Масса, кг, не более 60
Уплотнение нет уплотнения по штоку
B, мм 380
Шток Cталь
Седло Нержавеющая сталь
Пропускная способность Kvs, м³/ч 125
Герметичность затвора (объем протечки / класс герметичности) 0,04%Kvs
Тип присоединения к трубопроводу фланцы по ГОСТ 33259
Вид привода или регулирующего блока AFP-R; AFD-R; AFA-R; AFPA-R; AFT-06R; AFT-17R.
Корпус Углеродистая сталь WCB</t>
        </is>
      </c>
      <c r="P42" s="229" t="inlineStr">
        <is>
          <t>строительная длинна, 350 мм</t>
        </is>
      </c>
      <c r="Q42" s="229" t="inlineStr">
        <is>
          <t>каталожный  № 065B2396R</t>
        </is>
      </c>
      <c r="R42" s="198">
        <f>A42</f>
        <v/>
      </c>
      <c r="S42" s="205" t="n"/>
      <c r="T42" s="205" t="n"/>
      <c r="U42" s="205" t="n"/>
      <c r="V42" s="205" t="n"/>
      <c r="W42" s="205" t="n"/>
      <c r="X42" s="205" t="n"/>
      <c r="Y42" s="205" t="n"/>
      <c r="Z42" s="205" t="n"/>
      <c r="AA42" s="205" t="n"/>
      <c r="AB42" s="205" t="n"/>
      <c r="AC42" s="205" t="n"/>
      <c r="AD42" s="205" t="n"/>
      <c r="AE42" s="205" t="n"/>
      <c r="AF42" s="205" t="n"/>
      <c r="AG42" s="205" t="n"/>
      <c r="AH42" s="205" t="n"/>
      <c r="AI42" s="202" t="n"/>
    </row>
    <row r="43" ht="293.25" customHeight="1" s="169">
      <c r="A43" s="192" t="n">
        <v>7</v>
      </c>
      <c r="B43" s="193" t="inlineStr">
        <is>
          <t>Регулирующий клапан Ридан VFG-2R Ду 32, Kvs 16,  Ру 16</t>
        </is>
      </c>
      <c r="C43" s="210" t="inlineStr">
        <is>
          <t>ТУ 28.14.11-002-72323163-2022</t>
        </is>
      </c>
      <c r="D43" s="210" t="n">
        <v>32</v>
      </c>
      <c r="E43" s="210" t="n"/>
      <c r="F43" s="210" t="n">
        <v>1.6</v>
      </c>
      <c r="G43" s="210" t="inlineStr">
        <is>
          <t xml:space="preserve">
от 2–150 °С</t>
        </is>
      </c>
      <c r="H43" s="210" t="inlineStr">
        <is>
          <t>Вода или 30% водный раствор гликоля</t>
        </is>
      </c>
      <c r="I43" s="210" t="inlineStr">
        <is>
          <t>Углеродистая сталь WCB</t>
        </is>
      </c>
      <c r="J43" s="210" t="n"/>
      <c r="K43" s="210" t="inlineStr">
        <is>
          <t>фланцевое болтовое</t>
        </is>
      </c>
      <c r="L43" s="210" t="n"/>
      <c r="M43" s="210" t="n"/>
      <c r="N43" s="210" t="inlineStr">
        <is>
          <t>горизонтальное</t>
        </is>
      </c>
      <c r="O43" s="210" t="inlineStr">
        <is>
          <t>Номинальный диаметр (DN), мм 32
Номинальное давление (PN), бар 16
Пропускная способность Kvs, м³/ч 16
Рабочая среда Вода или 30% водный раствор гликоля
Температура рабочей среды, °С 2–150 °С
Герметичность затвора (объем протечки / класс
герметичности)
0,04%Kvs
Климатическое исполнение Категория 3 по ГОСТ 15150-69
Тип присоединения к трубопроводу фланцы по ГОСТ 33259
Коэффициент начала кавитации 0,55
Вид привода или регулирующего блока AFP-R; AFD-R; AFA-R; AFPA-R; AFT-06R; AFT17R.
Масса, кг, не более 13
Запорный элемент (шар, диск, золотник) Нержавеющая сталь
Седло Нержавеющая сталь
Уплотнение нет уплотнения по штоку
Корпус Углеродистая сталь WCB
Шток Cталь</t>
        </is>
      </c>
      <c r="P43" s="210" t="inlineStr">
        <is>
          <t>строительная длинна, 180 мм</t>
        </is>
      </c>
      <c r="Q43" s="210" t="inlineStr">
        <is>
          <t>каталожный  № 065B2391R</t>
        </is>
      </c>
      <c r="R43" s="198">
        <f>A43</f>
        <v/>
      </c>
      <c r="S43" s="205" t="n"/>
      <c r="T43" s="205" t="n"/>
      <c r="U43" s="205" t="n"/>
      <c r="V43" s="205" t="n"/>
      <c r="W43" s="205" t="n"/>
      <c r="X43" s="205" t="n"/>
      <c r="Y43" s="205" t="n"/>
      <c r="Z43" s="205" t="n"/>
      <c r="AA43" s="205" t="n"/>
      <c r="AB43" s="205" t="n"/>
      <c r="AC43" s="205" t="n"/>
      <c r="AD43" s="205" t="n"/>
      <c r="AE43" s="205" t="n"/>
      <c r="AF43" s="205" t="n"/>
      <c r="AG43" s="205" t="n"/>
      <c r="AH43" s="205" t="n"/>
      <c r="AI43" s="202" t="n"/>
    </row>
    <row r="44" ht="306" customHeight="1" s="169">
      <c r="A44" s="192" t="n">
        <v>8</v>
      </c>
      <c r="B44" s="193" t="inlineStr">
        <is>
          <t>регулирующий клапан Ридан VFG-2R Ду 80, Kvs 80,  Ру 16</t>
        </is>
      </c>
      <c r="C44" s="210" t="inlineStr">
        <is>
          <t>ТУ 28.14.11-002-72323163-2022</t>
        </is>
      </c>
      <c r="D44" s="210" t="n">
        <v>80</v>
      </c>
      <c r="E44" s="210" t="n"/>
      <c r="F44" s="210" t="n">
        <v>1.6</v>
      </c>
      <c r="G44" s="210" t="inlineStr">
        <is>
          <t xml:space="preserve">
от 2–150 °С</t>
        </is>
      </c>
      <c r="H44" s="210" t="inlineStr">
        <is>
          <t>Вода или 30% водный раствор гликоля</t>
        </is>
      </c>
      <c r="I44" s="210" t="inlineStr">
        <is>
          <t>Углеродистая сталь WCB</t>
        </is>
      </c>
      <c r="J44" s="210" t="n"/>
      <c r="K44" s="210" t="inlineStr">
        <is>
          <t>фланцевое болтовое</t>
        </is>
      </c>
      <c r="L44" s="210" t="n"/>
      <c r="M44" s="210" t="n"/>
      <c r="N44" s="210" t="inlineStr">
        <is>
          <t>горизонтальное</t>
        </is>
      </c>
      <c r="O44" s="210" t="inlineStr">
        <is>
          <t>Номинальный диаметр (DN), мм 80
Номинальное давление (PN), бар 16
Климатическое исполнение Категория 3 по ГОСТ 15150-69
L, мм 310
Запорный элемент (шар, диск, золотник) Нержавеющая сталь
Рабочая среда Вода или 30% водный раствор гликоля
Температура рабочей среды, °С 2–150 °С
Коэффициент начала кавитации 0,45
Масса, кг, не более 33
Уплотнение нет уплотнения по штоку
B, мм 275
Шток Cталь
Седло Нержавеющая сталь
Пропускная способность Kvs, м³/ч 80
Герметичность затвора (объем протечки / класс герметичности) 0,04%Kvs
Тип присоединения к трубопроводу фланцы по ГОСТ 33259
Вид привода или регулирующего блока AFP-R; AFD-R; AFA-R; AFPA-R; AFT-06R; AFT-17R.
Корпус Углеродистая сталь WCB</t>
        </is>
      </c>
      <c r="P44" s="210" t="inlineStr">
        <is>
          <t>строительная длинна, 310 мм</t>
        </is>
      </c>
      <c r="Q44" s="210" t="inlineStr">
        <is>
          <t>каталожный номер 065B2395R</t>
        </is>
      </c>
      <c r="R44" s="198">
        <f>A44</f>
        <v/>
      </c>
      <c r="S44" s="205" t="n"/>
      <c r="T44" s="205" t="n"/>
      <c r="U44" s="205" t="n"/>
      <c r="V44" s="205" t="n"/>
      <c r="W44" s="205" t="n"/>
      <c r="X44" s="205" t="n"/>
      <c r="Y44" s="205" t="n"/>
      <c r="Z44" s="205" t="n"/>
      <c r="AA44" s="205" t="n"/>
      <c r="AB44" s="205" t="n"/>
      <c r="AC44" s="205" t="n"/>
      <c r="AD44" s="205" t="n"/>
      <c r="AE44" s="205" t="n"/>
      <c r="AF44" s="205" t="n"/>
      <c r="AG44" s="205" t="n"/>
      <c r="AH44" s="205" t="n"/>
      <c r="AI44" s="202" t="n"/>
    </row>
    <row r="45" ht="63.75" customHeight="1" s="169">
      <c r="A45" s="192" t="n">
        <v>9</v>
      </c>
      <c r="B45" s="193" t="inlineStr">
        <is>
          <t>Регулятор давления РД-НО (Нормально открытый) Ду 25 Ру 16</t>
        </is>
      </c>
      <c r="C45" s="210" t="inlineStr">
        <is>
          <t>СНИЦ.423.117.013ТУ</t>
        </is>
      </c>
      <c r="D45" s="210" t="n">
        <v>25</v>
      </c>
      <c r="E45" s="210" t="inlineStr">
        <is>
          <t>полнопроходной</t>
        </is>
      </c>
      <c r="F45" s="210" t="n">
        <v>1.6</v>
      </c>
      <c r="G45" s="210" t="inlineStr">
        <is>
          <t>от 00С до    +180С</t>
        </is>
      </c>
      <c r="H45" s="210" t="inlineStr">
        <is>
          <t>вода</t>
        </is>
      </c>
      <c r="I45" s="210" t="inlineStr">
        <is>
          <t>чугун СЧ20 ГОСТ1412</t>
        </is>
      </c>
      <c r="J45" s="210" t="inlineStr">
        <is>
          <t>В условиях У по ГОСТ 15150-69 при соблюдении условий, установленных ГОСТ Р 52931-2008 для группы В4</t>
        </is>
      </c>
      <c r="K45" s="210" t="inlineStr">
        <is>
          <t>фланцевое</t>
        </is>
      </c>
      <c r="L45" s="210" t="inlineStr">
        <is>
          <t>автоматически действующая трубопроводная арматура</t>
        </is>
      </c>
      <c r="M45" s="210" t="inlineStr">
        <is>
          <t>поддержание заданного давления</t>
        </is>
      </c>
      <c r="N45" s="210" t="inlineStr">
        <is>
          <t>вертикальное, мембранным узлом вверх</t>
        </is>
      </c>
      <c r="O45" s="210" t="inlineStr">
        <is>
          <t>стакан-бронза; клапан (поршень)-сталь 20Х13; шток-сталь 20Х13; мембрана-EPDM; пружина настройки-сталь; сильфон-36НХТЮ; дублирующее кольцо-фторопласт</t>
        </is>
      </c>
      <c r="P45" s="210" t="inlineStr">
        <is>
          <t>L=160мм.</t>
        </is>
      </c>
      <c r="Q45" s="210" t="inlineStr">
        <is>
          <t>Пропускная способность — 6м3
Предел регулирования - 0,1...0,63 Мпа
Уплотнение — сальникоковое</t>
        </is>
      </c>
      <c r="R45" s="198">
        <f>A45</f>
        <v/>
      </c>
      <c r="S45" s="205" t="n"/>
      <c r="T45" s="205" t="n"/>
      <c r="U45" s="205" t="n"/>
      <c r="V45" s="205" t="n"/>
      <c r="W45" s="205" t="n"/>
      <c r="X45" s="205" t="n"/>
      <c r="Y45" s="205" t="n"/>
      <c r="Z45" s="205" t="n"/>
      <c r="AA45" s="205" t="n"/>
      <c r="AB45" s="205" t="n"/>
      <c r="AC45" s="205" t="n"/>
      <c r="AD45" s="205" t="n"/>
      <c r="AE45" s="205" t="n"/>
      <c r="AF45" s="205" t="n"/>
      <c r="AG45" s="205" t="n"/>
      <c r="AH45" s="205" t="n"/>
      <c r="AI45" s="202" t="n"/>
    </row>
    <row r="46" ht="63.75" customHeight="1" s="169">
      <c r="A46" s="192" t="n">
        <v>10</v>
      </c>
      <c r="B46" s="193" t="inlineStr">
        <is>
          <t>Регулятор давления РД-НО (Нормально открытый) Ду 32 Ру 16</t>
        </is>
      </c>
      <c r="C46" s="210" t="inlineStr">
        <is>
          <t>СНИЦ.423.117.013 ТУ</t>
        </is>
      </c>
      <c r="D46" s="210" t="n">
        <v>32</v>
      </c>
      <c r="E46" s="210" t="inlineStr">
        <is>
          <t>полнопроходной</t>
        </is>
      </c>
      <c r="F46" s="210" t="n">
        <v>1.6</v>
      </c>
      <c r="G46" s="210" t="inlineStr">
        <is>
          <t>До +95°С</t>
        </is>
      </c>
      <c r="H46" s="210" t="inlineStr">
        <is>
          <t>вода</t>
        </is>
      </c>
      <c r="I46" s="210" t="inlineStr">
        <is>
          <t>чугун СЧ20 ГОСТ1412</t>
        </is>
      </c>
      <c r="J46" s="210" t="inlineStr">
        <is>
          <t>В условиях У по ГОСТ 15150-69 при соблюдении условий, установленных ГОСТ Р 52931-2008 для группы В4</t>
        </is>
      </c>
      <c r="K46" s="210" t="inlineStr">
        <is>
          <t>фланцевое</t>
        </is>
      </c>
      <c r="L46" s="210" t="inlineStr">
        <is>
          <t>автоматический</t>
        </is>
      </c>
      <c r="M46" s="210" t="inlineStr">
        <is>
          <t>поддержание заданного давления</t>
        </is>
      </c>
      <c r="N46" s="230" t="inlineStr">
        <is>
          <t>Вертикальное, мембраной вверх</t>
        </is>
      </c>
      <c r="O46" s="210" t="inlineStr">
        <is>
          <t>Седло-ВЧ40 ГОСТ7293-85, шток-сталь 20Л ГОСТ977-88, исполнительный орган-12Х18Н9ТЛ ГОСТ977-88.</t>
        </is>
      </c>
      <c r="P46" s="210" t="inlineStr">
        <is>
          <t xml:space="preserve">◦H = 630 мм
◦L = 180 мм (строительная длина)
</t>
        </is>
      </c>
      <c r="Q46" s="210" t="inlineStr">
        <is>
          <t>Пропускная способность - 16м3
Предел регулирования - 0,1...0,63 Мпа
Уплотнение - сальниковое
Габаритный размер — Н=620мм</t>
        </is>
      </c>
      <c r="R46" s="198">
        <f>A46</f>
        <v/>
      </c>
      <c r="S46" s="205" t="n"/>
      <c r="T46" s="205" t="n"/>
      <c r="U46" s="205" t="n"/>
      <c r="V46" s="205" t="n"/>
      <c r="W46" s="205" t="n"/>
      <c r="X46" s="205" t="n"/>
      <c r="Y46" s="205" t="n"/>
      <c r="Z46" s="205" t="n"/>
      <c r="AA46" s="205" t="n"/>
      <c r="AB46" s="205" t="n"/>
      <c r="AC46" s="205" t="n"/>
      <c r="AD46" s="205" t="n"/>
      <c r="AE46" s="205" t="n"/>
      <c r="AF46" s="205" t="n"/>
      <c r="AG46" s="205" t="n"/>
      <c r="AH46" s="205" t="n"/>
      <c r="AI46" s="202" t="n"/>
    </row>
    <row r="47" ht="63.75" customHeight="1" s="169">
      <c r="A47" s="192" t="n">
        <v>11</v>
      </c>
      <c r="B47" s="193" t="inlineStr">
        <is>
          <t>Регулятор давления РД-НО (Нормально открытый) Ду 50 Ру 16</t>
        </is>
      </c>
      <c r="C47" s="210" t="inlineStr">
        <is>
          <t>СНИЦ.423.117.013 ТУ</t>
        </is>
      </c>
      <c r="D47" s="210" t="n">
        <v>50</v>
      </c>
      <c r="E47" s="210" t="inlineStr">
        <is>
          <t>полнопроходной</t>
        </is>
      </c>
      <c r="F47" s="210" t="n">
        <v>1.6</v>
      </c>
      <c r="G47" s="210" t="inlineStr">
        <is>
          <t>До +95°С</t>
        </is>
      </c>
      <c r="H47" s="210" t="inlineStr">
        <is>
          <t>вода</t>
        </is>
      </c>
      <c r="I47" s="210" t="inlineStr">
        <is>
          <t>чугун СЧ20 ГОСТ1412</t>
        </is>
      </c>
      <c r="J47" s="210" t="inlineStr">
        <is>
          <t>В условиях У по ГОСТ 15150-69 при соблюдении условий, установленных ГОСТ Р 52931-2008 для группы В4</t>
        </is>
      </c>
      <c r="K47" s="210" t="inlineStr">
        <is>
          <t>фланцевое</t>
        </is>
      </c>
      <c r="L47" s="210" t="inlineStr">
        <is>
          <t>автоматический</t>
        </is>
      </c>
      <c r="M47" s="210" t="inlineStr">
        <is>
          <t>поддержание заданного давления</t>
        </is>
      </c>
      <c r="N47" s="230" t="inlineStr">
        <is>
          <t>Вертикальное, мембраной вверх</t>
        </is>
      </c>
      <c r="O47" s="210" t="inlineStr">
        <is>
          <t>Седло-ВЧ40 ГОСТ7293-85, шток-сталь 20Л ГОСТ977-88, исполнительный орган-12Х18Н9ТЛ ГОСТ977-88.</t>
        </is>
      </c>
      <c r="P47" s="210" t="inlineStr">
        <is>
          <t xml:space="preserve">◦H = 650 мм
◦L = 230 мм (строительная длина)
</t>
        </is>
      </c>
      <c r="Q47" s="210" t="inlineStr">
        <is>
          <t>Пропускная способность - 20м3
Предел регулирования - 0,1...0,63 Мпа
Уплотнение - сальниковое</t>
        </is>
      </c>
      <c r="R47" s="198">
        <f>A47</f>
        <v/>
      </c>
      <c r="S47" s="205" t="n"/>
      <c r="T47" s="205" t="n"/>
      <c r="U47" s="205" t="n"/>
      <c r="V47" s="205" t="n"/>
      <c r="W47" s="205" t="n"/>
      <c r="X47" s="205" t="n"/>
      <c r="Y47" s="205" t="n"/>
      <c r="Z47" s="205" t="n"/>
      <c r="AA47" s="205" t="n"/>
      <c r="AB47" s="205" t="n"/>
      <c r="AC47" s="205" t="n"/>
      <c r="AD47" s="205" t="n"/>
      <c r="AE47" s="205" t="n"/>
      <c r="AF47" s="205" t="n"/>
      <c r="AG47" s="205" t="n"/>
      <c r="AH47" s="205" t="n"/>
      <c r="AI47" s="202" t="n"/>
    </row>
    <row r="48" ht="140.25" customHeight="1" s="169">
      <c r="A48" s="192" t="n">
        <v>12</v>
      </c>
      <c r="B48" s="193" t="inlineStr">
        <is>
          <t>Регулятор давления РД-НО (Нормально открытый) Ду 80 Ру 16</t>
        </is>
      </c>
      <c r="C48" s="210" t="inlineStr">
        <is>
          <t>СНИЦ.423.117.013 ТУ</t>
        </is>
      </c>
      <c r="D48" s="210" t="n">
        <v>80</v>
      </c>
      <c r="E48" s="210" t="inlineStr">
        <is>
          <t>полнопроходной</t>
        </is>
      </c>
      <c r="F48" s="210" t="n">
        <v>1.6</v>
      </c>
      <c r="G48" s="231" t="inlineStr">
        <is>
          <t>До +180°С</t>
        </is>
      </c>
      <c r="H48" s="210" t="inlineStr">
        <is>
          <t>вода</t>
        </is>
      </c>
      <c r="I48" s="210" t="inlineStr">
        <is>
          <t>Сталь марки 20</t>
        </is>
      </c>
      <c r="J48" s="210" t="inlineStr">
        <is>
          <t xml:space="preserve"> в условиях У по ГОСТ 15150-69 при соблюдении условий, установленных ГОСТ Р 52931-2008 для группы В4</t>
        </is>
      </c>
      <c r="K48" s="210" t="inlineStr">
        <is>
          <t>фланцевое</t>
        </is>
      </c>
      <c r="L48" s="210" t="inlineStr">
        <is>
          <t>автоматический</t>
        </is>
      </c>
      <c r="M48" s="210" t="inlineStr">
        <is>
          <t>поддержание заданного давления</t>
        </is>
      </c>
      <c r="N48" s="210" t="inlineStr">
        <is>
          <t>мембраной вверх</t>
        </is>
      </c>
      <c r="O48" s="210" t="inlineStr">
        <is>
          <t>Седло-ВЧ40 ГОСТ7293-85, шток-сталь 20Л ГОСТ977-88, исполнительный орган-12Х18Н9ТЛ ГОСТ977-88.</t>
        </is>
      </c>
      <c r="P48" s="210" t="inlineStr">
        <is>
          <t xml:space="preserve">◦H = 800 мм
◦D1 = 133 мм
◦D2 = 160 мм
◦D3 = 195 мм
◦D4 = 18 мм
◦L = 310 мм (строительная длина)
◦B = 310 мм
◦n = 4 мм
</t>
        </is>
      </c>
      <c r="Q48" s="210" t="inlineStr">
        <is>
          <t>Пропускная способность:  40 м3, 
уплотнение: сальниковое;
пределы регулирования от 0,1 до 0,63 МПа..</t>
        </is>
      </c>
      <c r="R48" s="198">
        <f>A48</f>
        <v/>
      </c>
      <c r="S48" s="205" t="n"/>
      <c r="T48" s="205" t="n"/>
      <c r="U48" s="205" t="n"/>
      <c r="V48" s="205" t="n"/>
      <c r="W48" s="205" t="n"/>
      <c r="X48" s="205" t="n"/>
      <c r="Y48" s="205" t="n"/>
      <c r="Z48" s="205" t="n"/>
      <c r="AA48" s="205" t="n"/>
      <c r="AB48" s="205" t="n"/>
      <c r="AC48" s="205" t="n"/>
      <c r="AD48" s="205" t="n"/>
      <c r="AE48" s="205" t="n"/>
      <c r="AF48" s="205" t="n"/>
      <c r="AG48" s="205" t="n"/>
      <c r="AH48" s="205" t="n"/>
      <c r="AI48" s="202" t="n"/>
    </row>
    <row r="49" ht="240" customFormat="1" customHeight="1" s="171">
      <c r="A49" s="192" t="n">
        <v>13</v>
      </c>
      <c r="B49" s="193" t="inlineStr">
        <is>
          <t>Регулирующий блок после себя AFD Ду 15-250 с диапазоном настройки Ру 25</t>
        </is>
      </c>
      <c r="C49" s="210" t="n"/>
      <c r="D49" s="207" t="inlineStr">
        <is>
          <t>15-250</t>
        </is>
      </c>
      <c r="E49" s="207" t="inlineStr">
        <is>
          <t>отсутствует</t>
        </is>
      </c>
      <c r="F49" s="207" t="inlineStr">
        <is>
          <t>Условное давление датчика (PN), погружная
гильза,
2,5</t>
        </is>
      </c>
      <c r="G49" s="207" t="inlineStr">
        <is>
          <t xml:space="preserve">
от 2–150 °С</t>
        </is>
      </c>
      <c r="H49" s="207" t="inlineStr">
        <is>
          <t>Вода или 30% водный раствор гликоля</t>
        </is>
      </c>
      <c r="I49" s="207" t="inlineStr">
        <is>
          <t>Нержавеющая сталь</t>
        </is>
      </c>
      <c r="J49" s="207" t="inlineStr">
        <is>
          <t>Категория 3 по ГОСТ 15150-69</t>
        </is>
      </c>
      <c r="K49" s="207" t="inlineStr">
        <is>
          <t>отсутствует</t>
        </is>
      </c>
      <c r="L49" s="207" t="inlineStr">
        <is>
          <t>отсутствует</t>
        </is>
      </c>
      <c r="M49" s="207" t="inlineStr">
        <is>
          <t>-</t>
        </is>
      </c>
      <c r="N49" s="207" t="inlineStr">
        <is>
          <t>вертикальное</t>
        </is>
      </c>
      <c r="O49" s="207" t="inlineStr">
        <is>
          <t>Номинальный диаметр (DN), мм 15-250
Условное давление датчика (PN), погружная
гильза, бар
25
Рабочая среда см. характеристики регулирующего клапана
Диапазон регулируемого давления ΔPрег., бар 1–6
Вид регулирующего клапана VFG-2R
Площадь регулирующей диафрагмы, см2 80
Цвет пружины красный
Климатическое исполнение Категория 3 по ГОСТ 15150-69
Корпус регулирующего блока Нержавеющая сталь
Регулирующая диафрагма EPDM</t>
        </is>
      </c>
      <c r="P49" s="207" t="inlineStr">
        <is>
          <t>H, мм
430</t>
        </is>
      </c>
      <c r="Q49" s="210" t="inlineStr">
        <is>
          <t>Каталожный номер 003G1002R</t>
        </is>
      </c>
      <c r="R49" s="198">
        <f>A49</f>
        <v/>
      </c>
      <c r="S49" s="205" t="n"/>
      <c r="T49" s="205" t="n"/>
      <c r="U49" s="205" t="n"/>
      <c r="V49" s="205" t="n"/>
      <c r="W49" s="205" t="n"/>
      <c r="X49" s="205" t="n"/>
      <c r="Y49" s="205" t="n"/>
      <c r="Z49" s="205" t="n"/>
      <c r="AA49" s="205" t="n"/>
      <c r="AB49" s="205" t="n"/>
      <c r="AC49" s="205" t="n"/>
      <c r="AD49" s="205" t="n"/>
      <c r="AE49" s="205" t="n"/>
      <c r="AF49" s="205" t="n"/>
      <c r="AG49" s="205" t="n"/>
      <c r="AH49" s="205" t="n"/>
      <c r="AI49" s="202" t="n"/>
    </row>
    <row r="50" ht="51" customHeight="1" s="169">
      <c r="A50" s="192" t="n">
        <v>14</v>
      </c>
      <c r="B50" s="193" t="inlineStr">
        <is>
          <t>Клапан обратный 19с53нж Ду 80 Ру 40</t>
        </is>
      </c>
      <c r="C50" s="210" t="n"/>
      <c r="D50" s="210" t="n">
        <v>80</v>
      </c>
      <c r="E50" s="210" t="n"/>
      <c r="F50" s="210" t="n">
        <v>4</v>
      </c>
      <c r="G50" s="210" t="inlineStr">
        <is>
          <t>От -29 до    +425С</t>
        </is>
      </c>
      <c r="H50" s="210" t="inlineStr">
        <is>
          <t>Вода</t>
        </is>
      </c>
      <c r="I50" s="210" t="inlineStr">
        <is>
          <t xml:space="preserve">Углеродистая сталь </t>
        </is>
      </c>
      <c r="J50" s="210" t="inlineStr">
        <is>
          <t>У</t>
        </is>
      </c>
      <c r="K50" s="210" t="inlineStr">
        <is>
          <t>Фланцевое</t>
        </is>
      </c>
      <c r="L50" s="210" t="n"/>
      <c r="M50" s="210" t="n"/>
      <c r="N50" s="210" t="n"/>
      <c r="O50" s="210" t="inlineStr">
        <is>
          <t>Материа запорного органа - Сталь (A216 WCB + 13Cr), Тип уплотнения - Графит+нержавеющая сталь</t>
        </is>
      </c>
      <c r="P50" s="210" t="n"/>
      <c r="Q50" s="210" t="n"/>
      <c r="R50" s="198">
        <f>A50</f>
        <v/>
      </c>
      <c r="S50" s="205" t="n"/>
      <c r="T50" s="205" t="n"/>
      <c r="U50" s="205" t="n"/>
      <c r="V50" s="205" t="n"/>
      <c r="W50" s="205" t="n"/>
      <c r="X50" s="205" t="n"/>
      <c r="Y50" s="205" t="n"/>
      <c r="Z50" s="205" t="n"/>
      <c r="AA50" s="205" t="n"/>
      <c r="AB50" s="205" t="n"/>
      <c r="AC50" s="205" t="n"/>
      <c r="AD50" s="205" t="n"/>
      <c r="AE50" s="205" t="n"/>
      <c r="AF50" s="205" t="n"/>
      <c r="AG50" s="205" t="n"/>
      <c r="AH50" s="205" t="n"/>
      <c r="AI50" s="202" t="n"/>
    </row>
    <row r="51" ht="51" customHeight="1" s="169">
      <c r="A51" s="192" t="n">
        <v>15</v>
      </c>
      <c r="B51" s="193" t="inlineStr">
        <is>
          <t>Клапан обратный 19с53нж Ду 150 Ру 40</t>
        </is>
      </c>
      <c r="C51" s="210" t="n"/>
      <c r="D51" s="210" t="n">
        <v>150</v>
      </c>
      <c r="E51" s="210" t="n"/>
      <c r="F51" s="210" t="n">
        <v>4</v>
      </c>
      <c r="G51" s="210" t="inlineStr">
        <is>
          <t>От -29 до    +425С</t>
        </is>
      </c>
      <c r="H51" s="210" t="inlineStr">
        <is>
          <t>Вода</t>
        </is>
      </c>
      <c r="I51" s="210" t="inlineStr">
        <is>
          <t xml:space="preserve">Углеродистая сталь </t>
        </is>
      </c>
      <c r="J51" s="210" t="inlineStr">
        <is>
          <t>У</t>
        </is>
      </c>
      <c r="K51" s="210" t="inlineStr">
        <is>
          <t>Фланцевое</t>
        </is>
      </c>
      <c r="L51" s="210" t="n"/>
      <c r="M51" s="210" t="n"/>
      <c r="N51" s="210" t="n"/>
      <c r="O51" s="210" t="inlineStr">
        <is>
          <t>Материа запорного органа - Сталь (A216 WCB + 13Cr), Тип уплотнения - Графит+нержавеющая сталь</t>
        </is>
      </c>
      <c r="P51" s="210" t="n"/>
      <c r="Q51" s="210" t="n"/>
      <c r="R51" s="198">
        <f>A51</f>
        <v/>
      </c>
      <c r="S51" s="205" t="n"/>
      <c r="T51" s="205" t="n"/>
      <c r="U51" s="205" t="n"/>
      <c r="V51" s="205" t="n"/>
      <c r="W51" s="205" t="n"/>
      <c r="X51" s="205" t="n"/>
      <c r="Y51" s="205" t="n"/>
      <c r="Z51" s="205" t="n"/>
      <c r="AA51" s="205" t="n"/>
      <c r="AB51" s="205" t="n"/>
      <c r="AC51" s="205" t="n"/>
      <c r="AD51" s="205" t="n"/>
      <c r="AE51" s="205" t="n"/>
      <c r="AF51" s="205" t="n"/>
      <c r="AG51" s="205" t="n"/>
      <c r="AH51" s="205" t="n"/>
      <c r="AI51" s="202" t="n"/>
    </row>
    <row r="52" ht="51" customHeight="1" s="169">
      <c r="A52" s="192" t="n">
        <v>16</v>
      </c>
      <c r="B52" s="193" t="inlineStr">
        <is>
          <t xml:space="preserve">Клапан обратный межфланцевый 19ч21бр Ду 100 Ру 16 </t>
        </is>
      </c>
      <c r="C52" s="210" t="inlineStr">
        <is>
          <t>ТУ 372240-001-48140495-05</t>
        </is>
      </c>
      <c r="D52" s="210" t="n">
        <v>100</v>
      </c>
      <c r="E52" s="210" t="inlineStr">
        <is>
          <t>полнопроходной</t>
        </is>
      </c>
      <c r="F52" s="210" t="n">
        <v>1.6</v>
      </c>
      <c r="G52" s="210" t="inlineStr">
        <is>
          <t>До +225°С</t>
        </is>
      </c>
      <c r="H52" s="210" t="inlineStr">
        <is>
          <t>вода</t>
        </is>
      </c>
      <c r="I52" s="210" t="inlineStr">
        <is>
          <t>чугун СЧ18</t>
        </is>
      </c>
      <c r="J52" s="210" t="inlineStr">
        <is>
          <t>У1</t>
        </is>
      </c>
      <c r="K52" s="231" t="inlineStr">
        <is>
          <t>межфланцевое</t>
        </is>
      </c>
      <c r="L52" s="210" t="inlineStr">
        <is>
          <t>автоматический</t>
        </is>
      </c>
      <c r="M52" s="210" t="inlineStr">
        <is>
          <t>компенсация гидроударов</t>
        </is>
      </c>
      <c r="N52" s="210" t="inlineStr">
        <is>
          <t>любое</t>
        </is>
      </c>
      <c r="O52" s="210" t="inlineStr">
        <is>
          <t>Корпус: Сч18 Захлопка: Сч18 Ось: Сталь 20х13 Уплотнение: Латунь ЛЦ40С</t>
        </is>
      </c>
      <c r="P52" s="210" t="inlineStr">
        <is>
          <t>строительная длинна 80мм</t>
        </is>
      </c>
      <c r="Q52" s="197" t="n"/>
      <c r="R52" s="198">
        <f>A52</f>
        <v/>
      </c>
      <c r="S52" s="205" t="n"/>
      <c r="T52" s="205" t="n"/>
      <c r="U52" s="205" t="n"/>
      <c r="V52" s="205" t="n"/>
      <c r="W52" s="205" t="n"/>
      <c r="X52" s="205" t="n"/>
      <c r="Y52" s="205" t="n"/>
      <c r="Z52" s="205" t="n"/>
      <c r="AA52" s="205" t="n"/>
      <c r="AB52" s="205" t="n"/>
      <c r="AC52" s="205" t="n"/>
      <c r="AD52" s="205" t="n"/>
      <c r="AE52" s="205" t="n"/>
      <c r="AF52" s="205" t="n"/>
      <c r="AG52" s="205" t="n"/>
      <c r="AH52" s="205" t="n"/>
      <c r="AI52" s="202" t="n"/>
    </row>
    <row r="53" ht="51" customHeight="1" s="169">
      <c r="A53" s="192" t="n">
        <v>17</v>
      </c>
      <c r="B53" s="193" t="inlineStr">
        <is>
          <t>Клапан обратный межфланцевый 19ч21бр Ду 50 Ру 16</t>
        </is>
      </c>
      <c r="C53" s="232" t="inlineStr">
        <is>
          <t>ТУ 372240-001-48140495-05</t>
        </is>
      </c>
      <c r="D53" s="233" t="n">
        <v>50</v>
      </c>
      <c r="E53" s="234" t="inlineStr">
        <is>
          <t>полнопроходной</t>
        </is>
      </c>
      <c r="F53" s="235" t="n">
        <v>1.6</v>
      </c>
      <c r="G53" s="210" t="inlineStr">
        <is>
          <t>До +225°С</t>
        </is>
      </c>
      <c r="H53" s="233" t="inlineStr">
        <is>
          <t>вода</t>
        </is>
      </c>
      <c r="I53" s="233" t="inlineStr">
        <is>
          <t>чугун СЧ18</t>
        </is>
      </c>
      <c r="J53" s="234" t="inlineStr">
        <is>
          <t>У1</t>
        </is>
      </c>
      <c r="K53" s="236" t="inlineStr">
        <is>
          <t>межфланцевое</t>
        </is>
      </c>
      <c r="L53" s="234" t="inlineStr">
        <is>
          <t>автоматический</t>
        </is>
      </c>
      <c r="M53" s="210" t="inlineStr">
        <is>
          <t>компенсация гидроударов</t>
        </is>
      </c>
      <c r="N53" s="236" t="inlineStr">
        <is>
          <t>любое</t>
        </is>
      </c>
      <c r="O53" s="234" t="inlineStr">
        <is>
          <t>Корпус: Сч18 Захлопка: Сч18 Ось: Сталь 20х13 Уплотнение: Латунь ЛЦ40С</t>
        </is>
      </c>
      <c r="P53" s="236" t="inlineStr">
        <is>
          <t>строительная длинна 60мм</t>
        </is>
      </c>
      <c r="Q53" s="197" t="n"/>
      <c r="R53" s="198">
        <f>A53</f>
        <v/>
      </c>
      <c r="S53" s="205" t="n"/>
      <c r="T53" s="205" t="n"/>
      <c r="U53" s="205" t="n"/>
      <c r="V53" s="205" t="n"/>
      <c r="W53" s="205" t="n"/>
      <c r="X53" s="205" t="n"/>
      <c r="Y53" s="205" t="n"/>
      <c r="Z53" s="205" t="n"/>
      <c r="AA53" s="205" t="n"/>
      <c r="AB53" s="205" t="n"/>
      <c r="AC53" s="205" t="n"/>
      <c r="AD53" s="205" t="n"/>
      <c r="AE53" s="205" t="n"/>
      <c r="AF53" s="205" t="n"/>
      <c r="AG53" s="205" t="n"/>
      <c r="AH53" s="205" t="n"/>
      <c r="AI53" s="202" t="n"/>
    </row>
    <row r="54" ht="51" customHeight="1" s="169">
      <c r="A54" s="192" t="n">
        <v>18</v>
      </c>
      <c r="B54" s="193" t="inlineStr">
        <is>
          <t>Клапан обратный межфланцевый 19ч21бр Ду 80 Ру 16</t>
        </is>
      </c>
      <c r="C54" s="210" t="inlineStr">
        <is>
          <t>ТУ 372240-001-48140495-05</t>
        </is>
      </c>
      <c r="D54" s="210" t="n">
        <v>80</v>
      </c>
      <c r="E54" s="210" t="inlineStr">
        <is>
          <t>полнопроходной</t>
        </is>
      </c>
      <c r="F54" s="210" t="n">
        <v>1.6</v>
      </c>
      <c r="G54" s="210" t="inlineStr">
        <is>
          <t>До +225°С</t>
        </is>
      </c>
      <c r="H54" s="210" t="inlineStr">
        <is>
          <t>вода</t>
        </is>
      </c>
      <c r="I54" s="210" t="inlineStr">
        <is>
          <t>чугун СЧ18</t>
        </is>
      </c>
      <c r="J54" s="210" t="inlineStr">
        <is>
          <t>У1</t>
        </is>
      </c>
      <c r="K54" s="210" t="inlineStr">
        <is>
          <t>межфланцевое</t>
        </is>
      </c>
      <c r="L54" s="210" t="inlineStr">
        <is>
          <t>автоматический</t>
        </is>
      </c>
      <c r="M54" s="210" t="inlineStr">
        <is>
          <t>компенсация гидроударов</t>
        </is>
      </c>
      <c r="N54" s="210" t="inlineStr">
        <is>
          <t>любое</t>
        </is>
      </c>
      <c r="O54" s="210" t="inlineStr">
        <is>
          <t>Корпус: Сч18 Захлопка: Сч18 Ось: Сталь 20х13 Уплотнение: Латунь ЛЦ40С</t>
        </is>
      </c>
      <c r="P54" s="210" t="inlineStr">
        <is>
          <t>строительная длинна 70мм</t>
        </is>
      </c>
      <c r="Q54" s="197" t="n"/>
      <c r="R54" s="198">
        <f>A54</f>
        <v/>
      </c>
      <c r="S54" s="205" t="n"/>
      <c r="T54" s="205" t="n"/>
      <c r="U54" s="205" t="n"/>
      <c r="V54" s="205" t="n"/>
      <c r="W54" s="205" t="n"/>
      <c r="X54" s="205" t="n"/>
      <c r="Y54" s="205" t="n"/>
      <c r="Z54" s="205" t="n"/>
      <c r="AA54" s="205" t="n"/>
      <c r="AB54" s="205" t="n"/>
      <c r="AC54" s="205" t="n"/>
      <c r="AD54" s="205" t="n"/>
      <c r="AE54" s="205" t="n"/>
      <c r="AF54" s="205" t="n"/>
      <c r="AG54" s="205" t="n"/>
      <c r="AH54" s="205" t="n"/>
      <c r="AI54" s="202" t="n"/>
    </row>
    <row r="55" ht="90" customHeight="1" s="169">
      <c r="A55" s="192" t="n">
        <v>19</v>
      </c>
      <c r="B55" s="193" t="inlineStr">
        <is>
          <t xml:space="preserve">Клапан обратный двухстворчатый DENDOR 010C Ду 100 Ру 16 </t>
        </is>
      </c>
      <c r="C55" s="232" t="inlineStr">
        <is>
          <t>ТУ 3732-023-62977923-2015</t>
        </is>
      </c>
      <c r="D55" s="237" t="n">
        <v>100</v>
      </c>
      <c r="E55" s="232" t="inlineStr">
        <is>
          <t>стандартное</t>
        </is>
      </c>
      <c r="F55" s="232" t="n">
        <v>1.6</v>
      </c>
      <c r="G55" s="231" t="inlineStr">
        <is>
          <t>До +130°С</t>
        </is>
      </c>
      <c r="H55" s="231" t="inlineStr">
        <is>
          <t>вода</t>
        </is>
      </c>
      <c r="I55" s="232" t="inlineStr">
        <is>
          <t>Чугун EN-GJS-400-15</t>
        </is>
      </c>
      <c r="J55" s="231" t="inlineStr">
        <is>
          <t>У3</t>
        </is>
      </c>
      <c r="K55" s="231" t="inlineStr">
        <is>
          <t>межфланцевое</t>
        </is>
      </c>
      <c r="L55" s="231" t="inlineStr">
        <is>
          <t>-</t>
        </is>
      </c>
      <c r="M55" s="231" t="inlineStr">
        <is>
          <t>-</t>
        </is>
      </c>
      <c r="N55" s="231" t="inlineStr">
        <is>
          <t>любое</t>
        </is>
      </c>
      <c r="O55" s="232" t="inlineStr">
        <is>
          <t>Корпус-ковкий чугун EN-GJS-400-15 с термообработанным эпоксидным покрытием; Диск-ковкий чугун EN-GJS-400-15 покрытый никелем/ нержавеющая сталь; Шток-нержавеющая сталь; Пружина-нержавеющая сталь; Уплотнение-EPDM</t>
        </is>
      </c>
      <c r="P55" s="197" t="n"/>
      <c r="Q55" s="197" t="n"/>
      <c r="R55" s="198">
        <f>A55</f>
        <v/>
      </c>
      <c r="S55" s="205" t="n"/>
      <c r="T55" s="205" t="n"/>
      <c r="U55" s="205" t="n"/>
      <c r="V55" s="205" t="n"/>
      <c r="W55" s="205" t="n"/>
      <c r="X55" s="205" t="n"/>
      <c r="Y55" s="205" t="n"/>
      <c r="Z55" s="205" t="n"/>
      <c r="AA55" s="205" t="n"/>
      <c r="AB55" s="205" t="n"/>
      <c r="AC55" s="205" t="n"/>
      <c r="AD55" s="205" t="n"/>
      <c r="AE55" s="205" t="n"/>
      <c r="AF55" s="205" t="n"/>
      <c r="AG55" s="205" t="n"/>
      <c r="AH55" s="205" t="n"/>
      <c r="AI55" s="202" t="n"/>
    </row>
    <row r="56" ht="90" customFormat="1" customHeight="1" s="171">
      <c r="A56" s="192" t="n">
        <v>20</v>
      </c>
      <c r="B56" s="193" t="inlineStr">
        <is>
          <t>Клапан обратный двухстворчатый DENDOR 010C Ду 200 Ру 16</t>
        </is>
      </c>
      <c r="C56" s="232" t="inlineStr">
        <is>
          <t>ТУ 3732-023-62977923-2015</t>
        </is>
      </c>
      <c r="D56" s="237" t="n">
        <v>200</v>
      </c>
      <c r="E56" s="232" t="inlineStr">
        <is>
          <t>стандартное</t>
        </is>
      </c>
      <c r="F56" s="232" t="n">
        <v>1.6</v>
      </c>
      <c r="G56" s="231" t="inlineStr">
        <is>
          <t>До +130°С</t>
        </is>
      </c>
      <c r="H56" s="231" t="inlineStr">
        <is>
          <t>вода</t>
        </is>
      </c>
      <c r="I56" s="232" t="inlineStr">
        <is>
          <t>Чугун EN-GJS-400-15</t>
        </is>
      </c>
      <c r="J56" s="231" t="inlineStr">
        <is>
          <t>У3</t>
        </is>
      </c>
      <c r="K56" s="231" t="inlineStr">
        <is>
          <t>межфланцевое</t>
        </is>
      </c>
      <c r="L56" s="231" t="inlineStr">
        <is>
          <t>-</t>
        </is>
      </c>
      <c r="M56" s="231" t="inlineStr">
        <is>
          <t>-</t>
        </is>
      </c>
      <c r="N56" s="231" t="inlineStr">
        <is>
          <t>любое</t>
        </is>
      </c>
      <c r="O56" s="232" t="inlineStr">
        <is>
          <t>Корпус-ковкий чугун EN-GJS-400-15 с термообработанным эпоксидным покрытием; Диск-ковкий чугун EN-GJS-400-15 покрытый никелем/ нержавеющая сталь; Шток-нержавеющая сталь; Пружина-нержавеющая сталь; Уплотнение-EPDM</t>
        </is>
      </c>
      <c r="P56" s="197" t="n"/>
      <c r="Q56" s="197" t="n"/>
      <c r="R56" s="198">
        <f>A56</f>
        <v/>
      </c>
      <c r="S56" s="205" t="n"/>
      <c r="T56" s="205" t="n"/>
      <c r="U56" s="205" t="n"/>
      <c r="V56" s="205" t="n"/>
      <c r="W56" s="205" t="n"/>
      <c r="X56" s="205" t="n"/>
      <c r="Y56" s="205" t="n"/>
      <c r="Z56" s="205" t="n"/>
      <c r="AA56" s="205" t="n"/>
      <c r="AB56" s="205" t="n"/>
      <c r="AC56" s="205" t="n"/>
      <c r="AD56" s="205" t="n"/>
      <c r="AE56" s="205" t="n"/>
      <c r="AF56" s="205" t="n"/>
      <c r="AG56" s="205" t="n"/>
      <c r="AH56" s="205" t="n"/>
      <c r="AI56" s="202" t="n"/>
    </row>
    <row r="57" ht="51" customHeight="1" s="169">
      <c r="A57" s="192" t="n">
        <v>21</v>
      </c>
      <c r="B57" s="193" t="inlineStr">
        <is>
          <t>Клапан обратный фланцевый Ду 50 Ру 40</t>
        </is>
      </c>
      <c r="C57" s="210" t="n"/>
      <c r="D57" s="210" t="n">
        <v>50</v>
      </c>
      <c r="E57" s="210" t="n"/>
      <c r="F57" s="210" t="n">
        <v>4</v>
      </c>
      <c r="G57" s="210" t="inlineStr">
        <is>
          <t>От -29 до    +425С</t>
        </is>
      </c>
      <c r="H57" s="210" t="inlineStr">
        <is>
          <t>Вода</t>
        </is>
      </c>
      <c r="I57" s="210" t="inlineStr">
        <is>
          <t xml:space="preserve">Углеродистая сталь </t>
        </is>
      </c>
      <c r="J57" s="210" t="n"/>
      <c r="K57" s="210" t="inlineStr">
        <is>
          <t>Фланцевое</t>
        </is>
      </c>
      <c r="L57" s="210" t="n"/>
      <c r="M57" s="210" t="n"/>
      <c r="N57" s="210" t="n"/>
      <c r="O57" s="210" t="inlineStr">
        <is>
          <t>Материа запорного органа - Сталь (A216 WCB + 13Cr), Тип уплотнения - Графит+нержавеющая сталь</t>
        </is>
      </c>
      <c r="P57" s="210" t="n"/>
      <c r="Q57" s="210" t="n"/>
      <c r="R57" s="198">
        <f>A57</f>
        <v/>
      </c>
      <c r="S57" s="205" t="n"/>
      <c r="T57" s="205" t="n"/>
      <c r="U57" s="205" t="n"/>
      <c r="V57" s="205" t="n"/>
      <c r="W57" s="205" t="n"/>
      <c r="X57" s="205" t="n"/>
      <c r="Y57" s="205" t="n"/>
      <c r="Z57" s="205" t="n"/>
      <c r="AA57" s="205" t="n"/>
      <c r="AB57" s="205" t="n"/>
      <c r="AC57" s="205" t="n"/>
      <c r="AD57" s="205" t="n"/>
      <c r="AE57" s="205" t="n"/>
      <c r="AF57" s="205" t="n"/>
      <c r="AG57" s="205" t="n"/>
      <c r="AH57" s="205" t="n"/>
      <c r="AI57" s="202" t="n"/>
    </row>
    <row r="58" ht="51" customHeight="1" s="169">
      <c r="A58" s="192" t="n">
        <v>22</v>
      </c>
      <c r="B58" s="193" t="inlineStr">
        <is>
          <t>Обратный клапан «Гранлок» серии CV16 Ду 150 Ру 16</t>
        </is>
      </c>
      <c r="C58" s="197" t="inlineStr">
        <is>
          <t>ТУ 3700-005-81673229-2009</t>
        </is>
      </c>
      <c r="D58" s="237" t="n">
        <v>150</v>
      </c>
      <c r="E58" s="232" t="inlineStr">
        <is>
          <t>стандартное</t>
        </is>
      </c>
      <c r="F58" s="232" t="n">
        <v>1.6</v>
      </c>
      <c r="G58" s="231" t="inlineStr">
        <is>
          <t>До +110°С</t>
        </is>
      </c>
      <c r="H58" s="231" t="inlineStr">
        <is>
          <t>вода</t>
        </is>
      </c>
      <c r="I58" s="231" t="inlineStr">
        <is>
          <t>чугун GG25</t>
        </is>
      </c>
      <c r="J58" s="231" t="inlineStr">
        <is>
          <t>У3</t>
        </is>
      </c>
      <c r="K58" s="231" t="inlineStr">
        <is>
          <t>межфланцевое</t>
        </is>
      </c>
      <c r="L58" s="231" t="inlineStr">
        <is>
          <t>-</t>
        </is>
      </c>
      <c r="M58" s="231" t="inlineStr">
        <is>
          <t>-</t>
        </is>
      </c>
      <c r="N58" s="231" t="inlineStr">
        <is>
          <t>любое</t>
        </is>
      </c>
      <c r="O58" s="231" t="inlineStr">
        <is>
          <t>клапан двухстворчатый</t>
        </is>
      </c>
      <c r="P58" s="210" t="n"/>
      <c r="Q58" s="210" t="n"/>
      <c r="R58" s="198">
        <f>A58</f>
        <v/>
      </c>
      <c r="S58" s="205" t="n"/>
      <c r="T58" s="205" t="n"/>
      <c r="U58" s="205" t="n"/>
      <c r="V58" s="205" t="n"/>
      <c r="W58" s="205" t="n"/>
      <c r="X58" s="205" t="n"/>
      <c r="Y58" s="205" t="n"/>
      <c r="Z58" s="205" t="n"/>
      <c r="AA58" s="205" t="n"/>
      <c r="AB58" s="205" t="n"/>
      <c r="AC58" s="205" t="n"/>
      <c r="AD58" s="205" t="n"/>
      <c r="AE58" s="205" t="n"/>
      <c r="AF58" s="205" t="n"/>
      <c r="AG58" s="205" t="n"/>
      <c r="AH58" s="205" t="n"/>
      <c r="AI58" s="202" t="n"/>
    </row>
    <row r="59" ht="127.5" customHeight="1" s="169">
      <c r="A59" s="192" t="n">
        <v>23</v>
      </c>
      <c r="B59" s="193" t="inlineStr">
        <is>
          <t>Клапан обратный 16нж10нж Ду 50 Ру 16</t>
        </is>
      </c>
      <c r="C59" s="210" t="inlineStr">
        <is>
          <t>ГОСТ 33423-2015</t>
        </is>
      </c>
      <c r="D59" s="210" t="n">
        <v>50</v>
      </c>
      <c r="E59" s="210" t="inlineStr">
        <is>
          <t>стандарт</t>
        </is>
      </c>
      <c r="F59" s="210" t="n">
        <v>1.6</v>
      </c>
      <c r="G59" s="210" t="inlineStr">
        <is>
          <t>— 60 ºC до 350 °C</t>
        </is>
      </c>
      <c r="H59" s="210" t="inlineStr">
        <is>
          <t>газ, вода, пар,</t>
        </is>
      </c>
      <c r="I59" s="210" t="inlineStr">
        <is>
          <t xml:space="preserve"> 08Х18Н10, 08Х18Н10Т, 12Х18Н9, 12Х18Н9ТЛ</t>
        </is>
      </c>
      <c r="J59" s="210" t="inlineStr">
        <is>
          <t>УХЛ</t>
        </is>
      </c>
      <c r="K59" s="210" t="inlineStr">
        <is>
          <t>фланцевое</t>
        </is>
      </c>
      <c r="L59" s="210" t="inlineStr">
        <is>
          <t>Клапан 16нж10нж является автоматическим и не требует управления или иного регулирования в работе.</t>
        </is>
      </c>
      <c r="M59" s="210" t="n"/>
      <c r="N59" s="210" t="inlineStr">
        <is>
          <t>на горизонтальном трубопроводе крышкой вверх; на вертикальном трубопроводе – по направлению стрелки на корпусе вверх</t>
        </is>
      </c>
      <c r="O59" s="210" t="n"/>
      <c r="P59" s="210" t="n"/>
      <c r="Q59" s="197" t="n"/>
      <c r="R59" s="198">
        <f>A59</f>
        <v/>
      </c>
      <c r="S59" s="205" t="n"/>
      <c r="T59" s="205" t="n"/>
      <c r="U59" s="205" t="n"/>
      <c r="V59" s="205" t="n"/>
      <c r="W59" s="205" t="n"/>
      <c r="X59" s="205" t="n"/>
      <c r="Y59" s="205" t="n"/>
      <c r="Z59" s="205" t="n"/>
      <c r="AA59" s="205" t="n"/>
      <c r="AB59" s="205" t="n"/>
      <c r="AC59" s="205" t="n"/>
      <c r="AD59" s="205" t="n"/>
      <c r="AE59" s="205" t="n"/>
      <c r="AF59" s="205" t="n"/>
      <c r="AG59" s="205" t="n"/>
      <c r="AH59" s="205" t="n"/>
      <c r="AI59" s="202" t="n"/>
    </row>
    <row r="60" ht="127.5" customHeight="1" s="169">
      <c r="A60" s="192" t="n">
        <v>24</v>
      </c>
      <c r="B60" s="193" t="inlineStr">
        <is>
          <t>Клапан обратный 16нж10нж Ду 32 Ру16</t>
        </is>
      </c>
      <c r="C60" s="210" t="inlineStr">
        <is>
          <t>ГОСТ 33423-2015</t>
        </is>
      </c>
      <c r="D60" s="210" t="n">
        <v>32</v>
      </c>
      <c r="E60" s="210" t="inlineStr">
        <is>
          <t>стандарт</t>
        </is>
      </c>
      <c r="F60" s="210" t="n">
        <v>1.6</v>
      </c>
      <c r="G60" s="210" t="inlineStr">
        <is>
          <t>— 60 ºC до 350 °C</t>
        </is>
      </c>
      <c r="H60" s="210" t="inlineStr">
        <is>
          <t>газ, вода, пар,</t>
        </is>
      </c>
      <c r="I60" s="210" t="inlineStr">
        <is>
          <t xml:space="preserve"> 08Х18Н10, 08Х18Н10Т, 12Х18Н9, 12Х18Н9ТЛ</t>
        </is>
      </c>
      <c r="J60" s="210" t="inlineStr">
        <is>
          <t>УХЛ</t>
        </is>
      </c>
      <c r="K60" s="210" t="inlineStr">
        <is>
          <t>фланцевое</t>
        </is>
      </c>
      <c r="L60" s="210" t="inlineStr">
        <is>
          <t>Клапан 16нж10нж является автоматическим и не требует управления или иного регулирования в работе.</t>
        </is>
      </c>
      <c r="M60" s="210" t="n"/>
      <c r="N60" s="210" t="inlineStr">
        <is>
          <t>на горизонтальном трубопроводе крышкой вверх; на вертикальном трубопроводе – по направлению стрелки на корпусе вверх</t>
        </is>
      </c>
      <c r="O60" s="210" t="n"/>
      <c r="P60" s="210" t="n"/>
      <c r="Q60" s="197" t="n"/>
      <c r="R60" s="198">
        <f>A60</f>
        <v/>
      </c>
      <c r="S60" s="205" t="n"/>
      <c r="T60" s="205" t="n"/>
      <c r="U60" s="205" t="n"/>
      <c r="V60" s="205" t="n"/>
      <c r="W60" s="205" t="n"/>
      <c r="X60" s="205" t="n"/>
      <c r="Y60" s="205" t="n"/>
      <c r="Z60" s="205" t="n"/>
      <c r="AA60" s="205" t="n"/>
      <c r="AB60" s="205" t="n"/>
      <c r="AC60" s="205" t="n"/>
      <c r="AD60" s="205" t="n"/>
      <c r="AE60" s="205" t="n"/>
      <c r="AF60" s="205" t="n"/>
      <c r="AG60" s="205" t="n"/>
      <c r="AH60" s="205" t="n"/>
      <c r="AI60" s="202" t="n"/>
    </row>
    <row r="61" ht="51" customHeight="1" s="169">
      <c r="A61" s="192" t="n">
        <v>25</v>
      </c>
      <c r="B61" s="193" t="inlineStr">
        <is>
          <t>Клапан обратный 16ч42р Ду 100 Ру 2,5</t>
        </is>
      </c>
      <c r="C61" s="210" t="inlineStr">
        <is>
          <t>ГОСТ 33423-2015</t>
        </is>
      </c>
      <c r="D61" s="210" t="n">
        <v>100</v>
      </c>
      <c r="E61" s="210" t="inlineStr">
        <is>
          <t>стандарт</t>
        </is>
      </c>
      <c r="F61" s="210" t="n">
        <v>0.25</v>
      </c>
      <c r="G61" s="210" t="inlineStr">
        <is>
          <t>до +50°С</t>
        </is>
      </c>
      <c r="H61" s="210" t="inlineStr">
        <is>
          <t>Вода</t>
        </is>
      </c>
      <c r="I61" s="210" t="inlineStr">
        <is>
          <t>Чугун СЧ 15, СЧ20</t>
        </is>
      </c>
      <c r="J61" s="210" t="inlineStr">
        <is>
          <t>УХЛ1</t>
        </is>
      </c>
      <c r="K61" s="210" t="inlineStr">
        <is>
          <t>фланец-фланец</t>
        </is>
      </c>
      <c r="L61" s="210" t="inlineStr">
        <is>
          <t>нет</t>
        </is>
      </c>
      <c r="M61" s="210" t="n"/>
      <c r="N61" s="210" t="inlineStr">
        <is>
          <t>любое</t>
        </is>
      </c>
      <c r="O61" s="210" t="inlineStr">
        <is>
          <t xml:space="preserve">          тарелка: чугун СЧ 15, СЧ20;     крестовина: алюминиевый сплав Ал-2;     уплотнение: резина-пластина ЗМБ-А-С;     сетка: сталь 3; </t>
        </is>
      </c>
      <c r="P61" s="210" t="n"/>
      <c r="Q61" s="197" t="n"/>
      <c r="R61" s="198">
        <f>A61</f>
        <v/>
      </c>
      <c r="S61" s="205" t="n"/>
      <c r="T61" s="205" t="n"/>
      <c r="U61" s="205" t="n"/>
      <c r="V61" s="205" t="n"/>
      <c r="W61" s="205" t="n"/>
      <c r="X61" s="205" t="n"/>
      <c r="Y61" s="205" t="n"/>
      <c r="Z61" s="205" t="n"/>
      <c r="AA61" s="205" t="n"/>
      <c r="AB61" s="205" t="n"/>
      <c r="AC61" s="205" t="n"/>
      <c r="AD61" s="205" t="n"/>
      <c r="AE61" s="205" t="n"/>
      <c r="AF61" s="205" t="n"/>
      <c r="AG61" s="205" t="n"/>
      <c r="AH61" s="205" t="n"/>
      <c r="AI61" s="202" t="n"/>
    </row>
    <row r="62" ht="153" customHeight="1" s="169">
      <c r="A62" s="192" t="n">
        <v>26</v>
      </c>
      <c r="B62" s="193" t="inlineStr">
        <is>
          <t>Клапан обратный 19нж76нж Ду 100 Ру 16</t>
        </is>
      </c>
      <c r="C62" s="210" t="inlineStr">
        <is>
          <t>ГОСТ 9697-87</t>
        </is>
      </c>
      <c r="D62" s="210" t="n">
        <v>100</v>
      </c>
      <c r="E62" s="210" t="inlineStr">
        <is>
          <t>стандарт</t>
        </is>
      </c>
      <c r="F62" s="210" t="n">
        <v>1.6</v>
      </c>
      <c r="G62" s="210" t="inlineStr">
        <is>
          <t>от -60 до +600°С</t>
        </is>
      </c>
      <c r="H62" s="210" t="inlineStr">
        <is>
          <t>агрессивные жидкие среды</t>
        </is>
      </c>
      <c r="I62" s="210" t="inlineStr">
        <is>
          <t>12Х18Н9ТЛ</t>
        </is>
      </c>
      <c r="J62" s="210" t="inlineStr">
        <is>
          <t>УХЛ1</t>
        </is>
      </c>
      <c r="K62" s="210" t="inlineStr">
        <is>
          <t>фланец-фланец</t>
        </is>
      </c>
      <c r="L62" s="210" t="inlineStr">
        <is>
          <t>ручное</t>
        </is>
      </c>
      <c r="M62" s="210" t="inlineStr">
        <is>
          <t>штурвал</t>
        </is>
      </c>
      <c r="N62" s="210" t="inlineStr">
        <is>
          <t>Монтаж вентиля односторонний по маркировке на корпусе управляющим органом вверх, допускается отклонение на горизонтальном трубопроводе на 45º в любую сторону.</t>
        </is>
      </c>
      <c r="O62" s="210" t="inlineStr">
        <is>
          <t>Материал изделия (корпус, крышка): сталь 12Х18Н9ТЛ;</t>
        </is>
      </c>
      <c r="P62" s="210" t="n"/>
      <c r="Q62" s="210" t="n"/>
      <c r="R62" s="198">
        <f>A62</f>
        <v/>
      </c>
      <c r="S62" s="205" t="n"/>
      <c r="T62" s="205" t="n"/>
      <c r="U62" s="205" t="n"/>
      <c r="V62" s="205" t="n"/>
      <c r="W62" s="205" t="n"/>
      <c r="X62" s="205" t="n"/>
      <c r="Y62" s="205" t="n"/>
      <c r="Z62" s="205" t="n"/>
      <c r="AA62" s="205" t="n"/>
      <c r="AB62" s="205" t="n"/>
      <c r="AC62" s="205" t="n"/>
      <c r="AD62" s="205" t="n"/>
      <c r="AE62" s="205" t="n"/>
      <c r="AF62" s="205" t="n"/>
      <c r="AG62" s="205" t="n"/>
      <c r="AH62" s="205" t="n"/>
      <c r="AI62" s="202" t="n"/>
    </row>
    <row r="63" ht="51" customHeight="1" s="169">
      <c r="A63" s="192" t="n">
        <v>27</v>
      </c>
      <c r="B63" s="193" t="inlineStr">
        <is>
          <t>Клапан обратный 19с76нж Ду 80 Ру 16</t>
        </is>
      </c>
      <c r="C63" s="210" t="inlineStr">
        <is>
          <t>ГОСТ 33423-2015</t>
        </is>
      </c>
      <c r="D63" s="210" t="n">
        <v>80</v>
      </c>
      <c r="E63" s="210" t="inlineStr">
        <is>
          <t>стандарт</t>
        </is>
      </c>
      <c r="F63" s="210" t="n">
        <v>1.6</v>
      </c>
      <c r="G63" s="210" t="inlineStr">
        <is>
          <t>до +425°С</t>
        </is>
      </c>
      <c r="H63" s="210" t="inlineStr">
        <is>
          <t>Вода</t>
        </is>
      </c>
      <c r="I63" s="210" t="inlineStr">
        <is>
          <t>Сталь 25Л</t>
        </is>
      </c>
      <c r="J63" s="210" t="inlineStr">
        <is>
          <t>У1</t>
        </is>
      </c>
      <c r="K63" s="210" t="inlineStr">
        <is>
          <t>фланец-фланец</t>
        </is>
      </c>
      <c r="L63" s="210" t="inlineStr">
        <is>
          <t>нет</t>
        </is>
      </c>
      <c r="M63" s="210" t="n"/>
      <c r="N63" s="210" t="inlineStr">
        <is>
          <t>любое</t>
        </is>
      </c>
      <c r="O63" s="210" t="inlineStr">
        <is>
          <t xml:space="preserve">Крышка  Ст.20 Захлопка  Ст. 20 Серьга  Ст.20Л-30Л Кронштейн, ось  Ст. 20Х13 Уплотнение затвора  Наплавленная коррозионно-стойкая сталь 08Х20Н9Г7Т </t>
        </is>
      </c>
      <c r="P63" s="210" t="n"/>
      <c r="Q63" s="210" t="n"/>
      <c r="R63" s="198">
        <f>A63</f>
        <v/>
      </c>
      <c r="S63" s="205" t="n"/>
      <c r="T63" s="205" t="n"/>
      <c r="U63" s="205" t="n"/>
      <c r="V63" s="205" t="n"/>
      <c r="W63" s="205" t="n"/>
      <c r="X63" s="205" t="n"/>
      <c r="Y63" s="205" t="n"/>
      <c r="Z63" s="205" t="n"/>
      <c r="AA63" s="205" t="n"/>
      <c r="AB63" s="205" t="n"/>
      <c r="AC63" s="205" t="n"/>
      <c r="AD63" s="205" t="n"/>
      <c r="AE63" s="205" t="n"/>
      <c r="AF63" s="205" t="n"/>
      <c r="AG63" s="205" t="n"/>
      <c r="AH63" s="205" t="n"/>
      <c r="AI63" s="202" t="n"/>
    </row>
    <row r="64" ht="89.25" customHeight="1" s="169">
      <c r="A64" s="192" t="n">
        <v>28</v>
      </c>
      <c r="B64" s="193" t="inlineStr">
        <is>
          <t>Клапан обратный 19с76нж Ду 100 Ру 16</t>
        </is>
      </c>
      <c r="C64" s="210" t="inlineStr">
        <is>
          <t>ГОСТ 33423-2015</t>
        </is>
      </c>
      <c r="D64" s="210" t="n">
        <v>100</v>
      </c>
      <c r="E64" s="210" t="inlineStr">
        <is>
          <t>стандарт</t>
        </is>
      </c>
      <c r="F64" s="210" t="n">
        <v>1.6</v>
      </c>
      <c r="G64" s="210" t="inlineStr">
        <is>
          <t xml:space="preserve"> - до 425 ºC</t>
        </is>
      </c>
      <c r="H64" s="210" t="inlineStr">
        <is>
          <t>вода</t>
        </is>
      </c>
      <c r="I64" s="210" t="inlineStr">
        <is>
          <t xml:space="preserve"> сталь 25Л, 20, 20Х13</t>
        </is>
      </c>
      <c r="J64" s="210" t="inlineStr">
        <is>
          <t>У1</t>
        </is>
      </c>
      <c r="K64" s="210" t="inlineStr">
        <is>
          <t>Фланец-фланец</t>
        </is>
      </c>
      <c r="L64" s="210" t="inlineStr">
        <is>
          <t>нет</t>
        </is>
      </c>
      <c r="M64" s="210" t="n"/>
      <c r="N64" s="210" t="inlineStr">
        <is>
          <t>на горизонтальном трубопроводе крышкой вверх; на вертикальном – входным патрубком вверх</t>
        </is>
      </c>
      <c r="O64" s="210" t="n"/>
      <c r="P64" s="210" t="n"/>
      <c r="Q64" s="210" t="n"/>
      <c r="R64" s="198">
        <f>A64</f>
        <v/>
      </c>
      <c r="S64" s="205" t="n"/>
      <c r="T64" s="205" t="n"/>
      <c r="U64" s="205" t="n"/>
      <c r="V64" s="205" t="n"/>
      <c r="W64" s="205" t="n"/>
      <c r="X64" s="205" t="n"/>
      <c r="Y64" s="205" t="n"/>
      <c r="Z64" s="205" t="n"/>
      <c r="AA64" s="205" t="n"/>
      <c r="AB64" s="205" t="n"/>
      <c r="AC64" s="205" t="n"/>
      <c r="AD64" s="205" t="n"/>
      <c r="AE64" s="205" t="n"/>
      <c r="AF64" s="205" t="n"/>
      <c r="AG64" s="205" t="n"/>
      <c r="AH64" s="205" t="n"/>
      <c r="AI64" s="202" t="n"/>
    </row>
    <row r="65" ht="89.25" customHeight="1" s="169">
      <c r="A65" s="192" t="n">
        <v>29</v>
      </c>
      <c r="B65" s="193" t="inlineStr">
        <is>
          <t>Клапан обратный 19с76нж Ду 50 Ру 16</t>
        </is>
      </c>
      <c r="C65" s="210" t="inlineStr">
        <is>
          <t>ГОСТ 33423-2015</t>
        </is>
      </c>
      <c r="D65" s="229" t="n">
        <v>50</v>
      </c>
      <c r="E65" s="210" t="inlineStr">
        <is>
          <t>стандарт</t>
        </is>
      </c>
      <c r="F65" s="210" t="n">
        <v>1.6</v>
      </c>
      <c r="G65" s="210" t="inlineStr">
        <is>
          <t xml:space="preserve"> - до 425 ºC</t>
        </is>
      </c>
      <c r="H65" s="210" t="inlineStr">
        <is>
          <t>вода</t>
        </is>
      </c>
      <c r="I65" s="210" t="inlineStr">
        <is>
          <t xml:space="preserve"> сталь 25Л, 20, 20Х13</t>
        </is>
      </c>
      <c r="J65" s="210" t="inlineStr">
        <is>
          <t>У1</t>
        </is>
      </c>
      <c r="K65" s="210" t="inlineStr">
        <is>
          <t>Фланец-фланец</t>
        </is>
      </c>
      <c r="L65" s="210" t="inlineStr">
        <is>
          <t>нет</t>
        </is>
      </c>
      <c r="M65" s="229" t="n"/>
      <c r="N65" s="210" t="inlineStr">
        <is>
          <t>на горизонтальном трубопроводе крышкой вверх; на вертикальном – входным патрубком вверх</t>
        </is>
      </c>
      <c r="O65" s="210" t="inlineStr">
        <is>
          <t xml:space="preserve">Крышка  Ст.20 Захлопка  Ст. 20 Серьга  Ст.20Л-30Л Кронштейн, ось  Ст. 20Х13 Уплотнение затвора  Наплавленная коррозионно-стойкая сталь 08Х20Н9Г7Т </t>
        </is>
      </c>
      <c r="P65" s="210" t="n"/>
      <c r="Q65" s="210" t="n"/>
      <c r="R65" s="198">
        <f>A65</f>
        <v/>
      </c>
      <c r="S65" s="205" t="n"/>
      <c r="T65" s="205" t="n"/>
      <c r="U65" s="205" t="n"/>
      <c r="V65" s="205" t="n"/>
      <c r="W65" s="205" t="n"/>
      <c r="X65" s="205" t="n"/>
      <c r="Y65" s="205" t="n"/>
      <c r="Z65" s="205" t="n"/>
      <c r="AA65" s="205" t="n"/>
      <c r="AB65" s="205" t="n"/>
      <c r="AC65" s="205" t="n"/>
      <c r="AD65" s="205" t="n"/>
      <c r="AE65" s="205" t="n"/>
      <c r="AF65" s="205" t="n"/>
      <c r="AG65" s="205" t="n"/>
      <c r="AH65" s="205" t="n"/>
      <c r="AI65" s="202" t="n"/>
    </row>
    <row r="66" ht="153" customHeight="1" s="169">
      <c r="A66" s="192" t="n">
        <v>30</v>
      </c>
      <c r="B66" s="193" t="inlineStr">
        <is>
          <t>Клапан обратный межфланцевый пружинный тарельчатый NVD-802R Ду 125 Ру 16</t>
        </is>
      </c>
      <c r="C66" s="210" t="inlineStr">
        <is>
          <t>ТУ 28.14.11-014-72323163-2022</t>
        </is>
      </c>
      <c r="D66" s="210" t="n">
        <v>125</v>
      </c>
      <c r="E66" s="210" t="n"/>
      <c r="F66" s="210" t="n">
        <v>1.6</v>
      </c>
      <c r="G66" s="210" t="inlineStr">
        <is>
          <t>от -15 до +100</t>
        </is>
      </c>
      <c r="H66" s="210" t="inlineStr">
        <is>
          <t>Вода, гликолевые растворы до 50%</t>
        </is>
      </c>
      <c r="I66" s="210" t="inlineStr">
        <is>
          <t xml:space="preserve">серый чугун </t>
        </is>
      </c>
      <c r="J66" s="210" t="n"/>
      <c r="K66" s="210" t="inlineStr">
        <is>
          <t>межфланцевое</t>
        </is>
      </c>
      <c r="L66" s="210" t="n"/>
      <c r="M66" s="210" t="n"/>
      <c r="N66" s="210" t="inlineStr">
        <is>
          <t>любое</t>
        </is>
      </c>
      <c r="O66" s="210" t="inlineStr">
        <is>
          <t>Номинальный диаметр (DN), мм 125
Уплотнение EPDM
Масса, кг, не более 10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Межфланцевое
C, мм 218
Номинальное давление (PN),бар 16
Температура окружающей среды, °С от -20 до +70
A, мм 106</t>
        </is>
      </c>
      <c r="P66" s="210" t="inlineStr">
        <is>
          <t>Строительный размер 90 мм</t>
        </is>
      </c>
      <c r="Q66" s="210" t="inlineStr">
        <is>
          <t>каталожный номер 065B7526</t>
        </is>
      </c>
      <c r="R66" s="198">
        <f>A66</f>
        <v/>
      </c>
      <c r="S66" s="205" t="n"/>
      <c r="T66" s="205" t="n"/>
      <c r="U66" s="205" t="n"/>
      <c r="V66" s="205" t="n"/>
      <c r="W66" s="205" t="n"/>
      <c r="X66" s="205" t="n"/>
      <c r="Y66" s="205" t="n"/>
      <c r="Z66" s="205" t="n"/>
      <c r="AA66" s="205" t="n"/>
      <c r="AB66" s="205" t="n"/>
      <c r="AC66" s="205" t="n"/>
      <c r="AD66" s="205" t="n"/>
      <c r="AE66" s="205" t="n"/>
      <c r="AF66" s="205" t="n"/>
      <c r="AG66" s="205" t="n"/>
      <c r="AH66" s="205" t="n"/>
      <c r="AI66" s="202" t="n"/>
    </row>
    <row r="67" ht="153" customHeight="1" s="169">
      <c r="A67" s="192" t="n">
        <v>31</v>
      </c>
      <c r="B67" s="193" t="inlineStr">
        <is>
          <t>Клапан обратный межфланцевый пружинный тарельчатый NVD-802R Ду 150 Ру 16</t>
        </is>
      </c>
      <c r="C67" s="210" t="inlineStr">
        <is>
          <t>ТУ 28.14.11-014-72323163-2022</t>
        </is>
      </c>
      <c r="D67" s="210" t="n">
        <v>150</v>
      </c>
      <c r="E67" s="210" t="n"/>
      <c r="F67" s="210" t="n">
        <v>1.6</v>
      </c>
      <c r="G67" s="210" t="inlineStr">
        <is>
          <t>от -15 до +100</t>
        </is>
      </c>
      <c r="H67" s="210" t="inlineStr">
        <is>
          <t>Вода, гликолевые растворы до 50%</t>
        </is>
      </c>
      <c r="I67" s="210" t="inlineStr">
        <is>
          <t xml:space="preserve">серый чугун </t>
        </is>
      </c>
      <c r="J67" s="210" t="n"/>
      <c r="K67" s="210" t="inlineStr">
        <is>
          <t>межфланцевое</t>
        </is>
      </c>
      <c r="L67" s="210" t="n"/>
      <c r="M67" s="210" t="n"/>
      <c r="N67" s="210" t="inlineStr">
        <is>
          <t>любое</t>
        </is>
      </c>
      <c r="O67" s="210" t="inlineStr">
        <is>
          <t>Номинальный диаметр (DN), мм 150
Уплотнение EPDM
Масса, кг, не более 10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Межфланцевое
C, мм 218
Номинальное давление (PN),бар 16
Температура окружающей среды, °С от -20 до +70
A, мм 106</t>
        </is>
      </c>
      <c r="P67" s="210" t="inlineStr">
        <is>
          <t>Строительный размер 106мм</t>
        </is>
      </c>
      <c r="Q67" s="210" t="inlineStr">
        <is>
          <t xml:space="preserve"> каталожный № 082X8527R</t>
        </is>
      </c>
      <c r="R67" s="198">
        <f>A67</f>
        <v/>
      </c>
      <c r="S67" s="205" t="n"/>
      <c r="T67" s="205" t="n"/>
      <c r="U67" s="205" t="n"/>
      <c r="V67" s="205" t="n"/>
      <c r="W67" s="205" t="n"/>
      <c r="X67" s="205" t="n"/>
      <c r="Y67" s="205" t="n"/>
      <c r="Z67" s="205" t="n"/>
      <c r="AA67" s="205" t="n"/>
      <c r="AB67" s="205" t="n"/>
      <c r="AC67" s="205" t="n"/>
      <c r="AD67" s="205" t="n"/>
      <c r="AE67" s="205" t="n"/>
      <c r="AF67" s="205" t="n"/>
      <c r="AG67" s="205" t="n"/>
      <c r="AH67" s="205" t="n"/>
      <c r="AI67" s="202" t="n"/>
    </row>
    <row r="68" ht="140.25" customHeight="1" s="169">
      <c r="A68" s="192" t="n">
        <v>32</v>
      </c>
      <c r="B68" s="193" t="inlineStr">
        <is>
          <t>Клапан обратный фланцевый пружинный с аксиальным затвором NVD-402R Ду 100 Ру 16</t>
        </is>
      </c>
      <c r="C68" s="210" t="inlineStr">
        <is>
          <t>ТУ 28.14.11-012-72323163-2022</t>
        </is>
      </c>
      <c r="D68" s="210" t="n">
        <v>100</v>
      </c>
      <c r="E68" s="210" t="n"/>
      <c r="F68" s="210" t="n">
        <v>1.6</v>
      </c>
      <c r="G68" s="210" t="inlineStr">
        <is>
          <t>от -15 до +100</t>
        </is>
      </c>
      <c r="H68" s="210" t="inlineStr">
        <is>
          <t>Вода, гликолевые растворы до 50%</t>
        </is>
      </c>
      <c r="I68" s="210" t="inlineStr">
        <is>
          <t xml:space="preserve">серый чугун </t>
        </is>
      </c>
      <c r="J68" s="210" t="n"/>
      <c r="K68" s="210" t="inlineStr">
        <is>
          <t>фланцевый</t>
        </is>
      </c>
      <c r="L68" s="210" t="n"/>
      <c r="M68" s="210" t="n"/>
      <c r="N68" s="210" t="inlineStr">
        <is>
          <t>любое</t>
        </is>
      </c>
      <c r="O68" s="210" t="inlineStr">
        <is>
          <t>Уплотнение EPDM
Номинальный диаметр (DN), мм 100
Рабочая среда Вода, гликолевые растворы до 50%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Пружина Корр.ст.сталь AISI302
Корпус Чугун GJL250
Втулка Латунь CW617N</t>
        </is>
      </c>
      <c r="P68" s="210" t="inlineStr">
        <is>
          <t>Строительный размер 170мм</t>
        </is>
      </c>
      <c r="Q68" s="210" t="inlineStr">
        <is>
          <t>каталожный номер 065B7474</t>
        </is>
      </c>
      <c r="R68" s="198">
        <f>A68</f>
        <v/>
      </c>
      <c r="S68" s="205" t="n"/>
      <c r="T68" s="205" t="n"/>
      <c r="U68" s="205" t="n"/>
      <c r="V68" s="205" t="n"/>
      <c r="W68" s="205" t="n"/>
      <c r="X68" s="205" t="n"/>
      <c r="Y68" s="205" t="n"/>
      <c r="Z68" s="205" t="n"/>
      <c r="AA68" s="205" t="n"/>
      <c r="AB68" s="205" t="n"/>
      <c r="AC68" s="205" t="n"/>
      <c r="AD68" s="205" t="n"/>
      <c r="AE68" s="205" t="n"/>
      <c r="AF68" s="205" t="n"/>
      <c r="AG68" s="205" t="n"/>
      <c r="AH68" s="205" t="n"/>
      <c r="AI68" s="202" t="n"/>
    </row>
    <row r="69" ht="63.75" customHeight="1" s="169">
      <c r="A69" s="192" t="n">
        <v>33</v>
      </c>
      <c r="B69" s="193" t="inlineStr">
        <is>
          <t>Клапан обратный фланцевый пружинный с аксиальным затвором NVD-402R Ду 150 Ру 16</t>
        </is>
      </c>
      <c r="C69" s="210" t="inlineStr">
        <is>
          <t>ТУ 28.14.11-012-72323163-2022</t>
        </is>
      </c>
      <c r="D69" s="210" t="n">
        <v>150</v>
      </c>
      <c r="E69" s="210" t="inlineStr">
        <is>
          <t>полнопроходной</t>
        </is>
      </c>
      <c r="F69" s="210" t="n">
        <v>1.6</v>
      </c>
      <c r="G69" s="238" t="inlineStr">
        <is>
          <t>От -15°С до +100°С</t>
        </is>
      </c>
      <c r="H69" s="210" t="inlineStr">
        <is>
          <t>Вода</t>
        </is>
      </c>
      <c r="I69" s="239" t="inlineStr">
        <is>
          <t>Чугун GG25 с эпоксидным покрытием</t>
        </is>
      </c>
      <c r="J69" s="210" t="inlineStr">
        <is>
          <t>У1</t>
        </is>
      </c>
      <c r="K69" s="210" t="inlineStr">
        <is>
          <t>фланец-фланец</t>
        </is>
      </c>
      <c r="L69" s="210" t="inlineStr">
        <is>
          <t>-</t>
        </is>
      </c>
      <c r="M69" s="210" t="inlineStr">
        <is>
          <t>-</t>
        </is>
      </c>
      <c r="N69" s="210" t="inlineStr">
        <is>
          <t>любое</t>
        </is>
      </c>
      <c r="O69" s="210" t="inlineStr">
        <is>
          <t xml:space="preserve">Втулка: Бронза  Материал пружины: AISI302                              Уплотнение затвора (материал): EPDM                Затворный клапан: Чугун GG25 с эпоксидным покрытием  Шток: Бронза Осевая направляющая: Чугун GG25 с эпоксидным покрытием </t>
        </is>
      </c>
      <c r="P69" s="210" t="n"/>
      <c r="Q69" s="210" t="n"/>
      <c r="R69" s="198">
        <f>A69</f>
        <v/>
      </c>
      <c r="S69" s="205" t="n"/>
      <c r="T69" s="205" t="n"/>
      <c r="U69" s="205" t="n"/>
      <c r="V69" s="205" t="n"/>
      <c r="W69" s="205" t="n"/>
      <c r="X69" s="205" t="n"/>
      <c r="Y69" s="205" t="n"/>
      <c r="Z69" s="205" t="n"/>
      <c r="AA69" s="205" t="n"/>
      <c r="AB69" s="205" t="n"/>
      <c r="AC69" s="205" t="n"/>
      <c r="AD69" s="205" t="n"/>
      <c r="AE69" s="205" t="n"/>
      <c r="AF69" s="205" t="n"/>
      <c r="AG69" s="205" t="n"/>
      <c r="AH69" s="205" t="n"/>
      <c r="AI69" s="202" t="n"/>
    </row>
    <row r="70" ht="280.5" customHeight="1" s="169">
      <c r="A70" s="192" t="n">
        <v>34</v>
      </c>
      <c r="B70" s="193" t="inlineStr">
        <is>
          <t>Клапан обратный фланцевый пружинный с аксиальным затвором NVD-402R Ду 200 Ру 16</t>
        </is>
      </c>
      <c r="C70" s="210" t="inlineStr">
        <is>
          <t>ТУ 28.14.11-012-72323163-2022</t>
        </is>
      </c>
      <c r="D70" s="210" t="n">
        <v>200</v>
      </c>
      <c r="E70" s="210" t="inlineStr">
        <is>
          <t>полнопроходной</t>
        </is>
      </c>
      <c r="F70" s="210" t="n">
        <v>1.6</v>
      </c>
      <c r="G70" s="210" t="inlineStr">
        <is>
          <t>от -15 до +100</t>
        </is>
      </c>
      <c r="H70" s="210" t="inlineStr">
        <is>
          <t>Вода, гликолевые растворы до 50%</t>
        </is>
      </c>
      <c r="I70" s="210" t="inlineStr">
        <is>
          <t>Чугун GJL250</t>
        </is>
      </c>
      <c r="J70" s="210" t="n"/>
      <c r="K70" s="210" t="inlineStr">
        <is>
          <t>Фланец-фланец</t>
        </is>
      </c>
      <c r="L70" s="210" t="n"/>
      <c r="M70" s="210" t="n"/>
      <c r="N70" s="210" t="inlineStr">
        <is>
          <t>любое</t>
        </is>
      </c>
      <c r="O70" s="210" t="inlineStr">
        <is>
          <t>Уплотнение EPDM Номинальный диаметр (DN), мм 200   Рабочая среда Вода, гликолевые растворы до 50%Вода для систем отопления, ГВС, ХВС, гликолевые р-ры до 50%.(жидкости группы 1 и 2 согласно ТР ТС 032/2013). Тип присоединения к трубопроводу Фланцевое Номинальное давление (PN),бар 16 Температура окружающей среды, °С от -20 до +70 Герметичность затвора (объем протечки/класс герметичности) ГОСТ9544, Класс А Температура рабочей среды, °С от -15 до +100 Пружина Корр.ст.сталь AISI302 Корпус Чугун GJL250 Втулка Латунь CW617N Шток Корр.ст.сталь AISI302 Направляющая Чугун GJL250 Затвор клапана Чугун GJL250 D, мм 338 Масса, кг, не более 48,6 A, мм 300 C, мм 340 Давление открытия клапана при движении потока вверх, мм.в.ст. 639 Давление открытия клапана при движении потока вниз, мм.в.ст. 221 Давление открытия клапана при горизонтальном расположении клапана, мм.в.ст. 429 Давление открытия клапана при движении потока вверх (без пружины), мм.в.ст. 208 Гидравлическая характеристика (KVs), м³/ч 985 P, мм 194</t>
        </is>
      </c>
      <c r="P70" s="210" t="inlineStr">
        <is>
          <t>Строительная длинна, мм 300</t>
        </is>
      </c>
      <c r="Q70" s="210" t="inlineStr">
        <is>
          <t>Каталожный № 082X8477R</t>
        </is>
      </c>
      <c r="R70" s="198">
        <f>A70</f>
        <v/>
      </c>
      <c r="S70" s="205" t="n"/>
      <c r="T70" s="205" t="n"/>
      <c r="U70" s="205" t="n"/>
      <c r="V70" s="205" t="n"/>
      <c r="W70" s="205" t="n"/>
      <c r="X70" s="205" t="n"/>
      <c r="Y70" s="205" t="n"/>
      <c r="Z70" s="205" t="n"/>
      <c r="AA70" s="205" t="n"/>
      <c r="AB70" s="205" t="n"/>
      <c r="AC70" s="205" t="n"/>
      <c r="AD70" s="205" t="n"/>
      <c r="AE70" s="205" t="n"/>
      <c r="AF70" s="205" t="n"/>
      <c r="AG70" s="205" t="n"/>
      <c r="AH70" s="205" t="n"/>
      <c r="AI70" s="202" t="n"/>
    </row>
    <row r="71" ht="204" customHeight="1" s="169">
      <c r="A71" s="192" t="n">
        <v>35</v>
      </c>
      <c r="B71" s="193" t="inlineStr">
        <is>
          <t>Обратный клапан пружинный NVD-812R Ду 150 Ру 40</t>
        </is>
      </c>
      <c r="C71" s="210" t="inlineStr">
        <is>
          <t>ТУ 28.14.11-014-72323163-2022</t>
        </is>
      </c>
      <c r="D71" s="210" t="n">
        <v>150</v>
      </c>
      <c r="E71" s="210" t="inlineStr">
        <is>
          <t>полнопроходной</t>
        </is>
      </c>
      <c r="F71" s="210" t="n">
        <v>4</v>
      </c>
      <c r="G71" s="210" t="inlineStr">
        <is>
          <t>от -25 до +240</t>
        </is>
      </c>
      <c r="H71" s="210" t="inlineStr">
        <is>
          <t>Вода для систем отопления, ГВС, ХВС, гликолевые р-ры до 50%</t>
        </is>
      </c>
      <c r="I71" s="210" t="inlineStr">
        <is>
          <t>Нержавеющая сталь</t>
        </is>
      </c>
      <c r="J71" s="210" t="n"/>
      <c r="K71" s="210" t="inlineStr">
        <is>
          <t>межфланцевое</t>
        </is>
      </c>
      <c r="L71" s="210" t="n"/>
      <c r="M71" s="210" t="n"/>
      <c r="N71" s="210" t="inlineStr">
        <is>
          <t>любое</t>
        </is>
      </c>
      <c r="O71" s="210" t="inlineStr">
        <is>
          <t>Номинальный диаметр (DN), мм 150 Масса, кг, не более 8,3 Температура окружающей среды, °С от -30 до +70 A, мм 106 Рабочая среда Вода для систем отопления, ГВС, ХВС, гликолевые р-ры до 50%Вода для систем отопления, ГВС, ХВС, гликолевые р-ры до 50%.(жидкости группы 1 и 2 согласно ТР ТС 032/2013). Пружина AISI 316 Температура рабочей среды, °С от -25 до +240 Тип присоединения к трубопроводу Межфланцевое Корпус Корр.ст.сталь 316 (ASTM A351 CF8M) Направляющая AISI 316 C, мм 217 Затвор Корр.ст.сталь ASTM A351 CF8M Номинальное давление (PN),бар 40 Герметичность затвора (объем протечки/класс герметичности) ГОСТ9544, Класс G Давление открытия клапана, мм.в.ст. 360 Гидравлическая характеристика (KVs), м³/ч 250 P, мм 140</t>
        </is>
      </c>
      <c r="P71" s="210" t="inlineStr">
        <is>
          <t>Строительная длинна, мм 106</t>
        </is>
      </c>
      <c r="Q71" s="210" t="inlineStr">
        <is>
          <t>Каталожный № 082X8540R</t>
        </is>
      </c>
      <c r="R71" s="198">
        <f>A71</f>
        <v/>
      </c>
      <c r="S71" s="205" t="n"/>
      <c r="T71" s="205" t="n"/>
      <c r="U71" s="205" t="n"/>
      <c r="V71" s="205" t="n"/>
      <c r="W71" s="205" t="n"/>
      <c r="X71" s="205" t="n"/>
      <c r="Y71" s="205" t="n"/>
      <c r="Z71" s="205" t="n"/>
      <c r="AA71" s="205" t="n"/>
      <c r="AB71" s="205" t="n"/>
      <c r="AC71" s="205" t="n"/>
      <c r="AD71" s="205" t="n"/>
      <c r="AE71" s="205" t="n"/>
      <c r="AF71" s="205" t="n"/>
      <c r="AG71" s="205" t="n"/>
      <c r="AH71" s="205" t="n"/>
      <c r="AI71" s="202" t="n"/>
    </row>
    <row r="72" ht="127.5" customHeight="1" s="169">
      <c r="A72" s="192" t="n">
        <v>36</v>
      </c>
      <c r="B72" s="193" t="inlineStr">
        <is>
          <t>Предохранительный клапан ARI-SAFE 12.903 Ду 32/50 Ру 16</t>
        </is>
      </c>
      <c r="C72" s="210" t="n"/>
      <c r="D72" s="210" t="inlineStr">
        <is>
          <t>32/50</t>
        </is>
      </c>
      <c r="E72" s="210" t="inlineStr">
        <is>
          <t>32/50</t>
        </is>
      </c>
      <c r="F72" s="210" t="n">
        <v>1.6</v>
      </c>
      <c r="G72" s="210" t="n"/>
      <c r="H72" s="210" t="inlineStr">
        <is>
          <t>вода</t>
        </is>
      </c>
      <c r="I72" s="210" t="inlineStr">
        <is>
          <t>серый чугун</t>
        </is>
      </c>
      <c r="J72" s="210" t="n"/>
      <c r="K72" s="210" t="inlineStr">
        <is>
          <t>фланцевое</t>
        </is>
      </c>
      <c r="L72" s="210" t="n"/>
      <c r="M72" s="210" t="n"/>
      <c r="N72" s="210" t="n"/>
      <c r="O72" s="210" t="n"/>
      <c r="P72" s="210" t="inlineStr">
        <is>
          <t xml:space="preserve">Габариты: L-110 мм (расстояние от середины нижнего фланца до конца бокового фланца); L1-115 мм (расстояние от середины бокового фланца до конца нижнего фланца) </t>
        </is>
      </c>
      <c r="Q72" s="210" t="inlineStr">
        <is>
          <t>Рабочий диапазон пружины:3,7-5,0 кгс/см2.</t>
        </is>
      </c>
      <c r="R72" s="198">
        <f>A72</f>
        <v/>
      </c>
      <c r="S72" s="205" t="n"/>
      <c r="T72" s="205" t="n"/>
      <c r="U72" s="205" t="n"/>
      <c r="V72" s="205" t="n"/>
      <c r="W72" s="205" t="n"/>
      <c r="X72" s="205" t="n"/>
      <c r="Y72" s="205" t="n"/>
      <c r="Z72" s="205" t="n"/>
      <c r="AA72" s="205" t="n"/>
      <c r="AB72" s="205" t="n"/>
      <c r="AC72" s="205" t="n"/>
      <c r="AD72" s="205" t="n"/>
      <c r="AE72" s="205" t="n"/>
      <c r="AF72" s="205" t="n"/>
      <c r="AG72" s="205" t="n"/>
      <c r="AH72" s="205" t="n"/>
      <c r="AI72" s="202" t="n"/>
    </row>
    <row r="73" ht="127.5" customHeight="1" s="169">
      <c r="A73" s="192" t="n">
        <v>37</v>
      </c>
      <c r="B73" s="193" t="inlineStr">
        <is>
          <t>Предохранительный клапан ARI-SAFE 12.903 Ду 25/40 Ру 16</t>
        </is>
      </c>
      <c r="C73" s="210" t="n"/>
      <c r="D73" s="210" t="inlineStr">
        <is>
          <t>25/40</t>
        </is>
      </c>
      <c r="E73" s="210" t="inlineStr">
        <is>
          <t>25/40</t>
        </is>
      </c>
      <c r="F73" s="210" t="n">
        <v>1.6</v>
      </c>
      <c r="G73" s="210" t="n"/>
      <c r="H73" s="210" t="inlineStr">
        <is>
          <t>вода</t>
        </is>
      </c>
      <c r="I73" s="210" t="inlineStr">
        <is>
          <t>серый чугун</t>
        </is>
      </c>
      <c r="J73" s="210" t="n"/>
      <c r="K73" s="210" t="inlineStr">
        <is>
          <t>фланцевое</t>
        </is>
      </c>
      <c r="L73" s="210" t="n"/>
      <c r="M73" s="210" t="n"/>
      <c r="N73" s="210" t="n"/>
      <c r="O73" s="210" t="n"/>
      <c r="P73" s="210" t="inlineStr">
        <is>
          <t xml:space="preserve">L-100 мм (расстояние от середины нижнего фланца до конца бокового фланца); L1-105 мм (расстояние от середины бокового фланца до конца нижнего фланца) </t>
        </is>
      </c>
      <c r="Q73" s="210" t="inlineStr">
        <is>
          <t>Рабочий диапазон пружины:2,75-3,6 кгс/см2</t>
        </is>
      </c>
      <c r="R73" s="198">
        <f>A73</f>
        <v/>
      </c>
      <c r="S73" s="205" t="n"/>
      <c r="T73" s="205" t="n"/>
      <c r="U73" s="205" t="n"/>
      <c r="V73" s="205" t="n"/>
      <c r="W73" s="205" t="n"/>
      <c r="X73" s="205" t="n"/>
      <c r="Y73" s="205" t="n"/>
      <c r="Z73" s="205" t="n"/>
      <c r="AA73" s="205" t="n"/>
      <c r="AB73" s="205" t="n"/>
      <c r="AC73" s="205" t="n"/>
      <c r="AD73" s="205" t="n"/>
      <c r="AE73" s="205" t="n"/>
      <c r="AF73" s="205" t="n"/>
      <c r="AG73" s="205" t="n"/>
      <c r="AH73" s="205" t="n"/>
      <c r="AI73" s="202" t="n"/>
    </row>
    <row r="74" ht="127.5" customHeight="1" s="169">
      <c r="A74" s="192" t="n">
        <v>38</v>
      </c>
      <c r="B74" s="193" t="inlineStr">
        <is>
          <t>Предохранительный клапан ARI-SAFE 12.903 Ду 25/40 Ру 16</t>
        </is>
      </c>
      <c r="C74" s="210" t="n"/>
      <c r="D74" s="210" t="inlineStr">
        <is>
          <t>25/40</t>
        </is>
      </c>
      <c r="E74" s="210" t="inlineStr">
        <is>
          <t>25/40</t>
        </is>
      </c>
      <c r="F74" s="210" t="n">
        <v>1.6</v>
      </c>
      <c r="G74" s="210" t="n"/>
      <c r="H74" s="210" t="inlineStr">
        <is>
          <t>вода</t>
        </is>
      </c>
      <c r="I74" s="210" t="inlineStr">
        <is>
          <t>серый чугун</t>
        </is>
      </c>
      <c r="J74" s="210" t="n"/>
      <c r="K74" s="210" t="inlineStr">
        <is>
          <t>фланцевое</t>
        </is>
      </c>
      <c r="L74" s="210" t="n"/>
      <c r="M74" s="210" t="n"/>
      <c r="N74" s="210" t="n"/>
      <c r="O74" s="210" t="n"/>
      <c r="P74" s="210" t="inlineStr">
        <is>
          <t xml:space="preserve">Габариты: L-100 мм (расстояние от середины нижнего фланца до конца бокового фланца); L1-105 мм (расстояние от середины бокового фланца до конца нижнего фланца) </t>
        </is>
      </c>
      <c r="Q74" s="210" t="inlineStr">
        <is>
          <t xml:space="preserve">Рабочий диапазон пружины:2,05-2,7 кгс/см2. </t>
        </is>
      </c>
      <c r="R74" s="198">
        <f>A74</f>
        <v/>
      </c>
      <c r="S74" s="205" t="n"/>
      <c r="T74" s="205" t="n"/>
      <c r="U74" s="205" t="n"/>
      <c r="V74" s="205" t="n"/>
      <c r="W74" s="205" t="n"/>
      <c r="X74" s="205" t="n"/>
      <c r="Y74" s="205" t="n"/>
      <c r="Z74" s="205" t="n"/>
      <c r="AA74" s="205" t="n"/>
      <c r="AB74" s="205" t="n"/>
      <c r="AC74" s="205" t="n"/>
      <c r="AD74" s="205" t="n"/>
      <c r="AE74" s="205" t="n"/>
      <c r="AF74" s="205" t="n"/>
      <c r="AG74" s="205" t="n"/>
      <c r="AH74" s="205" t="n"/>
      <c r="AI74" s="202" t="n"/>
    </row>
    <row r="75" ht="51" customHeight="1" s="169">
      <c r="A75" s="192" t="n">
        <v>39</v>
      </c>
      <c r="B75" s="193" t="inlineStr">
        <is>
          <t>Кран для манометра трехходовой Ду 15 Ру 16</t>
        </is>
      </c>
      <c r="C75" s="210" t="inlineStr">
        <is>
          <t>ГОСТ 12.2.063-2015</t>
        </is>
      </c>
      <c r="D75" s="210" t="n">
        <v>15</v>
      </c>
      <c r="E75" s="210" t="inlineStr">
        <is>
          <t>стандарт</t>
        </is>
      </c>
      <c r="F75" s="210" t="inlineStr">
        <is>
          <t>1.6</t>
        </is>
      </c>
      <c r="G75" s="210" t="inlineStr">
        <is>
          <t>от -50 до +150 C</t>
        </is>
      </c>
      <c r="H75" s="210" t="inlineStr">
        <is>
          <t>вода, пар, воздух</t>
        </is>
      </c>
      <c r="I75" s="210" t="inlineStr">
        <is>
          <t>латунь ЛЦ40Сд</t>
        </is>
      </c>
      <c r="J75" s="210" t="inlineStr">
        <is>
          <t>У1</t>
        </is>
      </c>
      <c r="K75" s="210" t="inlineStr">
        <is>
          <t>внутренняя резьба</t>
        </is>
      </c>
      <c r="L75" s="210" t="inlineStr">
        <is>
          <t>флажок/рычаг</t>
        </is>
      </c>
      <c r="M75" s="210" t="inlineStr">
        <is>
          <t>ручное</t>
        </is>
      </c>
      <c r="N75" s="210" t="inlineStr">
        <is>
          <t>любое</t>
        </is>
      </c>
      <c r="O75" s="210" t="inlineStr">
        <is>
          <t xml:space="preserve">Материал штока — Латунь ЛЦ40СД
Материал пробки — латунь ЛЦ40СД
Уплотнение пробки — фторопласт
</t>
        </is>
      </c>
      <c r="P75" s="210" t="inlineStr">
        <is>
          <t>Длина 50 мм</t>
        </is>
      </c>
      <c r="Q75" s="197" t="n"/>
      <c r="R75" s="198">
        <f>A75</f>
        <v/>
      </c>
      <c r="S75" s="205" t="n"/>
      <c r="T75" s="205" t="n"/>
      <c r="U75" s="205" t="n"/>
      <c r="V75" s="205" t="n"/>
      <c r="W75" s="205" t="n"/>
      <c r="X75" s="205" t="n"/>
      <c r="Y75" s="205" t="n"/>
      <c r="Z75" s="205" t="n"/>
      <c r="AA75" s="205" t="n"/>
      <c r="AB75" s="205" t="n"/>
      <c r="AC75" s="205" t="n"/>
      <c r="AD75" s="205" t="n"/>
      <c r="AE75" s="205" t="n"/>
      <c r="AF75" s="205" t="n"/>
      <c r="AG75" s="205" t="n"/>
      <c r="AH75" s="205" t="n"/>
      <c r="AI75" s="202" t="n"/>
    </row>
    <row r="76" ht="51" customHeight="1" s="169">
      <c r="A76" s="192" t="n">
        <v>40</v>
      </c>
      <c r="B76" s="193" t="inlineStr">
        <is>
          <t>Клапан 22б16п (15б34бк1) запорный вакуумный сильфонный Ду6 Ру16</t>
        </is>
      </c>
      <c r="C76" s="210" t="inlineStr">
        <is>
          <t>ТУ 3700-003-92853012-2012</t>
        </is>
      </c>
      <c r="D76" s="210" t="n">
        <v>6</v>
      </c>
      <c r="E76" s="210" t="inlineStr">
        <is>
          <t>-</t>
        </is>
      </c>
      <c r="F76" s="210" t="n">
        <v>1.6</v>
      </c>
      <c r="G76" s="210" t="inlineStr">
        <is>
          <t>От -40°С до +120°С</t>
        </is>
      </c>
      <c r="H76" s="210" t="inlineStr">
        <is>
          <t>Жидкий и газообразный хладон.</t>
        </is>
      </c>
      <c r="I76" s="210" t="inlineStr">
        <is>
          <t>ЛС59-1Л</t>
        </is>
      </c>
      <c r="J76" s="210" t="n"/>
      <c r="K76" s="210" t="inlineStr">
        <is>
          <t>Цапковое</t>
        </is>
      </c>
      <c r="L76" s="210" t="inlineStr">
        <is>
          <t>Ручной</t>
        </is>
      </c>
      <c r="M76" s="210" t="inlineStr">
        <is>
          <t>Рукоятка</t>
        </is>
      </c>
      <c r="N76" s="210" t="inlineStr">
        <is>
          <t>-</t>
        </is>
      </c>
      <c r="O76" s="210" t="inlineStr">
        <is>
          <t>-</t>
        </is>
      </c>
      <c r="P76" s="210" t="inlineStr">
        <is>
          <t>-</t>
        </is>
      </c>
      <c r="Q76" s="210" t="inlineStr">
        <is>
          <t>-</t>
        </is>
      </c>
      <c r="R76" s="198">
        <f>A76</f>
        <v/>
      </c>
      <c r="S76" s="205" t="n"/>
      <c r="T76" s="205" t="n"/>
      <c r="U76" s="205" t="n"/>
      <c r="V76" s="205" t="n"/>
      <c r="W76" s="205" t="n"/>
      <c r="X76" s="205" t="n"/>
      <c r="Y76" s="205" t="n"/>
      <c r="Z76" s="205" t="n"/>
      <c r="AA76" s="205" t="n"/>
      <c r="AB76" s="205" t="n"/>
      <c r="AC76" s="205" t="n"/>
      <c r="AD76" s="205" t="n"/>
      <c r="AE76" s="205" t="n"/>
      <c r="AF76" s="205" t="n"/>
      <c r="AG76" s="205" t="n"/>
      <c r="AH76" s="205" t="n"/>
      <c r="AI76" s="202" t="n"/>
    </row>
    <row r="77" ht="51" customHeight="1" s="169">
      <c r="A77" s="192" t="n">
        <v>41</v>
      </c>
      <c r="B77" s="193" t="inlineStr">
        <is>
          <t>Клапан ВДХ Ду 80 Ру 10</t>
        </is>
      </c>
      <c r="C77" s="210" t="inlineStr">
        <is>
          <t>Класс герметичности по ГОСТ 54808"А"</t>
        </is>
      </c>
      <c r="D77" s="210" t="n">
        <v>80</v>
      </c>
      <c r="E77" s="210" t="inlineStr">
        <is>
          <t>стандарт</t>
        </is>
      </c>
      <c r="F77" s="210" t="n">
        <v>1.6</v>
      </c>
      <c r="G77" s="210" t="inlineStr">
        <is>
          <t>До + 60°С</t>
        </is>
      </c>
      <c r="H77" s="210" t="inlineStr">
        <is>
          <t>Вода; раствор NaOH 30%; Н2SO4 93%</t>
        </is>
      </c>
      <c r="I77" s="210" t="inlineStr">
        <is>
          <t>углеродистая сталь</t>
        </is>
      </c>
      <c r="J77" s="210" t="inlineStr">
        <is>
          <t>У</t>
        </is>
      </c>
      <c r="K77" s="210" t="inlineStr">
        <is>
          <t>Присоединение фланцевое по ГОСТ 12815-80</t>
        </is>
      </c>
      <c r="L77" s="210" t="inlineStr">
        <is>
          <t xml:space="preserve">Ручное </t>
        </is>
      </c>
      <c r="M77" s="210" t="inlineStr">
        <is>
          <t>маховик</t>
        </is>
      </c>
      <c r="N77" s="210" t="inlineStr">
        <is>
          <t>-</t>
        </is>
      </c>
      <c r="O77" s="210" t="inlineStr">
        <is>
          <t>Материал защитного покрытия-фторопласт Ф-4МБ. Мембраны-фторопласт</t>
        </is>
      </c>
      <c r="P77" s="210" t="inlineStr">
        <is>
          <t>строительная длина  310 мм</t>
        </is>
      </c>
      <c r="Q77" s="197" t="n"/>
      <c r="R77" s="198">
        <f>A77</f>
        <v/>
      </c>
      <c r="S77" s="205" t="n"/>
      <c r="T77" s="205" t="n"/>
      <c r="U77" s="205" t="n"/>
      <c r="V77" s="205" t="n"/>
      <c r="W77" s="205" t="n"/>
      <c r="X77" s="205" t="n"/>
      <c r="Y77" s="205" t="n"/>
      <c r="Z77" s="205" t="n"/>
      <c r="AA77" s="205" t="n"/>
      <c r="AB77" s="205" t="n"/>
      <c r="AC77" s="205" t="n"/>
      <c r="AD77" s="205" t="n"/>
      <c r="AE77" s="205" t="n"/>
      <c r="AF77" s="205" t="n"/>
      <c r="AG77" s="205" t="n"/>
      <c r="AH77" s="205" t="n"/>
      <c r="AI77" s="202" t="n"/>
    </row>
    <row r="78" ht="51" customHeight="1" s="169">
      <c r="A78" s="192" t="n">
        <v>42</v>
      </c>
      <c r="B78" s="193" t="inlineStr">
        <is>
          <t>Клапан диафрагменный химический ВДХ Ду 150 Ру 16</t>
        </is>
      </c>
      <c r="C78" s="210" t="inlineStr">
        <is>
          <t>Класс герметичности по ГОСТ 54808"А"</t>
        </is>
      </c>
      <c r="D78" s="210" t="n">
        <v>150</v>
      </c>
      <c r="E78" s="210" t="inlineStr">
        <is>
          <t>стандарт</t>
        </is>
      </c>
      <c r="F78" s="210" t="n">
        <v>1.6</v>
      </c>
      <c r="G78" s="210" t="inlineStr">
        <is>
          <t>До + 60°С</t>
        </is>
      </c>
      <c r="H78" s="210" t="inlineStr">
        <is>
          <t>Вода; раствор NaOH 30%; Н2SO4 93%</t>
        </is>
      </c>
      <c r="I78" s="210" t="inlineStr">
        <is>
          <t>углеродистая сталь</t>
        </is>
      </c>
      <c r="J78" s="210" t="inlineStr">
        <is>
          <t>У</t>
        </is>
      </c>
      <c r="K78" s="210" t="inlineStr">
        <is>
          <t>Присоединение фланцевое по ГОСТ 12815-80</t>
        </is>
      </c>
      <c r="L78" s="210" t="inlineStr">
        <is>
          <t xml:space="preserve">Ручное </t>
        </is>
      </c>
      <c r="M78" s="210" t="inlineStr">
        <is>
          <t>маховик</t>
        </is>
      </c>
      <c r="N78" s="210" t="inlineStr">
        <is>
          <t>-</t>
        </is>
      </c>
      <c r="O78" s="210" t="inlineStr">
        <is>
          <t>Материал защитного покрытия-фторопласт Ф-4МБ. Мембраны-фторопласт</t>
        </is>
      </c>
      <c r="P78" s="210" t="inlineStr">
        <is>
          <t>строительная длина  460 мм</t>
        </is>
      </c>
      <c r="Q78" s="210" t="n"/>
      <c r="R78" s="198">
        <f>A78</f>
        <v/>
      </c>
      <c r="S78" s="205" t="n"/>
      <c r="T78" s="205" t="n"/>
      <c r="U78" s="205" t="n"/>
      <c r="V78" s="205" t="n"/>
      <c r="W78" s="205" t="n"/>
      <c r="X78" s="205" t="n"/>
      <c r="Y78" s="205" t="n"/>
      <c r="Z78" s="205" t="n"/>
      <c r="AA78" s="205" t="n"/>
      <c r="AB78" s="205" t="n"/>
      <c r="AC78" s="205" t="n"/>
      <c r="AD78" s="205" t="n"/>
      <c r="AE78" s="205" t="n"/>
      <c r="AF78" s="205" t="n"/>
      <c r="AG78" s="205" t="n"/>
      <c r="AH78" s="205" t="n"/>
      <c r="AI78" s="202" t="n"/>
    </row>
    <row r="79" ht="51" customHeight="1" s="169">
      <c r="A79" s="192" t="n">
        <v>43</v>
      </c>
      <c r="B79" s="193" t="inlineStr">
        <is>
          <t>Клапан диафрагменный химический ВДХ Ду 50, Ру 16</t>
        </is>
      </c>
      <c r="C79" s="210" t="inlineStr">
        <is>
          <t>Класс герметичности по ГОСТ 54808"А"</t>
        </is>
      </c>
      <c r="D79" s="210" t="n">
        <v>50</v>
      </c>
      <c r="E79" s="210" t="inlineStr">
        <is>
          <t>стандарт</t>
        </is>
      </c>
      <c r="F79" s="210" t="n">
        <v>1.6</v>
      </c>
      <c r="G79" s="210" t="inlineStr">
        <is>
          <t>от -50 до +150°С</t>
        </is>
      </c>
      <c r="H79" s="210" t="inlineStr">
        <is>
          <t>любые жидкие реагенты и химические среды.</t>
        </is>
      </c>
      <c r="I79" s="210" t="inlineStr">
        <is>
          <t>углеродистая сталь</t>
        </is>
      </c>
      <c r="J79" s="210" t="inlineStr">
        <is>
          <t>У</t>
        </is>
      </c>
      <c r="K79" s="210" t="inlineStr">
        <is>
          <t>Присоединение фланцевое по ГОСТ 12815-80</t>
        </is>
      </c>
      <c r="L79" s="210" t="inlineStr">
        <is>
          <t xml:space="preserve">Ручное </t>
        </is>
      </c>
      <c r="M79" s="210" t="inlineStr">
        <is>
          <t>маховик</t>
        </is>
      </c>
      <c r="N79" s="210" t="inlineStr">
        <is>
          <t>-</t>
        </is>
      </c>
      <c r="O79" s="210" t="inlineStr">
        <is>
          <t>Материал защитного покрытия-фторопласт Ф-4МБ. Мембраны-фторопласт</t>
        </is>
      </c>
      <c r="P79" s="210" t="inlineStr">
        <is>
          <t>строительная длина  210 мм,</t>
        </is>
      </c>
      <c r="Q79" s="210" t="n"/>
      <c r="R79" s="198">
        <f>A79</f>
        <v/>
      </c>
      <c r="S79" s="205" t="n"/>
      <c r="T79" s="205" t="n"/>
      <c r="U79" s="205" t="n"/>
      <c r="V79" s="205" t="n"/>
      <c r="W79" s="205" t="n"/>
      <c r="X79" s="205" t="n"/>
      <c r="Y79" s="205" t="n"/>
      <c r="Z79" s="205" t="n"/>
      <c r="AA79" s="205" t="n"/>
      <c r="AB79" s="205" t="n"/>
      <c r="AC79" s="205" t="n"/>
      <c r="AD79" s="205" t="n"/>
      <c r="AE79" s="205" t="n"/>
      <c r="AF79" s="205" t="n"/>
      <c r="AG79" s="205" t="n"/>
      <c r="AH79" s="205" t="n"/>
      <c r="AI79" s="202" t="n"/>
    </row>
    <row r="80" ht="51" customHeight="1" s="169">
      <c r="A80" s="192" t="n">
        <v>44</v>
      </c>
      <c r="B80" s="193" t="inlineStr">
        <is>
          <t>Клапан диафрагменный химический ВДХ Ду 80 Ру 16</t>
        </is>
      </c>
      <c r="C80" s="210" t="inlineStr">
        <is>
          <t>Класс герметичности по ГОСТ 54808"А"</t>
        </is>
      </c>
      <c r="D80" s="210" t="n">
        <v>80</v>
      </c>
      <c r="E80" s="210" t="inlineStr">
        <is>
          <t>стандарт</t>
        </is>
      </c>
      <c r="F80" s="210" t="n">
        <v>1.6</v>
      </c>
      <c r="G80" s="210" t="inlineStr">
        <is>
          <t>от -50 до +150°С</t>
        </is>
      </c>
      <c r="H80" s="210" t="inlineStr">
        <is>
          <t>любые жидкие реагенты и химические среды.</t>
        </is>
      </c>
      <c r="I80" s="210" t="inlineStr">
        <is>
          <t>углеродистая сталь</t>
        </is>
      </c>
      <c r="J80" s="210" t="inlineStr">
        <is>
          <t>У</t>
        </is>
      </c>
      <c r="K80" s="210" t="inlineStr">
        <is>
          <t>Присоединение фланцевое по ГОСТ 12815-80</t>
        </is>
      </c>
      <c r="L80" s="210" t="inlineStr">
        <is>
          <t xml:space="preserve">Ручное </t>
        </is>
      </c>
      <c r="M80" s="210" t="inlineStr">
        <is>
          <t>маховик</t>
        </is>
      </c>
      <c r="N80" s="210" t="inlineStr">
        <is>
          <t>-</t>
        </is>
      </c>
      <c r="O80" s="210" t="inlineStr">
        <is>
          <t>Материал защитного покрытия-фторопласт Ф-4МБ. Мембраны-фторопласт</t>
        </is>
      </c>
      <c r="P80" s="210" t="inlineStr">
        <is>
          <t>строительная длина  310 мм,</t>
        </is>
      </c>
      <c r="Q80" s="210" t="n"/>
      <c r="R80" s="198">
        <f>A80</f>
        <v/>
      </c>
      <c r="S80" s="205" t="n"/>
      <c r="T80" s="205" t="n"/>
      <c r="U80" s="205" t="n"/>
      <c r="V80" s="205" t="n"/>
      <c r="W80" s="205" t="n"/>
      <c r="X80" s="205" t="n"/>
      <c r="Y80" s="205" t="n"/>
      <c r="Z80" s="205" t="n"/>
      <c r="AA80" s="205" t="n"/>
      <c r="AB80" s="205" t="n"/>
      <c r="AC80" s="205" t="n"/>
      <c r="AD80" s="205" t="n"/>
      <c r="AE80" s="205" t="n"/>
      <c r="AF80" s="205" t="n"/>
      <c r="AG80" s="205" t="n"/>
      <c r="AH80" s="205" t="n"/>
      <c r="AI80" s="202" t="n"/>
    </row>
    <row r="81" ht="51" customHeight="1" s="169">
      <c r="A81" s="192" t="n">
        <v>45</v>
      </c>
      <c r="B81" s="193" t="inlineStr">
        <is>
          <t>Клапан запорный 14нж17п Ду 15 Ру 10 цапковый</t>
        </is>
      </c>
      <c r="C81" s="210" t="inlineStr">
        <is>
          <t>ТУ 3700-003-92853012-2012</t>
        </is>
      </c>
      <c r="D81" s="210" t="n">
        <v>15</v>
      </c>
      <c r="E81" s="210" t="inlineStr">
        <is>
          <t>-</t>
        </is>
      </c>
      <c r="F81" s="210" t="n">
        <v>1</v>
      </c>
      <c r="G81" s="210" t="inlineStr">
        <is>
          <t xml:space="preserve"> до +200°С</t>
        </is>
      </c>
      <c r="H81" s="210" t="inlineStr">
        <is>
          <t>Жидкость, пар, воздух, инертный газ, агрессивная среда.</t>
        </is>
      </c>
      <c r="I81" s="210" t="inlineStr">
        <is>
          <t>Сталь марки 12Х18Н9Т</t>
        </is>
      </c>
      <c r="J81" s="210" t="inlineStr">
        <is>
          <t>-</t>
        </is>
      </c>
      <c r="K81" s="210" t="inlineStr">
        <is>
          <t>Цапка</t>
        </is>
      </c>
      <c r="L81" s="210" t="inlineStr">
        <is>
          <t>Ручной</t>
        </is>
      </c>
      <c r="M81" s="210" t="inlineStr">
        <is>
          <t>Рукоятка</t>
        </is>
      </c>
      <c r="N81" s="210" t="inlineStr">
        <is>
          <t>любое</t>
        </is>
      </c>
      <c r="O81" s="210" t="inlineStr">
        <is>
          <t>Материал изделия (уплотнение в затворе): фторопласт Ф-4;</t>
        </is>
      </c>
      <c r="P81" s="210" t="inlineStr">
        <is>
          <t>-</t>
        </is>
      </c>
      <c r="Q81" s="210" t="inlineStr">
        <is>
          <t>-</t>
        </is>
      </c>
      <c r="R81" s="198">
        <f>A81</f>
        <v/>
      </c>
      <c r="S81" s="205" t="n"/>
      <c r="T81" s="205" t="n"/>
      <c r="U81" s="205" t="n"/>
      <c r="V81" s="205" t="n"/>
      <c r="W81" s="205" t="n"/>
      <c r="X81" s="205" t="n"/>
      <c r="Y81" s="205" t="n"/>
      <c r="Z81" s="205" t="n"/>
      <c r="AA81" s="205" t="n"/>
      <c r="AB81" s="205" t="n"/>
      <c r="AC81" s="205" t="n"/>
      <c r="AD81" s="205" t="n"/>
      <c r="AE81" s="205" t="n"/>
      <c r="AF81" s="205" t="n"/>
      <c r="AG81" s="205" t="n"/>
      <c r="AH81" s="205" t="n"/>
      <c r="AI81" s="202" t="n"/>
    </row>
    <row r="82" ht="51" customHeight="1" s="169">
      <c r="A82" s="192" t="n">
        <v>46</v>
      </c>
      <c r="B82" s="193" t="inlineStr">
        <is>
          <t>Клапан запорный 14нж17п Ду 25 Ру 10 цапковый</t>
        </is>
      </c>
      <c r="C82" s="210" t="inlineStr">
        <is>
          <t>ТУ 3700-003-92853012-2012</t>
        </is>
      </c>
      <c r="D82" s="210" t="n">
        <v>25</v>
      </c>
      <c r="E82" s="210" t="inlineStr">
        <is>
          <t>-</t>
        </is>
      </c>
      <c r="F82" s="210" t="n">
        <v>1</v>
      </c>
      <c r="G82" s="210" t="inlineStr">
        <is>
          <t xml:space="preserve"> до +200°С</t>
        </is>
      </c>
      <c r="H82" s="210" t="inlineStr">
        <is>
          <t>Жидкость, пар, воздух, инертный газ, агрессивная среда.</t>
        </is>
      </c>
      <c r="I82" s="210" t="inlineStr">
        <is>
          <t>Сталь марки 12Х18Н9Т</t>
        </is>
      </c>
      <c r="J82" s="210" t="inlineStr">
        <is>
          <t>-</t>
        </is>
      </c>
      <c r="K82" s="210" t="inlineStr">
        <is>
          <t>Цапка</t>
        </is>
      </c>
      <c r="L82" s="210" t="inlineStr">
        <is>
          <t>Ручной</t>
        </is>
      </c>
      <c r="M82" s="210" t="inlineStr">
        <is>
          <t>Рукоятка</t>
        </is>
      </c>
      <c r="N82" s="210" t="inlineStr">
        <is>
          <t>любое</t>
        </is>
      </c>
      <c r="O82" s="210" t="inlineStr">
        <is>
          <t>Материал изделия (уплотнение в затворе): фторопласт Ф-4;</t>
        </is>
      </c>
      <c r="P82" s="210" t="inlineStr">
        <is>
          <t>-</t>
        </is>
      </c>
      <c r="Q82" s="210" t="inlineStr">
        <is>
          <t>-</t>
        </is>
      </c>
      <c r="R82" s="198">
        <f>A82</f>
        <v/>
      </c>
      <c r="S82" s="205" t="n"/>
      <c r="T82" s="205" t="n"/>
      <c r="U82" s="205" t="n"/>
      <c r="V82" s="205" t="n"/>
      <c r="W82" s="205" t="n"/>
      <c r="X82" s="205" t="n"/>
      <c r="Y82" s="205" t="n"/>
      <c r="Z82" s="205" t="n"/>
      <c r="AA82" s="205" t="n"/>
      <c r="AB82" s="205" t="n"/>
      <c r="AC82" s="205" t="n"/>
      <c r="AD82" s="205" t="n"/>
      <c r="AE82" s="205" t="n"/>
      <c r="AF82" s="205" t="n"/>
      <c r="AG82" s="205" t="n"/>
      <c r="AH82" s="205" t="n"/>
      <c r="AI82" s="202" t="n"/>
    </row>
    <row r="83" ht="51" customHeight="1" s="169">
      <c r="A83" s="192" t="n">
        <v>47</v>
      </c>
      <c r="B83" s="193" t="inlineStr">
        <is>
          <t>Клапан запорный 14нж17п Ду 32 Ру 10 цапковый</t>
        </is>
      </c>
      <c r="C83" s="210" t="inlineStr">
        <is>
          <t>ТУ 3700-003-92853012-2012</t>
        </is>
      </c>
      <c r="D83" s="210" t="n">
        <v>32</v>
      </c>
      <c r="E83" s="210" t="inlineStr">
        <is>
          <t>-</t>
        </is>
      </c>
      <c r="F83" s="210" t="n">
        <v>1</v>
      </c>
      <c r="G83" s="210" t="inlineStr">
        <is>
          <t xml:space="preserve"> до +200°С</t>
        </is>
      </c>
      <c r="H83" s="210" t="inlineStr">
        <is>
          <t>Жидкость, пар, воздух, инертный газ, агрессивная среда.</t>
        </is>
      </c>
      <c r="I83" s="210" t="inlineStr">
        <is>
          <t>Сталь марки 12Х18Н9Т</t>
        </is>
      </c>
      <c r="J83" s="210" t="inlineStr">
        <is>
          <t>-</t>
        </is>
      </c>
      <c r="K83" s="210" t="inlineStr">
        <is>
          <t>Цапка</t>
        </is>
      </c>
      <c r="L83" s="210" t="inlineStr">
        <is>
          <t>Ручной</t>
        </is>
      </c>
      <c r="M83" s="210" t="inlineStr">
        <is>
          <t>Рукоятка</t>
        </is>
      </c>
      <c r="N83" s="210" t="inlineStr">
        <is>
          <t>любое</t>
        </is>
      </c>
      <c r="O83" s="210" t="inlineStr">
        <is>
          <t>Материал изделия (уплотнение в затворе): фторопласт Ф-4;</t>
        </is>
      </c>
      <c r="P83" s="210" t="inlineStr">
        <is>
          <t>-</t>
        </is>
      </c>
      <c r="Q83" s="210" t="inlineStr">
        <is>
          <t>-</t>
        </is>
      </c>
      <c r="R83" s="198">
        <f>A83</f>
        <v/>
      </c>
      <c r="S83" s="205" t="n"/>
      <c r="T83" s="205" t="n"/>
      <c r="U83" s="205" t="n"/>
      <c r="V83" s="205" t="n"/>
      <c r="W83" s="205" t="n"/>
      <c r="X83" s="205" t="n"/>
      <c r="Y83" s="205" t="n"/>
      <c r="Z83" s="205" t="n"/>
      <c r="AA83" s="205" t="n"/>
      <c r="AB83" s="205" t="n"/>
      <c r="AC83" s="205" t="n"/>
      <c r="AD83" s="205" t="n"/>
      <c r="AE83" s="205" t="n"/>
      <c r="AF83" s="205" t="n"/>
      <c r="AG83" s="205" t="n"/>
      <c r="AH83" s="205" t="n"/>
      <c r="AI83" s="202" t="n"/>
    </row>
    <row r="84" ht="51" customHeight="1" s="169">
      <c r="A84" s="192" t="n">
        <v>48</v>
      </c>
      <c r="B84" s="193" t="inlineStr">
        <is>
          <t>Клапан запорный 15б1п Ду 15 Ру16</t>
        </is>
      </c>
      <c r="C84" s="210" t="inlineStr">
        <is>
          <t>ТУ 3712-001-04606952-2011</t>
        </is>
      </c>
      <c r="D84" s="210" t="n">
        <v>15</v>
      </c>
      <c r="E84" s="210" t="n"/>
      <c r="F84" s="210" t="n">
        <v>1.6</v>
      </c>
      <c r="G84" s="210" t="inlineStr">
        <is>
          <t xml:space="preserve"> до +200°С</t>
        </is>
      </c>
      <c r="H84" s="210" t="inlineStr">
        <is>
          <t>Жидкость, пар, воздух, .</t>
        </is>
      </c>
      <c r="I84" s="210" t="inlineStr">
        <is>
          <t>латунь ЛС59-1 ГОСТ 15527-2004</t>
        </is>
      </c>
      <c r="J84" s="210" t="inlineStr">
        <is>
          <t>УХЛ 4 ГОСТ 15150-69</t>
        </is>
      </c>
      <c r="K84" s="210" t="inlineStr">
        <is>
          <t>внутренняя резьба G1/2-В</t>
        </is>
      </c>
      <c r="L84" s="210" t="inlineStr">
        <is>
          <t>Ручной</t>
        </is>
      </c>
      <c r="M84" s="210" t="inlineStr">
        <is>
          <t>маховик</t>
        </is>
      </c>
      <c r="N84" s="210" t="inlineStr">
        <is>
          <t>любое</t>
        </is>
      </c>
      <c r="O84" s="210" t="inlineStr">
        <is>
          <t>латунь ЛС59-1 ГОСТ 15527-2004</t>
        </is>
      </c>
      <c r="P84" s="210" t="inlineStr">
        <is>
          <t>Длина-55мм, высота-63мм</t>
        </is>
      </c>
      <c r="Q84" s="210" t="n"/>
      <c r="R84" s="198">
        <f>A84</f>
        <v/>
      </c>
      <c r="S84" s="205" t="n"/>
      <c r="T84" s="205" t="n"/>
      <c r="U84" s="205" t="n"/>
      <c r="V84" s="205" t="n"/>
      <c r="W84" s="205" t="n"/>
      <c r="X84" s="205" t="n"/>
      <c r="Y84" s="205" t="n"/>
      <c r="Z84" s="205" t="n"/>
      <c r="AA84" s="205" t="n"/>
      <c r="AB84" s="205" t="n"/>
      <c r="AC84" s="205" t="n"/>
      <c r="AD84" s="205" t="n"/>
      <c r="AE84" s="205" t="n"/>
      <c r="AF84" s="205" t="n"/>
      <c r="AG84" s="205" t="n"/>
      <c r="AH84" s="205" t="n"/>
      <c r="AI84" s="202" t="n"/>
    </row>
    <row r="85" ht="51" customFormat="1" customHeight="1" s="171">
      <c r="A85" s="192" t="n">
        <v>49</v>
      </c>
      <c r="B85" s="193" t="inlineStr">
        <is>
          <t>Клапан запорный 15б1п Ду 20 Ру16</t>
        </is>
      </c>
      <c r="C85" s="210" t="inlineStr">
        <is>
          <t>ТУ 3712-001-04606952-2011</t>
        </is>
      </c>
      <c r="D85" s="210" t="n">
        <v>20</v>
      </c>
      <c r="E85" s="210" t="n"/>
      <c r="F85" s="210" t="n">
        <v>1.6</v>
      </c>
      <c r="G85" s="210" t="inlineStr">
        <is>
          <t xml:space="preserve"> до +200°С</t>
        </is>
      </c>
      <c r="H85" s="210" t="inlineStr">
        <is>
          <t>Жидкость, пар, воздух, .</t>
        </is>
      </c>
      <c r="I85" s="210" t="inlineStr">
        <is>
          <t>латунь ЛС59-1 ГОСТ 15527-2004</t>
        </is>
      </c>
      <c r="J85" s="210" t="inlineStr">
        <is>
          <t>УХЛ 4 ГОСТ 15150-69</t>
        </is>
      </c>
      <c r="K85" s="210" t="inlineStr">
        <is>
          <t>внутренняя резьба G3/4-В</t>
        </is>
      </c>
      <c r="L85" s="210" t="inlineStr">
        <is>
          <t>Ручной</t>
        </is>
      </c>
      <c r="M85" s="210" t="inlineStr">
        <is>
          <t>маховик</t>
        </is>
      </c>
      <c r="N85" s="210" t="inlineStr">
        <is>
          <t>любое</t>
        </is>
      </c>
      <c r="O85" s="210" t="inlineStr">
        <is>
          <t>латунь ЛС59-1 ГОСТ 15527-2004</t>
        </is>
      </c>
      <c r="P85" s="210" t="inlineStr">
        <is>
          <t>Длина-65мм, высота-63мм</t>
        </is>
      </c>
      <c r="Q85" s="210" t="n"/>
      <c r="R85" s="198">
        <f>A85</f>
        <v/>
      </c>
      <c r="S85" s="205" t="n"/>
      <c r="T85" s="205" t="n"/>
      <c r="U85" s="205" t="n"/>
      <c r="V85" s="205" t="n"/>
      <c r="W85" s="205" t="n"/>
      <c r="X85" s="205" t="n"/>
      <c r="Y85" s="205" t="n"/>
      <c r="Z85" s="205" t="n"/>
      <c r="AA85" s="205" t="n"/>
      <c r="AB85" s="205" t="n"/>
      <c r="AC85" s="205" t="n"/>
      <c r="AD85" s="205" t="n"/>
      <c r="AE85" s="205" t="n"/>
      <c r="AF85" s="205" t="n"/>
      <c r="AG85" s="205" t="n"/>
      <c r="AH85" s="205" t="n"/>
      <c r="AI85" s="202" t="n"/>
    </row>
    <row r="86" ht="51" customFormat="1" customHeight="1" s="171">
      <c r="A86" s="192" t="n">
        <v>50</v>
      </c>
      <c r="B86" s="193" t="inlineStr">
        <is>
          <t>Клапан запорный 15б1п Ду 25 Ру16</t>
        </is>
      </c>
      <c r="C86" s="210" t="inlineStr">
        <is>
          <t>ТУ 3712-001-04606952-2011</t>
        </is>
      </c>
      <c r="D86" s="210" t="n">
        <v>25</v>
      </c>
      <c r="E86" s="210" t="n"/>
      <c r="F86" s="210" t="n">
        <v>1.6</v>
      </c>
      <c r="G86" s="210" t="inlineStr">
        <is>
          <t xml:space="preserve"> до +200°С</t>
        </is>
      </c>
      <c r="H86" s="210" t="inlineStr">
        <is>
          <t>Жидкость, пар, воздух, .</t>
        </is>
      </c>
      <c r="I86" s="210" t="inlineStr">
        <is>
          <t>латунь ЛС59-1 ГОСТ 15527-2004</t>
        </is>
      </c>
      <c r="J86" s="210" t="inlineStr">
        <is>
          <t>УХЛ 4 ГОСТ 15150-69</t>
        </is>
      </c>
      <c r="K86" s="210" t="inlineStr">
        <is>
          <t>внутренняя резьба G1-В</t>
        </is>
      </c>
      <c r="L86" s="210" t="inlineStr">
        <is>
          <t>Ручной</t>
        </is>
      </c>
      <c r="M86" s="210" t="inlineStr">
        <is>
          <t>маховик</t>
        </is>
      </c>
      <c r="N86" s="210" t="inlineStr">
        <is>
          <t>любое</t>
        </is>
      </c>
      <c r="O86" s="210" t="inlineStr">
        <is>
          <t>латунь ЛС59-1 ГОСТ 15527-2004</t>
        </is>
      </c>
      <c r="P86" s="210" t="inlineStr">
        <is>
          <t>Длина-80мм, высота-80мм</t>
        </is>
      </c>
      <c r="Q86" s="210" t="n"/>
      <c r="R86" s="198">
        <f>A86</f>
        <v/>
      </c>
      <c r="S86" s="205" t="n"/>
      <c r="T86" s="205" t="n"/>
      <c r="U86" s="205" t="n"/>
      <c r="V86" s="205" t="n"/>
      <c r="W86" s="205" t="n"/>
      <c r="X86" s="205" t="n"/>
      <c r="Y86" s="205" t="n"/>
      <c r="Z86" s="205" t="n"/>
      <c r="AA86" s="205" t="n"/>
      <c r="AB86" s="205" t="n"/>
      <c r="AC86" s="205" t="n"/>
      <c r="AD86" s="205" t="n"/>
      <c r="AE86" s="205" t="n"/>
      <c r="AF86" s="205" t="n"/>
      <c r="AG86" s="205" t="n"/>
      <c r="AH86" s="205" t="n"/>
      <c r="AI86" s="202" t="n"/>
    </row>
    <row r="87" ht="51" customHeight="1" s="169">
      <c r="A87" s="192" t="n">
        <v>51</v>
      </c>
      <c r="B87" s="193" t="inlineStr">
        <is>
          <t>Клапан запорный 15б1п Ду 32 Ру16</t>
        </is>
      </c>
      <c r="C87" s="210" t="inlineStr">
        <is>
          <t>ТУ 3712-001-04606952-2011</t>
        </is>
      </c>
      <c r="D87" s="210" t="n">
        <v>32</v>
      </c>
      <c r="E87" s="210" t="n"/>
      <c r="F87" s="210" t="n">
        <v>1.6</v>
      </c>
      <c r="G87" s="210" t="inlineStr">
        <is>
          <t xml:space="preserve"> до +200°С</t>
        </is>
      </c>
      <c r="H87" s="210" t="inlineStr">
        <is>
          <t>Жидкость, пар, воздух, .</t>
        </is>
      </c>
      <c r="I87" s="210" t="inlineStr">
        <is>
          <t>латунь ЛС59-1 ГОСТ 15527-2004</t>
        </is>
      </c>
      <c r="J87" s="210" t="inlineStr">
        <is>
          <t>УХЛ 4 ГОСТ 15150-69</t>
        </is>
      </c>
      <c r="K87" s="210" t="inlineStr">
        <is>
          <t>внутренняя резьба G1 1/4-В</t>
        </is>
      </c>
      <c r="L87" s="210" t="inlineStr">
        <is>
          <t>Ручной</t>
        </is>
      </c>
      <c r="M87" s="210" t="inlineStr">
        <is>
          <t>маховик</t>
        </is>
      </c>
      <c r="N87" s="210" t="inlineStr">
        <is>
          <t>любое</t>
        </is>
      </c>
      <c r="O87" s="210" t="inlineStr">
        <is>
          <t>латунь ЛС59-1 ГОСТ 15527-2004</t>
        </is>
      </c>
      <c r="P87" s="210" t="inlineStr">
        <is>
          <t>Длина-95мм, высота-84мм</t>
        </is>
      </c>
      <c r="Q87" s="210" t="n"/>
      <c r="R87" s="198">
        <f>A87</f>
        <v/>
      </c>
      <c r="S87" s="205" t="n"/>
      <c r="T87" s="205" t="n"/>
      <c r="U87" s="205" t="n"/>
      <c r="V87" s="205" t="n"/>
      <c r="W87" s="205" t="n"/>
      <c r="X87" s="205" t="n"/>
      <c r="Y87" s="205" t="n"/>
      <c r="Z87" s="205" t="n"/>
      <c r="AA87" s="205" t="n"/>
      <c r="AB87" s="205" t="n"/>
      <c r="AC87" s="205" t="n"/>
      <c r="AD87" s="205" t="n"/>
      <c r="AE87" s="205" t="n"/>
      <c r="AF87" s="205" t="n"/>
      <c r="AG87" s="205" t="n"/>
      <c r="AH87" s="205" t="n"/>
      <c r="AI87" s="202" t="n"/>
    </row>
    <row r="88" ht="51" customHeight="1" s="169">
      <c r="A88" s="192" t="n">
        <v>52</v>
      </c>
      <c r="B88" s="193" t="inlineStr">
        <is>
          <t>Клапан запорный 15б1п Ду 40 Ру16</t>
        </is>
      </c>
      <c r="C88" s="210" t="inlineStr">
        <is>
          <t>ТУ 3712-001-04606952-2011</t>
        </is>
      </c>
      <c r="D88" s="210" t="n">
        <v>40</v>
      </c>
      <c r="E88" s="210" t="n"/>
      <c r="F88" s="210" t="n">
        <v>1.6</v>
      </c>
      <c r="G88" s="210" t="inlineStr">
        <is>
          <t xml:space="preserve"> до +200°С</t>
        </is>
      </c>
      <c r="H88" s="210" t="inlineStr">
        <is>
          <t>Жидкость, пар, воздух, .</t>
        </is>
      </c>
      <c r="I88" s="210" t="inlineStr">
        <is>
          <t>латунь ЛС59-1 ГОСТ 15527-2004</t>
        </is>
      </c>
      <c r="J88" s="210" t="inlineStr">
        <is>
          <t>УХЛ 4 ГОСТ 15150-69</t>
        </is>
      </c>
      <c r="K88" s="210" t="inlineStr">
        <is>
          <t>внутренняя резьба G1 1/2-В</t>
        </is>
      </c>
      <c r="L88" s="210" t="inlineStr">
        <is>
          <t>Ручной</t>
        </is>
      </c>
      <c r="M88" s="210" t="inlineStr">
        <is>
          <t>маховик</t>
        </is>
      </c>
      <c r="N88" s="210" t="inlineStr">
        <is>
          <t>любое</t>
        </is>
      </c>
      <c r="O88" s="210" t="inlineStr">
        <is>
          <t>латунь ЛС59-1 ГОСТ 15527-2004</t>
        </is>
      </c>
      <c r="P88" s="210" t="inlineStr">
        <is>
          <t>Длина-110мм, высота-115мм</t>
        </is>
      </c>
      <c r="Q88" s="210" t="n"/>
      <c r="R88" s="198">
        <f>A88</f>
        <v/>
      </c>
      <c r="S88" s="205" t="n"/>
      <c r="T88" s="205" t="n"/>
      <c r="U88" s="205" t="n"/>
      <c r="V88" s="205" t="n"/>
      <c r="W88" s="205" t="n"/>
      <c r="X88" s="205" t="n"/>
      <c r="Y88" s="205" t="n"/>
      <c r="Z88" s="205" t="n"/>
      <c r="AA88" s="205" t="n"/>
      <c r="AB88" s="205" t="n"/>
      <c r="AC88" s="205" t="n"/>
      <c r="AD88" s="205" t="n"/>
      <c r="AE88" s="205" t="n"/>
      <c r="AF88" s="205" t="n"/>
      <c r="AG88" s="205" t="n"/>
      <c r="AH88" s="205" t="n"/>
      <c r="AI88" s="202" t="n"/>
    </row>
    <row r="89" ht="51" customHeight="1" s="169">
      <c r="A89" s="192" t="n">
        <v>53</v>
      </c>
      <c r="B89" s="193" t="inlineStr">
        <is>
          <t>Клапан запорный 15б1п Ду 50 Ру16</t>
        </is>
      </c>
      <c r="C89" s="210" t="inlineStr">
        <is>
          <t>ТУ 3712-001-04606952-2011</t>
        </is>
      </c>
      <c r="D89" s="210" t="n">
        <v>50</v>
      </c>
      <c r="E89" s="210" t="n"/>
      <c r="F89" s="210" t="n">
        <v>1.6</v>
      </c>
      <c r="G89" s="210" t="inlineStr">
        <is>
          <t xml:space="preserve"> до +200°С</t>
        </is>
      </c>
      <c r="H89" s="210" t="inlineStr">
        <is>
          <t>Жидкость, пар, воздух, .</t>
        </is>
      </c>
      <c r="I89" s="210" t="inlineStr">
        <is>
          <t>латунь ЛС59-1 ГОСТ 15527-2004</t>
        </is>
      </c>
      <c r="J89" s="210" t="inlineStr">
        <is>
          <t>УХЛ 4 ГОСТ 15150-69</t>
        </is>
      </c>
      <c r="K89" s="210" t="inlineStr">
        <is>
          <t>внутренняя резьба G2 -В</t>
        </is>
      </c>
      <c r="L89" s="210" t="inlineStr">
        <is>
          <t>Ручной</t>
        </is>
      </c>
      <c r="M89" s="210" t="inlineStr">
        <is>
          <t>маховик</t>
        </is>
      </c>
      <c r="N89" s="210" t="inlineStr">
        <is>
          <t>любое</t>
        </is>
      </c>
      <c r="O89" s="210" t="inlineStr">
        <is>
          <t>латунь ЛС59-1 ГОСТ 15527-2004</t>
        </is>
      </c>
      <c r="P89" s="210" t="inlineStr">
        <is>
          <t>Длина-132мм, высота-115мм</t>
        </is>
      </c>
      <c r="Q89" s="210" t="n"/>
      <c r="R89" s="198">
        <f>A89</f>
        <v/>
      </c>
      <c r="S89" s="205" t="n"/>
      <c r="T89" s="205" t="n"/>
      <c r="U89" s="205" t="n"/>
      <c r="V89" s="205" t="n"/>
      <c r="W89" s="205" t="n"/>
      <c r="X89" s="205" t="n"/>
      <c r="Y89" s="205" t="n"/>
      <c r="Z89" s="205" t="n"/>
      <c r="AA89" s="205" t="n"/>
      <c r="AB89" s="205" t="n"/>
      <c r="AC89" s="205" t="n"/>
      <c r="AD89" s="205" t="n"/>
      <c r="AE89" s="205" t="n"/>
      <c r="AF89" s="205" t="n"/>
      <c r="AG89" s="205" t="n"/>
      <c r="AH89" s="205" t="n"/>
      <c r="AI89" s="202" t="n"/>
    </row>
    <row r="90" ht="153" customHeight="1" s="169">
      <c r="A90" s="192" t="n">
        <v>54</v>
      </c>
      <c r="B90" s="193" t="inlineStr">
        <is>
          <t>Клапан запорны 15нж65нж Ду 80 Ру 16 фланцевый</t>
        </is>
      </c>
      <c r="C90" s="240" t="inlineStr">
        <is>
          <t>ГОСТ 9697-87</t>
        </is>
      </c>
      <c r="D90" s="240" t="n">
        <v>80</v>
      </c>
      <c r="E90" s="239" t="inlineStr">
        <is>
          <t>стандарт</t>
        </is>
      </c>
      <c r="F90" s="241" t="n">
        <v>1.6</v>
      </c>
      <c r="G90" s="210" t="inlineStr">
        <is>
          <t>от -60 до +600°С</t>
        </is>
      </c>
      <c r="H90" s="240" t="inlineStr">
        <is>
          <t>агрессивные жидкие среды</t>
        </is>
      </c>
      <c r="I90" s="240" t="inlineStr">
        <is>
          <t>12Х18Н9ТЛ</t>
        </is>
      </c>
      <c r="J90" s="239" t="inlineStr">
        <is>
          <t>УХЛ1</t>
        </is>
      </c>
      <c r="K90" s="210" t="inlineStr">
        <is>
          <t>фланец-фланец</t>
        </is>
      </c>
      <c r="L90" s="239" t="inlineStr">
        <is>
          <t>ручное</t>
        </is>
      </c>
      <c r="M90" s="240" t="inlineStr">
        <is>
          <t>штурвал</t>
        </is>
      </c>
      <c r="N90" s="210" t="inlineStr">
        <is>
          <t>Монтаж клапана односторонний по маркировке на корпусе управляющим органом вверх, допускается отклонение на горизонтальном трубопроводе на 45º в любую сторону.</t>
        </is>
      </c>
      <c r="O90" s="239" t="inlineStr">
        <is>
          <t>Материал изделия (корпус, крышка): сталь 12Х18Н9ТЛ;</t>
        </is>
      </c>
      <c r="P90" s="210" t="inlineStr">
        <is>
          <t>-</t>
        </is>
      </c>
      <c r="Q90" s="242" t="inlineStr">
        <is>
          <t>С комплектом ответных фланцев (С КОФ)</t>
        </is>
      </c>
      <c r="R90" s="198">
        <f>A90</f>
        <v/>
      </c>
      <c r="S90" s="205" t="n"/>
      <c r="T90" s="205" t="n"/>
      <c r="U90" s="205" t="n"/>
      <c r="V90" s="205" t="n"/>
      <c r="W90" s="205" t="n"/>
      <c r="X90" s="205" t="n"/>
      <c r="Y90" s="205" t="n"/>
      <c r="Z90" s="205" t="n"/>
      <c r="AA90" s="205" t="n"/>
      <c r="AB90" s="205" t="n"/>
      <c r="AC90" s="205" t="n"/>
      <c r="AD90" s="205" t="n"/>
      <c r="AE90" s="205" t="n"/>
      <c r="AF90" s="205" t="n"/>
      <c r="AG90" s="205" t="n"/>
      <c r="AH90" s="205" t="n"/>
      <c r="AI90" s="202" t="n"/>
    </row>
    <row r="91" ht="153" customHeight="1" s="169">
      <c r="A91" s="192" t="n">
        <v>55</v>
      </c>
      <c r="B91" s="193" t="inlineStr">
        <is>
          <t>Клапан запорны 15нж65нж Ду 100 Ру 16 фланцевый</t>
        </is>
      </c>
      <c r="C91" s="210" t="inlineStr">
        <is>
          <t>ГОСТ 9697-87</t>
        </is>
      </c>
      <c r="D91" s="210" t="n">
        <v>100</v>
      </c>
      <c r="E91" s="210" t="inlineStr">
        <is>
          <t>стандарт</t>
        </is>
      </c>
      <c r="F91" s="210" t="n">
        <v>1.6</v>
      </c>
      <c r="G91" s="210" t="inlineStr">
        <is>
          <t>от -60 до +600°С</t>
        </is>
      </c>
      <c r="H91" s="210" t="inlineStr">
        <is>
          <t>агрессивные жидкие среды</t>
        </is>
      </c>
      <c r="I91" s="210" t="inlineStr">
        <is>
          <t>12Х18Н9ТЛ</t>
        </is>
      </c>
      <c r="J91" s="210" t="inlineStr">
        <is>
          <t>УХЛ1</t>
        </is>
      </c>
      <c r="K91" s="210" t="inlineStr">
        <is>
          <t>фланец-фланец</t>
        </is>
      </c>
      <c r="L91" s="210" t="inlineStr">
        <is>
          <t>ручное</t>
        </is>
      </c>
      <c r="M91" s="210" t="inlineStr">
        <is>
          <t>штурвал</t>
        </is>
      </c>
      <c r="N91" s="210" t="inlineStr">
        <is>
          <t>Монтаж клапана односторонний по маркировке на корпусе управляющим органом вверх, допускается отклонение на горизонтальном трубопроводе на 45º в любую сторону.</t>
        </is>
      </c>
      <c r="O91" s="210" t="inlineStr">
        <is>
          <t>Материал изделия (корпус, крышка): сталь 12Х18Н9ТЛ;</t>
        </is>
      </c>
      <c r="P91" s="210" t="n"/>
      <c r="Q91" s="210" t="n"/>
      <c r="R91" s="198">
        <f>A91</f>
        <v/>
      </c>
      <c r="S91" s="205" t="n"/>
      <c r="T91" s="205" t="n"/>
      <c r="U91" s="205" t="n"/>
      <c r="V91" s="205" t="n"/>
      <c r="W91" s="205" t="n"/>
      <c r="X91" s="205" t="n"/>
      <c r="Y91" s="205" t="n"/>
      <c r="Z91" s="205" t="n"/>
      <c r="AA91" s="205" t="n"/>
      <c r="AB91" s="205" t="n"/>
      <c r="AC91" s="205" t="n"/>
      <c r="AD91" s="205" t="n"/>
      <c r="AE91" s="205" t="n"/>
      <c r="AF91" s="205" t="n"/>
      <c r="AG91" s="205" t="n"/>
      <c r="AH91" s="205" t="n"/>
      <c r="AI91" s="202" t="n"/>
    </row>
    <row r="92" ht="153" customHeight="1" s="169">
      <c r="A92" s="192" t="n">
        <v>56</v>
      </c>
      <c r="B92" s="193" t="inlineStr">
        <is>
          <t>Клапан запорны 15нж65нж Ду 125 Ру 16 фланцевый</t>
        </is>
      </c>
      <c r="C92" s="210" t="inlineStr">
        <is>
          <t>ГОСТ 9697-87</t>
        </is>
      </c>
      <c r="D92" s="210" t="n">
        <v>125</v>
      </c>
      <c r="E92" s="210" t="inlineStr">
        <is>
          <t>стандарт</t>
        </is>
      </c>
      <c r="F92" s="210" t="n">
        <v>1.6</v>
      </c>
      <c r="G92" s="210" t="inlineStr">
        <is>
          <t>от -60 до +600°С</t>
        </is>
      </c>
      <c r="H92" s="210" t="inlineStr">
        <is>
          <t>агрессивные жидкие среды</t>
        </is>
      </c>
      <c r="I92" s="210" t="inlineStr">
        <is>
          <t>12Х18Н9ТЛ</t>
        </is>
      </c>
      <c r="J92" s="210" t="inlineStr">
        <is>
          <t>УХЛ1</t>
        </is>
      </c>
      <c r="K92" s="210" t="inlineStr">
        <is>
          <t>фланец-фланец</t>
        </is>
      </c>
      <c r="L92" s="210" t="inlineStr">
        <is>
          <t>ручное</t>
        </is>
      </c>
      <c r="M92" s="210" t="inlineStr">
        <is>
          <t>штурвал</t>
        </is>
      </c>
      <c r="N92" s="210" t="inlineStr">
        <is>
          <t>Монтаж клапана односторонний по маркировке на корпусе управляющим органом вверх, допускается отклонение на горизонтальном трубопроводе на 45º в любую сторону.</t>
        </is>
      </c>
      <c r="O92" s="210" t="inlineStr">
        <is>
          <t>Материал изделия (корпус, крышка): сталь 12Х18Н9ТЛ;</t>
        </is>
      </c>
      <c r="P92" s="210" t="n"/>
      <c r="Q92" s="210" t="n"/>
      <c r="R92" s="198">
        <f>A92</f>
        <v/>
      </c>
      <c r="S92" s="205" t="n"/>
      <c r="T92" s="205" t="n"/>
      <c r="U92" s="205" t="n"/>
      <c r="V92" s="205" t="n"/>
      <c r="W92" s="205" t="n"/>
      <c r="X92" s="205" t="n"/>
      <c r="Y92" s="205" t="n"/>
      <c r="Z92" s="205" t="n"/>
      <c r="AA92" s="205" t="n"/>
      <c r="AB92" s="205" t="n"/>
      <c r="AC92" s="205" t="n"/>
      <c r="AD92" s="205" t="n"/>
      <c r="AE92" s="205" t="n"/>
      <c r="AF92" s="205" t="n"/>
      <c r="AG92" s="205" t="n"/>
      <c r="AH92" s="205" t="n"/>
      <c r="AI92" s="202" t="n"/>
    </row>
    <row r="93" ht="153" customHeight="1" s="169">
      <c r="A93" s="192" t="n">
        <v>57</v>
      </c>
      <c r="B93" s="193" t="inlineStr">
        <is>
          <t>Клапан запорны 15нж65нж Ду 150 Ру 16 фланцевый</t>
        </is>
      </c>
      <c r="C93" s="210" t="inlineStr">
        <is>
          <t>ГОСТ 9697-87</t>
        </is>
      </c>
      <c r="D93" s="210" t="n">
        <v>150</v>
      </c>
      <c r="E93" s="210" t="inlineStr">
        <is>
          <t>стандарт</t>
        </is>
      </c>
      <c r="F93" s="210" t="n">
        <v>1.6</v>
      </c>
      <c r="G93" s="210" t="inlineStr">
        <is>
          <t>от -60 до +600°С</t>
        </is>
      </c>
      <c r="H93" s="210" t="inlineStr">
        <is>
          <t>агрессивные жидкие среды</t>
        </is>
      </c>
      <c r="I93" s="210" t="inlineStr">
        <is>
          <t>12Х18Н9ТЛ</t>
        </is>
      </c>
      <c r="J93" s="210" t="inlineStr">
        <is>
          <t>УХЛ1</t>
        </is>
      </c>
      <c r="K93" s="210" t="inlineStr">
        <is>
          <t>фланец-фланец</t>
        </is>
      </c>
      <c r="L93" s="210" t="inlineStr">
        <is>
          <t>ручное</t>
        </is>
      </c>
      <c r="M93" s="210" t="inlineStr">
        <is>
          <t>штурвал</t>
        </is>
      </c>
      <c r="N93" s="210" t="inlineStr">
        <is>
          <t>Монтаж клапана односторонний по маркировке на корпусе управляющим органом вверх, допускается отклонение на горизонтальном трубопроводе на 45º в любую сторону.</t>
        </is>
      </c>
      <c r="O93" s="210" t="inlineStr">
        <is>
          <t>Материал изделия (корпус, крышка): сталь 12Х18Н9ТЛ;</t>
        </is>
      </c>
      <c r="P93" s="197" t="n"/>
      <c r="Q93" s="197" t="n"/>
      <c r="R93" s="198">
        <f>A93</f>
        <v/>
      </c>
      <c r="S93" s="205" t="n"/>
      <c r="T93" s="205" t="n"/>
      <c r="U93" s="205" t="n"/>
      <c r="V93" s="205" t="n"/>
      <c r="W93" s="205" t="n"/>
      <c r="X93" s="205" t="n"/>
      <c r="Y93" s="205" t="n"/>
      <c r="Z93" s="205" t="n"/>
      <c r="AA93" s="205" t="n"/>
      <c r="AB93" s="205" t="n"/>
      <c r="AC93" s="205" t="n"/>
      <c r="AD93" s="205" t="n"/>
      <c r="AE93" s="205" t="n"/>
      <c r="AF93" s="205" t="n"/>
      <c r="AG93" s="205" t="n"/>
      <c r="AH93" s="205" t="n"/>
      <c r="AI93" s="202" t="n"/>
    </row>
    <row r="94" ht="153" customHeight="1" s="169">
      <c r="A94" s="192" t="n">
        <v>58</v>
      </c>
      <c r="B94" s="193" t="inlineStr">
        <is>
          <t>Клапан запорны 15нж65нж Ду 32 Ру 16 фланцевый</t>
        </is>
      </c>
      <c r="C94" s="210" t="inlineStr">
        <is>
          <t>ГОСТ 9697-87</t>
        </is>
      </c>
      <c r="D94" s="207" t="n">
        <v>32</v>
      </c>
      <c r="E94" s="210" t="inlineStr">
        <is>
          <t>стандарт</t>
        </is>
      </c>
      <c r="F94" s="210" t="n">
        <v>1.6</v>
      </c>
      <c r="G94" s="210" t="inlineStr">
        <is>
          <t>от -60 до +600°С</t>
        </is>
      </c>
      <c r="H94" s="210" t="inlineStr">
        <is>
          <t>агрессивные жидкие среды</t>
        </is>
      </c>
      <c r="I94" s="210" t="inlineStr">
        <is>
          <t>12Х18Н9ТЛ</t>
        </is>
      </c>
      <c r="J94" s="210" t="inlineStr">
        <is>
          <t>УХЛ1</t>
        </is>
      </c>
      <c r="K94" s="210" t="inlineStr">
        <is>
          <t>фланец-фланец</t>
        </is>
      </c>
      <c r="L94" s="210" t="inlineStr">
        <is>
          <t>ручное</t>
        </is>
      </c>
      <c r="M94" s="210" t="inlineStr">
        <is>
          <t>штурвал</t>
        </is>
      </c>
      <c r="N94" s="210" t="inlineStr">
        <is>
          <t>Монтаж клапана односторонний по маркировке на корпусе управляющим органом вверх, допускается отклонение на горизонтальном трубопроводе на 45º в любую сторону.</t>
        </is>
      </c>
      <c r="O94" s="210" t="inlineStr">
        <is>
          <t>Материал изделия (корпус, крышка): сталь 12Х18Н9ТЛ;</t>
        </is>
      </c>
      <c r="P94" s="197" t="n"/>
      <c r="Q94" s="197" t="n"/>
      <c r="R94" s="198">
        <f>A94</f>
        <v/>
      </c>
      <c r="S94" s="205" t="n"/>
      <c r="T94" s="205" t="n"/>
      <c r="U94" s="205" t="n"/>
      <c r="V94" s="205" t="n"/>
      <c r="W94" s="205" t="n"/>
      <c r="X94" s="205" t="n"/>
      <c r="Y94" s="205" t="n"/>
      <c r="Z94" s="205" t="n"/>
      <c r="AA94" s="205" t="n"/>
      <c r="AB94" s="205" t="n"/>
      <c r="AC94" s="205" t="n"/>
      <c r="AD94" s="205" t="n"/>
      <c r="AE94" s="205" t="n"/>
      <c r="AF94" s="205" t="n"/>
      <c r="AG94" s="205" t="n"/>
      <c r="AH94" s="205" t="n"/>
      <c r="AI94" s="202" t="n"/>
    </row>
    <row r="95" ht="153" customHeight="1" s="169">
      <c r="A95" s="192" t="n">
        <v>59</v>
      </c>
      <c r="B95" s="193" t="inlineStr">
        <is>
          <t>Клапан запорны 15нж65нж Ду 50 Ру 16 фланцевый</t>
        </is>
      </c>
      <c r="C95" s="210" t="inlineStr">
        <is>
          <t>ГОСТ 9697-87</t>
        </is>
      </c>
      <c r="D95" s="210" t="n">
        <v>50</v>
      </c>
      <c r="E95" s="210" t="inlineStr">
        <is>
          <t>стандарт</t>
        </is>
      </c>
      <c r="F95" s="210" t="n">
        <v>1.6</v>
      </c>
      <c r="G95" s="210" t="inlineStr">
        <is>
          <t>от -60 до +600°С</t>
        </is>
      </c>
      <c r="H95" s="210" t="inlineStr">
        <is>
          <t>агрессивные жидкие среды</t>
        </is>
      </c>
      <c r="I95" s="210" t="inlineStr">
        <is>
          <t>12Х18Н9ТЛ</t>
        </is>
      </c>
      <c r="J95" s="210" t="inlineStr">
        <is>
          <t>УХЛ1</t>
        </is>
      </c>
      <c r="K95" s="210" t="inlineStr">
        <is>
          <t>фланец-фланец</t>
        </is>
      </c>
      <c r="L95" s="210" t="inlineStr">
        <is>
          <t>ручное</t>
        </is>
      </c>
      <c r="M95" s="210" t="inlineStr">
        <is>
          <t>штурвал</t>
        </is>
      </c>
      <c r="N95" s="210" t="inlineStr">
        <is>
          <t>Монтаж клапана односторонний по маркировке на корпусе управляющим органом вверх, допускается отклонение на горизонтальном трубопроводе на 45º в любую сторону.</t>
        </is>
      </c>
      <c r="O95" s="210" t="inlineStr">
        <is>
          <t>Материал изделия (корпус, крышка): сталь 12Х18Н9ТЛ;</t>
        </is>
      </c>
      <c r="P95" s="210" t="n"/>
      <c r="Q95" s="197" t="n"/>
      <c r="R95" s="198">
        <f>A95</f>
        <v/>
      </c>
      <c r="S95" s="205" t="n"/>
      <c r="T95" s="205" t="n"/>
      <c r="U95" s="205" t="n"/>
      <c r="V95" s="205" t="n"/>
      <c r="W95" s="205" t="n"/>
      <c r="X95" s="205" t="n"/>
      <c r="Y95" s="205" t="n"/>
      <c r="Z95" s="205" t="n"/>
      <c r="AA95" s="205" t="n"/>
      <c r="AB95" s="205" t="n"/>
      <c r="AC95" s="205" t="n"/>
      <c r="AD95" s="205" t="n"/>
      <c r="AE95" s="205" t="n"/>
      <c r="AF95" s="205" t="n"/>
      <c r="AG95" s="205" t="n"/>
      <c r="AH95" s="205" t="n"/>
      <c r="AI95" s="202" t="n"/>
    </row>
    <row r="96" ht="127.5" customHeight="1" s="169">
      <c r="A96" s="192" t="n">
        <v>60</v>
      </c>
      <c r="B96" s="193" t="inlineStr">
        <is>
          <t>Клапан запорный 15с22нж Ду 32 Ру 40</t>
        </is>
      </c>
      <c r="C96" s="210" t="inlineStr">
        <is>
          <t>ТУ 3740-002-30995032-2014</t>
        </is>
      </c>
      <c r="D96" s="210" t="n">
        <v>32</v>
      </c>
      <c r="E96" s="210" t="inlineStr">
        <is>
          <t>стандарт</t>
        </is>
      </c>
      <c r="F96" s="210" t="n">
        <v>4</v>
      </c>
      <c r="G96" s="210" t="inlineStr">
        <is>
          <t>до +425</t>
        </is>
      </c>
      <c r="H96" s="210" t="inlineStr">
        <is>
          <t>Вода, пар, аммиак, жидкие и газообразные углеводороды, нефть, нефтепродукты, топливный и природный газ, воздух и другие жидкости и газы.</t>
        </is>
      </c>
      <c r="I96" s="210" t="inlineStr">
        <is>
          <t>сталь 25Л</t>
        </is>
      </c>
      <c r="J96" s="210" t="inlineStr">
        <is>
          <t>У1</t>
        </is>
      </c>
      <c r="K96" s="210" t="inlineStr">
        <is>
          <t>фланец-фланец</t>
        </is>
      </c>
      <c r="L96" s="210" t="inlineStr">
        <is>
          <t>ручное</t>
        </is>
      </c>
      <c r="M96" s="210" t="inlineStr">
        <is>
          <t>маховик</t>
        </is>
      </c>
      <c r="N96" s="210" t="inlineStr">
        <is>
          <t>любое</t>
        </is>
      </c>
      <c r="O96" s="210" t="inlineStr">
        <is>
          <t xml:space="preserve">Корпус: Сталь 25Л. Крышка имеющая сальниковое уплотнение по штоку шпинделя: Сталь 25Л. Золотник: Сталь 20Х13. Шпиндель: Сталь 20Х13 Контргайка: Сталь 35. Маховик: Сталь 25Л </t>
        </is>
      </c>
      <c r="P96" s="210" t="n"/>
      <c r="Q96" s="197" t="n"/>
      <c r="R96" s="198">
        <f>A96</f>
        <v/>
      </c>
      <c r="S96" s="205" t="n"/>
      <c r="T96" s="205" t="n"/>
      <c r="U96" s="205" t="n"/>
      <c r="V96" s="205" t="n"/>
      <c r="W96" s="205" t="n"/>
      <c r="X96" s="205" t="n"/>
      <c r="Y96" s="205" t="n"/>
      <c r="Z96" s="205" t="n"/>
      <c r="AA96" s="205" t="n"/>
      <c r="AB96" s="205" t="n"/>
      <c r="AC96" s="205" t="n"/>
      <c r="AD96" s="205" t="n"/>
      <c r="AE96" s="205" t="n"/>
      <c r="AF96" s="205" t="n"/>
      <c r="AG96" s="205" t="n"/>
      <c r="AH96" s="205" t="n"/>
      <c r="AI96" s="202" t="n"/>
    </row>
    <row r="97" ht="127.5" customHeight="1" s="169">
      <c r="A97" s="192" t="n">
        <v>61</v>
      </c>
      <c r="B97" s="193" t="inlineStr">
        <is>
          <t>Клапан запорный 15с22нж Ду 50 Ру 40</t>
        </is>
      </c>
      <c r="C97" s="210" t="inlineStr">
        <is>
          <t>ТУ 3740-002-30995032-2014</t>
        </is>
      </c>
      <c r="D97" s="210" t="n">
        <v>50</v>
      </c>
      <c r="E97" s="210" t="inlineStr">
        <is>
          <t>стандартный</t>
        </is>
      </c>
      <c r="F97" s="210" t="n">
        <v>4</v>
      </c>
      <c r="G97" s="210" t="inlineStr">
        <is>
          <t>до +425</t>
        </is>
      </c>
      <c r="H97" s="210" t="inlineStr">
        <is>
          <t>Вода, пар, аммиак, жидкие и газообразные углеводороды, нефть, нефтепродукты, топливный и природный газ, воздух и другие жидкости и газы.</t>
        </is>
      </c>
      <c r="I97" s="210" t="inlineStr">
        <is>
          <t>сталь 25Л</t>
        </is>
      </c>
      <c r="J97" s="210" t="inlineStr">
        <is>
          <t>У1</t>
        </is>
      </c>
      <c r="K97" s="210" t="inlineStr">
        <is>
          <t>фланцевый</t>
        </is>
      </c>
      <c r="L97" s="210" t="inlineStr">
        <is>
          <t>ручной (маховик)</t>
        </is>
      </c>
      <c r="M97" s="210" t="inlineStr">
        <is>
          <t>-</t>
        </is>
      </c>
      <c r="N97" s="210" t="inlineStr">
        <is>
          <t>любое</t>
        </is>
      </c>
      <c r="O97" s="210" t="inlineStr">
        <is>
          <t xml:space="preserve">Корпус: Сталь 25Л. Крышка имеющая сальниковое уплотнение по штоку шпинделя: Сталь 25Л. Золотник: Сталь 20Х13. Шпиндель: Сталь 20Х13 Контргайка: Сталь 35. Маховик: Сталь 25Л </t>
        </is>
      </c>
      <c r="P97" s="210" t="inlineStr">
        <is>
          <t>строительная длина 230 мм,</t>
        </is>
      </c>
      <c r="Q97" s="197" t="n"/>
      <c r="R97" s="198">
        <f>A97</f>
        <v/>
      </c>
      <c r="S97" s="205" t="n"/>
      <c r="T97" s="205" t="n"/>
      <c r="U97" s="205" t="n"/>
      <c r="V97" s="205" t="n"/>
      <c r="W97" s="205" t="n"/>
      <c r="X97" s="205" t="n"/>
      <c r="Y97" s="205" t="n"/>
      <c r="Z97" s="205" t="n"/>
      <c r="AA97" s="205" t="n"/>
      <c r="AB97" s="205" t="n"/>
      <c r="AC97" s="205" t="n"/>
      <c r="AD97" s="205" t="n"/>
      <c r="AE97" s="205" t="n"/>
      <c r="AF97" s="205" t="n"/>
      <c r="AG97" s="205" t="n"/>
      <c r="AH97" s="205" t="n"/>
      <c r="AI97" s="202" t="n"/>
    </row>
    <row r="98" ht="127.5" customHeight="1" s="169">
      <c r="A98" s="192" t="n">
        <v>62</v>
      </c>
      <c r="B98" s="193" t="inlineStr">
        <is>
          <t>Клапан запорный 15с22нж Ду 80 Ру 40</t>
        </is>
      </c>
      <c r="C98" s="210" t="inlineStr">
        <is>
          <t>ТУ 3740-002-30995032-2014</t>
        </is>
      </c>
      <c r="D98" s="210" t="n">
        <v>80</v>
      </c>
      <c r="E98" s="210" t="inlineStr">
        <is>
          <t>стандарт</t>
        </is>
      </c>
      <c r="F98" s="210" t="n">
        <v>4</v>
      </c>
      <c r="G98" s="210" t="inlineStr">
        <is>
          <t>до +425</t>
        </is>
      </c>
      <c r="H98" s="210" t="inlineStr">
        <is>
          <t>Вода, пар, аммиак, жидкие и газообразные углеводороды, нефть, нефтепродукты, топливный и природный газ, воздух и другие жидкости и газы.</t>
        </is>
      </c>
      <c r="I98" s="210" t="inlineStr">
        <is>
          <t>сталь 25Л</t>
        </is>
      </c>
      <c r="J98" s="210" t="inlineStr">
        <is>
          <t>Температура окружающей среды от -40 до +40 °C</t>
        </is>
      </c>
      <c r="K98" s="210" t="inlineStr">
        <is>
          <t>фланцевый</t>
        </is>
      </c>
      <c r="L98" s="210" t="inlineStr">
        <is>
          <t>ручной (маховик)</t>
        </is>
      </c>
      <c r="M98" s="210" t="inlineStr">
        <is>
          <t>-</t>
        </is>
      </c>
      <c r="N98" s="210" t="inlineStr">
        <is>
          <t>любое</t>
        </is>
      </c>
      <c r="O98" s="210" t="inlineStr">
        <is>
          <t>Золотник: Сталь 20Х13 Шпиндель: Сталь 20Х13 Контргайка: Сталь 35 Маховик: Сталь 25Л</t>
        </is>
      </c>
      <c r="P98" s="210" t="n"/>
      <c r="Q98" s="210" t="n"/>
      <c r="R98" s="198">
        <f>A98</f>
        <v/>
      </c>
      <c r="S98" s="205" t="n"/>
      <c r="T98" s="205" t="n"/>
      <c r="U98" s="205" t="n"/>
      <c r="V98" s="205" t="n"/>
      <c r="W98" s="205" t="n"/>
      <c r="X98" s="205" t="n"/>
      <c r="Y98" s="205" t="n"/>
      <c r="Z98" s="205" t="n"/>
      <c r="AA98" s="205" t="n"/>
      <c r="AB98" s="205" t="n"/>
      <c r="AC98" s="205" t="n"/>
      <c r="AD98" s="205" t="n"/>
      <c r="AE98" s="205" t="n"/>
      <c r="AF98" s="205" t="n"/>
      <c r="AG98" s="205" t="n"/>
      <c r="AH98" s="205" t="n"/>
      <c r="AI98" s="202" t="n"/>
    </row>
    <row r="99" ht="51" customHeight="1" s="169">
      <c r="A99" s="192" t="n">
        <v>63</v>
      </c>
      <c r="B99" s="193" t="inlineStr">
        <is>
          <t>Клапан запорный 15с52нж11 Ду 20 Ру 63 под приварку</t>
        </is>
      </c>
      <c r="C99" s="210" t="inlineStr">
        <is>
          <t>ГОСТ 9697-87</t>
        </is>
      </c>
      <c r="D99" s="210" t="n">
        <v>20</v>
      </c>
      <c r="E99" s="210" t="inlineStr">
        <is>
          <t>стандарт</t>
        </is>
      </c>
      <c r="F99" s="210" t="n">
        <v>6.3</v>
      </c>
      <c r="G99" s="210" t="inlineStr">
        <is>
          <t>до + 425°С</t>
        </is>
      </c>
      <c r="H99" s="210" t="inlineStr">
        <is>
          <t>вода, слабоагрессивные жидкие среды</t>
        </is>
      </c>
      <c r="I99" s="210" t="inlineStr">
        <is>
          <t>Сталь 25 Л</t>
        </is>
      </c>
      <c r="J99" s="210" t="inlineStr">
        <is>
          <t>У1</t>
        </is>
      </c>
      <c r="K99" s="210" t="inlineStr">
        <is>
          <t>под приварку</t>
        </is>
      </c>
      <c r="L99" s="210" t="inlineStr">
        <is>
          <t>ручное</t>
        </is>
      </c>
      <c r="M99" s="210" t="inlineStr">
        <is>
          <t>маховик, рукоятка</t>
        </is>
      </c>
      <c r="N99" s="210" t="inlineStr">
        <is>
          <t>любом рабочем положении</t>
        </is>
      </c>
      <c r="O99" s="210" t="inlineStr">
        <is>
          <t xml:space="preserve">
    Материал корпуса, диска, крышки: сталь 25
Материал седла, шпинделя: нержавеющая сталь </t>
        </is>
      </c>
      <c r="P99" s="210" t="inlineStr">
        <is>
          <t>-</t>
        </is>
      </c>
      <c r="Q99" s="210" t="n"/>
      <c r="R99" s="198">
        <f>A99</f>
        <v/>
      </c>
      <c r="S99" s="205" t="n"/>
      <c r="T99" s="205" t="n"/>
      <c r="U99" s="205" t="n"/>
      <c r="V99" s="205" t="n"/>
      <c r="W99" s="205" t="n"/>
      <c r="X99" s="205" t="n"/>
      <c r="Y99" s="205" t="n"/>
      <c r="Z99" s="205" t="n"/>
      <c r="AA99" s="205" t="n"/>
      <c r="AB99" s="205" t="n"/>
      <c r="AC99" s="205" t="n"/>
      <c r="AD99" s="205" t="n"/>
      <c r="AE99" s="205" t="n"/>
      <c r="AF99" s="205" t="n"/>
      <c r="AG99" s="205" t="n"/>
      <c r="AH99" s="205" t="n"/>
      <c r="AI99" s="202" t="n"/>
    </row>
    <row r="100" ht="63.75" customHeight="1" s="169">
      <c r="A100" s="192" t="n">
        <v>64</v>
      </c>
      <c r="B100" s="193" t="inlineStr">
        <is>
          <t>Клапан запорный 15ч75п2 Ду 25 Ру10</t>
        </is>
      </c>
      <c r="C100" s="210" t="inlineStr">
        <is>
          <t>ГОСТ 33423-2015</t>
        </is>
      </c>
      <c r="D100" s="210" t="n">
        <v>25</v>
      </c>
      <c r="E100" s="210" t="inlineStr">
        <is>
          <t>стандарт</t>
        </is>
      </c>
      <c r="F100" s="210" t="n">
        <v>1</v>
      </c>
      <c r="G100" s="210" t="inlineStr">
        <is>
          <t>до +125°С</t>
        </is>
      </c>
      <c r="H100" s="210" t="inlineStr">
        <is>
          <t>Коррозионная</t>
        </is>
      </c>
      <c r="I100" s="210" t="inlineStr">
        <is>
          <t>Серый чугун</t>
        </is>
      </c>
      <c r="J100" s="210" t="inlineStr">
        <is>
          <t>УХЛ4</t>
        </is>
      </c>
      <c r="K100" s="210" t="inlineStr">
        <is>
          <t>фланец-фланец</t>
        </is>
      </c>
      <c r="L100" s="210" t="inlineStr">
        <is>
          <t>ручное</t>
        </is>
      </c>
      <c r="M100" s="210" t="inlineStr">
        <is>
          <t>маховик</t>
        </is>
      </c>
      <c r="N100" s="210" t="inlineStr">
        <is>
          <t>любое</t>
        </is>
      </c>
      <c r="O100" s="210" t="inlineStr">
        <is>
          <t xml:space="preserve">•Корпус : серый чугун
•Шток : сталь 20Х13
•Материал футеровки : фторопласт 2М-Ж
•Материал мембраны : фторопласт Ф-4
</t>
        </is>
      </c>
      <c r="P100" s="210" t="n"/>
      <c r="Q100" s="210" t="n"/>
      <c r="R100" s="198">
        <f>A100</f>
        <v/>
      </c>
      <c r="S100" s="205" t="n"/>
      <c r="T100" s="205" t="n"/>
      <c r="U100" s="205" t="n"/>
      <c r="V100" s="205" t="n"/>
      <c r="W100" s="205" t="n"/>
      <c r="X100" s="205" t="n"/>
      <c r="Y100" s="205" t="n"/>
      <c r="Z100" s="205" t="n"/>
      <c r="AA100" s="205" t="n"/>
      <c r="AB100" s="205" t="n"/>
      <c r="AC100" s="205" t="n"/>
      <c r="AD100" s="205" t="n"/>
      <c r="AE100" s="205" t="n"/>
      <c r="AF100" s="205" t="n"/>
      <c r="AG100" s="205" t="n"/>
      <c r="AH100" s="205" t="n"/>
      <c r="AI100" s="202" t="n"/>
    </row>
    <row r="101" ht="63.75" customHeight="1" s="169">
      <c r="A101" s="192" t="n">
        <v>65</v>
      </c>
      <c r="B101" s="193" t="inlineStr">
        <is>
          <t>Клапан запорный 15ч75п2 Ду 50 Ру10</t>
        </is>
      </c>
      <c r="C101" s="210" t="inlineStr">
        <is>
          <t>ГОСТ 33423-2015</t>
        </is>
      </c>
      <c r="D101" s="210" t="n">
        <v>50</v>
      </c>
      <c r="E101" s="210" t="inlineStr">
        <is>
          <t>стандарт</t>
        </is>
      </c>
      <c r="F101" s="210" t="n">
        <v>1</v>
      </c>
      <c r="G101" s="210" t="inlineStr">
        <is>
          <t>до +125°С</t>
        </is>
      </c>
      <c r="H101" s="210" t="inlineStr">
        <is>
          <t>Коррозионная</t>
        </is>
      </c>
      <c r="I101" s="210" t="inlineStr">
        <is>
          <t>Серый чугун</t>
        </is>
      </c>
      <c r="J101" s="210" t="inlineStr">
        <is>
          <t>УХЛ4</t>
        </is>
      </c>
      <c r="K101" s="210" t="inlineStr">
        <is>
          <t>фланец-фланец</t>
        </is>
      </c>
      <c r="L101" s="210" t="inlineStr">
        <is>
          <t>ручное</t>
        </is>
      </c>
      <c r="M101" s="210" t="inlineStr">
        <is>
          <t>маховик</t>
        </is>
      </c>
      <c r="N101" s="210" t="inlineStr">
        <is>
          <t>любое</t>
        </is>
      </c>
      <c r="O101" s="210" t="inlineStr">
        <is>
          <t xml:space="preserve">•Корпус : серый чугун
•Шток : сталь 20Х13
•Материал футеровки : фторопласт 2М-Ж
•Материал мембраны : фторопласт Ф-4
</t>
        </is>
      </c>
      <c r="P101" s="210" t="inlineStr">
        <is>
          <t>-</t>
        </is>
      </c>
      <c r="Q101" s="210" t="inlineStr">
        <is>
          <t>-</t>
        </is>
      </c>
      <c r="R101" s="198">
        <f>A101</f>
        <v/>
      </c>
      <c r="S101" s="205" t="n"/>
      <c r="T101" s="205" t="n"/>
      <c r="U101" s="205" t="n"/>
      <c r="V101" s="205" t="n"/>
      <c r="W101" s="205" t="n"/>
      <c r="X101" s="205" t="n"/>
      <c r="Y101" s="205" t="n"/>
      <c r="Z101" s="205" t="n"/>
      <c r="AA101" s="205" t="n"/>
      <c r="AB101" s="205" t="n"/>
      <c r="AC101" s="205" t="n"/>
      <c r="AD101" s="205" t="n"/>
      <c r="AE101" s="205" t="n"/>
      <c r="AF101" s="205" t="n"/>
      <c r="AG101" s="205" t="n"/>
      <c r="AH101" s="205" t="n"/>
      <c r="AI101" s="202" t="n"/>
    </row>
    <row r="102" ht="51" customHeight="1" s="169">
      <c r="A102" s="192" t="n">
        <v>66</v>
      </c>
      <c r="B102" s="193" t="inlineStr">
        <is>
          <t xml:space="preserve">Клапан запорный 15ч76п2 Ду 80 Ру 6,3 </t>
        </is>
      </c>
      <c r="C102" s="210" t="inlineStr">
        <is>
          <t>ГОСТ 33423-2015</t>
        </is>
      </c>
      <c r="D102" s="210" t="n">
        <v>80</v>
      </c>
      <c r="E102" s="210" t="inlineStr">
        <is>
          <t>стандарт</t>
        </is>
      </c>
      <c r="F102" s="210" t="n">
        <v>0.63</v>
      </c>
      <c r="G102" s="210" t="inlineStr">
        <is>
          <t>до +125°С</t>
        </is>
      </c>
      <c r="H102" s="210" t="inlineStr">
        <is>
          <t>Коррозионная</t>
        </is>
      </c>
      <c r="I102" s="210" t="inlineStr">
        <is>
          <t>Чугун СЧ 15, СЧ20</t>
        </is>
      </c>
      <c r="J102" s="210" t="inlineStr">
        <is>
          <t>УХЛ4</t>
        </is>
      </c>
      <c r="K102" s="210" t="inlineStr">
        <is>
          <t>фланец-фланец</t>
        </is>
      </c>
      <c r="L102" s="210" t="inlineStr">
        <is>
          <t>ручное</t>
        </is>
      </c>
      <c r="M102" s="210" t="inlineStr">
        <is>
          <t>маховик</t>
        </is>
      </c>
      <c r="N102" s="210" t="inlineStr">
        <is>
          <t>любое</t>
        </is>
      </c>
      <c r="O102" s="210" t="inlineStr">
        <is>
          <t>Материал изделия (корпус, крышка): чугун; Материал изделия (шпиндель): сталь; Материал изделия (защитное покрытие корпуса): фторопласт</t>
        </is>
      </c>
      <c r="P102" s="210" t="inlineStr">
        <is>
          <t>L-230</t>
        </is>
      </c>
      <c r="Q102" s="197" t="n"/>
      <c r="R102" s="198">
        <f>A102</f>
        <v/>
      </c>
      <c r="S102" s="205" t="n"/>
      <c r="T102" s="205" t="n"/>
      <c r="U102" s="205" t="n"/>
      <c r="V102" s="205" t="n"/>
      <c r="W102" s="205" t="n"/>
      <c r="X102" s="205" t="n"/>
      <c r="Y102" s="205" t="n"/>
      <c r="Z102" s="205" t="n"/>
      <c r="AA102" s="205" t="n"/>
      <c r="AB102" s="205" t="n"/>
      <c r="AC102" s="205" t="n"/>
      <c r="AD102" s="205" t="n"/>
      <c r="AE102" s="205" t="n"/>
      <c r="AF102" s="205" t="n"/>
      <c r="AG102" s="205" t="n"/>
      <c r="AH102" s="205" t="n"/>
      <c r="AI102" s="202" t="n"/>
    </row>
    <row r="103" ht="63.75" customHeight="1" s="169">
      <c r="A103" s="192" t="n">
        <v>67</v>
      </c>
      <c r="B103" s="193" t="inlineStr">
        <is>
          <t>Клапан запорный 15ч93эм Ду 20 Ру 16</t>
        </is>
      </c>
      <c r="C103" s="210" t="inlineStr">
        <is>
          <t xml:space="preserve"> ТУ 26-07-1051-84</t>
        </is>
      </c>
      <c r="D103" s="210" t="n">
        <v>20</v>
      </c>
      <c r="E103" s="210" t="inlineStr">
        <is>
          <t>стандарт</t>
        </is>
      </c>
      <c r="F103" s="210" t="n">
        <v>1.6</v>
      </c>
      <c r="G103" s="210" t="inlineStr">
        <is>
          <t>От -15°С до +120°С</t>
        </is>
      </c>
      <c r="H103" s="210" t="inlineStr">
        <is>
          <t>Агрессивная</t>
        </is>
      </c>
      <c r="I103" s="210" t="inlineStr">
        <is>
          <t>Серый чугун СЧ18</t>
        </is>
      </c>
      <c r="J103" s="210" t="inlineStr">
        <is>
          <t>УХЛ4</t>
        </is>
      </c>
      <c r="K103" s="210" t="inlineStr">
        <is>
          <t>фланец-фланец</t>
        </is>
      </c>
      <c r="L103" s="210" t="inlineStr">
        <is>
          <t>ручное</t>
        </is>
      </c>
      <c r="M103" s="210" t="inlineStr">
        <is>
          <t>маховик</t>
        </is>
      </c>
      <c r="N103" s="210" t="inlineStr">
        <is>
          <t>любое</t>
        </is>
      </c>
      <c r="O103" s="210" t="inlineStr">
        <is>
          <t>Корпус: чугун.
Крышка: чугун.
Шпиндель: сталь.
Крестовина: чугун.
Диафрагма: фторопласт-4.</t>
        </is>
      </c>
      <c r="P103" s="210" t="inlineStr">
        <is>
          <t>L-150мм, Н-146мм</t>
        </is>
      </c>
      <c r="Q103" s="197" t="n"/>
      <c r="R103" s="198">
        <f>A103</f>
        <v/>
      </c>
      <c r="S103" s="205" t="n"/>
      <c r="T103" s="205" t="n"/>
      <c r="U103" s="205" t="n"/>
      <c r="V103" s="205" t="n"/>
      <c r="W103" s="205" t="n"/>
      <c r="X103" s="205" t="n"/>
      <c r="Y103" s="205" t="n"/>
      <c r="Z103" s="205" t="n"/>
      <c r="AA103" s="205" t="n"/>
      <c r="AB103" s="205" t="n"/>
      <c r="AC103" s="205" t="n"/>
      <c r="AD103" s="205" t="n"/>
      <c r="AE103" s="205" t="n"/>
      <c r="AF103" s="205" t="n"/>
      <c r="AG103" s="205" t="n"/>
      <c r="AH103" s="205" t="n"/>
      <c r="AI103" s="202" t="n"/>
    </row>
    <row r="104" ht="114.75" customFormat="1" customHeight="1" s="171">
      <c r="A104" s="192" t="n">
        <v>68</v>
      </c>
      <c r="B104" s="193" t="inlineStr">
        <is>
          <t>Задвижка 30нж41нж DN 100 PN 16 1исп. САЗ</t>
        </is>
      </c>
      <c r="C104" s="210" t="inlineStr">
        <is>
          <t>ГОСТ 5762-2002</t>
        </is>
      </c>
      <c r="D104" s="210" t="n">
        <v>100</v>
      </c>
      <c r="E104" s="210" t="inlineStr">
        <is>
          <t>стандартный</t>
        </is>
      </c>
      <c r="F104" s="210" t="n">
        <v>1.6</v>
      </c>
      <c r="G104" s="210" t="inlineStr">
        <is>
          <t>от -60 до +560</t>
        </is>
      </c>
      <c r="H104" s="210" t="inlineStr">
        <is>
          <t>Жидкие и газообразные углеводороды, нефть, нефтепродукты, природный газ, газоконденсат, вода пар и другие жидкости и газы</t>
        </is>
      </c>
      <c r="I104" s="210" t="inlineStr">
        <is>
          <t>сталь 12Х18Н9ТЛ</t>
        </is>
      </c>
      <c r="J104" s="210" t="inlineStr">
        <is>
          <t>УХЛ1</t>
        </is>
      </c>
      <c r="K104" s="210" t="inlineStr">
        <is>
          <t>фланцевый</t>
        </is>
      </c>
      <c r="L104" s="210" t="inlineStr">
        <is>
          <t>ручной (маховик)</t>
        </is>
      </c>
      <c r="M104" s="210" t="inlineStr">
        <is>
          <t>-</t>
        </is>
      </c>
      <c r="N104" s="210" t="inlineStr">
        <is>
          <t>любое</t>
        </is>
      </c>
      <c r="O104" s="210" t="inlineStr">
        <is>
          <t>1) Диски-12Х18Н9ТЛ; 2) Шпиндель-12Х18Н9Т; 3) Прокладка-Паронит ПМБ; 4) Крышка-12Х18Н9ТЛ; 5) Гайка-12Х18Н9Т; 6) Шпилька 45Х14Н14В2М; 7) Набивка сальника-ТРГ; 8)Сальник-12Х18Н9ТЛ; 9) Болт откидной-45Х14Н14В2М; 10) Втулка резьбовая-Лц 40С; 11)Маховик-20ГЛ; 12) Контргайка-35Х; 13)Шпонка-40Х; 14) Ось-2Х18Н9</t>
        </is>
      </c>
      <c r="P104" s="210" t="n"/>
      <c r="Q104" s="210" t="n"/>
      <c r="R104" s="198">
        <f>A104</f>
        <v/>
      </c>
      <c r="S104" s="205" t="n"/>
      <c r="T104" s="205" t="n"/>
      <c r="U104" s="205" t="n"/>
      <c r="V104" s="205" t="n"/>
      <c r="W104" s="205" t="n"/>
      <c r="X104" s="205" t="n"/>
      <c r="Y104" s="205" t="n"/>
      <c r="Z104" s="205" t="n"/>
      <c r="AA104" s="205" t="n"/>
      <c r="AB104" s="205" t="n"/>
      <c r="AC104" s="205" t="n"/>
      <c r="AD104" s="205" t="n"/>
      <c r="AE104" s="205" t="n"/>
      <c r="AF104" s="205" t="n"/>
      <c r="AG104" s="205" t="n"/>
      <c r="AH104" s="205" t="n"/>
      <c r="AI104" s="202" t="n"/>
    </row>
    <row r="105" ht="114.75" customFormat="1" customHeight="1" s="171">
      <c r="A105" s="192" t="n">
        <v>69</v>
      </c>
      <c r="B105" s="193" t="inlineStr">
        <is>
          <t>Задвижка 30нж41нж DN 150 PN 16 1исп. САЗ</t>
        </is>
      </c>
      <c r="C105" s="210" t="inlineStr">
        <is>
          <t>ГОСТ 5762-2002</t>
        </is>
      </c>
      <c r="D105" s="210" t="n">
        <v>150</v>
      </c>
      <c r="E105" s="210" t="inlineStr">
        <is>
          <t>стандартный</t>
        </is>
      </c>
      <c r="F105" s="210" t="n">
        <v>1.6</v>
      </c>
      <c r="G105" s="210" t="inlineStr">
        <is>
          <t>от -60 до +560</t>
        </is>
      </c>
      <c r="H105" s="210" t="inlineStr">
        <is>
          <t>Жидкие и газообразные углеводороды, нефть, нефтепродукты, природный газ, газоконденсат, вода пар и другие жидкости и газы</t>
        </is>
      </c>
      <c r="I105" s="210" t="inlineStr">
        <is>
          <t>сталь 12Х18Н9ТЛ</t>
        </is>
      </c>
      <c r="J105" s="210" t="inlineStr">
        <is>
          <t>УХЛ1</t>
        </is>
      </c>
      <c r="K105" s="210" t="inlineStr">
        <is>
          <t>фланцевый</t>
        </is>
      </c>
      <c r="L105" s="210" t="inlineStr">
        <is>
          <t>ручной (маховик)</t>
        </is>
      </c>
      <c r="M105" s="210" t="inlineStr">
        <is>
          <t>-</t>
        </is>
      </c>
      <c r="N105" s="210" t="inlineStr">
        <is>
          <t>любое</t>
        </is>
      </c>
      <c r="O105" s="210" t="inlineStr">
        <is>
          <t>1) Диски-12Х18Н9ТЛ; 2) Шпиндель-12Х18Н9Т; 3) Прокладка-Паронит ПМБ; 4) Крышка-12Х18Н9ТЛ; 5) Гайка-12Х18Н9Т; 6) Шпилька 45Х14Н14В2М; 7) Набивка сальника-ТРГ; 8)Сальник-12Х18Н9ТЛ; 9) Болт откидной-45Х14Н14В2М; 10) Втулка резьбовая-Лц 40С; 11)Маховик-20ГЛ; 12) Контргайка-35Х; 13)Шпонка-40Х; 14) Ось-2Х18Н9</t>
        </is>
      </c>
      <c r="P105" s="210" t="n"/>
      <c r="Q105" s="210" t="n"/>
      <c r="R105" s="198">
        <f>A105</f>
        <v/>
      </c>
      <c r="S105" s="205" t="n"/>
      <c r="T105" s="205" t="n"/>
      <c r="U105" s="205" t="n"/>
      <c r="V105" s="205" t="n"/>
      <c r="W105" s="205" t="n"/>
      <c r="X105" s="205" t="n"/>
      <c r="Y105" s="205" t="n"/>
      <c r="Z105" s="205" t="n"/>
      <c r="AA105" s="205" t="n"/>
      <c r="AB105" s="205" t="n"/>
      <c r="AC105" s="205" t="n"/>
      <c r="AD105" s="205" t="n"/>
      <c r="AE105" s="205" t="n"/>
      <c r="AF105" s="205" t="n"/>
      <c r="AG105" s="205" t="n"/>
      <c r="AH105" s="205" t="n"/>
      <c r="AI105" s="202" t="n"/>
    </row>
    <row r="106" ht="102" customFormat="1" customHeight="1" s="171">
      <c r="A106" s="192" t="n">
        <v>70</v>
      </c>
      <c r="B106" s="193" t="inlineStr">
        <is>
          <t>Задвижка 30нж41нж DN 200 PN 16 1исп. САЗ</t>
        </is>
      </c>
      <c r="C106" s="210" t="inlineStr">
        <is>
          <t>ГОСТ 5762-2002</t>
        </is>
      </c>
      <c r="D106" s="210" t="n">
        <v>200</v>
      </c>
      <c r="E106" s="210" t="inlineStr">
        <is>
          <t>стандарт</t>
        </is>
      </c>
      <c r="F106" s="210" t="n">
        <v>1.6</v>
      </c>
      <c r="G106" s="210" t="inlineStr">
        <is>
          <t>-60…        +560</t>
        </is>
      </c>
      <c r="H106" s="210" t="inlineStr">
        <is>
          <t>Вода, воздух, пар, аммиак,
природный газ влажный, нефтепродукты, содержащие
сероводород свыше 0,1%</t>
        </is>
      </c>
      <c r="I106" s="210" t="inlineStr">
        <is>
          <t>сталь 12Х18Н9ТЛ</t>
        </is>
      </c>
      <c r="J106" s="210" t="inlineStr">
        <is>
          <t>Условия эксплуатации УХЛ
Минимальная температура окружающего воздуха: −60°С</t>
        </is>
      </c>
      <c r="K106" s="210" t="inlineStr">
        <is>
          <t>фланец-фланец</t>
        </is>
      </c>
      <c r="L106" s="210" t="inlineStr">
        <is>
          <t xml:space="preserve">Ручное </t>
        </is>
      </c>
      <c r="M106" s="210" t="inlineStr">
        <is>
          <t>Маховик</t>
        </is>
      </c>
      <c r="N106" s="210" t="inlineStr">
        <is>
          <t>Вертикально маховиком вверх, горизонтально</t>
        </is>
      </c>
      <c r="O106" s="210" t="inlineStr">
        <is>
          <t>С КОФ - сталь 20, Материалы: корпус, клин, крышка, маховик -  сталь 12Х18Н9ТЛ,  шпиндель - сталь 12Х18Н9Т, наплавка на кольце в корпусе и наплавка на клине 04Х19Н9С2 или схожая по свойствам, прокладка и сальниковое уплотнение только ТРГ</t>
        </is>
      </c>
      <c r="P106" s="210" t="n"/>
      <c r="Q106" s="210" t="inlineStr">
        <is>
          <t>класс герметичности по ГОСТ 9544-2015: А; в комплекте: ответные фланцы, прокладки  и крепеж</t>
        </is>
      </c>
      <c r="R106" s="198">
        <f>A106</f>
        <v/>
      </c>
      <c r="S106" s="205" t="n"/>
      <c r="T106" s="205" t="n"/>
      <c r="U106" s="205" t="n"/>
      <c r="V106" s="205" t="n"/>
      <c r="W106" s="205" t="n"/>
      <c r="X106" s="205" t="n"/>
      <c r="Y106" s="205" t="n"/>
      <c r="Z106" s="205" t="n"/>
      <c r="AA106" s="205" t="n"/>
      <c r="AB106" s="205" t="n"/>
      <c r="AC106" s="205" t="n"/>
      <c r="AD106" s="205" t="n"/>
      <c r="AE106" s="205" t="n"/>
      <c r="AF106" s="205" t="n"/>
      <c r="AG106" s="205" t="n"/>
      <c r="AH106" s="205" t="n"/>
      <c r="AI106" s="202" t="n"/>
    </row>
    <row r="107" ht="114.75" customFormat="1" customHeight="1" s="171">
      <c r="A107" s="192" t="n">
        <v>71</v>
      </c>
      <c r="B107" s="193" t="inlineStr">
        <is>
          <t>Задвижка 30нж41нж DN 50 PN 16 1исп. САЗ</t>
        </is>
      </c>
      <c r="C107" s="210" t="inlineStr">
        <is>
          <t>ГОСТ 5762-2002</t>
        </is>
      </c>
      <c r="D107" s="210" t="n">
        <v>50</v>
      </c>
      <c r="E107" s="210" t="inlineStr">
        <is>
          <t>стандартный</t>
        </is>
      </c>
      <c r="F107" s="210" t="n">
        <v>1.6</v>
      </c>
      <c r="G107" s="210" t="inlineStr">
        <is>
          <t>от -60 до +560</t>
        </is>
      </c>
      <c r="H107" s="210" t="inlineStr">
        <is>
          <t>Жидкие и газообразные углеводороды, нефть, нефтепродукты, природный газ, газоконденсат, вода пар и другие жидкости и газы</t>
        </is>
      </c>
      <c r="I107" s="210" t="inlineStr">
        <is>
          <t>сталь 12Х18Н9ТЛ</t>
        </is>
      </c>
      <c r="J107" s="210" t="inlineStr">
        <is>
          <t>УХЛ1</t>
        </is>
      </c>
      <c r="K107" s="210" t="inlineStr">
        <is>
          <t>фланцевый</t>
        </is>
      </c>
      <c r="L107" s="210" t="inlineStr">
        <is>
          <t>ручной (маховик)</t>
        </is>
      </c>
      <c r="M107" s="210" t="inlineStr">
        <is>
          <t>-</t>
        </is>
      </c>
      <c r="N107" s="210" t="inlineStr">
        <is>
          <t>любое</t>
        </is>
      </c>
      <c r="O107" s="210" t="inlineStr">
        <is>
          <t>1) Диски-12Х18Н9ТЛ; 2) Шпиндель-12Х18Н9Т; 3) Прокладка-Паронит ПМБ; 4) Крышка-12Х18Н9ТЛ; 5) Гайка-12Х18Н9Т; 6) Шпилька 45Х14Н14В2М; 7) Набивка сальника-ТРГ; 8)Сальник-12Х18Н9ТЛ; 9) Болт откидной-45Х14Н14В2М; 10) Втулка резьбовая-Лц 40С; 11)Маховик-20ГЛ; 12) Контргайка-35Х; 13)Шпонка-40Х; 14) Ось-2Х18Н9</t>
        </is>
      </c>
      <c r="P107" s="210" t="n"/>
      <c r="Q107" s="210" t="n"/>
      <c r="R107" s="198">
        <f>A107</f>
        <v/>
      </c>
      <c r="S107" s="205" t="n"/>
      <c r="T107" s="205" t="n"/>
      <c r="U107" s="205" t="n"/>
      <c r="V107" s="205" t="n"/>
      <c r="W107" s="205" t="n"/>
      <c r="X107" s="205" t="n"/>
      <c r="Y107" s="205" t="n"/>
      <c r="Z107" s="205" t="n"/>
      <c r="AA107" s="205" t="n"/>
      <c r="AB107" s="205" t="n"/>
      <c r="AC107" s="205" t="n"/>
      <c r="AD107" s="205" t="n"/>
      <c r="AE107" s="205" t="n"/>
      <c r="AF107" s="205" t="n"/>
      <c r="AG107" s="205" t="n"/>
      <c r="AH107" s="205" t="n"/>
      <c r="AI107" s="202" t="n"/>
    </row>
    <row r="108" ht="114.75" customHeight="1" s="169">
      <c r="A108" s="192" t="n">
        <v>72</v>
      </c>
      <c r="B108" s="193" t="inlineStr">
        <is>
          <t>Задвижка 30нж41нж DN 80 PN 16 1исп. САЗ</t>
        </is>
      </c>
      <c r="C108" s="210" t="inlineStr">
        <is>
          <t>ГОСТ 5762-2002</t>
        </is>
      </c>
      <c r="D108" s="210" t="n">
        <v>80</v>
      </c>
      <c r="E108" s="210" t="inlineStr">
        <is>
          <t>стандартный</t>
        </is>
      </c>
      <c r="F108" s="210" t="n">
        <v>1.6</v>
      </c>
      <c r="G108" s="210" t="inlineStr">
        <is>
          <t>от -60 до +560</t>
        </is>
      </c>
      <c r="H108" s="210" t="inlineStr">
        <is>
          <t>Жидкие и газообразные углеводороды, нефть, нефтепродукты, природный газ, газоконденсат, вода пар и другие жидкости и газы</t>
        </is>
      </c>
      <c r="I108" s="210" t="inlineStr">
        <is>
          <t>сталь 12Х18Н9ТЛ</t>
        </is>
      </c>
      <c r="J108" s="210" t="inlineStr">
        <is>
          <t>УХЛ1</t>
        </is>
      </c>
      <c r="K108" s="210" t="inlineStr">
        <is>
          <t>фланцевый</t>
        </is>
      </c>
      <c r="L108" s="210" t="inlineStr">
        <is>
          <t>ручной (маховик)</t>
        </is>
      </c>
      <c r="M108" s="210" t="inlineStr">
        <is>
          <t>-</t>
        </is>
      </c>
      <c r="N108" s="210" t="inlineStr">
        <is>
          <t>любое</t>
        </is>
      </c>
      <c r="O108" s="210" t="inlineStr">
        <is>
          <t>1) Диски-12Х18Н9ТЛ; 2) Шпиндель-12Х18Н9Т; 3) Прокладка-Паронит ПМБ; 4) Крышка-12Х18Н9ТЛ; 5) Гайка-12Х18Н9Т; 6) Шпилька 45Х14Н14В2М; 7) Набивка сальника-ТРГ; 8)Сальник-12Х18Н9ТЛ; 9) Болт откидной-45Х14Н14В2М; 10) Втулка резьбовая-Лц 40С; 11)Маховик-20ГЛ; 12) Контргайка-35Х; 13)Шпонка-40Х; 14) Ось-2Х18Н9</t>
        </is>
      </c>
      <c r="P108" s="210" t="n"/>
      <c r="Q108" s="210" t="n"/>
      <c r="R108" s="198">
        <f>A108</f>
        <v/>
      </c>
      <c r="S108" s="205" t="n"/>
      <c r="T108" s="205" t="n"/>
      <c r="U108" s="205" t="n"/>
      <c r="V108" s="205" t="n"/>
      <c r="W108" s="205" t="n"/>
      <c r="X108" s="205" t="n"/>
      <c r="Y108" s="205" t="n"/>
      <c r="Z108" s="205" t="n"/>
      <c r="AA108" s="205" t="n"/>
      <c r="AB108" s="205" t="n"/>
      <c r="AC108" s="205" t="n"/>
      <c r="AD108" s="205" t="n"/>
      <c r="AE108" s="205" t="n"/>
      <c r="AF108" s="205" t="n"/>
      <c r="AG108" s="205" t="n"/>
      <c r="AH108" s="205" t="n"/>
      <c r="AI108" s="202" t="n"/>
    </row>
    <row r="109" ht="165.75" customHeight="1" s="169">
      <c r="A109" s="192" t="n">
        <v>73</v>
      </c>
      <c r="B109" s="243" t="inlineStr">
        <is>
          <t>Задвижка 30с41нж Ду 50 Ру 16</t>
        </is>
      </c>
      <c r="C109" s="210" t="inlineStr">
        <is>
          <t>ТУ 3700-033-96455923-2014</t>
        </is>
      </c>
      <c r="D109" s="210" t="n">
        <v>50</v>
      </c>
      <c r="E109" s="210" t="inlineStr">
        <is>
          <t>стандарт</t>
        </is>
      </c>
      <c r="F109" s="210" t="n">
        <v>1.6</v>
      </c>
      <c r="G109" s="210" t="inlineStr">
        <is>
          <t>от -40 до + 450</t>
        </is>
      </c>
      <c r="H109" s="210" t="inlineStr">
        <is>
          <t>Вода</t>
        </is>
      </c>
      <c r="I109" s="210" t="inlineStr">
        <is>
          <t>Сталь 25 Л</t>
        </is>
      </c>
      <c r="J109" s="210" t="inlineStr">
        <is>
          <t>У1</t>
        </is>
      </c>
      <c r="K109" s="210" t="inlineStr">
        <is>
          <t>фланец-фланец по ГОСТ 33259-2015</t>
        </is>
      </c>
      <c r="L109" s="210" t="inlineStr">
        <is>
          <t xml:space="preserve">Ручное  </t>
        </is>
      </c>
      <c r="M109" s="210" t="inlineStr">
        <is>
          <t>штурвал</t>
        </is>
      </c>
      <c r="N109" s="210" t="inlineStr">
        <is>
          <t>Любое</t>
        </is>
      </c>
      <c r="O109" s="210" t="inlineStr">
        <is>
          <t>Крышка: сталь 25Л Клин (диски): сталь 25Л Шпиндель: 20Х13 Гайка шпинделя: сталь 45, латунь ЛС59-1 (для исполнения под приварку) Гайка: углеродистая сталь ГОСТ 1050—88 класс прочности не ниже 5.6 по ГОСТ 1759.5—87 Шпилька, болт: углеродистая сталь ГОСТ 1050—88 класс прочности не ниже 5.6 по ГОСТ 1759.5—87 Болт откидной: сталь 35 Уплотнение между корпусом и крышкой (прокладка, кольцо): паронит Набивка сальника: АГИ, ТРГ Маховик: сталь 25Л  Подшипник: шариковый упорный Наплавка на кольце в корпусе: 07Х25Н13, 08Х21Н10Г6 Наплавка на клине: 13Х25Т, 10Х17Т</t>
        </is>
      </c>
      <c r="P109" s="210" t="inlineStr">
        <is>
          <t>180 *281</t>
        </is>
      </c>
      <c r="Q109" s="197" t="n"/>
      <c r="R109" s="198">
        <f>A109</f>
        <v/>
      </c>
      <c r="S109" s="205" t="n"/>
      <c r="T109" s="205" t="n"/>
      <c r="U109" s="205" t="n"/>
      <c r="V109" s="205" t="n"/>
      <c r="W109" s="205" t="n"/>
      <c r="X109" s="205" t="n"/>
      <c r="Y109" s="205" t="n"/>
      <c r="Z109" s="205" t="n"/>
      <c r="AA109" s="205" t="n"/>
      <c r="AB109" s="205" t="n"/>
      <c r="AC109" s="205" t="n"/>
      <c r="AD109" s="205" t="n"/>
      <c r="AE109" s="205" t="n"/>
      <c r="AF109" s="205" t="n"/>
      <c r="AG109" s="205" t="n"/>
      <c r="AH109" s="205" t="n"/>
      <c r="AI109" s="202" t="n"/>
    </row>
    <row r="110" ht="63.75" customHeight="1" s="169">
      <c r="A110" s="192" t="n">
        <v>74</v>
      </c>
      <c r="B110" s="243" t="inlineStr">
        <is>
          <t>Задвижка 30с41нж Ду 80 Ру 16</t>
        </is>
      </c>
      <c r="C110" s="210" t="inlineStr">
        <is>
          <t>ТУ 3700-033-96455923-2014</t>
        </is>
      </c>
      <c r="D110" s="210" t="n">
        <v>80</v>
      </c>
      <c r="E110" s="210" t="inlineStr">
        <is>
          <t>стандарт</t>
        </is>
      </c>
      <c r="F110" s="210" t="n">
        <v>1.6</v>
      </c>
      <c r="G110" s="210" t="inlineStr">
        <is>
          <t>-40…        +425</t>
        </is>
      </c>
      <c r="H110" s="210" t="inlineStr">
        <is>
          <t>Вода, пар</t>
        </is>
      </c>
      <c r="I110" s="210" t="inlineStr">
        <is>
          <t>сталь 25Л</t>
        </is>
      </c>
      <c r="J110" s="210" t="inlineStr">
        <is>
          <t>У1</t>
        </is>
      </c>
      <c r="K110" s="210" t="inlineStr">
        <is>
          <t>фланец-фланец</t>
        </is>
      </c>
      <c r="L110" s="210" t="inlineStr">
        <is>
          <t xml:space="preserve">Ручное </t>
        </is>
      </c>
      <c r="M110" s="210" t="inlineStr">
        <is>
          <t>Маховик</t>
        </is>
      </c>
      <c r="N110" s="210" t="inlineStr">
        <is>
          <t>маховиком вверх</t>
        </is>
      </c>
      <c r="O110" s="210" t="inlineStr">
        <is>
          <t>Корпус, клин, крышка, маховик -  только сталь 20Л или 25Л,  шпиндель - сталь 20Х13, наплавка на кольце в корпусе и наплавка на клине 07Х25Н13 или схожая по свойствам, прокладка и сальниковое уплотнение только ТРГ</t>
        </is>
      </c>
      <c r="P110" s="210" t="inlineStr">
        <is>
          <t>-</t>
        </is>
      </c>
      <c r="Q110" s="210" t="inlineStr">
        <is>
          <t>-</t>
        </is>
      </c>
      <c r="R110" s="198">
        <f>A110</f>
        <v/>
      </c>
      <c r="S110" s="205" t="n"/>
      <c r="T110" s="205" t="n"/>
      <c r="U110" s="205" t="n"/>
      <c r="V110" s="205" t="n"/>
      <c r="W110" s="205" t="n"/>
      <c r="X110" s="205" t="n"/>
      <c r="Y110" s="205" t="n"/>
      <c r="Z110" s="205" t="n"/>
      <c r="AA110" s="205" t="n"/>
      <c r="AB110" s="205" t="n"/>
      <c r="AC110" s="205" t="n"/>
      <c r="AD110" s="205" t="n"/>
      <c r="AE110" s="205" t="n"/>
      <c r="AF110" s="205" t="n"/>
      <c r="AG110" s="205" t="n"/>
      <c r="AH110" s="205" t="n"/>
      <c r="AI110" s="202" t="n"/>
    </row>
    <row r="111" ht="165.75" customHeight="1" s="169">
      <c r="A111" s="192" t="n">
        <v>75</v>
      </c>
      <c r="B111" s="243" t="inlineStr">
        <is>
          <t>Задвижка 30с41нж Ду 100 Ру 16</t>
        </is>
      </c>
      <c r="C111" s="210" t="inlineStr">
        <is>
          <t>ТУ 3700-033-96455923-2014</t>
        </is>
      </c>
      <c r="D111" s="210" t="n">
        <v>100</v>
      </c>
      <c r="E111" s="210" t="inlineStr">
        <is>
          <t>стандарт</t>
        </is>
      </c>
      <c r="F111" s="210" t="n">
        <v>1.6</v>
      </c>
      <c r="G111" s="210" t="inlineStr">
        <is>
          <t>от -40 до + 450</t>
        </is>
      </c>
      <c r="H111" s="210" t="inlineStr">
        <is>
          <t>вода, пар</t>
        </is>
      </c>
      <c r="I111" s="210" t="inlineStr">
        <is>
          <t>Сталь 25 Л</t>
        </is>
      </c>
      <c r="J111" s="210" t="inlineStr">
        <is>
          <t>У1</t>
        </is>
      </c>
      <c r="K111" s="210" t="inlineStr">
        <is>
          <t>фланец-фланец по ГОСТ 33259-2015</t>
        </is>
      </c>
      <c r="L111" s="210" t="inlineStr">
        <is>
          <t xml:space="preserve">Ручное  </t>
        </is>
      </c>
      <c r="M111" s="210" t="inlineStr">
        <is>
          <t>Рукоятка</t>
        </is>
      </c>
      <c r="N111" s="210" t="inlineStr">
        <is>
          <t>Любое</t>
        </is>
      </c>
      <c r="O111" s="210" t="inlineStr">
        <is>
          <t>Крышка: сталь 25Л Клин (диски): сталь 25Л Шпиндель: 20Х13 Гайка шпинделя: сталь 45, латунь ЛС59-1 (для исполнения под приварку) Гайка: углеродистая сталь ГОСТ 1050—88 класс прочности не ниже 5.6 по ГОСТ 1759.5—87 Шпилька, болт: углеродистая сталь ГОСТ 1050—88 класс прочности не ниже 5.6 по ГОСТ 1759.5—87 Болт откидной: сталь 35 Уплотнение между корпусом и крышкой (прокладка, кольцо): паронит Набивка сальника: АГИ, ТРГ Маховик: сталь 25Л  Подшипник: шариковый упорный Наплавка на кольце в корпусе: 07Х25Н13, 08Х21Н10Г6 Наплавка на клине: 13Х25Т, 10Х17Т</t>
        </is>
      </c>
      <c r="P111" s="210" t="inlineStr">
        <is>
          <t>230 * 385</t>
        </is>
      </c>
      <c r="Q111" s="244" t="n"/>
      <c r="R111" s="198">
        <f>A111</f>
        <v/>
      </c>
      <c r="S111" s="205" t="n"/>
      <c r="T111" s="205" t="n"/>
      <c r="U111" s="205" t="n"/>
      <c r="V111" s="205" t="n"/>
      <c r="W111" s="205" t="n"/>
      <c r="X111" s="205" t="n"/>
      <c r="Y111" s="205" t="n"/>
      <c r="Z111" s="205" t="n"/>
      <c r="AA111" s="205" t="n"/>
      <c r="AB111" s="205" t="n"/>
      <c r="AC111" s="205" t="n"/>
      <c r="AD111" s="205" t="n"/>
      <c r="AE111" s="205" t="n"/>
      <c r="AF111" s="205" t="n"/>
      <c r="AG111" s="205" t="n"/>
      <c r="AH111" s="205" t="n"/>
      <c r="AI111" s="202" t="n"/>
    </row>
    <row r="112" ht="165.75" customHeight="1" s="169">
      <c r="A112" s="192" t="n">
        <v>76</v>
      </c>
      <c r="B112" s="243" t="inlineStr">
        <is>
          <t>Задвижка 30с41нж Ду 150 Ру 16</t>
        </is>
      </c>
      <c r="C112" s="210" t="inlineStr">
        <is>
          <t>ТУ 3700-033-96455923-2014</t>
        </is>
      </c>
      <c r="D112" s="210" t="n">
        <v>150</v>
      </c>
      <c r="E112" s="210" t="inlineStr">
        <is>
          <t>стандарт</t>
        </is>
      </c>
      <c r="F112" s="210" t="n">
        <v>1.6</v>
      </c>
      <c r="G112" s="210" t="inlineStr">
        <is>
          <t>от -40 до + 450</t>
        </is>
      </c>
      <c r="H112" s="210" t="inlineStr">
        <is>
          <t>вода, пар</t>
        </is>
      </c>
      <c r="I112" s="210" t="inlineStr">
        <is>
          <t>Сталь 25 Л</t>
        </is>
      </c>
      <c r="J112" s="210" t="inlineStr">
        <is>
          <t>У1</t>
        </is>
      </c>
      <c r="K112" s="210" t="inlineStr">
        <is>
          <t>фланец-фланец по ГОСТ 33259-2015</t>
        </is>
      </c>
      <c r="L112" s="210" t="inlineStr">
        <is>
          <t xml:space="preserve">Ручное  </t>
        </is>
      </c>
      <c r="M112" s="210" t="inlineStr">
        <is>
          <t>штурвал</t>
        </is>
      </c>
      <c r="N112" s="210" t="inlineStr">
        <is>
          <t>Любое</t>
        </is>
      </c>
      <c r="O112" s="210" t="inlineStr">
        <is>
          <t>Крышка: сталь 25Л Клин (диски): сталь 25Л Шпиндель: 20Х13 Гайка шпинделя: сталь 45, латунь ЛС59-1 (для исполнения под приварку) Гайка: углеродистая сталь ГОСТ 1050—88 класс прочности не ниже 5.6 по ГОСТ 1759.5—87 Шпилька, болт: углеродистая сталь ГОСТ 1050—88 класс прочности не ниже 5.6 по ГОСТ 1759.5—87 Болт откидной: сталь 35 Уплотнение между корпусом и крышкой (прокладка, кольцо): паронит Набивка сальника: АГИ, ТРГ Маховик: сталь 25Л  Подшипник: шариковый упорный Наплавка на кольце в корпусе: 07Х25Н13, 08Х21Н10Г6 Наплавка на клине: 13Х25Т, 10Х17Т</t>
        </is>
      </c>
      <c r="P112" s="210" t="inlineStr">
        <is>
          <t xml:space="preserve">280 * 576 </t>
        </is>
      </c>
      <c r="Q112" s="210" t="n"/>
      <c r="R112" s="198">
        <f>A112</f>
        <v/>
      </c>
      <c r="S112" s="205" t="n"/>
      <c r="T112" s="205" t="n"/>
      <c r="U112" s="205" t="n"/>
      <c r="V112" s="205" t="n"/>
      <c r="W112" s="205" t="n"/>
      <c r="X112" s="205" t="n"/>
      <c r="Y112" s="205" t="n"/>
      <c r="Z112" s="205" t="n"/>
      <c r="AA112" s="205" t="n"/>
      <c r="AB112" s="205" t="n"/>
      <c r="AC112" s="205" t="n"/>
      <c r="AD112" s="205" t="n"/>
      <c r="AE112" s="205" t="n"/>
      <c r="AF112" s="205" t="n"/>
      <c r="AG112" s="205" t="n"/>
      <c r="AH112" s="205" t="n"/>
      <c r="AI112" s="202" t="n"/>
    </row>
    <row r="113" ht="63.75" customHeight="1" s="169">
      <c r="A113" s="192" t="n">
        <v>77</v>
      </c>
      <c r="B113" s="243" t="inlineStr">
        <is>
          <t>Задвижка 30с564нж Ду 400 Ру 25</t>
        </is>
      </c>
      <c r="C113" s="210" t="inlineStr">
        <is>
          <t>ГОСТ 5762-2002</t>
        </is>
      </c>
      <c r="D113" s="210" t="n">
        <v>400</v>
      </c>
      <c r="E113" s="210" t="inlineStr">
        <is>
          <t>стандарт</t>
        </is>
      </c>
      <c r="F113" s="210" t="n">
        <v>2.5</v>
      </c>
      <c r="G113" s="210" t="inlineStr">
        <is>
          <t>от −40 °C до +425 °C</t>
        </is>
      </c>
      <c r="H113" s="210" t="inlineStr">
        <is>
          <t xml:space="preserve"> вода, пар, нефтепродукты, газ и другие неагрессивные среды</t>
        </is>
      </c>
      <c r="I113" s="210" t="inlineStr">
        <is>
          <t>сталь 25л</t>
        </is>
      </c>
      <c r="J113" s="210" t="inlineStr">
        <is>
          <t>У1</t>
        </is>
      </c>
      <c r="K113" s="210" t="inlineStr">
        <is>
          <t>фланцевый</t>
        </is>
      </c>
      <c r="L113" s="210" t="inlineStr">
        <is>
          <t>ручной</t>
        </is>
      </c>
      <c r="M113" s="210" t="inlineStr">
        <is>
          <t>Маховик</t>
        </is>
      </c>
      <c r="N113" s="210" t="inlineStr">
        <is>
          <t>горизонтальное, либо вертикальное</t>
        </is>
      </c>
      <c r="O113" s="210" t="inlineStr">
        <is>
          <t>Крышка, клин Ст25Л, шпиндель Ст20х13</t>
        </is>
      </c>
      <c r="P113" s="210" t="n"/>
      <c r="Q113" s="197" t="n"/>
      <c r="R113" s="198">
        <f>A113</f>
        <v/>
      </c>
      <c r="S113" s="205" t="n"/>
      <c r="T113" s="205" t="n"/>
      <c r="U113" s="205" t="n"/>
      <c r="V113" s="205" t="n"/>
      <c r="W113" s="205" t="n"/>
      <c r="X113" s="205" t="n"/>
      <c r="Y113" s="205" t="n"/>
      <c r="Z113" s="205" t="n"/>
      <c r="AA113" s="205" t="n"/>
      <c r="AB113" s="205" t="n"/>
      <c r="AC113" s="205" t="n"/>
      <c r="AD113" s="205" t="n"/>
      <c r="AE113" s="205" t="n"/>
      <c r="AF113" s="205" t="n"/>
      <c r="AG113" s="205" t="n"/>
      <c r="AH113" s="205" t="n"/>
      <c r="AI113" s="202" t="n"/>
    </row>
    <row r="114" ht="51" customFormat="1" customHeight="1" s="171">
      <c r="A114" s="192" t="n">
        <v>78</v>
      </c>
      <c r="B114" s="243" t="inlineStr">
        <is>
          <t>Задвижка 30с64нж Ду 50 Ру 25</t>
        </is>
      </c>
      <c r="C114" s="210" t="inlineStr">
        <is>
          <t>ГОСТ 5762-2002</t>
        </is>
      </c>
      <c r="D114" s="210" t="n">
        <v>50</v>
      </c>
      <c r="E114" s="210" t="inlineStr">
        <is>
          <t>стандарт</t>
        </is>
      </c>
      <c r="F114" s="210" t="n">
        <v>2.5</v>
      </c>
      <c r="G114" s="210" t="inlineStr">
        <is>
          <t>от −40°С  до +425°С</t>
        </is>
      </c>
      <c r="H114" s="210" t="inlineStr">
        <is>
          <t>вода, пар, неагрессивные нефтепродукты</t>
        </is>
      </c>
      <c r="I114" s="210" t="inlineStr">
        <is>
          <t>сталь 25л</t>
        </is>
      </c>
      <c r="J114" s="210" t="inlineStr">
        <is>
          <t>У1</t>
        </is>
      </c>
      <c r="K114" s="210" t="inlineStr">
        <is>
          <t>фланцевый</t>
        </is>
      </c>
      <c r="L114" s="210" t="inlineStr">
        <is>
          <t>ручной</t>
        </is>
      </c>
      <c r="M114" s="210" t="inlineStr">
        <is>
          <t>маховик</t>
        </is>
      </c>
      <c r="N114" s="210" t="inlineStr">
        <is>
          <t>горизонтальное, либо вертикальное</t>
        </is>
      </c>
      <c r="O114" s="210" t="inlineStr">
        <is>
          <t>Крышка, клин Ст25Л, шпиндель Ст20х13</t>
        </is>
      </c>
      <c r="P114" s="207" t="n"/>
      <c r="Q114" s="197" t="n"/>
      <c r="R114" s="198">
        <f>A114</f>
        <v/>
      </c>
      <c r="S114" s="205" t="n"/>
      <c r="T114" s="205" t="n"/>
      <c r="U114" s="205" t="n"/>
      <c r="V114" s="205" t="n"/>
      <c r="W114" s="205" t="n"/>
      <c r="X114" s="205" t="n"/>
      <c r="Y114" s="205" t="n"/>
      <c r="Z114" s="205" t="n"/>
      <c r="AA114" s="205" t="n"/>
      <c r="AB114" s="205" t="n"/>
      <c r="AC114" s="205" t="n"/>
      <c r="AD114" s="205" t="n"/>
      <c r="AE114" s="205" t="n"/>
      <c r="AF114" s="205" t="n"/>
      <c r="AG114" s="205" t="n"/>
      <c r="AH114" s="205" t="n"/>
      <c r="AI114" s="202" t="n"/>
    </row>
    <row r="115" ht="51" customFormat="1" customHeight="1" s="171">
      <c r="A115" s="192" t="n">
        <v>79</v>
      </c>
      <c r="B115" s="243" t="inlineStr">
        <is>
          <t>Задвижка 30с64нж Ду 80 Ру 25</t>
        </is>
      </c>
      <c r="C115" s="210" t="inlineStr">
        <is>
          <t>ГОСТ 5762-2002</t>
        </is>
      </c>
      <c r="D115" s="210" t="n">
        <v>80</v>
      </c>
      <c r="E115" s="210" t="inlineStr">
        <is>
          <t>стандарт</t>
        </is>
      </c>
      <c r="F115" s="210" t="n">
        <v>2.5</v>
      </c>
      <c r="G115" s="210" t="inlineStr">
        <is>
          <t>от −40°С  до +425°С</t>
        </is>
      </c>
      <c r="H115" s="210" t="inlineStr">
        <is>
          <t>вода, пар, неагрессивные нефтепродукты</t>
        </is>
      </c>
      <c r="I115" s="210" t="inlineStr">
        <is>
          <t>сталь 25л</t>
        </is>
      </c>
      <c r="J115" s="210" t="inlineStr">
        <is>
          <t>У1</t>
        </is>
      </c>
      <c r="K115" s="210" t="inlineStr">
        <is>
          <t>фланцевый</t>
        </is>
      </c>
      <c r="L115" s="210" t="inlineStr">
        <is>
          <t>ручной</t>
        </is>
      </c>
      <c r="M115" s="210" t="inlineStr">
        <is>
          <t>маховик</t>
        </is>
      </c>
      <c r="N115" s="210" t="inlineStr">
        <is>
          <t>горизонтальное, либо вертикальное</t>
        </is>
      </c>
      <c r="O115" s="210" t="inlineStr">
        <is>
          <t>Крышка, клин Ст25Л, шпиндель Ст20х13</t>
        </is>
      </c>
      <c r="P115" s="210" t="n"/>
      <c r="Q115" s="197" t="n"/>
      <c r="R115" s="198">
        <f>A115</f>
        <v/>
      </c>
      <c r="S115" s="205" t="n"/>
      <c r="T115" s="205" t="n"/>
      <c r="U115" s="205" t="n"/>
      <c r="V115" s="205" t="n"/>
      <c r="W115" s="205" t="n"/>
      <c r="X115" s="205" t="n"/>
      <c r="Y115" s="205" t="n"/>
      <c r="Z115" s="205" t="n"/>
      <c r="AA115" s="205" t="n"/>
      <c r="AB115" s="205" t="n"/>
      <c r="AC115" s="205" t="n"/>
      <c r="AD115" s="205" t="n"/>
      <c r="AE115" s="205" t="n"/>
      <c r="AF115" s="205" t="n"/>
      <c r="AG115" s="205" t="n"/>
      <c r="AH115" s="205" t="n"/>
      <c r="AI115" s="202" t="n"/>
    </row>
    <row r="116" ht="51" customHeight="1" s="169">
      <c r="A116" s="192" t="n">
        <v>80</v>
      </c>
      <c r="B116" s="243" t="inlineStr">
        <is>
          <t>Задвижка 30с64нж Ду 100 Ру 25</t>
        </is>
      </c>
      <c r="C116" s="210" t="inlineStr">
        <is>
          <t>ГОСТ 5762-2002</t>
        </is>
      </c>
      <c r="D116" s="210" t="n">
        <v>100</v>
      </c>
      <c r="E116" s="210" t="inlineStr">
        <is>
          <t>стандарт</t>
        </is>
      </c>
      <c r="F116" s="210" t="n">
        <v>2.5</v>
      </c>
      <c r="G116" s="210" t="inlineStr">
        <is>
          <t>от −40°С  до +425°С</t>
        </is>
      </c>
      <c r="H116" s="210" t="inlineStr">
        <is>
          <t>вода, пар, неагрессивные нефтепродукты</t>
        </is>
      </c>
      <c r="I116" s="210" t="inlineStr">
        <is>
          <t>сталь 25л</t>
        </is>
      </c>
      <c r="J116" s="210" t="inlineStr">
        <is>
          <t>У1</t>
        </is>
      </c>
      <c r="K116" s="210" t="inlineStr">
        <is>
          <t>фланцевый</t>
        </is>
      </c>
      <c r="L116" s="210" t="inlineStr">
        <is>
          <t>ручной</t>
        </is>
      </c>
      <c r="M116" s="210" t="inlineStr">
        <is>
          <t>маховик</t>
        </is>
      </c>
      <c r="N116" s="210" t="inlineStr">
        <is>
          <t>горизонтальное, либо вертикальное</t>
        </is>
      </c>
      <c r="O116" s="210" t="inlineStr">
        <is>
          <t>Крышка, клин Ст25Л, шпиндель Ст20х13</t>
        </is>
      </c>
      <c r="P116" s="236" t="n"/>
      <c r="Q116" s="245" t="n"/>
      <c r="R116" s="198">
        <f>A116</f>
        <v/>
      </c>
      <c r="S116" s="205" t="n"/>
      <c r="T116" s="205" t="n"/>
      <c r="U116" s="205" t="n"/>
      <c r="V116" s="205" t="n"/>
      <c r="W116" s="205" t="n"/>
      <c r="X116" s="205" t="n"/>
      <c r="Y116" s="205" t="n"/>
      <c r="Z116" s="205" t="n"/>
      <c r="AA116" s="205" t="n"/>
      <c r="AB116" s="205" t="n"/>
      <c r="AC116" s="205" t="n"/>
      <c r="AD116" s="205" t="n"/>
      <c r="AE116" s="205" t="n"/>
      <c r="AF116" s="205" t="n"/>
      <c r="AG116" s="205" t="n"/>
      <c r="AH116" s="205" t="n"/>
      <c r="AI116" s="202" t="n"/>
    </row>
    <row r="117" ht="51" customHeight="1" s="169">
      <c r="A117" s="192" t="n">
        <v>81</v>
      </c>
      <c r="B117" s="243" t="inlineStr">
        <is>
          <t>Задвижка 30с64нж Ду 150 Ру 25</t>
        </is>
      </c>
      <c r="C117" s="210" t="inlineStr">
        <is>
          <t>ГОСТ 5762-2002</t>
        </is>
      </c>
      <c r="D117" s="210" t="n">
        <v>150</v>
      </c>
      <c r="E117" s="210" t="inlineStr">
        <is>
          <t>стандарт</t>
        </is>
      </c>
      <c r="F117" s="210" t="n">
        <v>2.5</v>
      </c>
      <c r="G117" s="210" t="inlineStr">
        <is>
          <t>от −40°С  до +425°С</t>
        </is>
      </c>
      <c r="H117" s="210" t="inlineStr">
        <is>
          <t>вода, пар, неагрессивные нефтепродукты</t>
        </is>
      </c>
      <c r="I117" s="210" t="inlineStr">
        <is>
          <t>сталь 25л</t>
        </is>
      </c>
      <c r="J117" s="210" t="inlineStr">
        <is>
          <t>У1</t>
        </is>
      </c>
      <c r="K117" s="210" t="inlineStr">
        <is>
          <t>фланцевый</t>
        </is>
      </c>
      <c r="L117" s="210" t="inlineStr">
        <is>
          <t>ручной</t>
        </is>
      </c>
      <c r="M117" s="210" t="inlineStr">
        <is>
          <t>маховик</t>
        </is>
      </c>
      <c r="N117" s="210" t="inlineStr">
        <is>
          <t>горизонтальное, либо вертикальное</t>
        </is>
      </c>
      <c r="O117" s="210" t="inlineStr">
        <is>
          <t>Крышка, клин Ст25Л, шпиндель Ст20х13</t>
        </is>
      </c>
      <c r="P117" s="210" t="n"/>
      <c r="Q117" s="210" t="n"/>
      <c r="R117" s="198">
        <f>A117</f>
        <v/>
      </c>
      <c r="S117" s="205" t="n"/>
      <c r="T117" s="205" t="n"/>
      <c r="U117" s="205" t="n"/>
      <c r="V117" s="205" t="n"/>
      <c r="W117" s="205" t="n"/>
      <c r="X117" s="205" t="n"/>
      <c r="Y117" s="205" t="n"/>
      <c r="Z117" s="205" t="n"/>
      <c r="AA117" s="205" t="n"/>
      <c r="AB117" s="205" t="n"/>
      <c r="AC117" s="205" t="n"/>
      <c r="AD117" s="205" t="n"/>
      <c r="AE117" s="205" t="n"/>
      <c r="AF117" s="205" t="n"/>
      <c r="AG117" s="205" t="n"/>
      <c r="AH117" s="205" t="n"/>
      <c r="AI117" s="202" t="n"/>
    </row>
    <row r="118" ht="63.75" customHeight="1" s="169">
      <c r="A118" s="192" t="n">
        <v>82</v>
      </c>
      <c r="B118" s="243" t="inlineStr">
        <is>
          <t>Задвижка 30с64нж Ду 200 Ру 25</t>
        </is>
      </c>
      <c r="C118" s="210" t="inlineStr">
        <is>
          <t>ГОСТ 5762-2002</t>
        </is>
      </c>
      <c r="D118" s="210" t="n">
        <v>200</v>
      </c>
      <c r="E118" s="210" t="inlineStr">
        <is>
          <t>стандарт</t>
        </is>
      </c>
      <c r="F118" s="210" t="n">
        <v>2.5</v>
      </c>
      <c r="G118" s="210" t="inlineStr">
        <is>
          <t>-40…        +425</t>
        </is>
      </c>
      <c r="H118" s="210" t="inlineStr">
        <is>
          <t>Вода, воздух, пар, аммиак,природный газ, нефть,нефтепродукты</t>
        </is>
      </c>
      <c r="I118" s="210" t="inlineStr">
        <is>
          <t>сталь 25Л</t>
        </is>
      </c>
      <c r="J118" s="210" t="inlineStr">
        <is>
          <t>Условия эксплуатации У
Минимальная температура окружающего воздуха: −40°С</t>
        </is>
      </c>
      <c r="K118" s="210" t="inlineStr">
        <is>
          <t>фланец-фланец</t>
        </is>
      </c>
      <c r="L118" s="210" t="inlineStr">
        <is>
          <t xml:space="preserve">Ручное </t>
        </is>
      </c>
      <c r="M118" s="210" t="inlineStr">
        <is>
          <t>Маховик</t>
        </is>
      </c>
      <c r="N118" s="210" t="inlineStr">
        <is>
          <t>Вертикально маховиком вверх, горизонтально</t>
        </is>
      </c>
      <c r="O118" s="210" t="inlineStr">
        <is>
          <t>С КОФ. Корпус, клин, крышка, маховик -  только сталь 20Л или 25Л,  шпиндель - сталь 20Х13, наплавка на кольце в корпусе и наплавка на клине 07Х25Н13 или схожая по свойствам, прокладка и сальниковое уплотнение только ТРГ</t>
        </is>
      </c>
      <c r="P118" s="210" t="n"/>
      <c r="Q118" s="210" t="n"/>
      <c r="R118" s="198">
        <f>A118</f>
        <v/>
      </c>
      <c r="S118" s="205" t="n"/>
      <c r="T118" s="205" t="n"/>
      <c r="U118" s="205" t="n"/>
      <c r="V118" s="205" t="n"/>
      <c r="W118" s="205" t="n"/>
      <c r="X118" s="205" t="n"/>
      <c r="Y118" s="205" t="n"/>
      <c r="Z118" s="205" t="n"/>
      <c r="AA118" s="205" t="n"/>
      <c r="AB118" s="205" t="n"/>
      <c r="AC118" s="205" t="n"/>
      <c r="AD118" s="205" t="n"/>
      <c r="AE118" s="205" t="n"/>
      <c r="AF118" s="205" t="n"/>
      <c r="AG118" s="205" t="n"/>
      <c r="AH118" s="205" t="n"/>
      <c r="AI118" s="202" t="n"/>
    </row>
    <row r="119" ht="76.5" customHeight="1" s="169">
      <c r="A119" s="192" t="n">
        <v>83</v>
      </c>
      <c r="B119" s="243" t="inlineStr">
        <is>
          <t>Задвижка 30с64нж Ду 250 Ру 25</t>
        </is>
      </c>
      <c r="C119" s="210" t="inlineStr">
        <is>
          <t>ГОСТ 5762-2002</t>
        </is>
      </c>
      <c r="D119" s="210" t="n">
        <v>250</v>
      </c>
      <c r="E119" s="210" t="inlineStr">
        <is>
          <t>стандарт</t>
        </is>
      </c>
      <c r="F119" s="210" t="n">
        <v>2.5</v>
      </c>
      <c r="G119" s="210" t="inlineStr">
        <is>
          <t>до +425</t>
        </is>
      </c>
      <c r="H119" s="210" t="inlineStr">
        <is>
          <t>вода, пар, нефть, природный газ, жидкие и газообразные неагрессивные нефтепродукты</t>
        </is>
      </c>
      <c r="I119" s="210" t="inlineStr">
        <is>
          <t>сталь 25Л</t>
        </is>
      </c>
      <c r="J119" s="210" t="inlineStr">
        <is>
          <t>У1</t>
        </is>
      </c>
      <c r="K119" s="210" t="inlineStr">
        <is>
          <t>фланцевый</t>
        </is>
      </c>
      <c r="L119" s="210" t="inlineStr">
        <is>
          <t xml:space="preserve">ручной </t>
        </is>
      </c>
      <c r="M119" s="210" t="inlineStr">
        <is>
          <t>Маховик</t>
        </is>
      </c>
      <c r="N119" s="210" t="inlineStr">
        <is>
          <t>любое, кроме маховиком вниз</t>
        </is>
      </c>
      <c r="O119" s="210" t="inlineStr">
        <is>
          <t>Корпус, Крышка, Клин, Маховик - Сталь 25Л Шпиндель - Сталь 20Х13 Прокладка и уплотнение - ТРГ Наплавка на кольце в корпусе и на клине - Сталь 20Х13</t>
        </is>
      </c>
      <c r="P119" s="210" t="n"/>
      <c r="Q119" s="210" t="n"/>
      <c r="R119" s="198">
        <f>A119</f>
        <v/>
      </c>
      <c r="S119" s="205" t="n"/>
      <c r="T119" s="205" t="n"/>
      <c r="U119" s="205" t="n"/>
      <c r="V119" s="205" t="n"/>
      <c r="W119" s="205" t="n"/>
      <c r="X119" s="205" t="n"/>
      <c r="Y119" s="205" t="n"/>
      <c r="Z119" s="205" t="n"/>
      <c r="AA119" s="205" t="n"/>
      <c r="AB119" s="205" t="n"/>
      <c r="AC119" s="205" t="n"/>
      <c r="AD119" s="205" t="n"/>
      <c r="AE119" s="205" t="n"/>
      <c r="AF119" s="205" t="n"/>
      <c r="AG119" s="205" t="n"/>
      <c r="AH119" s="205" t="n"/>
      <c r="AI119" s="202" t="n"/>
    </row>
    <row r="120" ht="76.5" customHeight="1" s="169">
      <c r="A120" s="192" t="n">
        <v>84</v>
      </c>
      <c r="B120" s="243" t="inlineStr">
        <is>
          <t>Задвижка 30с64нж Ду 300 Ру 25</t>
        </is>
      </c>
      <c r="C120" s="210" t="inlineStr">
        <is>
          <t>ГОСТ 5762-2002</t>
        </is>
      </c>
      <c r="D120" s="210" t="n">
        <v>300</v>
      </c>
      <c r="E120" s="210" t="inlineStr">
        <is>
          <t>стандарт</t>
        </is>
      </c>
      <c r="F120" s="210" t="n">
        <v>2.5</v>
      </c>
      <c r="G120" s="210" t="inlineStr">
        <is>
          <t>до +425</t>
        </is>
      </c>
      <c r="H120" s="210" t="inlineStr">
        <is>
          <t>вода, пар, нефть, природный газ, жидкие и газообразные неагрессивные нефтепродукты</t>
        </is>
      </c>
      <c r="I120" s="210" t="inlineStr">
        <is>
          <t>сталь 25Л</t>
        </is>
      </c>
      <c r="J120" s="210" t="inlineStr">
        <is>
          <t>У1</t>
        </is>
      </c>
      <c r="K120" s="210" t="inlineStr">
        <is>
          <t>фланцевый</t>
        </is>
      </c>
      <c r="L120" s="210" t="inlineStr">
        <is>
          <t>ручной (маховик)</t>
        </is>
      </c>
      <c r="M120" s="210" t="inlineStr">
        <is>
          <t>-</t>
        </is>
      </c>
      <c r="N120" s="210" t="inlineStr">
        <is>
          <t>любое, кроме маховиком вниз</t>
        </is>
      </c>
      <c r="O120" s="210" t="inlineStr">
        <is>
          <t>Корпус, Крышка, Клин, Маховик - Сталь 25Л Шпиндель - Сталь 20Х13 Прокладка и уплотнение - ТРГ Наплавка на кольце в корпусе и на клине - Сталь 20Х13</t>
        </is>
      </c>
      <c r="P120" s="210" t="n"/>
      <c r="Q120" s="210" t="n"/>
      <c r="R120" s="198">
        <f>A120</f>
        <v/>
      </c>
      <c r="S120" s="205" t="n"/>
      <c r="T120" s="205" t="n"/>
      <c r="U120" s="205" t="n"/>
      <c r="V120" s="205" t="n"/>
      <c r="W120" s="205" t="n"/>
      <c r="X120" s="205" t="n"/>
      <c r="Y120" s="205" t="n"/>
      <c r="Z120" s="205" t="n"/>
      <c r="AA120" s="205" t="n"/>
      <c r="AB120" s="205" t="n"/>
      <c r="AC120" s="205" t="n"/>
      <c r="AD120" s="205" t="n"/>
      <c r="AE120" s="205" t="n"/>
      <c r="AF120" s="205" t="n"/>
      <c r="AG120" s="205" t="n"/>
      <c r="AH120" s="205" t="n"/>
      <c r="AI120" s="202" t="n"/>
    </row>
    <row r="121" ht="76.5" customHeight="1" s="169">
      <c r="A121" s="192" t="n">
        <v>85</v>
      </c>
      <c r="B121" s="243" t="inlineStr">
        <is>
          <t>Задвижка 30с76нж Ду 200 Ру 63</t>
        </is>
      </c>
      <c r="C121" s="210" t="inlineStr">
        <is>
          <t>ГОСТ 5762-2002</t>
        </is>
      </c>
      <c r="D121" s="210" t="n">
        <v>200</v>
      </c>
      <c r="E121" s="210" t="inlineStr">
        <is>
          <t>стандарт</t>
        </is>
      </c>
      <c r="F121" s="210" t="n">
        <v>6.3</v>
      </c>
      <c r="G121" s="210" t="inlineStr">
        <is>
          <t>от -40 до + 425</t>
        </is>
      </c>
      <c r="H121" s="210" t="inlineStr">
        <is>
          <t>вода, пар, нефть, природный газ, жидкие и газообразные неагрессивные нефтепродукты</t>
        </is>
      </c>
      <c r="I121" s="210" t="inlineStr">
        <is>
          <t>сталь 25Л</t>
        </is>
      </c>
      <c r="J121" s="210" t="inlineStr">
        <is>
          <t>У1</t>
        </is>
      </c>
      <c r="K121" s="210" t="inlineStr">
        <is>
          <t>фланец-фланец</t>
        </is>
      </c>
      <c r="L121" s="210" t="inlineStr">
        <is>
          <t>ручной (маховик)</t>
        </is>
      </c>
      <c r="M121" s="210" t="inlineStr">
        <is>
          <t>-</t>
        </is>
      </c>
      <c r="N121" s="210" t="inlineStr">
        <is>
          <t>любое, кроме маховиком вниз</t>
        </is>
      </c>
      <c r="O121" s="210" t="inlineStr">
        <is>
          <t>Корпус, Крышка, Клин, Маховик - Сталь 25Л Шпиндель - Сталь 20Х13 Прокладка и уплотнение - ТРГ Наплавка на кольце в корпусе и на клине - Сталь 20Х13</t>
        </is>
      </c>
      <c r="P121" s="210" t="n"/>
      <c r="Q121" s="210" t="n"/>
      <c r="R121" s="198">
        <f>A121</f>
        <v/>
      </c>
      <c r="S121" s="205" t="n"/>
      <c r="T121" s="205" t="n"/>
      <c r="U121" s="205" t="n"/>
      <c r="V121" s="205" t="n"/>
      <c r="W121" s="205" t="n"/>
      <c r="X121" s="205" t="n"/>
      <c r="Y121" s="205" t="n"/>
      <c r="Z121" s="205" t="n"/>
      <c r="AA121" s="205" t="n"/>
      <c r="AB121" s="205" t="n"/>
      <c r="AC121" s="205" t="n"/>
      <c r="AD121" s="205" t="n"/>
      <c r="AE121" s="205" t="n"/>
      <c r="AF121" s="205" t="n"/>
      <c r="AG121" s="205" t="n"/>
      <c r="AH121" s="205" t="n"/>
      <c r="AI121" s="202" t="n"/>
    </row>
    <row r="122" ht="229.5" customHeight="1" s="169">
      <c r="A122" s="192" t="n">
        <v>86</v>
      </c>
      <c r="B122" s="193" t="inlineStr">
        <is>
          <t>Задвижка 30с927нж Ду 250 Ру 25 с электроприводом</t>
        </is>
      </c>
      <c r="C122" s="210" t="inlineStr">
        <is>
          <t xml:space="preserve">ТУ-3740-002-99521253-2012. </t>
        </is>
      </c>
      <c r="D122" s="210" t="n">
        <v>250</v>
      </c>
      <c r="E122" s="210" t="inlineStr">
        <is>
          <t>полнопроходной</t>
        </is>
      </c>
      <c r="F122" s="210" t="n">
        <v>2.5</v>
      </c>
      <c r="G122" s="210" t="inlineStr">
        <is>
          <t>от -40 до + 425°С</t>
        </is>
      </c>
      <c r="H122" s="210" t="inlineStr">
        <is>
          <t xml:space="preserve">вода, пар,
масло, нефть, жидкие неагрессивные
нефтепродукты, неагрессивные жидкие
среды до </t>
        </is>
      </c>
      <c r="I122" s="210" t="inlineStr">
        <is>
          <t>Сталь 25Л</t>
        </is>
      </c>
      <c r="J122" s="210" t="inlineStr">
        <is>
          <t>У1 по ГОСТ 15150</t>
        </is>
      </c>
      <c r="K122" s="210" t="inlineStr">
        <is>
          <t xml:space="preserve">фланцевое, исполнение – по ГОСТ 33259. </t>
        </is>
      </c>
      <c r="L122" s="210" t="inlineStr">
        <is>
          <t>электропривод</t>
        </is>
      </c>
      <c r="M122" s="210" t="inlineStr">
        <is>
          <t>Тип присоединеия-Б; Крутящий момент, Нм-100-300</t>
        </is>
      </c>
      <c r="N122" s="210" t="inlineStr">
        <is>
          <t xml:space="preserve">Арматура, оснащенная электрическим приводом, устанавливается управляющим органом вверх. Допускается монтаж в наклонном положении, кроме «электроприводом вниз» - в этом случае требуется обеспечить опору для снятия нагрузки с бугельного узла. </t>
        </is>
      </c>
      <c r="O122" s="210" t="inlineStr">
        <is>
          <t>Шпиндель  20Х13;
 Прокладка  ТРГ;
Крышка, Маховик  25Л;
Гайка  Ст25;
Сальниковое уплотнение  ТРГ;
Ось, Болт, Шпилька  Ст35;
Втулка сальника  Ст20;
Гайка ходовая  ЛС59-1;
Гайка шлицевая  Ст35;</t>
        </is>
      </c>
      <c r="P122" s="210" t="inlineStr">
        <is>
          <t>L=450мм; H=700мм без электропривода</t>
        </is>
      </c>
      <c r="Q122" s="210" t="n"/>
      <c r="R122" s="198">
        <f>A122</f>
        <v/>
      </c>
      <c r="S122" s="205" t="n"/>
      <c r="T122" s="205" t="n"/>
      <c r="U122" s="205" t="n"/>
      <c r="V122" s="205" t="n"/>
      <c r="W122" s="205" t="n"/>
      <c r="X122" s="205" t="n"/>
      <c r="Y122" s="205" t="n"/>
      <c r="Z122" s="205" t="n"/>
      <c r="AA122" s="205" t="n"/>
      <c r="AB122" s="205" t="n"/>
      <c r="AC122" s="205" t="n"/>
      <c r="AD122" s="205" t="n"/>
      <c r="AE122" s="205" t="n"/>
      <c r="AF122" s="205" t="n"/>
      <c r="AG122" s="205" t="n"/>
      <c r="AH122" s="205" t="n"/>
      <c r="AI122" s="202" t="n"/>
    </row>
    <row r="123" ht="216.75" customHeight="1" s="169">
      <c r="A123" s="192" t="n">
        <v>87</v>
      </c>
      <c r="B123" s="193" t="inlineStr">
        <is>
          <t>Задвижка 30с941нж Ду 150 Ру 16 с электроприводом</t>
        </is>
      </c>
      <c r="C123" s="210" t="inlineStr">
        <is>
          <t>ТУ 28.14.11-001-27709620-2022ТУ 28.14.11-001-27709620-2022</t>
        </is>
      </c>
      <c r="D123" s="210" t="n">
        <v>150</v>
      </c>
      <c r="E123" s="210" t="inlineStr">
        <is>
          <t>полнопроходной</t>
        </is>
      </c>
      <c r="F123" s="210" t="n">
        <v>1.6</v>
      </c>
      <c r="G123" s="210" t="inlineStr">
        <is>
          <t>от -40 до + 425°С</t>
        </is>
      </c>
      <c r="H123" s="210" t="inlineStr">
        <is>
          <t xml:space="preserve">вода, пар,
масло, нефть, жидкие неагрессивные
нефтепродукты, неагрессивные жидкие
среды до </t>
        </is>
      </c>
      <c r="I123" s="210" t="inlineStr">
        <is>
          <t xml:space="preserve">Сталь 35Л ГОСТ
977-88 </t>
        </is>
      </c>
      <c r="J123" s="210" t="inlineStr">
        <is>
          <t>ТУ 3714-007-82556046-2007. "У"</t>
        </is>
      </c>
      <c r="K123" s="210" t="inlineStr">
        <is>
          <t>фланцевое</t>
        </is>
      </c>
      <c r="L123" s="210" t="inlineStr">
        <is>
          <t xml:space="preserve"> 
МНОГООБОРОТНЫЙ ЭЛЕКТРОПРИВОД
ГЗ-А.150
</t>
        </is>
      </c>
      <c r="M123" s="210" t="inlineStr">
        <is>
          <t xml:space="preserve">Условное обозначение:ГЗ-А.150;       Тип присоедин. к арматуре по ОСТ 26-07-763-73 "А";                         Номинальный крутящий момент на выходном валу Нм (кгс*м) 150 (15); Частота вращения вала, об/мин. Стандарт 24,  По заказу 18,36,48; Электродвигатель  Мощность кВт 0,37, Номинальный ток  (А) 2,5 Пусковой ток ( А) 8,84;
</t>
        </is>
      </c>
      <c r="N123" s="210" t="n"/>
      <c r="O123" s="210" t="inlineStr">
        <is>
          <t>Крышка Сталь 35Л ГОСТ
977-88; Клин Сталь 35Л ГОСТ
977-88 ; Шпиндель Сталь 45ГОСТ 1050-88;Уплотнительная
прокладка
терморасширенный
графит (армир); Набивка
уплотнительная
терморасширенный
графит (армир);Крышка
сальника
Сталь 35Л ГОСТ
977-88; Упорная гайка Сталь 20Л ГОСТ
977-88; Пятикулачковая
муфта
Латунь Ц38МЦ2С2
ГОСТ17711-93</t>
        </is>
      </c>
      <c r="P123" s="210" t="inlineStr">
        <is>
          <t>L=280мм; H=520мм</t>
        </is>
      </c>
      <c r="Q123" s="210" t="inlineStr">
        <is>
          <t>нж - уплотнения из нержавеющей стали.</t>
        </is>
      </c>
      <c r="R123" s="198">
        <f>A123</f>
        <v/>
      </c>
      <c r="S123" s="205" t="n"/>
      <c r="T123" s="205" t="n"/>
      <c r="U123" s="205" t="n"/>
      <c r="V123" s="205" t="n"/>
      <c r="W123" s="205" t="n"/>
      <c r="X123" s="205" t="n"/>
      <c r="Y123" s="205" t="n"/>
      <c r="Z123" s="205" t="n"/>
      <c r="AA123" s="205" t="n"/>
      <c r="AB123" s="205" t="n"/>
      <c r="AC123" s="205" t="n"/>
      <c r="AD123" s="205" t="n"/>
      <c r="AE123" s="205" t="n"/>
      <c r="AF123" s="205" t="n"/>
      <c r="AG123" s="205" t="n"/>
      <c r="AH123" s="205" t="n"/>
      <c r="AI123" s="202" t="n"/>
    </row>
    <row r="124" ht="153" customHeight="1" s="169">
      <c r="A124" s="192" t="n">
        <v>88</v>
      </c>
      <c r="B124" s="193" t="inlineStr">
        <is>
          <t>Задвижка 30с964нж Ду 150 Ру 25 с электроприводом</t>
        </is>
      </c>
      <c r="C124" s="210" t="inlineStr">
        <is>
          <t>ТУ 3741-003-43179794-2009.</t>
        </is>
      </c>
      <c r="D124" s="210" t="n">
        <v>150</v>
      </c>
      <c r="E124" s="210" t="inlineStr">
        <is>
          <t>полнопроходной</t>
        </is>
      </c>
      <c r="F124" s="210" t="n">
        <v>2.5</v>
      </c>
      <c r="G124" s="210" t="inlineStr">
        <is>
          <t>от -40 до + 425</t>
        </is>
      </c>
      <c r="H124" s="210" t="inlineStr">
        <is>
          <t>Вода , пар, воздух, нгефть, масло,</t>
        </is>
      </c>
      <c r="I124" s="210" t="inlineStr">
        <is>
          <t>сталь 25Л</t>
        </is>
      </c>
      <c r="J124" s="210" t="inlineStr">
        <is>
          <t>по ГОСТ 15150-69. У1</t>
        </is>
      </c>
      <c r="K124" s="210" t="inlineStr">
        <is>
          <t>фланец-фланец</t>
        </is>
      </c>
      <c r="L124" s="210" t="inlineStr">
        <is>
          <t>электропривод DN.ru МТ-100-220, 220В</t>
        </is>
      </c>
      <c r="M124" s="210" t="inlineStr">
        <is>
          <t>тип присоединения электродвигателя-Б; Крутящий момент привода - 100 Нм
    ○ Напряжение питания - 220 В
    ○ Номинальный потребляемый ток - 1.8А
    Датчик обратной связи - Концевые выключатели
    Степень защиты корпуса - IP67
    Взрывозащита корпуса - нет
    ○ Тип ISO-фланца привода - F10, F14</t>
        </is>
      </c>
      <c r="N124" s="210" t="inlineStr">
        <is>
          <t xml:space="preserve">Электроприводом  вверх, но
допускается отклонение до 90° в любую сторону для задвижек до
DN 150 включительно, </t>
        </is>
      </c>
      <c r="O124" s="210" t="inlineStr">
        <is>
          <t>Шпиндель-20Х13; клин (диски)-сталь25; набивка сальника ТРГ; наплавка на клине-13Х25Т, 10Х17Т;</t>
        </is>
      </c>
      <c r="P124" s="210" t="inlineStr">
        <is>
          <t>L=403мм; H=576мм</t>
        </is>
      </c>
      <c r="Q124" s="197" t="n"/>
      <c r="R124" s="198">
        <f>A124</f>
        <v/>
      </c>
      <c r="S124" s="205" t="n"/>
      <c r="T124" s="205" t="n"/>
      <c r="U124" s="205" t="n"/>
      <c r="V124" s="205" t="n"/>
      <c r="W124" s="205" t="n"/>
      <c r="X124" s="205" t="n"/>
      <c r="Y124" s="205" t="n"/>
      <c r="Z124" s="205" t="n"/>
      <c r="AA124" s="205" t="n"/>
      <c r="AB124" s="205" t="n"/>
      <c r="AC124" s="205" t="n"/>
      <c r="AD124" s="205" t="n"/>
      <c r="AE124" s="205" t="n"/>
      <c r="AF124" s="205" t="n"/>
      <c r="AG124" s="205" t="n"/>
      <c r="AH124" s="205" t="n"/>
      <c r="AI124" s="202" t="n"/>
    </row>
    <row r="125" ht="153" customHeight="1" s="169">
      <c r="A125" s="192" t="n">
        <v>89</v>
      </c>
      <c r="B125" s="193" t="inlineStr">
        <is>
          <t>Задвижка 30с964нж Ду 400 Ру 25</t>
        </is>
      </c>
      <c r="C125" s="210" t="inlineStr">
        <is>
          <t>ТУ 28.14.11-001-27709620-2022ТУ 28.14.11-001-27709620-2022</t>
        </is>
      </c>
      <c r="D125" s="210" t="n">
        <v>400</v>
      </c>
      <c r="E125" s="210" t="inlineStr">
        <is>
          <t>стандарт</t>
        </is>
      </c>
      <c r="F125" s="210" t="n">
        <v>2.5</v>
      </c>
      <c r="G125" s="246" t="inlineStr">
        <is>
          <t>от -40 до + 425</t>
        </is>
      </c>
      <c r="H125" s="210" t="inlineStr">
        <is>
          <t>вода, пар</t>
        </is>
      </c>
      <c r="I125" s="210" t="inlineStr">
        <is>
          <t>сталь 25Л</t>
        </is>
      </c>
      <c r="J125" s="210" t="inlineStr">
        <is>
          <t>У1</t>
        </is>
      </c>
      <c r="K125" s="210" t="inlineStr">
        <is>
          <t>фланец-фланец</t>
        </is>
      </c>
      <c r="L125" s="210" t="inlineStr">
        <is>
          <t>под электропривод</t>
        </is>
      </c>
      <c r="M125" s="210" t="inlineStr">
        <is>
          <t>AUMA SA 16.1-G3 или аналог</t>
        </is>
      </c>
      <c r="N125" s="210" t="inlineStr">
        <is>
          <t>любое</t>
        </is>
      </c>
      <c r="O125" s="210" t="inlineStr">
        <is>
          <t>Крышка: сталь 25Л Клин (диски): сталь 25Л  Шпиндель: 20Х13 Гайка шпинделя: латунь ЛС59-1 Гайка: углеродистая сталь ГОСТ 1050—88 класс прочности не ниже 5.6 по ГОСТ 1759.5—87 Шпилька, болт: углеродистая сталь ГОСТ 1050—88 класс прочности не ниже 5.6 по ГОСТ 1759.5—87 Болт откидной: сталь 35 Уплотнение между корпусом и крышкой (прокладка, кольцо): паронит, ТРГ Набивка сальника: АГИ, ТРГ Подшипник: шариковый упорный Наплавка на кольце в корпусе: 07Х25Н13, 08Х21Н10Г6 Наплавка на клине: 13Х25Т, 10Х17Т</t>
        </is>
      </c>
      <c r="P125" s="210" t="inlineStr">
        <is>
          <t>600*1425</t>
        </is>
      </c>
      <c r="Q125" s="210" t="inlineStr">
        <is>
          <t>В комплекте с крепежом и ответными фланцами (с КОФ).Под электропривод AUMA или аналог.</t>
        </is>
      </c>
      <c r="R125" s="198">
        <f>A125</f>
        <v/>
      </c>
      <c r="S125" s="205" t="n"/>
      <c r="T125" s="205" t="n"/>
      <c r="U125" s="205" t="n"/>
      <c r="V125" s="205" t="n"/>
      <c r="W125" s="205" t="n"/>
      <c r="X125" s="205" t="n"/>
      <c r="Y125" s="205" t="n"/>
      <c r="Z125" s="205" t="n"/>
      <c r="AA125" s="205" t="n"/>
      <c r="AB125" s="205" t="n"/>
      <c r="AC125" s="205" t="n"/>
      <c r="AD125" s="205" t="n"/>
      <c r="AE125" s="205" t="n"/>
      <c r="AF125" s="205" t="n"/>
      <c r="AG125" s="205" t="n"/>
      <c r="AH125" s="205" t="n"/>
      <c r="AI125" s="202" t="n"/>
    </row>
    <row r="126" ht="153" customHeight="1" s="169">
      <c r="A126" s="192" t="n">
        <v>90</v>
      </c>
      <c r="B126" s="193" t="inlineStr">
        <is>
          <t>Задвижка стальная 30с964нж Ду 100 Ру 25 с электроприводом  МТ-100-220, 220В</t>
        </is>
      </c>
      <c r="C126" s="210" t="inlineStr">
        <is>
          <t>ГОСТ3706-93</t>
        </is>
      </c>
      <c r="D126" s="210" t="n">
        <v>100</v>
      </c>
      <c r="E126" s="210" t="inlineStr">
        <is>
          <t>полнопроходной</t>
        </is>
      </c>
      <c r="F126" s="210" t="n">
        <v>25</v>
      </c>
      <c r="G126" s="210" t="inlineStr">
        <is>
          <t xml:space="preserve"> от -40 до + 425</t>
        </is>
      </c>
      <c r="H126" s="210" t="inlineStr">
        <is>
          <t>Вода , пар, воздух, нгефть, масло,</t>
        </is>
      </c>
      <c r="I126" s="210" t="inlineStr">
        <is>
          <t>сталь 25Л</t>
        </is>
      </c>
      <c r="J126" s="210" t="inlineStr">
        <is>
          <t>по ГОСТ 15150-69.</t>
        </is>
      </c>
      <c r="K126" s="210" t="inlineStr">
        <is>
          <t>фланец-фланец</t>
        </is>
      </c>
      <c r="L126" s="210" t="inlineStr">
        <is>
          <t>МТ-100-220, 220В</t>
        </is>
      </c>
      <c r="M126" s="210" t="inlineStr">
        <is>
          <t>тип присоединения электродвигателя-А; Крутящий момент привода - 100 Нм
    ○ Напряжение питания - 220 В
    ○ Номинальный потребляемый ток - 1.8А
    Датчик обратной связи - Концевые выключатели
    Степень защиты корпуса - IP67
    Взрывозащита корпуса - нет
    ○ Тип ISO-фланца привода - F10, F14</t>
        </is>
      </c>
      <c r="N126" s="210" t="inlineStr">
        <is>
          <t>любое</t>
        </is>
      </c>
      <c r="O126" s="210" t="inlineStr">
        <is>
          <t>Шпиндель-20Х13; клин (диски)-сталь25; набивка сальника ТРГ; наплавка на клине-13Х25Т, 10Х17Т;</t>
        </is>
      </c>
      <c r="P126" s="210" t="n"/>
      <c r="Q126" s="210" t="inlineStr">
        <is>
          <t>Класс герметичности по ГОСТ 9544-2015 - "A"</t>
        </is>
      </c>
      <c r="R126" s="198">
        <f>A126</f>
        <v/>
      </c>
      <c r="S126" s="205" t="n"/>
      <c r="T126" s="205" t="n"/>
      <c r="U126" s="205" t="n"/>
      <c r="V126" s="205" t="n"/>
      <c r="W126" s="205" t="n"/>
      <c r="X126" s="205" t="n"/>
      <c r="Y126" s="205" t="n"/>
      <c r="Z126" s="205" t="n"/>
      <c r="AA126" s="205" t="n"/>
      <c r="AB126" s="205" t="n"/>
      <c r="AC126" s="205" t="n"/>
      <c r="AD126" s="205" t="n"/>
      <c r="AE126" s="205" t="n"/>
      <c r="AF126" s="205" t="n"/>
      <c r="AG126" s="205" t="n"/>
      <c r="AH126" s="205" t="n"/>
      <c r="AI126" s="202" t="n"/>
    </row>
    <row r="127" ht="51" customHeight="1" s="169">
      <c r="A127" s="192" t="n">
        <v>91</v>
      </c>
      <c r="B127" s="193" t="inlineStr">
        <is>
          <t>Задвижка 30с99нж Ду 50 Ру 25</t>
        </is>
      </c>
      <c r="C127" s="210" t="inlineStr">
        <is>
          <t>ТУ 26-07-412-87</t>
        </is>
      </c>
      <c r="D127" s="210" t="n">
        <v>50</v>
      </c>
      <c r="E127" s="210" t="inlineStr">
        <is>
          <t>полнопроходной</t>
        </is>
      </c>
      <c r="F127" s="210" t="n">
        <v>25</v>
      </c>
      <c r="G127" s="210" t="inlineStr">
        <is>
          <t xml:space="preserve"> от -40 до + до 425</t>
        </is>
      </c>
      <c r="H127" s="210" t="inlineStr">
        <is>
          <t>Вода , пар, воздух, нгефть, масло,</t>
        </is>
      </c>
      <c r="I127" s="210" t="inlineStr">
        <is>
          <t>углеродистая сталь (20Л, 25Л по ГОСТ 977-88)</t>
        </is>
      </c>
      <c r="J127" s="210" t="inlineStr">
        <is>
          <t>по ГОСТ 15150-69.</t>
        </is>
      </c>
      <c r="K127" s="210" t="inlineStr">
        <is>
          <t>фланцевое (фланцы по ГОСТ 33259-2015)</t>
        </is>
      </c>
      <c r="L127" s="210" t="inlineStr">
        <is>
          <t>ручное</t>
        </is>
      </c>
      <c r="M127" s="210" t="inlineStr">
        <is>
          <t>маховик</t>
        </is>
      </c>
      <c r="N127" s="210" t="inlineStr">
        <is>
          <t>любое</t>
        </is>
      </c>
      <c r="O127" s="210" t="inlineStr">
        <is>
          <t>Шпиндель-20Х13; клин (диски)-сталь25; набивка сальника ТРГ; наплавка на клинеи в корпусе 20Х13;</t>
        </is>
      </c>
      <c r="P127" s="210" t="inlineStr">
        <is>
          <t>L=250мм; H=410мм</t>
        </is>
      </c>
      <c r="Q127" s="197" t="n"/>
      <c r="R127" s="198">
        <f>A127</f>
        <v/>
      </c>
      <c r="S127" s="205" t="n"/>
      <c r="T127" s="205" t="n"/>
      <c r="U127" s="205" t="n"/>
      <c r="V127" s="205" t="n"/>
      <c r="W127" s="205" t="n"/>
      <c r="X127" s="205" t="n"/>
      <c r="Y127" s="205" t="n"/>
      <c r="Z127" s="205" t="n"/>
      <c r="AA127" s="205" t="n"/>
      <c r="AB127" s="205" t="n"/>
      <c r="AC127" s="205" t="n"/>
      <c r="AD127" s="205" t="n"/>
      <c r="AE127" s="205" t="n"/>
      <c r="AF127" s="205" t="n"/>
      <c r="AG127" s="205" t="n"/>
      <c r="AH127" s="205" t="n"/>
      <c r="AI127" s="202" t="n"/>
    </row>
    <row r="128" ht="51" customHeight="1" s="169">
      <c r="A128" s="192" t="n">
        <v>92</v>
      </c>
      <c r="B128" s="193" t="inlineStr">
        <is>
          <t>Задвижка 30с99нж Ду 80 Ру 25</t>
        </is>
      </c>
      <c r="C128" s="210" t="inlineStr">
        <is>
          <t>ТУ 26-07-412-87</t>
        </is>
      </c>
      <c r="D128" s="210" t="n">
        <v>80</v>
      </c>
      <c r="E128" s="210" t="inlineStr">
        <is>
          <t>полнопроходной</t>
        </is>
      </c>
      <c r="F128" s="210" t="n">
        <v>25</v>
      </c>
      <c r="G128" s="210" t="inlineStr">
        <is>
          <t xml:space="preserve"> от -40 до + до 425</t>
        </is>
      </c>
      <c r="H128" s="210" t="inlineStr">
        <is>
          <t>Вода , пар, воздух, нгефть, масло,</t>
        </is>
      </c>
      <c r="I128" s="210" t="inlineStr">
        <is>
          <t>углеродистая сталь (20Л, 25Л по ГОСТ 977-88)</t>
        </is>
      </c>
      <c r="J128" s="210" t="inlineStr">
        <is>
          <t>по ГОСТ 15150-69.</t>
        </is>
      </c>
      <c r="K128" s="210" t="inlineStr">
        <is>
          <t>фланцевое (фланцы по ГОСТ 33259-2015)</t>
        </is>
      </c>
      <c r="L128" s="210" t="inlineStr">
        <is>
          <t>ручное</t>
        </is>
      </c>
      <c r="M128" s="210" t="inlineStr">
        <is>
          <t>маховик</t>
        </is>
      </c>
      <c r="N128" s="210" t="inlineStr">
        <is>
          <t>любое</t>
        </is>
      </c>
      <c r="O128" s="210" t="inlineStr">
        <is>
          <t>Шпиндель-20Х13; клин (диски)-сталь25; набивка сальника ТРГ; наплавка на клинеи в корпусе 20Х13;</t>
        </is>
      </c>
      <c r="P128" s="210" t="inlineStr">
        <is>
          <t>L=280мм; H=515мм</t>
        </is>
      </c>
      <c r="Q128" s="210" t="n"/>
      <c r="R128" s="198">
        <f>A128</f>
        <v/>
      </c>
      <c r="S128" s="205" t="n"/>
      <c r="T128" s="205" t="n"/>
      <c r="U128" s="205" t="n"/>
      <c r="V128" s="205" t="n"/>
      <c r="W128" s="205" t="n"/>
      <c r="X128" s="205" t="n"/>
      <c r="Y128" s="205" t="n"/>
      <c r="Z128" s="205" t="n"/>
      <c r="AA128" s="205" t="n"/>
      <c r="AB128" s="205" t="n"/>
      <c r="AC128" s="205" t="n"/>
      <c r="AD128" s="205" t="n"/>
      <c r="AE128" s="205" t="n"/>
      <c r="AF128" s="205" t="n"/>
      <c r="AG128" s="205" t="n"/>
      <c r="AH128" s="205" t="n"/>
      <c r="AI128" s="202" t="n"/>
    </row>
    <row r="129" ht="51" customHeight="1" s="169">
      <c r="A129" s="192" t="n">
        <v>93</v>
      </c>
      <c r="B129" s="193" t="inlineStr">
        <is>
          <t>Задвижка 30ч6бр Ду 50 Ру 10</t>
        </is>
      </c>
      <c r="C129" s="210" t="inlineStr">
        <is>
          <t>ГОСТ 5762-2002</t>
        </is>
      </c>
      <c r="D129" s="210" t="n">
        <v>50</v>
      </c>
      <c r="E129" s="210" t="inlineStr">
        <is>
          <t>полнопроходной</t>
        </is>
      </c>
      <c r="F129" s="210" t="n">
        <v>1</v>
      </c>
      <c r="G129" s="210" t="inlineStr">
        <is>
          <t>до +225°С</t>
        </is>
      </c>
      <c r="H129" s="210" t="inlineStr">
        <is>
          <t>Вода,пар</t>
        </is>
      </c>
      <c r="I129" s="210" t="inlineStr">
        <is>
          <t xml:space="preserve">серый чугун СЧ </t>
        </is>
      </c>
      <c r="J129" s="210" t="inlineStr">
        <is>
          <t>У2, УХЛ4</t>
        </is>
      </c>
      <c r="K129" s="210" t="inlineStr">
        <is>
          <t>фланец-фланец</t>
        </is>
      </c>
      <c r="L129" s="210" t="inlineStr">
        <is>
          <t xml:space="preserve">Ручное </t>
        </is>
      </c>
      <c r="M129" s="210" t="inlineStr">
        <is>
          <t>маховик</t>
        </is>
      </c>
      <c r="N129" s="210" t="inlineStr">
        <is>
          <t>любое</t>
        </is>
      </c>
      <c r="O129" s="210" t="inlineStr">
        <is>
          <t>Материал крышки ,диски,маховик,клин-серый чугун,Шпиндель — Ст 45 ГОСТ 1412</t>
        </is>
      </c>
      <c r="P129" s="210" t="inlineStr">
        <is>
          <t>длина — 180мм</t>
        </is>
      </c>
      <c r="Q129" s="210" t="n"/>
      <c r="R129" s="198">
        <f>A129</f>
        <v/>
      </c>
      <c r="S129" s="205" t="n"/>
      <c r="T129" s="205" t="n"/>
      <c r="U129" s="205" t="n"/>
      <c r="V129" s="205" t="n"/>
      <c r="W129" s="205" t="n"/>
      <c r="X129" s="205" t="n"/>
      <c r="Y129" s="205" t="n"/>
      <c r="Z129" s="205" t="n"/>
      <c r="AA129" s="205" t="n"/>
      <c r="AB129" s="205" t="n"/>
      <c r="AC129" s="205" t="n"/>
      <c r="AD129" s="205" t="n"/>
      <c r="AE129" s="205" t="n"/>
      <c r="AF129" s="205" t="n"/>
      <c r="AG129" s="205" t="n"/>
      <c r="AH129" s="205" t="n"/>
      <c r="AI129" s="202" t="n"/>
    </row>
    <row r="130" ht="51" customHeight="1" s="169">
      <c r="A130" s="192" t="n">
        <v>94</v>
      </c>
      <c r="B130" s="193" t="inlineStr">
        <is>
          <t>Задвижка 30ч6бр Ду 80 Ру 10</t>
        </is>
      </c>
      <c r="C130" s="210" t="inlineStr">
        <is>
          <t xml:space="preserve">ГОСТ 5762-2002,  Гермитичность ГОСТ 9544-2015 </t>
        </is>
      </c>
      <c r="D130" s="210" t="n">
        <v>80</v>
      </c>
      <c r="E130" s="210" t="inlineStr">
        <is>
          <t>полнопроходной</t>
        </is>
      </c>
      <c r="F130" s="210" t="n">
        <v>1</v>
      </c>
      <c r="G130" s="210" t="inlineStr">
        <is>
          <t>до +225°С</t>
        </is>
      </c>
      <c r="H130" s="210" t="inlineStr">
        <is>
          <t>Вода,пар</t>
        </is>
      </c>
      <c r="I130" s="210" t="inlineStr">
        <is>
          <t xml:space="preserve">серый чугун СЧ </t>
        </is>
      </c>
      <c r="J130" s="210" t="inlineStr">
        <is>
          <t>У2, УХЛ4</t>
        </is>
      </c>
      <c r="K130" s="210" t="inlineStr">
        <is>
          <t>фланец-фланец</t>
        </is>
      </c>
      <c r="L130" s="210" t="inlineStr">
        <is>
          <t xml:space="preserve">Ручное </t>
        </is>
      </c>
      <c r="M130" s="210" t="inlineStr">
        <is>
          <t>маховик</t>
        </is>
      </c>
      <c r="N130" s="210" t="inlineStr">
        <is>
          <t>любое</t>
        </is>
      </c>
      <c r="O130" s="210" t="inlineStr">
        <is>
          <t>Материал крышки ,диски,маховик,клин-серый чугун,Шпиндель — Ст 45 ГОСТ 1412</t>
        </is>
      </c>
      <c r="P130" s="210" t="inlineStr">
        <is>
          <t>Длина 210</t>
        </is>
      </c>
      <c r="Q130" s="210" t="n"/>
      <c r="R130" s="198">
        <f>A130</f>
        <v/>
      </c>
      <c r="S130" s="205" t="n"/>
      <c r="T130" s="205" t="n"/>
      <c r="U130" s="205" t="n"/>
      <c r="V130" s="205" t="n"/>
      <c r="W130" s="205" t="n"/>
      <c r="X130" s="205" t="n"/>
      <c r="Y130" s="205" t="n"/>
      <c r="Z130" s="205" t="n"/>
      <c r="AA130" s="205" t="n"/>
      <c r="AB130" s="205" t="n"/>
      <c r="AC130" s="205" t="n"/>
      <c r="AD130" s="205" t="n"/>
      <c r="AE130" s="205" t="n"/>
      <c r="AF130" s="205" t="n"/>
      <c r="AG130" s="205" t="n"/>
      <c r="AH130" s="205" t="n"/>
      <c r="AI130" s="202" t="n"/>
    </row>
    <row r="131" ht="51" customHeight="1" s="169">
      <c r="A131" s="192" t="n">
        <v>95</v>
      </c>
      <c r="B131" s="193" t="inlineStr">
        <is>
          <t>Задвижка 30ч6бр Ду 100 Ру 10</t>
        </is>
      </c>
      <c r="C131" s="210" t="inlineStr">
        <is>
          <t xml:space="preserve">ГОСТ 5762-2002,  Гермитичность ГОСТ 9544-2015 </t>
        </is>
      </c>
      <c r="D131" s="210" t="n">
        <v>100</v>
      </c>
      <c r="E131" s="210" t="inlineStr">
        <is>
          <t>полнопроходной</t>
        </is>
      </c>
      <c r="F131" s="210" t="n">
        <v>1</v>
      </c>
      <c r="G131" s="210" t="inlineStr">
        <is>
          <t>до +225°С</t>
        </is>
      </c>
      <c r="H131" s="210" t="inlineStr">
        <is>
          <t>Вода,пар</t>
        </is>
      </c>
      <c r="I131" s="210" t="inlineStr">
        <is>
          <t xml:space="preserve">серый чугун СЧ </t>
        </is>
      </c>
      <c r="J131" s="210" t="inlineStr">
        <is>
          <t>У2, УХЛ4</t>
        </is>
      </c>
      <c r="K131" s="210" t="inlineStr">
        <is>
          <t>фланец-фланец</t>
        </is>
      </c>
      <c r="L131" s="210" t="inlineStr">
        <is>
          <t xml:space="preserve">Ручное </t>
        </is>
      </c>
      <c r="M131" s="210" t="inlineStr">
        <is>
          <t>маховик</t>
        </is>
      </c>
      <c r="N131" s="210" t="inlineStr">
        <is>
          <t>любое</t>
        </is>
      </c>
      <c r="O131" s="210" t="inlineStr">
        <is>
          <t>Материал крышки ,диски,маховик,клин-серый чугун,Шпиндель — Ст 45 ГОСТ 1412</t>
        </is>
      </c>
      <c r="P131" s="210" t="inlineStr">
        <is>
          <t>Длина — 230мм</t>
        </is>
      </c>
      <c r="Q131" s="210" t="n"/>
      <c r="R131" s="198">
        <f>A131</f>
        <v/>
      </c>
      <c r="S131" s="205" t="n"/>
      <c r="T131" s="205" t="n"/>
      <c r="U131" s="205" t="n"/>
      <c r="V131" s="205" t="n"/>
      <c r="W131" s="205" t="n"/>
      <c r="X131" s="205" t="n"/>
      <c r="Y131" s="205" t="n"/>
      <c r="Z131" s="205" t="n"/>
      <c r="AA131" s="205" t="n"/>
      <c r="AB131" s="205" t="n"/>
      <c r="AC131" s="205" t="n"/>
      <c r="AD131" s="205" t="n"/>
      <c r="AE131" s="205" t="n"/>
      <c r="AF131" s="205" t="n"/>
      <c r="AG131" s="205" t="n"/>
      <c r="AH131" s="205" t="n"/>
      <c r="AI131" s="202" t="n"/>
    </row>
    <row r="132" ht="76.5" customHeight="1" s="169">
      <c r="A132" s="192" t="n">
        <v>96</v>
      </c>
      <c r="B132" s="193" t="inlineStr">
        <is>
          <t>Задвижка 30ч6бр Ду 150 Ру 10</t>
        </is>
      </c>
      <c r="C132" s="210" t="inlineStr">
        <is>
          <t xml:space="preserve">ГОСТ 5762-2002,  Гермитичность ГОСТ 9544-2015 </t>
        </is>
      </c>
      <c r="D132" s="210" t="n">
        <v>150</v>
      </c>
      <c r="E132" s="210" t="inlineStr">
        <is>
          <t>стандарт</t>
        </is>
      </c>
      <c r="F132" s="210" t="n">
        <v>1</v>
      </c>
      <c r="G132" s="210" t="inlineStr">
        <is>
          <t>до +225°С</t>
        </is>
      </c>
      <c r="H132" s="210" t="inlineStr">
        <is>
          <t>Вода,пар</t>
        </is>
      </c>
      <c r="I132" s="210" t="inlineStr">
        <is>
          <t xml:space="preserve">серый чугун СЧ </t>
        </is>
      </c>
      <c r="J132" s="210" t="inlineStr">
        <is>
          <t>У2, УХЛ4</t>
        </is>
      </c>
      <c r="K132" s="210" t="inlineStr">
        <is>
          <t>фланец-фланец</t>
        </is>
      </c>
      <c r="L132" s="210" t="inlineStr">
        <is>
          <t xml:space="preserve">Ручное </t>
        </is>
      </c>
      <c r="M132" s="210" t="inlineStr">
        <is>
          <t>маховик</t>
        </is>
      </c>
      <c r="N132" s="210" t="inlineStr">
        <is>
          <t>любое</t>
        </is>
      </c>
      <c r="O132" s="210" t="inlineStr">
        <is>
          <t xml:space="preserve"> Основные материалы 30ч6бр:      деталей корпуса серый чугун СЧ 20 ГОСТ 1412;     поверхности уплотнительных элементов - латунь ЛС-59 ГОСТ 15527;     уплотнение по шпинделю – сальниковое (кольца ТРГ).     уплотнение между корпусом и крышкой – паронит.</t>
        </is>
      </c>
      <c r="P132" s="210" t="inlineStr">
        <is>
          <t>строительная длина  280 мм,</t>
        </is>
      </c>
      <c r="Q132" s="197" t="n"/>
      <c r="R132" s="198">
        <f>A132</f>
        <v/>
      </c>
      <c r="S132" s="205" t="n"/>
      <c r="T132" s="205" t="n"/>
      <c r="U132" s="205" t="n"/>
      <c r="V132" s="205" t="n"/>
      <c r="W132" s="205" t="n"/>
      <c r="X132" s="205" t="n"/>
      <c r="Y132" s="205" t="n"/>
      <c r="Z132" s="205" t="n"/>
      <c r="AA132" s="205" t="n"/>
      <c r="AB132" s="205" t="n"/>
      <c r="AC132" s="205" t="n"/>
      <c r="AD132" s="205" t="n"/>
      <c r="AE132" s="205" t="n"/>
      <c r="AF132" s="205" t="n"/>
      <c r="AG132" s="205" t="n"/>
      <c r="AH132" s="205" t="n"/>
      <c r="AI132" s="202" t="n"/>
    </row>
    <row r="133" ht="51" customHeight="1" s="169">
      <c r="A133" s="192" t="n">
        <v>97</v>
      </c>
      <c r="B133" s="193" t="inlineStr">
        <is>
          <t>Задвижка 30ч6бр Ду 200 Ру 10</t>
        </is>
      </c>
      <c r="C133" s="210" t="inlineStr">
        <is>
          <t xml:space="preserve">ГОСТ 5762-2002,  Гермитичность ГОСТ 9544-2015 </t>
        </is>
      </c>
      <c r="D133" s="210" t="n">
        <v>200</v>
      </c>
      <c r="E133" s="210" t="inlineStr">
        <is>
          <t>полнопроходной</t>
        </is>
      </c>
      <c r="F133" s="210" t="n">
        <v>1</v>
      </c>
      <c r="G133" s="210" t="inlineStr">
        <is>
          <t>до +225°С</t>
        </is>
      </c>
      <c r="H133" s="210" t="inlineStr">
        <is>
          <t>Вода,пар</t>
        </is>
      </c>
      <c r="I133" s="210" t="inlineStr">
        <is>
          <t xml:space="preserve">серый чугун СЧ </t>
        </is>
      </c>
      <c r="J133" s="210" t="inlineStr">
        <is>
          <t>У2, УХЛ4</t>
        </is>
      </c>
      <c r="K133" s="210" t="inlineStr">
        <is>
          <t>фланец-фланец</t>
        </is>
      </c>
      <c r="L133" s="210" t="inlineStr">
        <is>
          <t xml:space="preserve">Ручное </t>
        </is>
      </c>
      <c r="M133" s="210" t="inlineStr">
        <is>
          <t>маховик</t>
        </is>
      </c>
      <c r="N133" s="210" t="inlineStr">
        <is>
          <t>любое</t>
        </is>
      </c>
      <c r="O133" s="210" t="inlineStr">
        <is>
          <t>Материал крышки ,диски,маховик,клин-серый чугун,Шпиндель - Серый чугун СЧ 20 ГОСТ 1412</t>
        </is>
      </c>
      <c r="P133" s="210" t="inlineStr">
        <is>
          <t>строительная длина  330 мм,</t>
        </is>
      </c>
      <c r="Q133" s="197" t="n"/>
      <c r="R133" s="198">
        <f>A133</f>
        <v/>
      </c>
      <c r="S133" s="205" t="n"/>
      <c r="T133" s="205" t="n"/>
      <c r="U133" s="205" t="n"/>
      <c r="V133" s="205" t="n"/>
      <c r="W133" s="205" t="n"/>
      <c r="X133" s="205" t="n"/>
      <c r="Y133" s="205" t="n"/>
      <c r="Z133" s="205" t="n"/>
      <c r="AA133" s="205" t="n"/>
      <c r="AB133" s="205" t="n"/>
      <c r="AC133" s="205" t="n"/>
      <c r="AD133" s="205" t="n"/>
      <c r="AE133" s="205" t="n"/>
      <c r="AF133" s="205" t="n"/>
      <c r="AG133" s="205" t="n"/>
      <c r="AH133" s="205" t="n"/>
      <c r="AI133" s="202" t="n"/>
    </row>
    <row r="134" ht="51" customHeight="1" s="169">
      <c r="A134" s="192" t="n">
        <v>98</v>
      </c>
      <c r="B134" s="193" t="inlineStr">
        <is>
          <t>Задвижка 30ч6бр Ду 250 Ру 10</t>
        </is>
      </c>
      <c r="C134" s="210" t="inlineStr">
        <is>
          <t>ГОСТ 5762-2002</t>
        </is>
      </c>
      <c r="D134" s="210" t="n">
        <v>250</v>
      </c>
      <c r="E134" s="210" t="inlineStr">
        <is>
          <t>полнопроходной</t>
        </is>
      </c>
      <c r="F134" s="210" t="n">
        <v>1</v>
      </c>
      <c r="G134" s="210" t="inlineStr">
        <is>
          <t>до +225 °С</t>
        </is>
      </c>
      <c r="H134" s="210" t="inlineStr">
        <is>
          <t>вода,пар</t>
        </is>
      </c>
      <c r="I134" s="210" t="inlineStr">
        <is>
          <t>чугун</t>
        </is>
      </c>
      <c r="J134" s="210" t="inlineStr">
        <is>
          <t>У2</t>
        </is>
      </c>
      <c r="K134" s="210" t="inlineStr">
        <is>
          <t>Присоединение фланцевое по ГОСТ 12817</t>
        </is>
      </c>
      <c r="L134" s="210" t="inlineStr">
        <is>
          <t>ручной</t>
        </is>
      </c>
      <c r="M134" s="210" t="inlineStr">
        <is>
          <t>маховик</t>
        </is>
      </c>
      <c r="N134" s="210" t="inlineStr">
        <is>
          <t>любое</t>
        </is>
      </c>
      <c r="O134" s="210" t="inlineStr">
        <is>
          <t>Материал:- корпусных деталей – серый чугун СЧ 20 ГОСТ 1412; - уплотнительных поверхностей – Латунь ЛС 59-1 ГОСТ 15527-2004. Уплотнение по шпинделю – сальниковое (кольца ТРГ).</t>
        </is>
      </c>
      <c r="P134" s="210" t="n"/>
      <c r="Q134" s="197" t="n"/>
      <c r="R134" s="198">
        <f>A134</f>
        <v/>
      </c>
      <c r="S134" s="205" t="n"/>
      <c r="T134" s="205" t="n"/>
      <c r="U134" s="205" t="n"/>
      <c r="V134" s="205" t="n"/>
      <c r="W134" s="205" t="n"/>
      <c r="X134" s="205" t="n"/>
      <c r="Y134" s="205" t="n"/>
      <c r="Z134" s="205" t="n"/>
      <c r="AA134" s="205" t="n"/>
      <c r="AB134" s="205" t="n"/>
      <c r="AC134" s="205" t="n"/>
      <c r="AD134" s="205" t="n"/>
      <c r="AE134" s="205" t="n"/>
      <c r="AF134" s="205" t="n"/>
      <c r="AG134" s="205" t="n"/>
      <c r="AH134" s="205" t="n"/>
      <c r="AI134" s="202" t="n"/>
    </row>
    <row r="135" ht="51" customHeight="1" s="169">
      <c r="A135" s="192" t="n">
        <v>99</v>
      </c>
      <c r="B135" s="193" t="inlineStr">
        <is>
          <t>Задвижка 30ч6бр Ду 300 Ру 10</t>
        </is>
      </c>
      <c r="C135" s="210" t="inlineStr">
        <is>
          <t>ТУ УЗ 22-03326877-021-96</t>
        </is>
      </c>
      <c r="D135" s="210" t="n">
        <v>300</v>
      </c>
      <c r="E135" s="210" t="inlineStr">
        <is>
          <t>стандарт</t>
        </is>
      </c>
      <c r="F135" s="210" t="n">
        <v>1</v>
      </c>
      <c r="G135" s="210" t="inlineStr">
        <is>
          <t>до +225</t>
        </is>
      </c>
      <c r="H135" s="210" t="inlineStr">
        <is>
          <t>вода, пар</t>
        </is>
      </c>
      <c r="I135" s="210" t="inlineStr">
        <is>
          <t>серый чугун СЧ 18 (СЧ 20)</t>
        </is>
      </c>
      <c r="J135" s="210" t="inlineStr">
        <is>
          <t>У</t>
        </is>
      </c>
      <c r="K135" s="210" t="inlineStr">
        <is>
          <t>фланцевый</t>
        </is>
      </c>
      <c r="L135" s="210" t="inlineStr">
        <is>
          <t>ручной (маховик)</t>
        </is>
      </c>
      <c r="M135" s="210" t="inlineStr">
        <is>
          <t>-</t>
        </is>
      </c>
      <c r="N135" s="210" t="inlineStr">
        <is>
          <t>любое, кроме маховиком вниз</t>
        </is>
      </c>
      <c r="O135" s="210" t="inlineStr">
        <is>
          <t>Шпиндель — сталь 45; Кольцо уплотнительное, втулка резьбовая — латунь ЛЦ38МцС2; Прокладка под крышку — паронит ПОН; Набивка уплотнительная — АП-31;</t>
        </is>
      </c>
      <c r="P135" s="210" t="inlineStr">
        <is>
          <t>-</t>
        </is>
      </c>
      <c r="Q135" s="197" t="n"/>
      <c r="R135" s="198">
        <f>A135</f>
        <v/>
      </c>
      <c r="S135" s="205" t="n"/>
      <c r="T135" s="205" t="n"/>
      <c r="U135" s="205" t="n"/>
      <c r="V135" s="205" t="n"/>
      <c r="W135" s="205" t="n"/>
      <c r="X135" s="205" t="n"/>
      <c r="Y135" s="205" t="n"/>
      <c r="Z135" s="205" t="n"/>
      <c r="AA135" s="205" t="n"/>
      <c r="AB135" s="205" t="n"/>
      <c r="AC135" s="205" t="n"/>
      <c r="AD135" s="205" t="n"/>
      <c r="AE135" s="205" t="n"/>
      <c r="AF135" s="205" t="n"/>
      <c r="AG135" s="205" t="n"/>
      <c r="AH135" s="205" t="n"/>
      <c r="AI135" s="202" t="n"/>
    </row>
    <row r="136" ht="51" customHeight="1" s="169">
      <c r="A136" s="192" t="n">
        <v>100</v>
      </c>
      <c r="B136" s="193" t="inlineStr">
        <is>
          <t>Кран 11б27п(м) Ду 15 Ру 16 3-х ходовой для манометров</t>
        </is>
      </c>
      <c r="C136" s="210" t="inlineStr">
        <is>
          <t>ГОСТ 12.2.063-2015</t>
        </is>
      </c>
      <c r="D136" s="210" t="n">
        <v>15</v>
      </c>
      <c r="E136" s="210" t="inlineStr">
        <is>
          <t>стандарт</t>
        </is>
      </c>
      <c r="F136" s="210" t="inlineStr">
        <is>
          <t>1.6</t>
        </is>
      </c>
      <c r="G136" s="210" t="inlineStr">
        <is>
          <t>от -50 до +150 C</t>
        </is>
      </c>
      <c r="H136" s="210" t="inlineStr">
        <is>
          <t>вода, пар, воздух</t>
        </is>
      </c>
      <c r="I136" s="210" t="inlineStr">
        <is>
          <t>латунь ЛЦ40Сд</t>
        </is>
      </c>
      <c r="J136" s="210" t="inlineStr">
        <is>
          <t>У1</t>
        </is>
      </c>
      <c r="K136" s="210" t="inlineStr">
        <is>
          <t>внутренняя резьба</t>
        </is>
      </c>
      <c r="L136" s="210" t="inlineStr">
        <is>
          <t>флажок/рычаг</t>
        </is>
      </c>
      <c r="M136" s="210" t="inlineStr">
        <is>
          <t>ручное</t>
        </is>
      </c>
      <c r="N136" s="210" t="inlineStr">
        <is>
          <t>любое</t>
        </is>
      </c>
      <c r="O136" s="210" t="inlineStr">
        <is>
          <t xml:space="preserve">Материал штока — Латунь ЛЦ40СД
Материал пробки — латунь ЛЦ40СД
Уплотнение пробки — фторопласт
</t>
        </is>
      </c>
      <c r="P136" s="210" t="inlineStr">
        <is>
          <t>Длина 50 мм</t>
        </is>
      </c>
      <c r="Q136" s="197" t="n"/>
      <c r="R136" s="198">
        <f>A136</f>
        <v/>
      </c>
      <c r="S136" s="205" t="n"/>
      <c r="T136" s="205" t="n"/>
      <c r="U136" s="205" t="n"/>
      <c r="V136" s="205" t="n"/>
      <c r="W136" s="205" t="n"/>
      <c r="X136" s="205" t="n"/>
      <c r="Y136" s="205" t="n"/>
      <c r="Z136" s="205" t="n"/>
      <c r="AA136" s="205" t="n"/>
      <c r="AB136" s="205" t="n"/>
      <c r="AC136" s="205" t="n"/>
      <c r="AD136" s="205" t="n"/>
      <c r="AE136" s="205" t="n"/>
      <c r="AF136" s="205" t="n"/>
      <c r="AG136" s="205" t="n"/>
      <c r="AH136" s="205" t="n"/>
      <c r="AI136" s="202" t="n"/>
    </row>
    <row r="137" ht="63.75" customHeight="1" s="169">
      <c r="A137" s="192" t="n">
        <v>101</v>
      </c>
      <c r="B137" s="193" t="inlineStr">
        <is>
          <t>Кран шаровой 11б27п1 Ду 15 Ру 16</t>
        </is>
      </c>
      <c r="C137" s="210" t="inlineStr">
        <is>
          <t xml:space="preserve">ГОСТ 9544-2015 ГОСТ 28343 ГОСТ 21345 </t>
        </is>
      </c>
      <c r="D137" s="210" t="n">
        <v>15</v>
      </c>
      <c r="E137" s="210" t="inlineStr">
        <is>
          <t>полный</t>
        </is>
      </c>
      <c r="F137" s="210" t="n">
        <v>1.6</v>
      </c>
      <c r="G137" s="210" t="inlineStr">
        <is>
          <t>От -10 до +90 °С</t>
        </is>
      </c>
      <c r="H137" s="210" t="inlineStr">
        <is>
          <t>вода</t>
        </is>
      </c>
      <c r="I137" s="210" t="inlineStr">
        <is>
          <t>латунь HPb58-2A</t>
        </is>
      </c>
      <c r="J137" s="210" t="inlineStr">
        <is>
          <t>У1</t>
        </is>
      </c>
      <c r="K137" s="210" t="inlineStr">
        <is>
          <t>Муфта-муфта ВР-ВР</t>
        </is>
      </c>
      <c r="L137" s="210" t="inlineStr">
        <is>
          <t xml:space="preserve">Ручное </t>
        </is>
      </c>
      <c r="M137" s="210" t="inlineStr">
        <is>
          <t>рукоятка</t>
        </is>
      </c>
      <c r="N137" s="210" t="inlineStr">
        <is>
          <t>любое</t>
        </is>
      </c>
      <c r="O137" s="210"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137" s="210" t="n"/>
      <c r="Q137" s="210" t="inlineStr">
        <is>
          <t xml:space="preserve"> (класс гермитичности "А" по ГОСТ 9544-2015).  </t>
        </is>
      </c>
      <c r="R137" s="198">
        <f>A137</f>
        <v/>
      </c>
      <c r="S137" s="205" t="n"/>
      <c r="T137" s="205" t="n"/>
      <c r="U137" s="205" t="n"/>
      <c r="V137" s="205" t="n"/>
      <c r="W137" s="205" t="n"/>
      <c r="X137" s="205" t="n"/>
      <c r="Y137" s="205" t="n"/>
      <c r="Z137" s="205" t="n"/>
      <c r="AA137" s="205" t="n"/>
      <c r="AB137" s="205" t="n"/>
      <c r="AC137" s="205" t="n"/>
      <c r="AD137" s="205" t="n"/>
      <c r="AE137" s="205" t="n"/>
      <c r="AF137" s="205" t="n"/>
      <c r="AG137" s="205" t="n"/>
      <c r="AH137" s="205" t="n"/>
      <c r="AI137" s="202" t="n"/>
    </row>
    <row r="138" ht="63.75" customHeight="1" s="169">
      <c r="A138" s="192" t="n">
        <v>102</v>
      </c>
      <c r="B138" s="193" t="inlineStr">
        <is>
          <t>Кран шаровой 11б27п1 Ду 20 Ру 16</t>
        </is>
      </c>
      <c r="C138" s="210" t="inlineStr">
        <is>
          <t xml:space="preserve">ГОСТ 9544-2015 ГОСТ 28343 ГОСТ 21345 </t>
        </is>
      </c>
      <c r="D138" s="210" t="n">
        <v>20</v>
      </c>
      <c r="E138" s="210" t="inlineStr">
        <is>
          <t>полный</t>
        </is>
      </c>
      <c r="F138" s="210" t="n">
        <v>1.6</v>
      </c>
      <c r="G138" s="210" t="inlineStr">
        <is>
          <t>От -10 до +90 °С</t>
        </is>
      </c>
      <c r="H138" s="210" t="inlineStr">
        <is>
          <t>вода</t>
        </is>
      </c>
      <c r="I138" s="210" t="inlineStr">
        <is>
          <t>латунь HPb58-2A</t>
        </is>
      </c>
      <c r="J138" s="210" t="inlineStr">
        <is>
          <t>У1</t>
        </is>
      </c>
      <c r="K138" s="210" t="inlineStr">
        <is>
          <t>Муфта-муфта ВР-ВР</t>
        </is>
      </c>
      <c r="L138" s="210" t="inlineStr">
        <is>
          <t xml:space="preserve">Ручное </t>
        </is>
      </c>
      <c r="M138" s="210" t="inlineStr">
        <is>
          <t>рукоятка</t>
        </is>
      </c>
      <c r="N138" s="210" t="inlineStr">
        <is>
          <t>любое</t>
        </is>
      </c>
      <c r="O138" s="210"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138" s="210" t="n"/>
      <c r="Q138" s="210" t="inlineStr">
        <is>
          <t xml:space="preserve"> (класс гермитичности "А" по ГОСТ 9544-2015).</t>
        </is>
      </c>
      <c r="R138" s="198">
        <f>A138</f>
        <v/>
      </c>
      <c r="S138" s="205" t="n"/>
      <c r="T138" s="205" t="n"/>
      <c r="U138" s="205" t="n"/>
      <c r="V138" s="205" t="n"/>
      <c r="W138" s="205" t="n"/>
      <c r="X138" s="205" t="n"/>
      <c r="Y138" s="205" t="n"/>
      <c r="Z138" s="205" t="n"/>
      <c r="AA138" s="205" t="n"/>
      <c r="AB138" s="205" t="n"/>
      <c r="AC138" s="205" t="n"/>
      <c r="AD138" s="205" t="n"/>
      <c r="AE138" s="205" t="n"/>
      <c r="AF138" s="205" t="n"/>
      <c r="AG138" s="205" t="n"/>
      <c r="AH138" s="205" t="n"/>
      <c r="AI138" s="202" t="n"/>
    </row>
    <row r="139" ht="63.75" customHeight="1" s="169">
      <c r="A139" s="192" t="n">
        <v>103</v>
      </c>
      <c r="B139" s="193" t="inlineStr">
        <is>
          <t>Кран шаровой 11б27п1 Ду 25 Ру 16</t>
        </is>
      </c>
      <c r="C139" s="210" t="inlineStr">
        <is>
          <t xml:space="preserve">ГОСТ 9544-2015 ГОСТ 28343 ГОСТ 21345 </t>
        </is>
      </c>
      <c r="D139" s="210" t="n">
        <v>25</v>
      </c>
      <c r="E139" s="210" t="inlineStr">
        <is>
          <t>полный</t>
        </is>
      </c>
      <c r="F139" s="210" t="n">
        <v>1.6</v>
      </c>
      <c r="G139" s="210" t="inlineStr">
        <is>
          <t>От -10 до +90 °С</t>
        </is>
      </c>
      <c r="H139" s="210" t="inlineStr">
        <is>
          <t>вода</t>
        </is>
      </c>
      <c r="I139" s="210" t="inlineStr">
        <is>
          <t>латунь HPb58-2A</t>
        </is>
      </c>
      <c r="J139" s="210" t="inlineStr">
        <is>
          <t>У1</t>
        </is>
      </c>
      <c r="K139" s="210" t="inlineStr">
        <is>
          <t>Муфта-муфта ВР-ВР</t>
        </is>
      </c>
      <c r="L139" s="210" t="inlineStr">
        <is>
          <t xml:space="preserve">Ручное </t>
        </is>
      </c>
      <c r="M139" s="210" t="inlineStr">
        <is>
          <t>рукоятка</t>
        </is>
      </c>
      <c r="N139" s="210" t="inlineStr">
        <is>
          <t>любое</t>
        </is>
      </c>
      <c r="O139" s="210"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139" s="210" t="n"/>
      <c r="Q139" s="210" t="n"/>
      <c r="R139" s="198">
        <f>A139</f>
        <v/>
      </c>
      <c r="S139" s="205" t="n"/>
      <c r="T139" s="205" t="n"/>
      <c r="U139" s="205" t="n"/>
      <c r="V139" s="205" t="n"/>
      <c r="W139" s="205" t="n"/>
      <c r="X139" s="205" t="n"/>
      <c r="Y139" s="205" t="n"/>
      <c r="Z139" s="205" t="n"/>
      <c r="AA139" s="205" t="n"/>
      <c r="AB139" s="205" t="n"/>
      <c r="AC139" s="205" t="n"/>
      <c r="AD139" s="205" t="n"/>
      <c r="AE139" s="205" t="n"/>
      <c r="AF139" s="205" t="n"/>
      <c r="AG139" s="205" t="n"/>
      <c r="AH139" s="205" t="n"/>
      <c r="AI139" s="202" t="n"/>
    </row>
    <row r="140" ht="63.75" customHeight="1" s="169">
      <c r="A140" s="192" t="n">
        <v>104</v>
      </c>
      <c r="B140" s="193" t="inlineStr">
        <is>
          <t>Кран шаровой 11б27п1 Ду 32 Ру 16</t>
        </is>
      </c>
      <c r="C140" s="210" t="inlineStr">
        <is>
          <t xml:space="preserve">ГОСТ 9544-2015 ГОСТ 28343 ГОСТ 21345 </t>
        </is>
      </c>
      <c r="D140" s="210" t="n">
        <v>32</v>
      </c>
      <c r="E140" s="210" t="inlineStr">
        <is>
          <t>полный</t>
        </is>
      </c>
      <c r="F140" s="210" t="n">
        <v>1.6</v>
      </c>
      <c r="G140" s="210" t="inlineStr">
        <is>
          <t>От -10 до +90 °С</t>
        </is>
      </c>
      <c r="H140" s="210" t="inlineStr">
        <is>
          <t>вода</t>
        </is>
      </c>
      <c r="I140" s="210" t="inlineStr">
        <is>
          <t>латунь HPb58-2A</t>
        </is>
      </c>
      <c r="J140" s="210" t="inlineStr">
        <is>
          <t>У1</t>
        </is>
      </c>
      <c r="K140" s="210" t="inlineStr">
        <is>
          <t>Муфта-муфта ВР-ВР</t>
        </is>
      </c>
      <c r="L140" s="210" t="inlineStr">
        <is>
          <t xml:space="preserve">Ручное </t>
        </is>
      </c>
      <c r="M140" s="210" t="inlineStr">
        <is>
          <t>рукоятка</t>
        </is>
      </c>
      <c r="N140" s="210" t="inlineStr">
        <is>
          <t>любое</t>
        </is>
      </c>
      <c r="O140" s="210"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140" s="210" t="n"/>
      <c r="Q140" s="210" t="inlineStr">
        <is>
          <t xml:space="preserve">(класс гермитичности "А" по ГОСТ 9544-2015). </t>
        </is>
      </c>
      <c r="R140" s="198">
        <f>A140</f>
        <v/>
      </c>
      <c r="S140" s="205" t="n"/>
      <c r="T140" s="205" t="n"/>
      <c r="U140" s="205" t="n"/>
      <c r="V140" s="205" t="n"/>
      <c r="W140" s="205" t="n"/>
      <c r="X140" s="205" t="n"/>
      <c r="Y140" s="205" t="n"/>
      <c r="Z140" s="205" t="n"/>
      <c r="AA140" s="205" t="n"/>
      <c r="AB140" s="205" t="n"/>
      <c r="AC140" s="205" t="n"/>
      <c r="AD140" s="205" t="n"/>
      <c r="AE140" s="205" t="n"/>
      <c r="AF140" s="205" t="n"/>
      <c r="AG140" s="205" t="n"/>
      <c r="AH140" s="205" t="n"/>
      <c r="AI140" s="202" t="n"/>
    </row>
    <row r="141" ht="63.75" customFormat="1" customHeight="1" s="171">
      <c r="A141" s="192" t="n">
        <v>105</v>
      </c>
      <c r="B141" s="193" t="inlineStr">
        <is>
          <t>Кран шаровой 11б27п1 Ду 50 Ру 16</t>
        </is>
      </c>
      <c r="C141" s="210" t="inlineStr">
        <is>
          <t xml:space="preserve">ГОСТ 9544-2015 ГОСТ 28343 ГОСТ 21345 </t>
        </is>
      </c>
      <c r="D141" s="210" t="n">
        <v>50</v>
      </c>
      <c r="E141" s="210" t="inlineStr">
        <is>
          <t>полный</t>
        </is>
      </c>
      <c r="F141" s="210" t="n">
        <v>1.6</v>
      </c>
      <c r="G141" s="210" t="inlineStr">
        <is>
          <t>От -10 до +90 °С</t>
        </is>
      </c>
      <c r="H141" s="210" t="inlineStr">
        <is>
          <t>вода</t>
        </is>
      </c>
      <c r="I141" s="210" t="inlineStr">
        <is>
          <t>латунь HPb58-2A</t>
        </is>
      </c>
      <c r="J141" s="210" t="inlineStr">
        <is>
          <t>У1</t>
        </is>
      </c>
      <c r="K141" s="210" t="inlineStr">
        <is>
          <t>Муфта-муфта ВР-ВР</t>
        </is>
      </c>
      <c r="L141" s="210" t="inlineStr">
        <is>
          <t xml:space="preserve">Ручное </t>
        </is>
      </c>
      <c r="M141" s="210" t="inlineStr">
        <is>
          <t>рукоятка</t>
        </is>
      </c>
      <c r="N141" s="210" t="inlineStr">
        <is>
          <t>любое</t>
        </is>
      </c>
      <c r="O141" s="210"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141" s="230" t="inlineStr">
        <is>
          <t>размер b (толщина) согласно ГОСТ 33259-2015: b = 22 мм</t>
        </is>
      </c>
      <c r="Q141" s="210" t="n"/>
      <c r="R141" s="198">
        <f>A141</f>
        <v/>
      </c>
      <c r="S141" s="205" t="n"/>
      <c r="T141" s="205" t="n"/>
      <c r="U141" s="205" t="n"/>
      <c r="V141" s="205" t="n"/>
      <c r="W141" s="205" t="n"/>
      <c r="X141" s="205" t="n"/>
      <c r="Y141" s="205" t="n"/>
      <c r="Z141" s="205" t="n"/>
      <c r="AA141" s="205" t="n"/>
      <c r="AB141" s="205" t="n"/>
      <c r="AC141" s="205" t="n"/>
      <c r="AD141" s="205" t="n"/>
      <c r="AE141" s="205" t="n"/>
      <c r="AF141" s="205" t="n"/>
      <c r="AG141" s="205" t="n"/>
      <c r="AH141" s="205" t="n"/>
      <c r="AI141" s="202" t="n"/>
    </row>
    <row r="142" ht="102" customFormat="1" customHeight="1" s="171">
      <c r="A142" s="192" t="n">
        <v>106</v>
      </c>
      <c r="B142" s="193" t="inlineStr">
        <is>
          <t>Кран шаровой фланцевый 11с22п Ду 50 Ру 16</t>
        </is>
      </c>
      <c r="C142" s="210" t="inlineStr">
        <is>
          <t>ГОСТ 21345-2005</t>
        </is>
      </c>
      <c r="D142" s="210" t="n">
        <v>50</v>
      </c>
      <c r="E142" s="210" t="inlineStr">
        <is>
          <t>стандартный</t>
        </is>
      </c>
      <c r="F142" s="210" t="n">
        <v>1.6</v>
      </c>
      <c r="G142" s="210" t="inlineStr">
        <is>
          <t>до +200</t>
        </is>
      </c>
      <c r="H142" s="210" t="inlineStr">
        <is>
          <t>вода, нефтепродукты</t>
        </is>
      </c>
      <c r="I142" s="210" t="inlineStr">
        <is>
          <t>сталь 20</t>
        </is>
      </c>
      <c r="J142" s="210" t="inlineStr">
        <is>
          <t>У1</t>
        </is>
      </c>
      <c r="K142" s="210" t="inlineStr">
        <is>
          <t>фланцевый</t>
        </is>
      </c>
      <c r="L142" s="210" t="inlineStr">
        <is>
          <t>ручной (рукоятка)</t>
        </is>
      </c>
      <c r="M142" s="210" t="inlineStr">
        <is>
          <t>-</t>
        </is>
      </c>
      <c r="N142" s="210" t="inlineStr">
        <is>
          <t>Любое</t>
        </is>
      </c>
      <c r="O142" s="210"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142" s="210" t="inlineStr">
        <is>
          <t>-</t>
        </is>
      </c>
      <c r="Q142" s="210" t="inlineStr">
        <is>
          <t>КРАН  УНИВЕРСАЛЬНОЙ СЕРИИ</t>
        </is>
      </c>
      <c r="R142" s="198">
        <f>A142</f>
        <v/>
      </c>
      <c r="S142" s="205" t="n"/>
      <c r="T142" s="205" t="n"/>
      <c r="U142" s="205" t="n"/>
      <c r="V142" s="205" t="n"/>
      <c r="W142" s="205" t="n"/>
      <c r="X142" s="205" t="n"/>
      <c r="Y142" s="205" t="n"/>
      <c r="Z142" s="205" t="n"/>
      <c r="AA142" s="205" t="n"/>
      <c r="AB142" s="205" t="n"/>
      <c r="AC142" s="205" t="n"/>
      <c r="AD142" s="205" t="n"/>
      <c r="AE142" s="205" t="n"/>
      <c r="AF142" s="205" t="n"/>
      <c r="AG142" s="205" t="n"/>
      <c r="AH142" s="205" t="n"/>
      <c r="AI142" s="202" t="n"/>
    </row>
    <row r="143" ht="102" customFormat="1" customHeight="1" s="171">
      <c r="A143" s="192" t="n">
        <v>107</v>
      </c>
      <c r="B143" s="193" t="inlineStr">
        <is>
          <t>Кран шаровой фланцевый 11с22п Ду 80 Ру 16</t>
        </is>
      </c>
      <c r="C143" s="210" t="inlineStr">
        <is>
          <t>ГОСТ 21345-2005</t>
        </is>
      </c>
      <c r="D143" s="210" t="n">
        <v>80</v>
      </c>
      <c r="E143" s="210" t="inlineStr">
        <is>
          <t>стандартный</t>
        </is>
      </c>
      <c r="F143" s="210" t="n">
        <v>1.6</v>
      </c>
      <c r="G143" s="210" t="inlineStr">
        <is>
          <t>до +200</t>
        </is>
      </c>
      <c r="H143" s="210" t="inlineStr">
        <is>
          <t>вода, нефтепродукты</t>
        </is>
      </c>
      <c r="I143" s="210" t="inlineStr">
        <is>
          <t>сталь 20</t>
        </is>
      </c>
      <c r="J143" s="210" t="inlineStr">
        <is>
          <t>У1</t>
        </is>
      </c>
      <c r="K143" s="210" t="inlineStr">
        <is>
          <t>фланцевый</t>
        </is>
      </c>
      <c r="L143" s="210" t="inlineStr">
        <is>
          <t>ручной (рукоятка)</t>
        </is>
      </c>
      <c r="M143" s="210" t="inlineStr">
        <is>
          <t>-</t>
        </is>
      </c>
      <c r="N143" s="210" t="inlineStr">
        <is>
          <t>Любое</t>
        </is>
      </c>
      <c r="O143" s="210"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143" s="210" t="inlineStr">
        <is>
          <t>-</t>
        </is>
      </c>
      <c r="Q143" s="210" t="inlineStr">
        <is>
          <t>КРАН  УНИВЕРСАЛЬНОЙ СЕРИИ</t>
        </is>
      </c>
      <c r="R143" s="198">
        <f>A143</f>
        <v/>
      </c>
      <c r="S143" s="205" t="n"/>
      <c r="T143" s="205" t="n"/>
      <c r="U143" s="205" t="n"/>
      <c r="V143" s="205" t="n"/>
      <c r="W143" s="205" t="n"/>
      <c r="X143" s="205" t="n"/>
      <c r="Y143" s="205" t="n"/>
      <c r="Z143" s="205" t="n"/>
      <c r="AA143" s="205" t="n"/>
      <c r="AB143" s="205" t="n"/>
      <c r="AC143" s="205" t="n"/>
      <c r="AD143" s="205" t="n"/>
      <c r="AE143" s="205" t="n"/>
      <c r="AF143" s="205" t="n"/>
      <c r="AG143" s="205" t="n"/>
      <c r="AH143" s="205" t="n"/>
      <c r="AI143" s="202" t="n"/>
    </row>
    <row r="144" ht="102" customHeight="1" s="169">
      <c r="A144" s="192" t="n">
        <v>108</v>
      </c>
      <c r="B144" s="193" t="inlineStr">
        <is>
          <t>Кран шаровой фланцевый 11с22п Ду 100 Ру 16</t>
        </is>
      </c>
      <c r="C144" s="210" t="inlineStr">
        <is>
          <t>ГОСТ 21345-2005</t>
        </is>
      </c>
      <c r="D144" s="210" t="n">
        <v>100</v>
      </c>
      <c r="E144" s="210" t="inlineStr">
        <is>
          <t>стандартный</t>
        </is>
      </c>
      <c r="F144" s="210" t="n">
        <v>1.6</v>
      </c>
      <c r="G144" s="210" t="inlineStr">
        <is>
          <t>до +200</t>
        </is>
      </c>
      <c r="H144" s="210" t="inlineStr">
        <is>
          <t>вода, нефтепродукты</t>
        </is>
      </c>
      <c r="I144" s="210" t="inlineStr">
        <is>
          <t>сталь 20</t>
        </is>
      </c>
      <c r="J144" s="210" t="inlineStr">
        <is>
          <t>У1</t>
        </is>
      </c>
      <c r="K144" s="210" t="inlineStr">
        <is>
          <t>фланцевый</t>
        </is>
      </c>
      <c r="L144" s="210" t="inlineStr">
        <is>
          <t>ручной (рукоятка)</t>
        </is>
      </c>
      <c r="M144" s="210" t="inlineStr">
        <is>
          <t>-</t>
        </is>
      </c>
      <c r="N144" s="210" t="inlineStr">
        <is>
          <t>Любое</t>
        </is>
      </c>
      <c r="O144" s="210"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144" s="210" t="inlineStr">
        <is>
          <t>-</t>
        </is>
      </c>
      <c r="Q144" s="210" t="inlineStr">
        <is>
          <t>КРАН  УНИВЕРСАЛЬНОЙ СЕРИИ</t>
        </is>
      </c>
      <c r="R144" s="198">
        <f>A144</f>
        <v/>
      </c>
      <c r="S144" s="205" t="n"/>
      <c r="T144" s="205" t="n"/>
      <c r="U144" s="205" t="n"/>
      <c r="V144" s="205" t="n"/>
      <c r="W144" s="205" t="n"/>
      <c r="X144" s="205" t="n"/>
      <c r="Y144" s="205" t="n"/>
      <c r="Z144" s="205" t="n"/>
      <c r="AA144" s="205" t="n"/>
      <c r="AB144" s="205" t="n"/>
      <c r="AC144" s="205" t="n"/>
      <c r="AD144" s="205" t="n"/>
      <c r="AE144" s="205" t="n"/>
      <c r="AF144" s="205" t="n"/>
      <c r="AG144" s="205" t="n"/>
      <c r="AH144" s="205" t="n"/>
      <c r="AI144" s="202" t="n"/>
    </row>
    <row r="145" ht="51" customHeight="1" s="169">
      <c r="A145" s="192" t="n">
        <v>109</v>
      </c>
      <c r="B145" s="193" t="inlineStr">
        <is>
          <t xml:space="preserve">Кран шаровой 11С67П Ду 100 Ру 16 </t>
        </is>
      </c>
      <c r="C145" s="210" t="inlineStr">
        <is>
          <t>ГОСТ 21345-2005</t>
        </is>
      </c>
      <c r="D145" s="210" t="n">
        <v>100</v>
      </c>
      <c r="E145" s="210" t="inlineStr">
        <is>
          <t>полнопроходной</t>
        </is>
      </c>
      <c r="F145" s="210" t="n">
        <v>1.6</v>
      </c>
      <c r="G145" s="210" t="inlineStr">
        <is>
          <t>до +200°С</t>
        </is>
      </c>
      <c r="H145" s="210" t="inlineStr">
        <is>
          <t>вода, пар</t>
        </is>
      </c>
      <c r="I145" s="210" t="inlineStr">
        <is>
          <t>Ст20</t>
        </is>
      </c>
      <c r="J145" s="210" t="inlineStr">
        <is>
          <t>У1</t>
        </is>
      </c>
      <c r="K145" s="210" t="inlineStr">
        <is>
          <t>фланец-фланец</t>
        </is>
      </c>
      <c r="L145" s="210" t="inlineStr">
        <is>
          <t xml:space="preserve">Ручное </t>
        </is>
      </c>
      <c r="M145" s="210" t="inlineStr">
        <is>
          <t>Ручка-рычаг</t>
        </is>
      </c>
      <c r="N145" s="210" t="inlineStr">
        <is>
          <t>любое</t>
        </is>
      </c>
      <c r="O145" s="210" t="inlineStr">
        <is>
          <t>Уплотнительные кольца - фторопласт.</t>
        </is>
      </c>
      <c r="P145" s="210" t="inlineStr">
        <is>
          <t>длина — 230мм</t>
        </is>
      </c>
      <c r="Q145" s="197" t="n"/>
      <c r="R145" s="198">
        <f>A145</f>
        <v/>
      </c>
      <c r="S145" s="205" t="n"/>
      <c r="T145" s="205" t="n"/>
      <c r="U145" s="205" t="n"/>
      <c r="V145" s="205" t="n"/>
      <c r="W145" s="205" t="n"/>
      <c r="X145" s="205" t="n"/>
      <c r="Y145" s="205" t="n"/>
      <c r="Z145" s="205" t="n"/>
      <c r="AA145" s="205" t="n"/>
      <c r="AB145" s="205" t="n"/>
      <c r="AC145" s="205" t="n"/>
      <c r="AD145" s="205" t="n"/>
      <c r="AE145" s="205" t="n"/>
      <c r="AF145" s="205" t="n"/>
      <c r="AG145" s="205" t="n"/>
      <c r="AH145" s="205" t="n"/>
      <c r="AI145" s="202" t="n"/>
    </row>
    <row r="146" ht="51" customFormat="1" customHeight="1" s="171">
      <c r="A146" s="192" t="n">
        <v>110</v>
      </c>
      <c r="B146" s="193" t="inlineStr">
        <is>
          <t>Кран шаровой 11С67П Ду 150 Ру 16</t>
        </is>
      </c>
      <c r="C146" s="210" t="inlineStr">
        <is>
          <t>ГОСТ 21345-2005</t>
        </is>
      </c>
      <c r="D146" s="210" t="n">
        <v>150</v>
      </c>
      <c r="E146" s="210" t="inlineStr">
        <is>
          <t>полнопроходной</t>
        </is>
      </c>
      <c r="F146" s="210" t="n">
        <v>1.6</v>
      </c>
      <c r="G146" s="210" t="inlineStr">
        <is>
          <t>до +200°С</t>
        </is>
      </c>
      <c r="H146" s="210" t="inlineStr">
        <is>
          <t>вода, пар</t>
        </is>
      </c>
      <c r="I146" s="210" t="inlineStr">
        <is>
          <t>Ст20</t>
        </is>
      </c>
      <c r="J146" s="210" t="inlineStr">
        <is>
          <t>У1</t>
        </is>
      </c>
      <c r="K146" s="210" t="inlineStr">
        <is>
          <t>фланец-фланец</t>
        </is>
      </c>
      <c r="L146" s="210" t="inlineStr">
        <is>
          <t xml:space="preserve">Ручное </t>
        </is>
      </c>
      <c r="M146" s="210" t="inlineStr">
        <is>
          <t>Ручка-рычаг</t>
        </is>
      </c>
      <c r="N146" s="210" t="inlineStr">
        <is>
          <t>любое</t>
        </is>
      </c>
      <c r="O146" s="210" t="inlineStr">
        <is>
          <t>Уплотнительные кольца - фторопласт.</t>
        </is>
      </c>
      <c r="P146" s="210" t="inlineStr">
        <is>
          <t>длина — 280мм</t>
        </is>
      </c>
      <c r="Q146" s="197" t="n"/>
      <c r="R146" s="198">
        <f>A146</f>
        <v/>
      </c>
      <c r="S146" s="205" t="n"/>
      <c r="T146" s="205" t="n"/>
      <c r="U146" s="205" t="n"/>
      <c r="V146" s="205" t="n"/>
      <c r="W146" s="205" t="n"/>
      <c r="X146" s="205" t="n"/>
      <c r="Y146" s="205" t="n"/>
      <c r="Z146" s="205" t="n"/>
      <c r="AA146" s="205" t="n"/>
      <c r="AB146" s="205" t="n"/>
      <c r="AC146" s="205" t="n"/>
      <c r="AD146" s="205" t="n"/>
      <c r="AE146" s="205" t="n"/>
      <c r="AF146" s="205" t="n"/>
      <c r="AG146" s="205" t="n"/>
      <c r="AH146" s="205" t="n"/>
      <c r="AI146" s="202" t="n"/>
    </row>
    <row r="147" ht="51" customFormat="1" customHeight="1" s="171">
      <c r="A147" s="192" t="n">
        <v>111</v>
      </c>
      <c r="B147" s="193" t="inlineStr">
        <is>
          <t>Кран шаровой 11С67П Ду 200 Ру 16</t>
        </is>
      </c>
      <c r="C147" s="210" t="inlineStr">
        <is>
          <t>ГОСТ 21345-2005</t>
        </is>
      </c>
      <c r="D147" s="210" t="n">
        <v>200</v>
      </c>
      <c r="E147" s="210" t="inlineStr">
        <is>
          <t>полнопроходной</t>
        </is>
      </c>
      <c r="F147" s="210" t="n">
        <v>1.6</v>
      </c>
      <c r="G147" s="210" t="inlineStr">
        <is>
          <t>до +200°С</t>
        </is>
      </c>
      <c r="H147" s="210" t="inlineStr">
        <is>
          <t>вода, пар</t>
        </is>
      </c>
      <c r="I147" s="210" t="inlineStr">
        <is>
          <t>Ст20</t>
        </is>
      </c>
      <c r="J147" s="210" t="inlineStr">
        <is>
          <t>У1</t>
        </is>
      </c>
      <c r="K147" s="210" t="inlineStr">
        <is>
          <t>фланец-фланец</t>
        </is>
      </c>
      <c r="L147" s="210" t="inlineStr">
        <is>
          <t xml:space="preserve">Ручное </t>
        </is>
      </c>
      <c r="M147" s="210" t="inlineStr">
        <is>
          <t>Ручка-рычаг</t>
        </is>
      </c>
      <c r="N147" s="210" t="inlineStr">
        <is>
          <t>любое</t>
        </is>
      </c>
      <c r="O147" s="210" t="inlineStr">
        <is>
          <t>Уплотнительные кольца - фторопласт.</t>
        </is>
      </c>
      <c r="P147" s="210" t="inlineStr">
        <is>
          <t>строительная длина — 330 мм</t>
        </is>
      </c>
      <c r="Q147" s="197" t="n"/>
      <c r="R147" s="198">
        <f>A147</f>
        <v/>
      </c>
      <c r="S147" s="205" t="n"/>
      <c r="T147" s="205" t="n"/>
      <c r="U147" s="205" t="n"/>
      <c r="V147" s="205" t="n"/>
      <c r="W147" s="205" t="n"/>
      <c r="X147" s="205" t="n"/>
      <c r="Y147" s="205" t="n"/>
      <c r="Z147" s="205" t="n"/>
      <c r="AA147" s="205" t="n"/>
      <c r="AB147" s="205" t="n"/>
      <c r="AC147" s="205" t="n"/>
      <c r="AD147" s="205" t="n"/>
      <c r="AE147" s="205" t="n"/>
      <c r="AF147" s="205" t="n"/>
      <c r="AG147" s="205" t="n"/>
      <c r="AH147" s="205" t="n"/>
      <c r="AI147" s="202" t="n"/>
    </row>
    <row r="148" ht="51" customFormat="1" customHeight="1" s="171">
      <c r="A148" s="192" t="n">
        <v>112</v>
      </c>
      <c r="B148" s="193" t="inlineStr">
        <is>
          <t>Кран шаровой 11С67П Ду 80 Ру 16</t>
        </is>
      </c>
      <c r="C148" s="210" t="inlineStr">
        <is>
          <t>ГОСТ 21345-2005</t>
        </is>
      </c>
      <c r="D148" s="210" t="n">
        <v>80</v>
      </c>
      <c r="E148" s="210" t="inlineStr">
        <is>
          <t>полнопроходной</t>
        </is>
      </c>
      <c r="F148" s="210" t="n">
        <v>1.6</v>
      </c>
      <c r="G148" s="210" t="inlineStr">
        <is>
          <t>до +200°С</t>
        </is>
      </c>
      <c r="H148" s="210" t="inlineStr">
        <is>
          <t>вода, пар</t>
        </is>
      </c>
      <c r="I148" s="210" t="inlineStr">
        <is>
          <t>Ст20</t>
        </is>
      </c>
      <c r="J148" s="210" t="inlineStr">
        <is>
          <t>У1</t>
        </is>
      </c>
      <c r="K148" s="210" t="inlineStr">
        <is>
          <t>фланец-фланец</t>
        </is>
      </c>
      <c r="L148" s="210" t="inlineStr">
        <is>
          <t xml:space="preserve">Ручное </t>
        </is>
      </c>
      <c r="M148" s="210" t="inlineStr">
        <is>
          <t>Ручка-рычаг</t>
        </is>
      </c>
      <c r="N148" s="210" t="inlineStr">
        <is>
          <t>любое</t>
        </is>
      </c>
      <c r="O148" s="210" t="inlineStr">
        <is>
          <t>Уплотнительные кольца - фторопласт.</t>
        </is>
      </c>
      <c r="P148" s="210" t="inlineStr">
        <is>
          <t>длина — 210мм</t>
        </is>
      </c>
      <c r="Q148" s="197" t="n"/>
      <c r="R148" s="198">
        <f>A148</f>
        <v/>
      </c>
      <c r="S148" s="205" t="n"/>
      <c r="T148" s="205" t="n"/>
      <c r="U148" s="205" t="n"/>
      <c r="V148" s="205" t="n"/>
      <c r="W148" s="205" t="n"/>
      <c r="X148" s="205" t="n"/>
      <c r="Y148" s="205" t="n"/>
      <c r="Z148" s="205" t="n"/>
      <c r="AA148" s="205" t="n"/>
      <c r="AB148" s="205" t="n"/>
      <c r="AC148" s="205" t="n"/>
      <c r="AD148" s="205" t="n"/>
      <c r="AE148" s="205" t="n"/>
      <c r="AF148" s="205" t="n"/>
      <c r="AG148" s="205" t="n"/>
      <c r="AH148" s="205" t="n"/>
      <c r="AI148" s="202" t="n"/>
    </row>
    <row r="149" ht="51" customFormat="1" customHeight="1" s="171">
      <c r="A149" s="192" t="n">
        <v>113</v>
      </c>
      <c r="B149" s="193" t="inlineStr">
        <is>
          <t>Кран шаровой 11с67п Ду 15 Ру 25 цельносварной под приварку</t>
        </is>
      </c>
      <c r="C149" s="210" t="inlineStr">
        <is>
          <t>ГОСТ 21345-2005</t>
        </is>
      </c>
      <c r="D149" s="210" t="n">
        <v>15</v>
      </c>
      <c r="E149" s="210" t="inlineStr">
        <is>
          <t>полнопроходной</t>
        </is>
      </c>
      <c r="F149" s="210" t="n">
        <v>2.5</v>
      </c>
      <c r="G149" s="210" t="inlineStr">
        <is>
          <t>От -40°С до +200°С</t>
        </is>
      </c>
      <c r="H149" s="210" t="inlineStr">
        <is>
          <t>Вода</t>
        </is>
      </c>
      <c r="I149" s="210" t="inlineStr">
        <is>
          <t>сталь 20</t>
        </is>
      </c>
      <c r="J149" s="210" t="inlineStr">
        <is>
          <t>У1</t>
        </is>
      </c>
      <c r="K149" s="210" t="inlineStr">
        <is>
          <t>под приварку</t>
        </is>
      </c>
      <c r="L149" s="210" t="inlineStr">
        <is>
          <t xml:space="preserve">Ручное </t>
        </is>
      </c>
      <c r="M149" s="210" t="inlineStr">
        <is>
          <t>Рукоятка</t>
        </is>
      </c>
      <c r="N149" s="210" t="inlineStr">
        <is>
          <t>любое</t>
        </is>
      </c>
      <c r="O149" s="210" t="inlineStr">
        <is>
          <t>Шток:  сталь, 20Х13 
Уплотнения штока: фторопласт Ф4Г3К6 
Уплотнения шара: фторопласт Ф4Г3К6       
Шар: нержавеющая сталь</t>
        </is>
      </c>
      <c r="P149" s="210" t="n"/>
      <c r="Q149" s="210" t="n"/>
      <c r="R149" s="198">
        <f>A149</f>
        <v/>
      </c>
      <c r="S149" s="205" t="n"/>
      <c r="T149" s="205" t="n"/>
      <c r="U149" s="205" t="n"/>
      <c r="V149" s="205" t="n"/>
      <c r="W149" s="205" t="n"/>
      <c r="X149" s="205" t="n"/>
      <c r="Y149" s="205" t="n"/>
      <c r="Z149" s="205" t="n"/>
      <c r="AA149" s="205" t="n"/>
      <c r="AB149" s="205" t="n"/>
      <c r="AC149" s="205" t="n"/>
      <c r="AD149" s="205" t="n"/>
      <c r="AE149" s="205" t="n"/>
      <c r="AF149" s="205" t="n"/>
      <c r="AG149" s="205" t="n"/>
      <c r="AH149" s="205" t="n"/>
      <c r="AI149" s="202" t="n"/>
    </row>
    <row r="150" ht="89.25" customHeight="1" s="169">
      <c r="A150" s="192" t="n">
        <v>114</v>
      </c>
      <c r="B150" s="193" t="inlineStr">
        <is>
          <t>Кран шаровой 11с67п Ду 25 Ру 25 цельносварной под приварку</t>
        </is>
      </c>
      <c r="C150" s="210" t="inlineStr">
        <is>
          <t>ГОСТ 21345-2005</t>
        </is>
      </c>
      <c r="D150" s="210" t="n">
        <v>25</v>
      </c>
      <c r="E150" s="210" t="inlineStr">
        <is>
          <t>полнопроходной</t>
        </is>
      </c>
      <c r="F150" s="210" t="n">
        <v>2.5</v>
      </c>
      <c r="G150" s="210" t="inlineStr">
        <is>
          <t>От -40°С до +180°С</t>
        </is>
      </c>
      <c r="H150" s="210" t="inlineStr">
        <is>
          <t>Вода, газ, нефтепродукты и другие нетоксичные и не агрессивные среды, нейтральные к материалам деталей крана.</t>
        </is>
      </c>
      <c r="I150" s="210" t="inlineStr">
        <is>
          <t>сталь 20</t>
        </is>
      </c>
      <c r="J150" s="210" t="inlineStr">
        <is>
          <t>У1</t>
        </is>
      </c>
      <c r="K150" s="210" t="inlineStr">
        <is>
          <t>под приварку</t>
        </is>
      </c>
      <c r="L150" s="210" t="inlineStr">
        <is>
          <t>Ручной</t>
        </is>
      </c>
      <c r="M150" s="210" t="inlineStr">
        <is>
          <t>Рукоятка</t>
        </is>
      </c>
      <c r="N150" s="210" t="n"/>
      <c r="O150"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150" s="210" t="n"/>
      <c r="Q150" s="210" t="n"/>
      <c r="R150" s="198">
        <f>A150</f>
        <v/>
      </c>
      <c r="S150" s="205" t="n"/>
      <c r="T150" s="205" t="n"/>
      <c r="U150" s="205" t="n"/>
      <c r="V150" s="205" t="n"/>
      <c r="W150" s="205" t="n"/>
      <c r="X150" s="205" t="n"/>
      <c r="Y150" s="205" t="n"/>
      <c r="Z150" s="205" t="n"/>
      <c r="AA150" s="205" t="n"/>
      <c r="AB150" s="205" t="n"/>
      <c r="AC150" s="205" t="n"/>
      <c r="AD150" s="205" t="n"/>
      <c r="AE150" s="205" t="n"/>
      <c r="AF150" s="205" t="n"/>
      <c r="AG150" s="205" t="n"/>
      <c r="AH150" s="205" t="n"/>
      <c r="AI150" s="202" t="n"/>
    </row>
    <row r="151" ht="89.25" customHeight="1" s="169">
      <c r="A151" s="192" t="n">
        <v>115</v>
      </c>
      <c r="B151" s="193" t="inlineStr">
        <is>
          <t>Кран шаровой 11с67п Ду 32 Ру 25 цельносварной под приварку</t>
        </is>
      </c>
      <c r="C151" s="210" t="inlineStr">
        <is>
          <t>ГОСТ 21345-2005</t>
        </is>
      </c>
      <c r="D151" s="210" t="n">
        <v>32</v>
      </c>
      <c r="E151" s="210" t="inlineStr">
        <is>
          <t>полнопроходной</t>
        </is>
      </c>
      <c r="F151" s="210" t="n">
        <v>2.5</v>
      </c>
      <c r="G151" s="210" t="inlineStr">
        <is>
          <t>От -40°С до +180°С</t>
        </is>
      </c>
      <c r="H151" s="210" t="inlineStr">
        <is>
          <t>Вода, газ, нефтепродукты и другие нетоксичные и не агрессивные среды, нейтральные к материалам деталей крана.</t>
        </is>
      </c>
      <c r="I151" s="210" t="inlineStr">
        <is>
          <t>сталь 20</t>
        </is>
      </c>
      <c r="J151" s="210" t="inlineStr">
        <is>
          <t>У1</t>
        </is>
      </c>
      <c r="K151" s="210" t="inlineStr">
        <is>
          <t>под приварку</t>
        </is>
      </c>
      <c r="L151" s="210" t="inlineStr">
        <is>
          <t>Ручной</t>
        </is>
      </c>
      <c r="M151" s="210" t="inlineStr">
        <is>
          <t>Рукоятка</t>
        </is>
      </c>
      <c r="N151" s="210" t="inlineStr">
        <is>
          <t>любое</t>
        </is>
      </c>
      <c r="O151"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151" s="210" t="inlineStr">
        <is>
          <t>строительная длина 260мм</t>
        </is>
      </c>
      <c r="Q151" s="210" t="n"/>
      <c r="R151" s="198">
        <f>A151</f>
        <v/>
      </c>
      <c r="S151" s="205" t="n"/>
      <c r="T151" s="205" t="n"/>
      <c r="U151" s="205" t="n"/>
      <c r="V151" s="205" t="n"/>
      <c r="W151" s="205" t="n"/>
      <c r="X151" s="205" t="n"/>
      <c r="Y151" s="205" t="n"/>
      <c r="Z151" s="205" t="n"/>
      <c r="AA151" s="205" t="n"/>
      <c r="AB151" s="205" t="n"/>
      <c r="AC151" s="205" t="n"/>
      <c r="AD151" s="205" t="n"/>
      <c r="AE151" s="205" t="n"/>
      <c r="AF151" s="205" t="n"/>
      <c r="AG151" s="205" t="n"/>
      <c r="AH151" s="205" t="n"/>
      <c r="AI151" s="202" t="n"/>
    </row>
    <row r="152" ht="51" customHeight="1" s="169">
      <c r="A152" s="192" t="n">
        <v>116</v>
      </c>
      <c r="B152" s="193" t="inlineStr">
        <is>
          <t>Кран шаровой 11с67п Ду 40 Ру 25 цельносварной под приварку</t>
        </is>
      </c>
      <c r="C152" s="210" t="inlineStr">
        <is>
          <t>ГОСТ 21345-2005</t>
        </is>
      </c>
      <c r="D152" s="210" t="n">
        <v>40</v>
      </c>
      <c r="E152" s="210" t="inlineStr">
        <is>
          <t>полнопроходной</t>
        </is>
      </c>
      <c r="F152" s="210" t="n">
        <v>2.5</v>
      </c>
      <c r="G152" s="210" t="inlineStr">
        <is>
          <t>От -40°С до +200°С</t>
        </is>
      </c>
      <c r="H152" s="210" t="inlineStr">
        <is>
          <t>Вода</t>
        </is>
      </c>
      <c r="I152" s="210" t="inlineStr">
        <is>
          <t>сталь 20</t>
        </is>
      </c>
      <c r="J152" s="210" t="inlineStr">
        <is>
          <t>У1</t>
        </is>
      </c>
      <c r="K152" s="210" t="inlineStr">
        <is>
          <t>под приварку</t>
        </is>
      </c>
      <c r="L152" s="210" t="inlineStr">
        <is>
          <t xml:space="preserve">Ручное </t>
        </is>
      </c>
      <c r="M152" s="210" t="inlineStr">
        <is>
          <t>Рукоятка</t>
        </is>
      </c>
      <c r="N152" s="210" t="inlineStr">
        <is>
          <t>любое</t>
        </is>
      </c>
      <c r="O152" s="210" t="inlineStr">
        <is>
          <t>Шток:  сталь, 20Х13 
Уплотнения штока: фторопласт Ф4Г3К6 
Уплотнения шара: фторопласт Ф4Г3К6
 Шар: нержавеющая сталь</t>
        </is>
      </c>
      <c r="P152" s="210" t="n"/>
      <c r="Q152" s="210" t="n"/>
      <c r="R152" s="198">
        <f>A152</f>
        <v/>
      </c>
      <c r="S152" s="205" t="n"/>
      <c r="T152" s="205" t="n"/>
      <c r="U152" s="205" t="n"/>
      <c r="V152" s="205" t="n"/>
      <c r="W152" s="205" t="n"/>
      <c r="X152" s="205" t="n"/>
      <c r="Y152" s="205" t="n"/>
      <c r="Z152" s="205" t="n"/>
      <c r="AA152" s="205" t="n"/>
      <c r="AB152" s="205" t="n"/>
      <c r="AC152" s="205" t="n"/>
      <c r="AD152" s="205" t="n"/>
      <c r="AE152" s="205" t="n"/>
      <c r="AF152" s="205" t="n"/>
      <c r="AG152" s="205" t="n"/>
      <c r="AH152" s="205" t="n"/>
      <c r="AI152" s="202" t="n"/>
    </row>
    <row r="153" ht="51" customHeight="1" s="169">
      <c r="A153" s="192" t="n">
        <v>117</v>
      </c>
      <c r="B153" s="193" t="inlineStr">
        <is>
          <t>Кран шаровой 11с67п Ду 50 Ру 25 цельносварной под приварку</t>
        </is>
      </c>
      <c r="C153" s="210" t="inlineStr">
        <is>
          <t>ГОСТ 21345-2005</t>
        </is>
      </c>
      <c r="D153" s="210" t="n">
        <v>50</v>
      </c>
      <c r="E153" s="210" t="inlineStr">
        <is>
          <t>полнопроходной</t>
        </is>
      </c>
      <c r="F153" s="210" t="n">
        <v>2.5</v>
      </c>
      <c r="G153" s="210" t="inlineStr">
        <is>
          <t>от -40 до +200</t>
        </is>
      </c>
      <c r="H153" s="210" t="inlineStr">
        <is>
          <t>вода</t>
        </is>
      </c>
      <c r="I153" s="210" t="inlineStr">
        <is>
          <t>сталь 20</t>
        </is>
      </c>
      <c r="J153" s="210" t="inlineStr">
        <is>
          <t>У1</t>
        </is>
      </c>
      <c r="K153" s="210" t="inlineStr">
        <is>
          <t>под приварку</t>
        </is>
      </c>
      <c r="L153" s="210" t="inlineStr">
        <is>
          <t>ручное</t>
        </is>
      </c>
      <c r="M153" s="210" t="inlineStr">
        <is>
          <t>рукоятка</t>
        </is>
      </c>
      <c r="N153" s="210" t="inlineStr">
        <is>
          <t>любое</t>
        </is>
      </c>
      <c r="O153" s="210" t="inlineStr">
        <is>
          <t xml:space="preserve">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 </t>
        </is>
      </c>
      <c r="P153" s="210" t="inlineStr">
        <is>
          <t>строительная длина 300мм</t>
        </is>
      </c>
      <c r="Q153" s="210" t="n"/>
      <c r="R153" s="198">
        <f>A153</f>
        <v/>
      </c>
      <c r="S153" s="205" t="n"/>
      <c r="T153" s="205" t="n"/>
      <c r="U153" s="205" t="n"/>
      <c r="V153" s="205" t="n"/>
      <c r="W153" s="205" t="n"/>
      <c r="X153" s="205" t="n"/>
      <c r="Y153" s="205" t="n"/>
      <c r="Z153" s="205" t="n"/>
      <c r="AA153" s="205" t="n"/>
      <c r="AB153" s="205" t="n"/>
      <c r="AC153" s="205" t="n"/>
      <c r="AD153" s="205" t="n"/>
      <c r="AE153" s="205" t="n"/>
      <c r="AF153" s="205" t="n"/>
      <c r="AG153" s="205" t="n"/>
      <c r="AH153" s="205" t="n"/>
      <c r="AI153" s="202" t="n"/>
    </row>
    <row r="154" ht="51" customHeight="1" s="169">
      <c r="A154" s="192" t="n">
        <v>118</v>
      </c>
      <c r="B154" s="193" t="inlineStr">
        <is>
          <t>Кран шаровой 11с67п Ду 80 Ру 25 цельносварной под приварку</t>
        </is>
      </c>
      <c r="C154" s="210" t="inlineStr">
        <is>
          <t>ГОСТ 21345-2005</t>
        </is>
      </c>
      <c r="D154" s="210" t="n">
        <v>80</v>
      </c>
      <c r="E154" s="210" t="inlineStr">
        <is>
          <t>полнопроходной</t>
        </is>
      </c>
      <c r="F154" s="210" t="n">
        <v>2.5</v>
      </c>
      <c r="G154" s="210" t="inlineStr">
        <is>
          <t>от -40 до +200</t>
        </is>
      </c>
      <c r="H154" s="210" t="inlineStr">
        <is>
          <t>вода</t>
        </is>
      </c>
      <c r="I154" s="210" t="inlineStr">
        <is>
          <t>сталь 20</t>
        </is>
      </c>
      <c r="J154" s="210" t="inlineStr">
        <is>
          <t>У1</t>
        </is>
      </c>
      <c r="K154" s="210" t="inlineStr">
        <is>
          <t>под приварку</t>
        </is>
      </c>
      <c r="L154" s="210" t="inlineStr">
        <is>
          <t>ручное</t>
        </is>
      </c>
      <c r="M154" s="210" t="inlineStr">
        <is>
          <t>рукоятка</t>
        </is>
      </c>
      <c r="N154" s="210" t="inlineStr">
        <is>
          <t>любое</t>
        </is>
      </c>
      <c r="O154" s="210" t="inlineStr">
        <is>
          <t xml:space="preserve">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 </t>
        </is>
      </c>
      <c r="P154" s="210" t="inlineStr">
        <is>
          <t>строительная длина 370мм</t>
        </is>
      </c>
      <c r="Q154" s="210" t="n"/>
      <c r="R154" s="198">
        <f>A154</f>
        <v/>
      </c>
      <c r="S154" s="205" t="n"/>
      <c r="T154" s="205" t="n"/>
      <c r="U154" s="205" t="n"/>
      <c r="V154" s="205" t="n"/>
      <c r="W154" s="205" t="n"/>
      <c r="X154" s="205" t="n"/>
      <c r="Y154" s="205" t="n"/>
      <c r="Z154" s="205" t="n"/>
      <c r="AA154" s="205" t="n"/>
      <c r="AB154" s="205" t="n"/>
      <c r="AC154" s="205" t="n"/>
      <c r="AD154" s="205" t="n"/>
      <c r="AE154" s="205" t="n"/>
      <c r="AF154" s="205" t="n"/>
      <c r="AG154" s="205" t="n"/>
      <c r="AH154" s="205" t="n"/>
      <c r="AI154" s="202" t="n"/>
    </row>
    <row r="155" ht="51" customHeight="1" s="169">
      <c r="A155" s="192" t="n">
        <v>119</v>
      </c>
      <c r="B155" s="193" t="inlineStr">
        <is>
          <t>Кран шаровой 11с67п Ду 100 Ру 25 цельносварной под приварку</t>
        </is>
      </c>
      <c r="C155" s="210" t="inlineStr">
        <is>
          <t>ГОСТ 21345-2005</t>
        </is>
      </c>
      <c r="D155" s="210" t="n">
        <v>100</v>
      </c>
      <c r="E155" s="210" t="inlineStr">
        <is>
          <t>полнопроходной</t>
        </is>
      </c>
      <c r="F155" s="210" t="n">
        <v>2.5</v>
      </c>
      <c r="G155" s="210" t="inlineStr">
        <is>
          <t>от -40 до +200</t>
        </is>
      </c>
      <c r="H155" s="210" t="inlineStr">
        <is>
          <t>вода</t>
        </is>
      </c>
      <c r="I155" s="210" t="inlineStr">
        <is>
          <t>сталь 20</t>
        </is>
      </c>
      <c r="J155" s="210" t="inlineStr">
        <is>
          <t>У1</t>
        </is>
      </c>
      <c r="K155" s="210" t="inlineStr">
        <is>
          <t>под приварку</t>
        </is>
      </c>
      <c r="L155" s="210" t="inlineStr">
        <is>
          <t>ручное</t>
        </is>
      </c>
      <c r="M155" s="210" t="inlineStr">
        <is>
          <t>рукоятка</t>
        </is>
      </c>
      <c r="N155" s="210" t="inlineStr">
        <is>
          <t>любое</t>
        </is>
      </c>
      <c r="O155"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155" s="210" t="inlineStr">
        <is>
          <t>строительная длина 390мм</t>
        </is>
      </c>
      <c r="Q155" s="210" t="n"/>
      <c r="R155" s="198">
        <f>A155</f>
        <v/>
      </c>
      <c r="S155" s="205" t="n"/>
      <c r="T155" s="205" t="n"/>
      <c r="U155" s="205" t="n"/>
      <c r="V155" s="205" t="n"/>
      <c r="W155" s="205" t="n"/>
      <c r="X155" s="205" t="n"/>
      <c r="Y155" s="205" t="n"/>
      <c r="Z155" s="205" t="n"/>
      <c r="AA155" s="205" t="n"/>
      <c r="AB155" s="205" t="n"/>
      <c r="AC155" s="205" t="n"/>
      <c r="AD155" s="205" t="n"/>
      <c r="AE155" s="205" t="n"/>
      <c r="AF155" s="205" t="n"/>
      <c r="AG155" s="205" t="n"/>
      <c r="AH155" s="205" t="n"/>
      <c r="AI155" s="202" t="n"/>
    </row>
    <row r="156" ht="51" customHeight="1" s="169">
      <c r="A156" s="192" t="n">
        <v>120</v>
      </c>
      <c r="B156" s="193" t="inlineStr">
        <is>
          <t>Кран шаровой 11с67п Ду 150 Ру 25 цельносварной под приварку</t>
        </is>
      </c>
      <c r="C156" s="210" t="inlineStr">
        <is>
          <t>ГОСТ 21345-2005</t>
        </is>
      </c>
      <c r="D156" s="210" t="n">
        <v>150</v>
      </c>
      <c r="E156" s="210" t="inlineStr">
        <is>
          <t>полнопроходной</t>
        </is>
      </c>
      <c r="F156" s="210" t="n">
        <v>2.5</v>
      </c>
      <c r="G156" s="210" t="inlineStr">
        <is>
          <t>от -40 до +200</t>
        </is>
      </c>
      <c r="H156" s="210" t="inlineStr">
        <is>
          <t>вода</t>
        </is>
      </c>
      <c r="I156" s="210" t="inlineStr">
        <is>
          <t>сталь 20</t>
        </is>
      </c>
      <c r="J156" s="210" t="inlineStr">
        <is>
          <t>У1</t>
        </is>
      </c>
      <c r="K156" s="210" t="inlineStr">
        <is>
          <t>под приварку</t>
        </is>
      </c>
      <c r="L156" s="210" t="inlineStr">
        <is>
          <t>ручное</t>
        </is>
      </c>
      <c r="M156" s="210" t="inlineStr">
        <is>
          <t>рукоятка</t>
        </is>
      </c>
      <c r="N156" s="210" t="inlineStr">
        <is>
          <t>любое</t>
        </is>
      </c>
      <c r="O156"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156" s="210" t="inlineStr">
        <is>
          <t>строительная длина 390мм</t>
        </is>
      </c>
      <c r="Q156" s="210" t="n"/>
      <c r="R156" s="198">
        <f>A156</f>
        <v/>
      </c>
      <c r="S156" s="205" t="n"/>
      <c r="T156" s="205" t="n"/>
      <c r="U156" s="205" t="n"/>
      <c r="V156" s="205" t="n"/>
      <c r="W156" s="205" t="n"/>
      <c r="X156" s="205" t="n"/>
      <c r="Y156" s="205" t="n"/>
      <c r="Z156" s="205" t="n"/>
      <c r="AA156" s="205" t="n"/>
      <c r="AB156" s="205" t="n"/>
      <c r="AC156" s="205" t="n"/>
      <c r="AD156" s="205" t="n"/>
      <c r="AE156" s="205" t="n"/>
      <c r="AF156" s="205" t="n"/>
      <c r="AG156" s="205" t="n"/>
      <c r="AH156" s="205" t="n"/>
      <c r="AI156" s="202" t="n"/>
    </row>
    <row r="157" ht="51" customHeight="1" s="169">
      <c r="A157" s="192" t="n">
        <v>121</v>
      </c>
      <c r="B157" s="193" t="inlineStr">
        <is>
          <t>Кран шаровой 11с67п Ду 200 Ру 25 цельносварной под приварку</t>
        </is>
      </c>
      <c r="C157" s="210" t="inlineStr">
        <is>
          <t>ГОСТ 21345-2005</t>
        </is>
      </c>
      <c r="D157" s="210" t="n">
        <v>200</v>
      </c>
      <c r="E157" s="210" t="inlineStr">
        <is>
          <t>Стандартнопроходной</t>
        </is>
      </c>
      <c r="F157" s="210" t="n">
        <v>2.5</v>
      </c>
      <c r="G157" s="210" t="inlineStr">
        <is>
          <t>от -40 до +200</t>
        </is>
      </c>
      <c r="H157" s="210" t="inlineStr">
        <is>
          <t>вода</t>
        </is>
      </c>
      <c r="I157" s="210" t="inlineStr">
        <is>
          <t>сталь 20</t>
        </is>
      </c>
      <c r="J157" s="210" t="inlineStr">
        <is>
          <t>У1</t>
        </is>
      </c>
      <c r="K157" s="210" t="inlineStr">
        <is>
          <t>под приварку</t>
        </is>
      </c>
      <c r="L157" s="210" t="inlineStr">
        <is>
          <t>ручное</t>
        </is>
      </c>
      <c r="M157" s="210" t="inlineStr">
        <is>
          <t>рукоятка</t>
        </is>
      </c>
      <c r="N157" s="210" t="inlineStr">
        <is>
          <t>любое</t>
        </is>
      </c>
      <c r="O157"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157" s="210" t="inlineStr">
        <is>
          <t>строительная длина 390мм</t>
        </is>
      </c>
      <c r="Q157" s="210" t="n"/>
      <c r="R157" s="198">
        <f>A157</f>
        <v/>
      </c>
      <c r="S157" s="205" t="n"/>
      <c r="T157" s="205" t="n"/>
      <c r="U157" s="205" t="n"/>
      <c r="V157" s="205" t="n"/>
      <c r="W157" s="205" t="n"/>
      <c r="X157" s="205" t="n"/>
      <c r="Y157" s="205" t="n"/>
      <c r="Z157" s="205" t="n"/>
      <c r="AA157" s="205" t="n"/>
      <c r="AB157" s="205" t="n"/>
      <c r="AC157" s="205" t="n"/>
      <c r="AD157" s="205" t="n"/>
      <c r="AE157" s="205" t="n"/>
      <c r="AF157" s="205" t="n"/>
      <c r="AG157" s="205" t="n"/>
      <c r="AH157" s="205" t="n"/>
      <c r="AI157" s="202" t="n"/>
    </row>
    <row r="158" ht="51" customHeight="1" s="169">
      <c r="A158" s="192" t="n">
        <v>122</v>
      </c>
      <c r="B158" s="193" t="inlineStr">
        <is>
          <t>Кран шаровой 11с67п Ду 15 Ру 25 полнопрох. с КОФ (КЗШС41нж)</t>
        </is>
      </c>
      <c r="C158" s="210" t="inlineStr">
        <is>
          <t xml:space="preserve">ТУ У 04671406-003-1999; ГОСТ 21345, ГОСТ 28343 </t>
        </is>
      </c>
      <c r="D158" s="210" t="n">
        <v>15</v>
      </c>
      <c r="E158" s="210" t="inlineStr">
        <is>
          <t>полнопроходной</t>
        </is>
      </c>
      <c r="F158" s="210" t="n">
        <v>2.5</v>
      </c>
      <c r="G158" s="210" t="inlineStr">
        <is>
          <t>От -40°С до +200°С</t>
        </is>
      </c>
      <c r="H158" s="210" t="inlineStr">
        <is>
          <t>Вода</t>
        </is>
      </c>
      <c r="I158" s="210" t="inlineStr">
        <is>
          <t>сталь 20</t>
        </is>
      </c>
      <c r="J158" s="210" t="inlineStr">
        <is>
          <t>У1</t>
        </is>
      </c>
      <c r="K158" s="210" t="inlineStr">
        <is>
          <t>фланец-фланец по ГОСТ 33259-2015</t>
        </is>
      </c>
      <c r="L158" s="210" t="inlineStr">
        <is>
          <t xml:space="preserve">Ручное </t>
        </is>
      </c>
      <c r="M158" s="210" t="inlineStr">
        <is>
          <t>Рукоятка</t>
        </is>
      </c>
      <c r="N158" s="210" t="inlineStr">
        <is>
          <t>любое</t>
        </is>
      </c>
      <c r="O158"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158" s="210" t="inlineStr">
        <is>
          <t>-</t>
        </is>
      </c>
      <c r="Q158" s="210" t="n"/>
      <c r="R158" s="198">
        <f>A158</f>
        <v/>
      </c>
      <c r="S158" s="205" t="n"/>
      <c r="T158" s="205" t="n"/>
      <c r="U158" s="205" t="n"/>
      <c r="V158" s="205" t="n"/>
      <c r="W158" s="205" t="n"/>
      <c r="X158" s="205" t="n"/>
      <c r="Y158" s="205" t="n"/>
      <c r="Z158" s="205" t="n"/>
      <c r="AA158" s="205" t="n"/>
      <c r="AB158" s="205" t="n"/>
      <c r="AC158" s="205" t="n"/>
      <c r="AD158" s="205" t="n"/>
      <c r="AE158" s="205" t="n"/>
      <c r="AF158" s="205" t="n"/>
      <c r="AG158" s="205" t="n"/>
      <c r="AH158" s="205" t="n"/>
      <c r="AI158" s="202" t="n"/>
    </row>
    <row r="159" ht="51" customHeight="1" s="169">
      <c r="A159" s="192" t="n">
        <v>123</v>
      </c>
      <c r="B159" s="193" t="inlineStr">
        <is>
          <t>Кран шаровой 11с67п Ду 25 Ру 25 полнопрох. с КОФ (КЗШС41нж)</t>
        </is>
      </c>
      <c r="C159" s="210" t="inlineStr">
        <is>
          <t xml:space="preserve">ТУ У 04671406-003-1999; ГОСТ 21345, ГОСТ 28343 </t>
        </is>
      </c>
      <c r="D159" s="210" t="n">
        <v>25</v>
      </c>
      <c r="E159" s="210" t="inlineStr">
        <is>
          <t>полнопроходной</t>
        </is>
      </c>
      <c r="F159" s="210" t="n">
        <v>2.5</v>
      </c>
      <c r="G159" s="210" t="inlineStr">
        <is>
          <t>От -40°С до +180°С</t>
        </is>
      </c>
      <c r="H159" s="210" t="inlineStr">
        <is>
          <t>Вода</t>
        </is>
      </c>
      <c r="I159" s="210" t="inlineStr">
        <is>
          <t>сталь 20</t>
        </is>
      </c>
      <c r="J159" s="210" t="inlineStr">
        <is>
          <t>У1</t>
        </is>
      </c>
      <c r="K159" s="210" t="inlineStr">
        <is>
          <t>фланец-фланец по ГОСТ 33259-2015</t>
        </is>
      </c>
      <c r="L159" s="210" t="inlineStr">
        <is>
          <t>Ручной</t>
        </is>
      </c>
      <c r="M159" s="210" t="inlineStr">
        <is>
          <t>Рукоятка</t>
        </is>
      </c>
      <c r="N159" s="210" t="inlineStr">
        <is>
          <t>любое</t>
        </is>
      </c>
      <c r="O159"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159" s="210" t="inlineStr">
        <is>
          <t>-</t>
        </is>
      </c>
      <c r="Q159" s="197" t="n"/>
      <c r="R159" s="198">
        <f>A159</f>
        <v/>
      </c>
      <c r="S159" s="205" t="n"/>
      <c r="T159" s="205" t="n"/>
      <c r="U159" s="205" t="n"/>
      <c r="V159" s="205" t="n"/>
      <c r="W159" s="205" t="n"/>
      <c r="X159" s="205" t="n"/>
      <c r="Y159" s="205" t="n"/>
      <c r="Z159" s="205" t="n"/>
      <c r="AA159" s="205" t="n"/>
      <c r="AB159" s="205" t="n"/>
      <c r="AC159" s="205" t="n"/>
      <c r="AD159" s="205" t="n"/>
      <c r="AE159" s="205" t="n"/>
      <c r="AF159" s="205" t="n"/>
      <c r="AG159" s="205" t="n"/>
      <c r="AH159" s="205" t="n"/>
      <c r="AI159" s="202" t="n"/>
    </row>
    <row r="160" ht="63.75" customHeight="1" s="169">
      <c r="A160" s="192" t="n">
        <v>124</v>
      </c>
      <c r="B160" s="193" t="inlineStr">
        <is>
          <t>Кран шаровой 11с67п Ду 32 Ру 25 полнопрох. с КОФ (КЗШС41нж)</t>
        </is>
      </c>
      <c r="C160" s="210" t="inlineStr">
        <is>
          <t>ТУ У 04671406-003-1999 (ТУ У 04671406-02-96)</t>
        </is>
      </c>
      <c r="D160" s="210" t="n">
        <v>32</v>
      </c>
      <c r="E160" s="210" t="inlineStr">
        <is>
          <t>полнопроходной</t>
        </is>
      </c>
      <c r="F160" s="210" t="n">
        <v>2.5</v>
      </c>
      <c r="G160" s="210" t="inlineStr">
        <is>
          <t>от -40 до +200</t>
        </is>
      </c>
      <c r="H160" s="210" t="inlineStr">
        <is>
          <t>вода</t>
        </is>
      </c>
      <c r="I160" s="210" t="inlineStr">
        <is>
          <t>сталь 20</t>
        </is>
      </c>
      <c r="J160" s="210" t="inlineStr">
        <is>
          <t>У1</t>
        </is>
      </c>
      <c r="K160" s="210" t="inlineStr">
        <is>
          <t>фланцевое</t>
        </is>
      </c>
      <c r="L160" s="210" t="inlineStr">
        <is>
          <t>ручное</t>
        </is>
      </c>
      <c r="M160" s="210" t="inlineStr">
        <is>
          <t>рукоятка</t>
        </is>
      </c>
      <c r="N160" s="210" t="inlineStr">
        <is>
          <t>любое</t>
        </is>
      </c>
      <c r="O160" s="210"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P160" s="210" t="inlineStr">
        <is>
          <t>строительная длинна 140мм</t>
        </is>
      </c>
      <c r="Q160" s="197" t="n"/>
      <c r="R160" s="198">
        <f>A160</f>
        <v/>
      </c>
      <c r="S160" s="205" t="n"/>
      <c r="T160" s="205" t="n"/>
      <c r="U160" s="205" t="n"/>
      <c r="V160" s="205" t="n"/>
      <c r="W160" s="205" t="n"/>
      <c r="X160" s="205" t="n"/>
      <c r="Y160" s="205" t="n"/>
      <c r="Z160" s="205" t="n"/>
      <c r="AA160" s="205" t="n"/>
      <c r="AB160" s="205" t="n"/>
      <c r="AC160" s="205" t="n"/>
      <c r="AD160" s="205" t="n"/>
      <c r="AE160" s="205" t="n"/>
      <c r="AF160" s="205" t="n"/>
      <c r="AG160" s="205" t="n"/>
      <c r="AH160" s="205" t="n"/>
      <c r="AI160" s="202" t="n"/>
    </row>
    <row r="161" ht="51" customHeight="1" s="169">
      <c r="A161" s="192" t="n">
        <v>125</v>
      </c>
      <c r="B161" s="193" t="inlineStr">
        <is>
          <t>Кран шаровой 11с67п Ду 50 Ру 25 полнопрох. с КОФ (КЗШС41нж)</t>
        </is>
      </c>
      <c r="C161" s="210" t="inlineStr">
        <is>
          <t>ТУ У 04671406-003-1999 (ТУ У 04671406-02-96)</t>
        </is>
      </c>
      <c r="D161" s="210" t="n">
        <v>50</v>
      </c>
      <c r="E161" s="210" t="inlineStr">
        <is>
          <t>полнопроходной</t>
        </is>
      </c>
      <c r="F161" s="210" t="n">
        <v>2.5</v>
      </c>
      <c r="G161" s="210" t="inlineStr">
        <is>
          <t>От -40°С до +200°С</t>
        </is>
      </c>
      <c r="H161" s="210" t="inlineStr">
        <is>
          <t>Вода</t>
        </is>
      </c>
      <c r="I161" s="210" t="inlineStr">
        <is>
          <t>сталь 20</t>
        </is>
      </c>
      <c r="J161" s="210" t="inlineStr">
        <is>
          <t>У1</t>
        </is>
      </c>
      <c r="K161" s="210" t="inlineStr">
        <is>
          <t>фланец-фланец</t>
        </is>
      </c>
      <c r="L161" s="210" t="inlineStr">
        <is>
          <t xml:space="preserve">Ручное </t>
        </is>
      </c>
      <c r="M161" s="210" t="inlineStr">
        <is>
          <t>Рукоятка</t>
        </is>
      </c>
      <c r="N161" s="210" t="inlineStr">
        <is>
          <t>любое</t>
        </is>
      </c>
      <c r="O161" s="210" t="inlineStr">
        <is>
          <t>Шпиндель:  Сталь 20Х13 Уплотнения горловины: Фторопласт Ф4 Уплотнения седла: Фторопласт Ф4  Горловина:  Сталь 20 Шар: Нержавеющая сталь 12Х18Н10Т</t>
        </is>
      </c>
      <c r="P161" s="210" t="inlineStr">
        <is>
          <t>180мм</t>
        </is>
      </c>
      <c r="Q161" s="197" t="n"/>
      <c r="R161" s="198">
        <f>A161</f>
        <v/>
      </c>
      <c r="S161" s="205" t="n"/>
      <c r="T161" s="205" t="n"/>
      <c r="U161" s="205" t="n"/>
      <c r="V161" s="205" t="n"/>
      <c r="W161" s="205" t="n"/>
      <c r="X161" s="205" t="n"/>
      <c r="Y161" s="205" t="n"/>
      <c r="Z161" s="205" t="n"/>
      <c r="AA161" s="205" t="n"/>
      <c r="AB161" s="205" t="n"/>
      <c r="AC161" s="205" t="n"/>
      <c r="AD161" s="205" t="n"/>
      <c r="AE161" s="205" t="n"/>
      <c r="AF161" s="205" t="n"/>
      <c r="AG161" s="205" t="n"/>
      <c r="AH161" s="205" t="n"/>
      <c r="AI161" s="202" t="n"/>
    </row>
    <row r="162" ht="51" customHeight="1" s="169">
      <c r="A162" s="192" t="n">
        <v>126</v>
      </c>
      <c r="B162" s="193" t="inlineStr">
        <is>
          <t>Кран шаровой 11с67п Ду 80 Ру 25 полнопрох. с КОФ (КЗШС41нж)</t>
        </is>
      </c>
      <c r="C162" s="210" t="inlineStr">
        <is>
          <t xml:space="preserve">ТУ У 04671406-003-1999; ГОСТ 21345, ГОСТ 28343 </t>
        </is>
      </c>
      <c r="D162" s="210" t="n">
        <v>80</v>
      </c>
      <c r="E162" s="210" t="inlineStr">
        <is>
          <t>полнопроходной</t>
        </is>
      </c>
      <c r="F162" s="210" t="n">
        <v>2.5</v>
      </c>
      <c r="G162" s="210" t="inlineStr">
        <is>
          <t>От -40°С до +200°С</t>
        </is>
      </c>
      <c r="H162" s="210" t="inlineStr">
        <is>
          <t>Вода</t>
        </is>
      </c>
      <c r="I162" s="210" t="inlineStr">
        <is>
          <t>сталь 20</t>
        </is>
      </c>
      <c r="J162" s="210" t="inlineStr">
        <is>
          <t>У1</t>
        </is>
      </c>
      <c r="K162" s="210" t="inlineStr">
        <is>
          <t>фланцевое</t>
        </is>
      </c>
      <c r="L162" s="210" t="inlineStr">
        <is>
          <t xml:space="preserve">Ручное </t>
        </is>
      </c>
      <c r="M162" s="210" t="inlineStr">
        <is>
          <t>Рукоятка</t>
        </is>
      </c>
      <c r="N162" s="210" t="inlineStr">
        <is>
          <t>любое</t>
        </is>
      </c>
      <c r="O162"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162" s="210" t="inlineStr">
        <is>
          <t xml:space="preserve">строительная длина 210мм </t>
        </is>
      </c>
      <c r="Q162" s="197" t="n"/>
      <c r="R162" s="198">
        <f>A162</f>
        <v/>
      </c>
      <c r="S162" s="205" t="n"/>
      <c r="T162" s="205" t="n"/>
      <c r="U162" s="205" t="n"/>
      <c r="V162" s="205" t="n"/>
      <c r="W162" s="205" t="n"/>
      <c r="X162" s="205" t="n"/>
      <c r="Y162" s="205" t="n"/>
      <c r="Z162" s="205" t="n"/>
      <c r="AA162" s="205" t="n"/>
      <c r="AB162" s="205" t="n"/>
      <c r="AC162" s="205" t="n"/>
      <c r="AD162" s="205" t="n"/>
      <c r="AE162" s="205" t="n"/>
      <c r="AF162" s="205" t="n"/>
      <c r="AG162" s="205" t="n"/>
      <c r="AH162" s="205" t="n"/>
      <c r="AI162" s="202" t="n"/>
    </row>
    <row r="163" ht="76.5" customHeight="1" s="169">
      <c r="A163" s="192" t="n">
        <v>127</v>
      </c>
      <c r="B163" s="193" t="inlineStr">
        <is>
          <t>Кран шаровой 11с67п Ду 100 Ру 16 ЦУФ.001 КШ укороченный полнопроходной фланцевый с рукояткой</t>
        </is>
      </c>
      <c r="C163" s="210" t="inlineStr">
        <is>
          <t>ТУ У 046714006-003-1999</t>
        </is>
      </c>
      <c r="D163" s="210" t="n">
        <v>100</v>
      </c>
      <c r="E163" s="210" t="inlineStr">
        <is>
          <t>полнопроходной</t>
        </is>
      </c>
      <c r="F163" s="210" t="n">
        <v>1.6</v>
      </c>
      <c r="G163" s="210" t="inlineStr">
        <is>
          <t>от -40 до +200</t>
        </is>
      </c>
      <c r="H163" s="210" t="inlineStr">
        <is>
          <t>вода</t>
        </is>
      </c>
      <c r="I163" s="210" t="inlineStr">
        <is>
          <t>сталь 20</t>
        </is>
      </c>
      <c r="J163" s="210" t="inlineStr">
        <is>
          <t>У1</t>
        </is>
      </c>
      <c r="K163" s="210" t="inlineStr">
        <is>
          <t>фланцевое</t>
        </is>
      </c>
      <c r="L163" s="210" t="inlineStr">
        <is>
          <t>ручное</t>
        </is>
      </c>
      <c r="M163" s="210" t="inlineStr">
        <is>
          <t>рукоятка</t>
        </is>
      </c>
      <c r="N163" s="210" t="inlineStr">
        <is>
          <t>любое</t>
        </is>
      </c>
      <c r="O163" s="210"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P163" s="210" t="inlineStr">
        <is>
          <t>строительная длина 230 мм</t>
        </is>
      </c>
      <c r="Q163" s="197" t="n"/>
      <c r="R163" s="198">
        <f>A163</f>
        <v/>
      </c>
      <c r="S163" s="205" t="n"/>
      <c r="T163" s="205" t="n"/>
      <c r="U163" s="205" t="n"/>
      <c r="V163" s="205" t="n"/>
      <c r="W163" s="205" t="n"/>
      <c r="X163" s="205" t="n"/>
      <c r="Y163" s="205" t="n"/>
      <c r="Z163" s="205" t="n"/>
      <c r="AA163" s="205" t="n"/>
      <c r="AB163" s="205" t="n"/>
      <c r="AC163" s="205" t="n"/>
      <c r="AD163" s="205" t="n"/>
      <c r="AE163" s="205" t="n"/>
      <c r="AF163" s="205" t="n"/>
      <c r="AG163" s="205" t="n"/>
      <c r="AH163" s="205" t="n"/>
      <c r="AI163" s="202" t="n"/>
    </row>
    <row r="164" ht="76.5" customHeight="1" s="169">
      <c r="A164" s="192" t="n">
        <v>128</v>
      </c>
      <c r="B164" s="193" t="inlineStr">
        <is>
          <t>Кран шаровой 11с67п Ду 125 Ру 16 ЦУФ.001 КШ укороченный полнопроходной фланцевый с рукояткой</t>
        </is>
      </c>
      <c r="C164" s="210" t="inlineStr">
        <is>
          <t>ТУ У 046714006-003-1999</t>
        </is>
      </c>
      <c r="D164" s="210" t="n">
        <v>125</v>
      </c>
      <c r="E164" s="210" t="inlineStr">
        <is>
          <t>полнопроходной</t>
        </is>
      </c>
      <c r="F164" s="210" t="n">
        <v>1.6</v>
      </c>
      <c r="G164" s="210" t="inlineStr">
        <is>
          <t>от -40 до +200</t>
        </is>
      </c>
      <c r="H164" s="210" t="inlineStr">
        <is>
          <t>вода</t>
        </is>
      </c>
      <c r="I164" s="210" t="inlineStr">
        <is>
          <t>сталь 20</t>
        </is>
      </c>
      <c r="J164" s="210" t="inlineStr">
        <is>
          <t>У1</t>
        </is>
      </c>
      <c r="K164" s="210" t="inlineStr">
        <is>
          <t>фланцевое</t>
        </is>
      </c>
      <c r="L164" s="210" t="inlineStr">
        <is>
          <t>ручное</t>
        </is>
      </c>
      <c r="M164" s="210" t="inlineStr">
        <is>
          <t>рукоятка</t>
        </is>
      </c>
      <c r="N164" s="210" t="inlineStr">
        <is>
          <t>любое</t>
        </is>
      </c>
      <c r="O164" s="210"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P164" s="210" t="inlineStr">
        <is>
          <t>строительная длина 255мм</t>
        </is>
      </c>
      <c r="Q164" s="197" t="n"/>
      <c r="R164" s="198">
        <f>A164</f>
        <v/>
      </c>
      <c r="S164" s="205" t="n"/>
      <c r="T164" s="205" t="n"/>
      <c r="U164" s="205" t="n"/>
      <c r="V164" s="205" t="n"/>
      <c r="W164" s="205" t="n"/>
      <c r="X164" s="205" t="n"/>
      <c r="Y164" s="205" t="n"/>
      <c r="Z164" s="205" t="n"/>
      <c r="AA164" s="205" t="n"/>
      <c r="AB164" s="205" t="n"/>
      <c r="AC164" s="205" t="n"/>
      <c r="AD164" s="205" t="n"/>
      <c r="AE164" s="205" t="n"/>
      <c r="AF164" s="205" t="n"/>
      <c r="AG164" s="205" t="n"/>
      <c r="AH164" s="205" t="n"/>
      <c r="AI164" s="202" t="n"/>
    </row>
    <row r="165" ht="76.5" customHeight="1" s="169">
      <c r="A165" s="192" t="n">
        <v>129</v>
      </c>
      <c r="B165" s="193" t="inlineStr">
        <is>
          <t>Кран шаровой 11с67п Ду 150 Ру 16 ЦУФ.001 КШ укороченный полнопроходной фланцевый с рукояткой</t>
        </is>
      </c>
      <c r="C165" s="210" t="inlineStr">
        <is>
          <t>ТУ У 046714006-003-1999</t>
        </is>
      </c>
      <c r="D165" s="210" t="n">
        <v>150</v>
      </c>
      <c r="E165" s="210" t="inlineStr">
        <is>
          <t>полнопроходной</t>
        </is>
      </c>
      <c r="F165" s="210" t="n">
        <v>1.6</v>
      </c>
      <c r="G165" s="210" t="inlineStr">
        <is>
          <t>от -40 до +200</t>
        </is>
      </c>
      <c r="H165" s="210" t="inlineStr">
        <is>
          <t>вода</t>
        </is>
      </c>
      <c r="I165" s="210" t="inlineStr">
        <is>
          <t>сталь 20</t>
        </is>
      </c>
      <c r="J165" s="210" t="inlineStr">
        <is>
          <t>У1</t>
        </is>
      </c>
      <c r="K165" s="210" t="inlineStr">
        <is>
          <t>фланцевое</t>
        </is>
      </c>
      <c r="L165" s="210" t="inlineStr">
        <is>
          <t>ручное</t>
        </is>
      </c>
      <c r="M165" s="210" t="inlineStr">
        <is>
          <t>рукоятка</t>
        </is>
      </c>
      <c r="N165" s="210" t="inlineStr">
        <is>
          <t>любое</t>
        </is>
      </c>
      <c r="O165" s="210"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P165" s="210" t="inlineStr">
        <is>
          <t>строительная длина 280мм</t>
        </is>
      </c>
      <c r="Q165" s="197" t="n"/>
      <c r="R165" s="198">
        <f>A165</f>
        <v/>
      </c>
      <c r="S165" s="205" t="n"/>
      <c r="T165" s="205" t="n"/>
      <c r="U165" s="205" t="n"/>
      <c r="V165" s="205" t="n"/>
      <c r="W165" s="205" t="n"/>
      <c r="X165" s="205" t="n"/>
      <c r="Y165" s="205" t="n"/>
      <c r="Z165" s="205" t="n"/>
      <c r="AA165" s="205" t="n"/>
      <c r="AB165" s="205" t="n"/>
      <c r="AC165" s="205" t="n"/>
      <c r="AD165" s="205" t="n"/>
      <c r="AE165" s="205" t="n"/>
      <c r="AF165" s="205" t="n"/>
      <c r="AG165" s="205" t="n"/>
      <c r="AH165" s="205" t="n"/>
      <c r="AI165" s="202" t="n"/>
    </row>
    <row r="166" ht="76.5" customHeight="1" s="169">
      <c r="A166" s="192" t="n">
        <v>130</v>
      </c>
      <c r="B166" s="193" t="inlineStr">
        <is>
          <t>Кран шаровой 11с67п Ду 200 Ру 16 ЦУФ.001 КШ укороченный полнопроходной фланцевый с рукояткой</t>
        </is>
      </c>
      <c r="C166" s="210" t="inlineStr">
        <is>
          <t>ТУ У 046714006-003-1999</t>
        </is>
      </c>
      <c r="D166" s="210" t="n">
        <v>200</v>
      </c>
      <c r="E166" s="210" t="inlineStr">
        <is>
          <t>полнопроходной</t>
        </is>
      </c>
      <c r="F166" s="210" t="n">
        <v>1.6</v>
      </c>
      <c r="G166" s="210" t="inlineStr">
        <is>
          <t>от -40 до +200</t>
        </is>
      </c>
      <c r="H166" s="210" t="inlineStr">
        <is>
          <t>вода</t>
        </is>
      </c>
      <c r="I166" s="210" t="inlineStr">
        <is>
          <t>сталь 20</t>
        </is>
      </c>
      <c r="J166" s="210" t="inlineStr">
        <is>
          <t>У1</t>
        </is>
      </c>
      <c r="K166" s="210" t="inlineStr">
        <is>
          <t>фланцевое</t>
        </is>
      </c>
      <c r="L166" s="210" t="inlineStr">
        <is>
          <t>ручное</t>
        </is>
      </c>
      <c r="M166" s="210" t="inlineStr">
        <is>
          <t>рукоятка</t>
        </is>
      </c>
      <c r="N166" s="210" t="inlineStr">
        <is>
          <t>любое</t>
        </is>
      </c>
      <c r="O166" s="210" t="inlineStr">
        <is>
          <t>Корпус : углеродистая сталь 20
Шар : нержавеющая сталь 08Х18Н10
Шпиндель : коррозионо-стойкая сталь 20Х13
Седло : фторопласт Ф4Г3К6
Уплотнение шпинделя : фторопласт Ф4Г3К6 
Управление:Рукоятка</t>
        </is>
      </c>
      <c r="P166" s="210" t="inlineStr">
        <is>
          <t>строительная длина 330мм</t>
        </is>
      </c>
      <c r="Q166" s="197" t="n"/>
      <c r="R166" s="198">
        <f>A166</f>
        <v/>
      </c>
      <c r="S166" s="205" t="n"/>
      <c r="T166" s="205" t="n"/>
      <c r="U166" s="205" t="n"/>
      <c r="V166" s="205" t="n"/>
      <c r="W166" s="205" t="n"/>
      <c r="X166" s="205" t="n"/>
      <c r="Y166" s="205" t="n"/>
      <c r="Z166" s="205" t="n"/>
      <c r="AA166" s="205" t="n"/>
      <c r="AB166" s="205" t="n"/>
      <c r="AC166" s="205" t="n"/>
      <c r="AD166" s="205" t="n"/>
      <c r="AE166" s="205" t="n"/>
      <c r="AF166" s="205" t="n"/>
      <c r="AG166" s="205" t="n"/>
      <c r="AH166" s="205" t="n"/>
      <c r="AI166" s="202" t="n"/>
    </row>
    <row r="167" ht="63.75" customHeight="1" s="169">
      <c r="A167" s="192" t="n">
        <v>131</v>
      </c>
      <c r="B167" s="193" t="inlineStr">
        <is>
          <t>Кран шаровой 11с67п Ду 40 Ру 16 ЦУФ.001 КШ укороченный полнопроходной фланцевый с рукояткой</t>
        </is>
      </c>
      <c r="C167" s="210" t="inlineStr">
        <is>
          <t>ГОСТ 21345 ГОСТ 28343</t>
        </is>
      </c>
      <c r="D167" s="210" t="n">
        <v>40</v>
      </c>
      <c r="E167" s="210" t="inlineStr">
        <is>
          <t>полнопроходной</t>
        </is>
      </c>
      <c r="F167" s="210" t="n">
        <v>1.6</v>
      </c>
      <c r="G167" s="210" t="inlineStr">
        <is>
          <t>до +200°С</t>
        </is>
      </c>
      <c r="H167" s="210" t="inlineStr">
        <is>
          <t>вода</t>
        </is>
      </c>
      <c r="I167" s="210" t="inlineStr">
        <is>
          <t>сталь 20 ГОСТ 1050</t>
        </is>
      </c>
      <c r="J167" s="210" t="inlineStr">
        <is>
          <t>У1</t>
        </is>
      </c>
      <c r="K167" s="210" t="inlineStr">
        <is>
          <t>фланец-фланец</t>
        </is>
      </c>
      <c r="L167" s="210" t="inlineStr">
        <is>
          <t xml:space="preserve">Ручное </t>
        </is>
      </c>
      <c r="M167" s="210" t="inlineStr">
        <is>
          <t>Рукоятка</t>
        </is>
      </c>
      <c r="N167" s="210" t="inlineStr">
        <is>
          <t>любое</t>
        </is>
      </c>
      <c r="O167" s="210" t="inlineStr">
        <is>
          <t xml:space="preserve">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 </t>
        </is>
      </c>
      <c r="P167" s="210" t="n"/>
      <c r="Q167" s="210" t="n"/>
      <c r="R167" s="198">
        <f>A167</f>
        <v/>
      </c>
      <c r="S167" s="205" t="n"/>
      <c r="T167" s="205" t="n"/>
      <c r="U167" s="205" t="n"/>
      <c r="V167" s="205" t="n"/>
      <c r="W167" s="205" t="n"/>
      <c r="X167" s="205" t="n"/>
      <c r="Y167" s="205" t="n"/>
      <c r="Z167" s="205" t="n"/>
      <c r="AA167" s="205" t="n"/>
      <c r="AB167" s="205" t="n"/>
      <c r="AC167" s="205" t="n"/>
      <c r="AD167" s="205" t="n"/>
      <c r="AE167" s="205" t="n"/>
      <c r="AF167" s="205" t="n"/>
      <c r="AG167" s="205" t="n"/>
      <c r="AH167" s="205" t="n"/>
      <c r="AI167" s="202" t="n"/>
    </row>
    <row r="168" ht="63.75" customHeight="1" s="169">
      <c r="A168" s="192" t="n">
        <v>132</v>
      </c>
      <c r="B168" s="193" t="inlineStr">
        <is>
          <t>Кран шаровой 11с67п Ду 50 Ру 16 ЦУФ.001 КШ укороченный полнопроходной фланцевый с рукояткой</t>
        </is>
      </c>
      <c r="C168" s="210" t="inlineStr">
        <is>
          <t>ГОСТ 21345 ГОСТ 28343</t>
        </is>
      </c>
      <c r="D168" s="210" t="n">
        <v>50</v>
      </c>
      <c r="E168" s="210" t="inlineStr">
        <is>
          <t>полнопроходной</t>
        </is>
      </c>
      <c r="F168" s="210" t="n">
        <v>1.6</v>
      </c>
      <c r="G168" s="210" t="inlineStr">
        <is>
          <t>до +200°С</t>
        </is>
      </c>
      <c r="H168" s="210" t="inlineStr">
        <is>
          <t>вода</t>
        </is>
      </c>
      <c r="I168" s="210" t="inlineStr">
        <is>
          <t>сталь 20 ГОСТ 1050</t>
        </is>
      </c>
      <c r="J168" s="210" t="inlineStr">
        <is>
          <t>У1</t>
        </is>
      </c>
      <c r="K168" s="210" t="inlineStr">
        <is>
          <t>фланец-фланец</t>
        </is>
      </c>
      <c r="L168" s="210" t="inlineStr">
        <is>
          <t xml:space="preserve">Ручное </t>
        </is>
      </c>
      <c r="M168" s="210" t="inlineStr">
        <is>
          <t>Рукоятка</t>
        </is>
      </c>
      <c r="N168" s="210" t="inlineStr">
        <is>
          <t>любое</t>
        </is>
      </c>
      <c r="O168" s="210" t="inlineStr">
        <is>
          <t xml:space="preserve">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 </t>
        </is>
      </c>
      <c r="P168" s="210" t="n"/>
      <c r="Q168" s="210" t="n"/>
      <c r="R168" s="198">
        <f>A168</f>
        <v/>
      </c>
      <c r="S168" s="205" t="n"/>
      <c r="T168" s="205" t="n"/>
      <c r="U168" s="205" t="n"/>
      <c r="V168" s="205" t="n"/>
      <c r="W168" s="205" t="n"/>
      <c r="X168" s="205" t="n"/>
      <c r="Y168" s="205" t="n"/>
      <c r="Z168" s="205" t="n"/>
      <c r="AA168" s="205" t="n"/>
      <c r="AB168" s="205" t="n"/>
      <c r="AC168" s="205" t="n"/>
      <c r="AD168" s="205" t="n"/>
      <c r="AE168" s="205" t="n"/>
      <c r="AF168" s="205" t="n"/>
      <c r="AG168" s="205" t="n"/>
      <c r="AH168" s="205" t="n"/>
      <c r="AI168" s="202" t="n"/>
    </row>
    <row r="169" ht="63.75" customHeight="1" s="169">
      <c r="A169" s="192" t="n">
        <v>133</v>
      </c>
      <c r="B169" s="193" t="inlineStr">
        <is>
          <t>Кран шаровой 11с67п Ду 65 Ру 16 ЦУФ.001 КШ укороченный полнопроходной фланцевый с рукояткой</t>
        </is>
      </c>
      <c r="C169" s="210" t="inlineStr">
        <is>
          <t>ГОСТ 21345 ГОСТ 28343</t>
        </is>
      </c>
      <c r="D169" s="210" t="n">
        <v>65</v>
      </c>
      <c r="E169" s="210" t="inlineStr">
        <is>
          <t>полнопроходной</t>
        </is>
      </c>
      <c r="F169" s="210" t="n">
        <v>1.6</v>
      </c>
      <c r="G169" s="210" t="inlineStr">
        <is>
          <t>до +200°С</t>
        </is>
      </c>
      <c r="H169" s="210" t="inlineStr">
        <is>
          <t>вода</t>
        </is>
      </c>
      <c r="I169" s="210" t="inlineStr">
        <is>
          <t>сталь 20 ГОСТ 1050</t>
        </is>
      </c>
      <c r="J169" s="210" t="inlineStr">
        <is>
          <t>У1</t>
        </is>
      </c>
      <c r="K169" s="210" t="inlineStr">
        <is>
          <t>фланец-фланец</t>
        </is>
      </c>
      <c r="L169" s="210" t="inlineStr">
        <is>
          <t xml:space="preserve">Ручное </t>
        </is>
      </c>
      <c r="M169" s="210" t="inlineStr">
        <is>
          <t>Рукоятка</t>
        </is>
      </c>
      <c r="N169" s="210" t="inlineStr">
        <is>
          <t>любое</t>
        </is>
      </c>
      <c r="O169" s="210" t="inlineStr">
        <is>
          <t xml:space="preserve">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 </t>
        </is>
      </c>
      <c r="P169" s="210" t="n"/>
      <c r="Q169" s="210" t="n"/>
      <c r="R169" s="198">
        <f>A169</f>
        <v/>
      </c>
      <c r="S169" s="205" t="n"/>
      <c r="T169" s="205" t="n"/>
      <c r="U169" s="205" t="n"/>
      <c r="V169" s="205" t="n"/>
      <c r="W169" s="205" t="n"/>
      <c r="X169" s="205" t="n"/>
      <c r="Y169" s="205" t="n"/>
      <c r="Z169" s="205" t="n"/>
      <c r="AA169" s="205" t="n"/>
      <c r="AB169" s="205" t="n"/>
      <c r="AC169" s="205" t="n"/>
      <c r="AD169" s="205" t="n"/>
      <c r="AE169" s="205" t="n"/>
      <c r="AF169" s="205" t="n"/>
      <c r="AG169" s="205" t="n"/>
      <c r="AH169" s="205" t="n"/>
      <c r="AI169" s="202" t="n"/>
    </row>
    <row r="170" ht="63.75" customFormat="1" customHeight="1" s="171">
      <c r="A170" s="192" t="n">
        <v>134</v>
      </c>
      <c r="B170" s="193" t="inlineStr">
        <is>
          <t>Кран шаровой 11с67п Ду 80 Ру 16 ЦУФ.001 КШ укороченный полнопроходной фланцевый с рукояткой</t>
        </is>
      </c>
      <c r="C170" s="210" t="inlineStr">
        <is>
          <t>ГОСТ 21345 ГОСТ 28343</t>
        </is>
      </c>
      <c r="D170" s="210" t="n">
        <v>80</v>
      </c>
      <c r="E170" s="210" t="inlineStr">
        <is>
          <t>полнопроходной</t>
        </is>
      </c>
      <c r="F170" s="210" t="n">
        <v>1.6</v>
      </c>
      <c r="G170" s="210" t="inlineStr">
        <is>
          <t>до +200°С</t>
        </is>
      </c>
      <c r="H170" s="210" t="inlineStr">
        <is>
          <t>вода</t>
        </is>
      </c>
      <c r="I170" s="210" t="inlineStr">
        <is>
          <t>сталь 20 ГОСТ 1050</t>
        </is>
      </c>
      <c r="J170" s="210" t="inlineStr">
        <is>
          <t>У1</t>
        </is>
      </c>
      <c r="K170" s="210" t="inlineStr">
        <is>
          <t>фланец-фланец</t>
        </is>
      </c>
      <c r="L170" s="210" t="inlineStr">
        <is>
          <t xml:space="preserve">Ручное </t>
        </is>
      </c>
      <c r="M170" s="210" t="inlineStr">
        <is>
          <t>Рукоятка</t>
        </is>
      </c>
      <c r="N170" s="210" t="inlineStr">
        <is>
          <t>любое</t>
        </is>
      </c>
      <c r="O170" s="210" t="inlineStr">
        <is>
          <t xml:space="preserve">Патрубок, стакан используется сталь 20 ГОСТ 1050. Шток используется нержавеющая сталь 20Х13 ГОСТ 5632. В качестве уплотнителя штока используется резина. В качестве уплотнителя шара и прокладки штока используется фторопласт. </t>
        </is>
      </c>
      <c r="P170" s="210" t="n"/>
      <c r="Q170" s="210" t="n"/>
      <c r="R170" s="198">
        <f>A170</f>
        <v/>
      </c>
      <c r="S170" s="205" t="n"/>
      <c r="T170" s="205" t="n"/>
      <c r="U170" s="205" t="n"/>
      <c r="V170" s="205" t="n"/>
      <c r="W170" s="205" t="n"/>
      <c r="X170" s="205" t="n"/>
      <c r="Y170" s="205" t="n"/>
      <c r="Z170" s="205" t="n"/>
      <c r="AA170" s="205" t="n"/>
      <c r="AB170" s="205" t="n"/>
      <c r="AC170" s="205" t="n"/>
      <c r="AD170" s="205" t="n"/>
      <c r="AE170" s="205" t="n"/>
      <c r="AF170" s="205" t="n"/>
      <c r="AG170" s="205" t="n"/>
      <c r="AH170" s="205" t="n"/>
      <c r="AI170" s="202" t="n"/>
    </row>
    <row r="171" ht="51" customFormat="1" customHeight="1" s="171">
      <c r="A171" s="192" t="n">
        <v>135</v>
      </c>
      <c r="B171" s="193" t="inlineStr">
        <is>
          <t>Кран шаровой нержавеющий G1/2" муфтовый, полнопроходной, Ду 15 Ру 63</t>
        </is>
      </c>
      <c r="C171" s="229" t="n"/>
      <c r="D171" s="210" t="n">
        <v>15</v>
      </c>
      <c r="E171" s="210" t="inlineStr">
        <is>
          <t>полный</t>
        </is>
      </c>
      <c r="F171" s="210" t="n">
        <v>6.3</v>
      </c>
      <c r="G171" s="247" t="inlineStr">
        <is>
          <t>от -20 до +180 oC</t>
        </is>
      </c>
      <c r="H171" s="210" t="inlineStr">
        <is>
          <t>Коррозионная</t>
        </is>
      </c>
      <c r="I171" s="247" t="inlineStr">
        <is>
          <t>Нержавеющая сталь AISI/SS 316/08Х17Н13М2</t>
        </is>
      </c>
      <c r="J171" s="210" t="inlineStr">
        <is>
          <t>у1</t>
        </is>
      </c>
      <c r="K171" s="210" t="inlineStr">
        <is>
          <t>резьбовое</t>
        </is>
      </c>
      <c r="L171" s="210" t="inlineStr">
        <is>
          <t xml:space="preserve">рычаг </t>
        </is>
      </c>
      <c r="M171" s="210" t="inlineStr">
        <is>
          <t>ручное</t>
        </is>
      </c>
      <c r="N171" s="210" t="inlineStr">
        <is>
          <t>любое</t>
        </is>
      </c>
      <c r="O171" s="210" t="inlineStr">
        <is>
          <t xml:space="preserve">шар Нержавеющая сталь AISI/SS 316/08Х17Н13М2. Уплотнение шара: PTFE </t>
        </is>
      </c>
      <c r="P171" s="210" t="inlineStr">
        <is>
          <t>Длина 52 мм</t>
        </is>
      </c>
      <c r="Q171" s="210" t="n"/>
      <c r="R171" s="198">
        <f>A171</f>
        <v/>
      </c>
      <c r="S171" s="205" t="n"/>
      <c r="T171" s="205" t="n"/>
      <c r="U171" s="205" t="n"/>
      <c r="V171" s="205" t="n"/>
      <c r="W171" s="205" t="n"/>
      <c r="X171" s="205" t="n"/>
      <c r="Y171" s="205" t="n"/>
      <c r="Z171" s="205" t="n"/>
      <c r="AA171" s="205" t="n"/>
      <c r="AB171" s="205" t="n"/>
      <c r="AC171" s="205" t="n"/>
      <c r="AD171" s="205" t="n"/>
      <c r="AE171" s="205" t="n"/>
      <c r="AF171" s="205" t="n"/>
      <c r="AG171" s="205" t="n"/>
      <c r="AH171" s="205" t="n"/>
      <c r="AI171" s="202" t="n"/>
    </row>
    <row r="172" ht="165.75" customFormat="1" customHeight="1" s="171">
      <c r="A172" s="192" t="n">
        <v>136</v>
      </c>
      <c r="B172" s="193" t="inlineStr">
        <is>
          <t>Кран шаровый LD неполнопроходной 11с67п КШЦФ Ду 200 Ру 16 с КОФ</t>
        </is>
      </c>
      <c r="C172" s="210" t="inlineStr">
        <is>
          <t>ТУ 3742-001-45630744-2003</t>
        </is>
      </c>
      <c r="D172" s="210" t="n">
        <v>200</v>
      </c>
      <c r="E172" s="210" t="inlineStr">
        <is>
          <t>неполнопроходный</t>
        </is>
      </c>
      <c r="F172" s="210" t="n">
        <v>1.6</v>
      </c>
      <c r="G172" s="210" t="inlineStr">
        <is>
          <t>от -40°С до +200°С</t>
        </is>
      </c>
      <c r="H172" s="210" t="inlineStr">
        <is>
          <t>Вода, нефтепродукты и другие нетоксичные и неагрессивные среды</t>
        </is>
      </c>
      <c r="I172" s="210" t="inlineStr">
        <is>
          <t>Сталь 20</t>
        </is>
      </c>
      <c r="J172" s="210" t="inlineStr">
        <is>
          <t>У1</t>
        </is>
      </c>
      <c r="K172" s="210" t="inlineStr">
        <is>
          <t>фланцевое</t>
        </is>
      </c>
      <c r="L172" s="210" t="inlineStr">
        <is>
          <t>рукоятка</t>
        </is>
      </c>
      <c r="M172" s="210" t="n"/>
      <c r="N172" s="210" t="inlineStr">
        <is>
          <t>любое</t>
        </is>
      </c>
      <c r="O172"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72" s="210" t="inlineStr">
        <is>
          <t>строительная длина 330мм</t>
        </is>
      </c>
      <c r="Q172" s="210" t="n"/>
      <c r="R172" s="198">
        <f>A172</f>
        <v/>
      </c>
      <c r="S172" s="205" t="n"/>
      <c r="T172" s="205" t="n"/>
      <c r="U172" s="205" t="n"/>
      <c r="V172" s="205" t="n"/>
      <c r="W172" s="205" t="n"/>
      <c r="X172" s="205" t="n"/>
      <c r="Y172" s="205" t="n"/>
      <c r="Z172" s="205" t="n"/>
      <c r="AA172" s="205" t="n"/>
      <c r="AB172" s="205" t="n"/>
      <c r="AC172" s="205" t="n"/>
      <c r="AD172" s="205" t="n"/>
      <c r="AE172" s="205" t="n"/>
      <c r="AF172" s="205" t="n"/>
      <c r="AG172" s="205" t="n"/>
      <c r="AH172" s="205" t="n"/>
      <c r="AI172" s="202" t="n"/>
    </row>
    <row r="173" ht="165.75" customHeight="1" s="169">
      <c r="A173" s="192" t="n">
        <v>137</v>
      </c>
      <c r="B173" s="193" t="inlineStr">
        <is>
          <t>Кран шаровый LD полнопроходной 11с67п КШРФ Ду 100 Ру 16 с КОФ</t>
        </is>
      </c>
      <c r="C173" s="210" t="inlineStr">
        <is>
          <t>ТУ 3742-005-74212539-2015</t>
        </is>
      </c>
      <c r="D173" s="210" t="n">
        <v>100</v>
      </c>
      <c r="E173" s="210" t="inlineStr">
        <is>
          <t>полнопроходный</t>
        </is>
      </c>
      <c r="F173" s="210" t="n">
        <v>1.6</v>
      </c>
      <c r="G173" s="210" t="inlineStr">
        <is>
          <t>от -40°С до +200°С</t>
        </is>
      </c>
      <c r="H173" s="210" t="inlineStr">
        <is>
          <t>Вода, нефтепродукты и другие нетоксичные и неагрессивные среды</t>
        </is>
      </c>
      <c r="I173" s="210" t="inlineStr">
        <is>
          <t>Сталь 20</t>
        </is>
      </c>
      <c r="J173" s="210" t="inlineStr">
        <is>
          <t>У1</t>
        </is>
      </c>
      <c r="K173" s="210" t="inlineStr">
        <is>
          <t>фланцевое</t>
        </is>
      </c>
      <c r="L173" s="210" t="inlineStr">
        <is>
          <t>рукоятка</t>
        </is>
      </c>
      <c r="M173" s="210" t="n"/>
      <c r="N173" s="210" t="inlineStr">
        <is>
          <t>любое</t>
        </is>
      </c>
      <c r="O173"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73" s="210" t="inlineStr">
        <is>
          <t>строительная длина 230мм</t>
        </is>
      </c>
      <c r="Q173" s="210" t="inlineStr">
        <is>
          <t>-</t>
        </is>
      </c>
      <c r="R173" s="198">
        <f>A173</f>
        <v/>
      </c>
      <c r="S173" s="205" t="n"/>
      <c r="T173" s="205" t="n"/>
      <c r="U173" s="205" t="n"/>
      <c r="V173" s="205" t="n"/>
      <c r="W173" s="205" t="n"/>
      <c r="X173" s="205" t="n"/>
      <c r="Y173" s="205" t="n"/>
      <c r="Z173" s="205" t="n"/>
      <c r="AA173" s="205" t="n"/>
      <c r="AB173" s="205" t="n"/>
      <c r="AC173" s="205" t="n"/>
      <c r="AD173" s="205" t="n"/>
      <c r="AE173" s="205" t="n"/>
      <c r="AF173" s="205" t="n"/>
      <c r="AG173" s="205" t="n"/>
      <c r="AH173" s="205" t="n"/>
      <c r="AI173" s="202" t="n"/>
    </row>
    <row r="174" ht="165.75" customHeight="1" s="169">
      <c r="A174" s="192" t="n">
        <v>138</v>
      </c>
      <c r="B174" s="193" t="inlineStr">
        <is>
          <t>Кран шаровый LD полнопроходной 11с67п КШРФ Ду 125 Ру 16 с КОФ</t>
        </is>
      </c>
      <c r="C174" s="210" t="inlineStr">
        <is>
          <t>ТУ 3742-005-74212539-2015</t>
        </is>
      </c>
      <c r="D174" s="210" t="n">
        <v>125</v>
      </c>
      <c r="E174" s="210" t="inlineStr">
        <is>
          <t>полнопроходный</t>
        </is>
      </c>
      <c r="F174" s="210" t="n">
        <v>1.6</v>
      </c>
      <c r="G174" s="210" t="inlineStr">
        <is>
          <t>от -40°С до +200°С</t>
        </is>
      </c>
      <c r="H174" s="210" t="inlineStr">
        <is>
          <t>Вода, нефтепродукты и другие нетоксичные и неагрессивные среды</t>
        </is>
      </c>
      <c r="I174" s="210" t="inlineStr">
        <is>
          <t>Сталь 20</t>
        </is>
      </c>
      <c r="J174" s="210" t="inlineStr">
        <is>
          <t>У1</t>
        </is>
      </c>
      <c r="K174" s="210" t="inlineStr">
        <is>
          <t>фланцевое</t>
        </is>
      </c>
      <c r="L174" s="210" t="inlineStr">
        <is>
          <t>рукоятка</t>
        </is>
      </c>
      <c r="M174" s="210" t="n"/>
      <c r="N174" s="210" t="inlineStr">
        <is>
          <t>любое</t>
        </is>
      </c>
      <c r="O174"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74" s="210" t="inlineStr">
        <is>
          <t>строительная длина 255 мм</t>
        </is>
      </c>
      <c r="Q174" s="210" t="inlineStr">
        <is>
          <t>-</t>
        </is>
      </c>
      <c r="R174" s="198">
        <f>A174</f>
        <v/>
      </c>
      <c r="S174" s="205" t="n"/>
      <c r="T174" s="205" t="n"/>
      <c r="U174" s="205" t="n"/>
      <c r="V174" s="205" t="n"/>
      <c r="W174" s="205" t="n"/>
      <c r="X174" s="205" t="n"/>
      <c r="Y174" s="205" t="n"/>
      <c r="Z174" s="205" t="n"/>
      <c r="AA174" s="205" t="n"/>
      <c r="AB174" s="205" t="n"/>
      <c r="AC174" s="205" t="n"/>
      <c r="AD174" s="205" t="n"/>
      <c r="AE174" s="205" t="n"/>
      <c r="AF174" s="205" t="n"/>
      <c r="AG174" s="205" t="n"/>
      <c r="AH174" s="205" t="n"/>
      <c r="AI174" s="202" t="n"/>
    </row>
    <row r="175" ht="165.75" customHeight="1" s="169">
      <c r="A175" s="192" t="n">
        <v>139</v>
      </c>
      <c r="B175" s="193" t="inlineStr">
        <is>
          <t>Кран шаровый LD полнопроходной 11с67п КШРФ Ду 150 Ру 16 с КОФ</t>
        </is>
      </c>
      <c r="C175" s="210" t="inlineStr">
        <is>
          <t>ТУ 3742-005-74212539-2015</t>
        </is>
      </c>
      <c r="D175" s="210" t="n">
        <v>150</v>
      </c>
      <c r="E175" s="210" t="inlineStr">
        <is>
          <t>полнопроходный</t>
        </is>
      </c>
      <c r="F175" s="210" t="n">
        <v>1.6</v>
      </c>
      <c r="G175" s="210" t="inlineStr">
        <is>
          <t>от -40°С до +200°С</t>
        </is>
      </c>
      <c r="H175" s="210" t="inlineStr">
        <is>
          <t>Вода, нефтепродукты и другие нетоксичные и неагрессивные среды</t>
        </is>
      </c>
      <c r="I175" s="210" t="inlineStr">
        <is>
          <t>Сталь 20</t>
        </is>
      </c>
      <c r="J175" s="210" t="inlineStr">
        <is>
          <t>У1</t>
        </is>
      </c>
      <c r="K175" s="210" t="inlineStr">
        <is>
          <t>фланцевое</t>
        </is>
      </c>
      <c r="L175" s="210" t="inlineStr">
        <is>
          <t>рукоятка</t>
        </is>
      </c>
      <c r="M175" s="210" t="n"/>
      <c r="N175" s="210" t="inlineStr">
        <is>
          <t>любое</t>
        </is>
      </c>
      <c r="O175"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75" s="210" t="inlineStr">
        <is>
          <t>строительная длина 280мм</t>
        </is>
      </c>
      <c r="Q175" s="210" t="inlineStr">
        <is>
          <t>-</t>
        </is>
      </c>
      <c r="R175" s="198">
        <f>A175</f>
        <v/>
      </c>
      <c r="S175" s="205" t="n"/>
      <c r="T175" s="205" t="n"/>
      <c r="U175" s="205" t="n"/>
      <c r="V175" s="205" t="n"/>
      <c r="W175" s="205" t="n"/>
      <c r="X175" s="205" t="n"/>
      <c r="Y175" s="205" t="n"/>
      <c r="Z175" s="205" t="n"/>
      <c r="AA175" s="205" t="n"/>
      <c r="AB175" s="205" t="n"/>
      <c r="AC175" s="205" t="n"/>
      <c r="AD175" s="205" t="n"/>
      <c r="AE175" s="205" t="n"/>
      <c r="AF175" s="205" t="n"/>
      <c r="AG175" s="205" t="n"/>
      <c r="AH175" s="205" t="n"/>
      <c r="AI175" s="202" t="n"/>
    </row>
    <row r="176" ht="165.75" customHeight="1" s="169">
      <c r="A176" s="192" t="n">
        <v>140</v>
      </c>
      <c r="B176" s="193" t="inlineStr">
        <is>
          <t>Кран шаровый LD полнопроходной 11с67п КШРФ Ду 25 Ру 16 с КОФ</t>
        </is>
      </c>
      <c r="C176" s="210" t="inlineStr">
        <is>
          <t>ТУ 3742-005-74212539-2015</t>
        </is>
      </c>
      <c r="D176" s="210" t="n">
        <v>25</v>
      </c>
      <c r="E176" s="210" t="inlineStr">
        <is>
          <t>полнопроходный</t>
        </is>
      </c>
      <c r="F176" s="210" t="n">
        <v>1.6</v>
      </c>
      <c r="G176" s="210" t="inlineStr">
        <is>
          <t>от -40°С до +200°С</t>
        </is>
      </c>
      <c r="H176" s="210" t="inlineStr">
        <is>
          <t>Вода, нефтепродукты и другие нетоксичные и неагрессивные среды</t>
        </is>
      </c>
      <c r="I176" s="210" t="inlineStr">
        <is>
          <t>Сталь 20</t>
        </is>
      </c>
      <c r="J176" s="210" t="inlineStr">
        <is>
          <t>У1</t>
        </is>
      </c>
      <c r="K176" s="210" t="inlineStr">
        <is>
          <t>фланцевое</t>
        </is>
      </c>
      <c r="L176" s="210" t="inlineStr">
        <is>
          <t>рукоятка</t>
        </is>
      </c>
      <c r="M176" s="210" t="n"/>
      <c r="N176" s="210" t="inlineStr">
        <is>
          <t>любое</t>
        </is>
      </c>
      <c r="O176"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76" s="210" t="inlineStr">
        <is>
          <t>строительная длина 127мм</t>
        </is>
      </c>
      <c r="Q176" s="210" t="n"/>
      <c r="R176" s="198">
        <f>A176</f>
        <v/>
      </c>
      <c r="S176" s="205" t="n"/>
      <c r="T176" s="205" t="n"/>
      <c r="U176" s="205" t="n"/>
      <c r="V176" s="205" t="n"/>
      <c r="W176" s="205" t="n"/>
      <c r="X176" s="205" t="n"/>
      <c r="Y176" s="205" t="n"/>
      <c r="Z176" s="205" t="n"/>
      <c r="AA176" s="205" t="n"/>
      <c r="AB176" s="205" t="n"/>
      <c r="AC176" s="205" t="n"/>
      <c r="AD176" s="205" t="n"/>
      <c r="AE176" s="205" t="n"/>
      <c r="AF176" s="205" t="n"/>
      <c r="AG176" s="205" t="n"/>
      <c r="AH176" s="205" t="n"/>
      <c r="AI176" s="202" t="n"/>
    </row>
    <row r="177" ht="165.75" customHeight="1" s="169">
      <c r="A177" s="192" t="n">
        <v>141</v>
      </c>
      <c r="B177" s="193" t="inlineStr">
        <is>
          <t>Кран шаровый LD полнопроходной 11с67п КШРФ Ду 32 Ру 16 с КОФ</t>
        </is>
      </c>
      <c r="C177" s="210" t="inlineStr">
        <is>
          <t>ТУ 3742-005-74212539-2015</t>
        </is>
      </c>
      <c r="D177" s="210" t="n">
        <v>32</v>
      </c>
      <c r="E177" s="210" t="inlineStr">
        <is>
          <t>полнопроходный</t>
        </is>
      </c>
      <c r="F177" s="210" t="n">
        <v>1.6</v>
      </c>
      <c r="G177" s="210" t="inlineStr">
        <is>
          <t>от -40°С до +200°С</t>
        </is>
      </c>
      <c r="H177" s="210" t="inlineStr">
        <is>
          <t>Вода, нефтепродукты и другие нетоксичные и неагрессивные среды</t>
        </is>
      </c>
      <c r="I177" s="210" t="inlineStr">
        <is>
          <t>Сталь 20</t>
        </is>
      </c>
      <c r="J177" s="210" t="inlineStr">
        <is>
          <t>У1</t>
        </is>
      </c>
      <c r="K177" s="210" t="inlineStr">
        <is>
          <t>фланцевое</t>
        </is>
      </c>
      <c r="L177" s="210" t="inlineStr">
        <is>
          <t>рукоятка</t>
        </is>
      </c>
      <c r="M177" s="210" t="n"/>
      <c r="N177" s="210" t="inlineStr">
        <is>
          <t>любое</t>
        </is>
      </c>
      <c r="O177"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77" s="210" t="inlineStr">
        <is>
          <t>строительная длина 140мм</t>
        </is>
      </c>
      <c r="Q177" s="210" t="n"/>
      <c r="R177" s="198">
        <f>A177</f>
        <v/>
      </c>
      <c r="S177" s="205" t="n"/>
      <c r="T177" s="205" t="n"/>
      <c r="U177" s="205" t="n"/>
      <c r="V177" s="205" t="n"/>
      <c r="W177" s="205" t="n"/>
      <c r="X177" s="205" t="n"/>
      <c r="Y177" s="205" t="n"/>
      <c r="Z177" s="205" t="n"/>
      <c r="AA177" s="205" t="n"/>
      <c r="AB177" s="205" t="n"/>
      <c r="AC177" s="205" t="n"/>
      <c r="AD177" s="205" t="n"/>
      <c r="AE177" s="205" t="n"/>
      <c r="AF177" s="205" t="n"/>
      <c r="AG177" s="205" t="n"/>
      <c r="AH177" s="205" t="n"/>
      <c r="AI177" s="202" t="n"/>
    </row>
    <row r="178" ht="165.75" customHeight="1" s="169">
      <c r="A178" s="192" t="n">
        <v>142</v>
      </c>
      <c r="B178" s="193" t="inlineStr">
        <is>
          <t>Кран шаровый LD полнопроходной 11с67п КШРФ Ду 40 Ру 16 с КОФ</t>
        </is>
      </c>
      <c r="C178" s="210" t="inlineStr">
        <is>
          <t>ТУ 3742-005-74212539-2015</t>
        </is>
      </c>
      <c r="D178" s="210" t="n">
        <v>40</v>
      </c>
      <c r="E178" s="210" t="inlineStr">
        <is>
          <t>полнопроходный</t>
        </is>
      </c>
      <c r="F178" s="210" t="n">
        <v>1.6</v>
      </c>
      <c r="G178" s="210" t="inlineStr">
        <is>
          <t>от -40°С до +200°С</t>
        </is>
      </c>
      <c r="H178" s="210" t="inlineStr">
        <is>
          <t>Вода, нефтепродукты и другие нетоксичные и неагрессивные среды</t>
        </is>
      </c>
      <c r="I178" s="210" t="inlineStr">
        <is>
          <t>Сталь 20</t>
        </is>
      </c>
      <c r="J178" s="210" t="inlineStr">
        <is>
          <t>У1</t>
        </is>
      </c>
      <c r="K178" s="210" t="inlineStr">
        <is>
          <t>фланцевое</t>
        </is>
      </c>
      <c r="L178" s="210" t="inlineStr">
        <is>
          <t>рукоятка</t>
        </is>
      </c>
      <c r="M178" s="210" t="n"/>
      <c r="N178" s="210" t="inlineStr">
        <is>
          <t>любое</t>
        </is>
      </c>
      <c r="O178"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78" s="210" t="inlineStr">
        <is>
          <t>строительная длина 165мм</t>
        </is>
      </c>
      <c r="Q178" s="210" t="n"/>
      <c r="R178" s="198">
        <f>A178</f>
        <v/>
      </c>
      <c r="S178" s="205" t="n"/>
      <c r="T178" s="205" t="n"/>
      <c r="U178" s="205" t="n"/>
      <c r="V178" s="205" t="n"/>
      <c r="W178" s="205" t="n"/>
      <c r="X178" s="205" t="n"/>
      <c r="Y178" s="205" t="n"/>
      <c r="Z178" s="205" t="n"/>
      <c r="AA178" s="205" t="n"/>
      <c r="AB178" s="205" t="n"/>
      <c r="AC178" s="205" t="n"/>
      <c r="AD178" s="205" t="n"/>
      <c r="AE178" s="205" t="n"/>
      <c r="AF178" s="205" t="n"/>
      <c r="AG178" s="205" t="n"/>
      <c r="AH178" s="205" t="n"/>
      <c r="AI178" s="202" t="n"/>
    </row>
    <row r="179" ht="165.75" customHeight="1" s="169">
      <c r="A179" s="192" t="n">
        <v>143</v>
      </c>
      <c r="B179" s="193" t="inlineStr">
        <is>
          <t>Кран шаровый LD полнопроходной 11с67п КШРФ Ду 50 Ру 16 с КОФ</t>
        </is>
      </c>
      <c r="C179" s="210" t="inlineStr">
        <is>
          <t>ТУ 3742-005-74212539-2015</t>
        </is>
      </c>
      <c r="D179" s="210" t="n">
        <v>50</v>
      </c>
      <c r="E179" s="210" t="inlineStr">
        <is>
          <t>полнопроходный</t>
        </is>
      </c>
      <c r="F179" s="210" t="n">
        <v>1.6</v>
      </c>
      <c r="G179" s="210" t="inlineStr">
        <is>
          <t>от -40°С до +200°С</t>
        </is>
      </c>
      <c r="H179" s="210" t="inlineStr">
        <is>
          <t>Вода, нефтепродукты и другие нетоксичные и неагрессивные среды</t>
        </is>
      </c>
      <c r="I179" s="210" t="inlineStr">
        <is>
          <t>Сталь 20</t>
        </is>
      </c>
      <c r="J179" s="210" t="inlineStr">
        <is>
          <t>У1</t>
        </is>
      </c>
      <c r="K179" s="210" t="inlineStr">
        <is>
          <t>фланцевое</t>
        </is>
      </c>
      <c r="L179" s="210" t="inlineStr">
        <is>
          <t>рукоятка</t>
        </is>
      </c>
      <c r="M179" s="210" t="n"/>
      <c r="N179" s="210" t="inlineStr">
        <is>
          <t>любое</t>
        </is>
      </c>
      <c r="O179"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79" s="210" t="inlineStr">
        <is>
          <t>строительная длина 180мм</t>
        </is>
      </c>
      <c r="Q179" s="210" t="n"/>
      <c r="R179" s="198">
        <f>A179</f>
        <v/>
      </c>
      <c r="S179" s="205" t="n"/>
      <c r="T179" s="205" t="n"/>
      <c r="U179" s="205" t="n"/>
      <c r="V179" s="205" t="n"/>
      <c r="W179" s="205" t="n"/>
      <c r="X179" s="205" t="n"/>
      <c r="Y179" s="205" t="n"/>
      <c r="Z179" s="205" t="n"/>
      <c r="AA179" s="205" t="n"/>
      <c r="AB179" s="205" t="n"/>
      <c r="AC179" s="205" t="n"/>
      <c r="AD179" s="205" t="n"/>
      <c r="AE179" s="205" t="n"/>
      <c r="AF179" s="205" t="n"/>
      <c r="AG179" s="205" t="n"/>
      <c r="AH179" s="205" t="n"/>
      <c r="AI179" s="202" t="n"/>
    </row>
    <row r="180" ht="165.75" customHeight="1" s="169">
      <c r="A180" s="192" t="n">
        <v>144</v>
      </c>
      <c r="B180" s="193" t="inlineStr">
        <is>
          <t>Кран шаровый LD полнопроходной 11с67п КШРФ Ду 65 Ру 16 с КОФ</t>
        </is>
      </c>
      <c r="C180" s="210" t="inlineStr">
        <is>
          <t>ТУ 3742-005-74212539-2015</t>
        </is>
      </c>
      <c r="D180" s="210" t="n">
        <v>65</v>
      </c>
      <c r="E180" s="210" t="inlineStr">
        <is>
          <t>полнопроходный</t>
        </is>
      </c>
      <c r="F180" s="210" t="n">
        <v>1.6</v>
      </c>
      <c r="G180" s="210" t="inlineStr">
        <is>
          <t>от -40°С до +200°С</t>
        </is>
      </c>
      <c r="H180" s="210" t="inlineStr">
        <is>
          <t>Вода, нефтепродукты и другие нетоксичные и неагрессивные среды</t>
        </is>
      </c>
      <c r="I180" s="210" t="inlineStr">
        <is>
          <t>Сталь 20</t>
        </is>
      </c>
      <c r="J180" s="210" t="inlineStr">
        <is>
          <t>У1</t>
        </is>
      </c>
      <c r="K180" s="210" t="inlineStr">
        <is>
          <t>фланцевое</t>
        </is>
      </c>
      <c r="L180" s="210" t="inlineStr">
        <is>
          <t>рукоятка</t>
        </is>
      </c>
      <c r="M180" s="210" t="n"/>
      <c r="N180" s="210" t="inlineStr">
        <is>
          <t>любое</t>
        </is>
      </c>
      <c r="O180"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80" s="210" t="inlineStr">
        <is>
          <t>строительная длина 200мм</t>
        </is>
      </c>
      <c r="Q180" s="210" t="n"/>
      <c r="R180" s="198">
        <f>A180</f>
        <v/>
      </c>
      <c r="S180" s="205" t="n"/>
      <c r="T180" s="205" t="n"/>
      <c r="U180" s="205" t="n"/>
      <c r="V180" s="205" t="n"/>
      <c r="W180" s="205" t="n"/>
      <c r="X180" s="205" t="n"/>
      <c r="Y180" s="205" t="n"/>
      <c r="Z180" s="205" t="n"/>
      <c r="AA180" s="205" t="n"/>
      <c r="AB180" s="205" t="n"/>
      <c r="AC180" s="205" t="n"/>
      <c r="AD180" s="205" t="n"/>
      <c r="AE180" s="205" t="n"/>
      <c r="AF180" s="205" t="n"/>
      <c r="AG180" s="205" t="n"/>
      <c r="AH180" s="205" t="n"/>
      <c r="AI180" s="202" t="n"/>
    </row>
    <row r="181" ht="165.75" customHeight="1" s="169">
      <c r="A181" s="192" t="n">
        <v>145</v>
      </c>
      <c r="B181" s="193" t="inlineStr">
        <is>
          <t>Кран шаровый LD полнопроходной 11с67п КШРФ Ду 80 Ру 16 МПа с КОФ</t>
        </is>
      </c>
      <c r="C181" s="210" t="inlineStr">
        <is>
          <t>ТУ 3742-005-74212539-2015</t>
        </is>
      </c>
      <c r="D181" s="210" t="n">
        <v>80</v>
      </c>
      <c r="E181" s="210" t="inlineStr">
        <is>
          <t>полнопроходный</t>
        </is>
      </c>
      <c r="F181" s="210" t="n">
        <v>1.6</v>
      </c>
      <c r="G181" s="210" t="inlineStr">
        <is>
          <t>от -40°С до +200°С</t>
        </is>
      </c>
      <c r="H181" s="210" t="inlineStr">
        <is>
          <t>Вода, нефтепродукты и другие нетоксичные и неагрессивные среды</t>
        </is>
      </c>
      <c r="I181" s="210" t="inlineStr">
        <is>
          <t>Сталь 20</t>
        </is>
      </c>
      <c r="J181" s="210" t="inlineStr">
        <is>
          <t>У1</t>
        </is>
      </c>
      <c r="K181" s="210" t="inlineStr">
        <is>
          <t>фланцевое</t>
        </is>
      </c>
      <c r="L181" s="210" t="inlineStr">
        <is>
          <t>рукоятка</t>
        </is>
      </c>
      <c r="M181" s="210" t="n"/>
      <c r="N181" s="210" t="inlineStr">
        <is>
          <t>любое</t>
        </is>
      </c>
      <c r="O181"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81" s="210" t="inlineStr">
        <is>
          <t>строительная длина 210мм</t>
        </is>
      </c>
      <c r="Q181" s="210" t="n"/>
      <c r="R181" s="198">
        <f>A181</f>
        <v/>
      </c>
      <c r="S181" s="205" t="n"/>
      <c r="T181" s="205" t="n"/>
      <c r="U181" s="205" t="n"/>
      <c r="V181" s="205" t="n"/>
      <c r="W181" s="205" t="n"/>
      <c r="X181" s="205" t="n"/>
      <c r="Y181" s="205" t="n"/>
      <c r="Z181" s="205" t="n"/>
      <c r="AA181" s="205" t="n"/>
      <c r="AB181" s="205" t="n"/>
      <c r="AC181" s="205" t="n"/>
      <c r="AD181" s="205" t="n"/>
      <c r="AE181" s="205" t="n"/>
      <c r="AF181" s="205" t="n"/>
      <c r="AG181" s="205" t="n"/>
      <c r="AH181" s="205" t="n"/>
      <c r="AI181" s="202" t="n"/>
    </row>
    <row r="182" ht="51" customHeight="1" s="169">
      <c r="A182" s="192" t="n">
        <v>146</v>
      </c>
      <c r="B182" s="193" t="inlineStr">
        <is>
          <t>Кран шаровый химический КШХ Ду 50 Ру 16</t>
        </is>
      </c>
      <c r="C182" s="231" t="inlineStr">
        <is>
          <t>ТУ У 29.1-23392043-001</t>
        </is>
      </c>
      <c r="D182" s="210" t="n">
        <v>50</v>
      </c>
      <c r="E182" s="210" t="inlineStr">
        <is>
          <t>стандарт</t>
        </is>
      </c>
      <c r="F182" s="210" t="n">
        <v>1.6</v>
      </c>
      <c r="G182" s="210" t="inlineStr">
        <is>
          <t>От -30 до +150°С</t>
        </is>
      </c>
      <c r="H182" s="210" t="inlineStr">
        <is>
          <t>Любые жидкие реагенты и химические среды</t>
        </is>
      </c>
      <c r="I182" s="210" t="inlineStr">
        <is>
          <t>углеродистая сталь</t>
        </is>
      </c>
      <c r="J182" s="210" t="inlineStr">
        <is>
          <t>У1</t>
        </is>
      </c>
      <c r="K182" s="210" t="inlineStr">
        <is>
          <t>фланцевое</t>
        </is>
      </c>
      <c r="L182" s="210" t="inlineStr">
        <is>
          <t>ручное</t>
        </is>
      </c>
      <c r="M182" s="210" t="inlineStr">
        <is>
          <t>Рукоятка</t>
        </is>
      </c>
      <c r="N182" s="210" t="inlineStr">
        <is>
          <t>любое, кроме положения маховиком вниз</t>
        </is>
      </c>
      <c r="O182" s="210" t="inlineStr">
        <is>
          <t xml:space="preserve">Материал футерованной проточной части FEP.  </t>
        </is>
      </c>
      <c r="P182" s="210" t="inlineStr">
        <is>
          <t>строительная длина 200 мм.</t>
        </is>
      </c>
      <c r="Q182" s="210" t="n"/>
      <c r="R182" s="198">
        <f>A182</f>
        <v/>
      </c>
      <c r="S182" s="205" t="n"/>
      <c r="T182" s="205" t="n"/>
      <c r="U182" s="205" t="n"/>
      <c r="V182" s="205" t="n"/>
      <c r="W182" s="205" t="n"/>
      <c r="X182" s="205" t="n"/>
      <c r="Y182" s="205" t="n"/>
      <c r="Z182" s="205" t="n"/>
      <c r="AA182" s="205" t="n"/>
      <c r="AB182" s="205" t="n"/>
      <c r="AC182" s="205" t="n"/>
      <c r="AD182" s="205" t="n"/>
      <c r="AE182" s="205" t="n"/>
      <c r="AF182" s="205" t="n"/>
      <c r="AG182" s="205" t="n"/>
      <c r="AH182" s="205" t="n"/>
      <c r="AI182" s="202" t="n"/>
    </row>
    <row r="183" ht="51" customHeight="1" s="169">
      <c r="A183" s="192" t="n">
        <v>147</v>
      </c>
      <c r="B183" s="193" t="inlineStr">
        <is>
          <t>Кран шаровый химический КШХ Ду 80 Ру 16</t>
        </is>
      </c>
      <c r="C183" s="231" t="inlineStr">
        <is>
          <t>ТУ У 29.1-23392043-001</t>
        </is>
      </c>
      <c r="D183" s="210" t="n">
        <v>80</v>
      </c>
      <c r="E183" s="210" t="inlineStr">
        <is>
          <t>полный</t>
        </is>
      </c>
      <c r="F183" s="210" t="n">
        <v>1.6</v>
      </c>
      <c r="G183" s="247" t="inlineStr">
        <is>
          <t>От -30 до + 150 С</t>
        </is>
      </c>
      <c r="H183" s="210" t="inlineStr">
        <is>
          <t>Коррозионная</t>
        </is>
      </c>
      <c r="I183" s="210" t="inlineStr">
        <is>
          <t>сталь 25Л</t>
        </is>
      </c>
      <c r="J183" s="210" t="inlineStr">
        <is>
          <t>У1</t>
        </is>
      </c>
      <c r="K183" s="210" t="inlineStr">
        <is>
          <t>фланцевое</t>
        </is>
      </c>
      <c r="L183" s="210" t="inlineStr">
        <is>
          <t xml:space="preserve">рычаг </t>
        </is>
      </c>
      <c r="M183" s="210" t="inlineStr">
        <is>
          <t>ручное</t>
        </is>
      </c>
      <c r="N183" s="210" t="inlineStr">
        <is>
          <t>любое</t>
        </is>
      </c>
      <c r="O183" s="210" t="inlineStr">
        <is>
          <t>материал корпуса и шара — сталь 25Л, материал футеровки — фторопласт FEP</t>
        </is>
      </c>
      <c r="P183" s="210" t="inlineStr">
        <is>
          <t>Длина 230 мм</t>
        </is>
      </c>
      <c r="Q183" s="210" t="n"/>
      <c r="R183" s="198">
        <f>A183</f>
        <v/>
      </c>
      <c r="S183" s="205" t="n"/>
      <c r="T183" s="205" t="n"/>
      <c r="U183" s="205" t="n"/>
      <c r="V183" s="205" t="n"/>
      <c r="W183" s="205" t="n"/>
      <c r="X183" s="205" t="n"/>
      <c r="Y183" s="205" t="n"/>
      <c r="Z183" s="205" t="n"/>
      <c r="AA183" s="205" t="n"/>
      <c r="AB183" s="205" t="n"/>
      <c r="AC183" s="205" t="n"/>
      <c r="AD183" s="205" t="n"/>
      <c r="AE183" s="205" t="n"/>
      <c r="AF183" s="205" t="n"/>
      <c r="AG183" s="205" t="n"/>
      <c r="AH183" s="205" t="n"/>
      <c r="AI183" s="202" t="n"/>
    </row>
    <row r="184" ht="165.75" customHeight="1" s="169">
      <c r="A184" s="192" t="n">
        <v>148</v>
      </c>
      <c r="B184" s="193" t="inlineStr">
        <is>
          <t>Кран шаровый разборный полнопроходной 11с67п Ду 250 Ру 16 с КОФ</t>
        </is>
      </c>
      <c r="C184" s="210" t="inlineStr">
        <is>
          <t>ТУ 3742-005-74212539-2015</t>
        </is>
      </c>
      <c r="D184" s="210" t="n">
        <v>250</v>
      </c>
      <c r="E184" s="210" t="inlineStr">
        <is>
          <t>полнопроходной</t>
        </is>
      </c>
      <c r="F184" s="210" t="n">
        <v>1.6</v>
      </c>
      <c r="G184" s="210" t="inlineStr">
        <is>
          <t>от -40°С до +200°С</t>
        </is>
      </c>
      <c r="H184" s="210" t="inlineStr">
        <is>
          <t>Вода, нефтепродукты и другие нетоксичные и неагрессивные среды</t>
        </is>
      </c>
      <c r="I184" s="210" t="inlineStr">
        <is>
          <t>Сталь 20</t>
        </is>
      </c>
      <c r="J184" s="210" t="inlineStr">
        <is>
          <t>У1</t>
        </is>
      </c>
      <c r="K184" s="210" t="inlineStr">
        <is>
          <t>фланцевое</t>
        </is>
      </c>
      <c r="L184" s="210" t="inlineStr">
        <is>
          <t>рукоятка</t>
        </is>
      </c>
      <c r="M184" s="210" t="n"/>
      <c r="N184" s="210" t="inlineStr">
        <is>
          <t>любое</t>
        </is>
      </c>
      <c r="O184"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84" s="210" t="inlineStr">
        <is>
          <t>строительная длина 450мм</t>
        </is>
      </c>
      <c r="Q184" s="210" t="n"/>
      <c r="R184" s="198">
        <f>A184</f>
        <v/>
      </c>
      <c r="S184" s="205" t="n"/>
      <c r="T184" s="205" t="n"/>
      <c r="U184" s="205" t="n"/>
      <c r="V184" s="205" t="n"/>
      <c r="W184" s="205" t="n"/>
      <c r="X184" s="205" t="n"/>
      <c r="Y184" s="205" t="n"/>
      <c r="Z184" s="205" t="n"/>
      <c r="AA184" s="205" t="n"/>
      <c r="AB184" s="205" t="n"/>
      <c r="AC184" s="205" t="n"/>
      <c r="AD184" s="205" t="n"/>
      <c r="AE184" s="205" t="n"/>
      <c r="AF184" s="205" t="n"/>
      <c r="AG184" s="205" t="n"/>
      <c r="AH184" s="205" t="n"/>
      <c r="AI184" s="202" t="n"/>
    </row>
    <row r="185" ht="165.75" customHeight="1" s="169">
      <c r="A185" s="192" t="n">
        <v>149</v>
      </c>
      <c r="B185" s="193" t="inlineStr">
        <is>
          <t>Кран шаровый цельносварной неполнопроходной 11с67п Ду 250/200 Ру 16 с КОФ</t>
        </is>
      </c>
      <c r="C185" s="210" t="inlineStr">
        <is>
          <t>ТУ 3742-005-74212539-2015</t>
        </is>
      </c>
      <c r="D185" s="210" t="n">
        <v>250</v>
      </c>
      <c r="E185" s="210" t="n">
        <v>200</v>
      </c>
      <c r="F185" s="210" t="n">
        <v>1.6</v>
      </c>
      <c r="G185" s="210" t="inlineStr">
        <is>
          <t>от -40°С до +200°С</t>
        </is>
      </c>
      <c r="H185" s="210" t="inlineStr">
        <is>
          <t>Вода, нефтепродукты и другие нетоксичные и неагрессивные среды</t>
        </is>
      </c>
      <c r="I185" s="210" t="inlineStr">
        <is>
          <t>Сталь 20</t>
        </is>
      </c>
      <c r="J185" s="210" t="n"/>
      <c r="K185" s="210" t="inlineStr">
        <is>
          <t>фланцевое</t>
        </is>
      </c>
      <c r="L185" s="210" t="inlineStr">
        <is>
          <t>рукоятка</t>
        </is>
      </c>
      <c r="M185" s="210" t="n"/>
      <c r="N185" s="210" t="inlineStr">
        <is>
          <t>любое</t>
        </is>
      </c>
      <c r="O185" s="210" t="inlineStr">
        <is>
          <t>Материал корпуса Сталь 20 Материал гайки самостопорящейся Сталь 20 оцинкованная с полимером Материал горловины Сталь 20 Материал опорного кольца Сталь AISI 409 Материал патрубка Сталь 20 Материал подшипника скольжения Фторопласт Ф-4К20, Ф-4 Материал пружинного блока Сталь 65Г оцинкованная Материал рукоятки Сталь 3 Материал седла Фторопласт Ф-4К20 Материал уплотнения горловины Фторсилоксановый эластомер,EPDM Материал уплотнения седла EPDM Материал фланца Сталь 20 Материал шаровой пробки Нержавеющая сталь Материал шпинделя Сталь 20X13</t>
        </is>
      </c>
      <c r="P185" s="210" t="inlineStr">
        <is>
          <t>строительная длина 450мм</t>
        </is>
      </c>
      <c r="Q185" s="210" t="n"/>
      <c r="R185" s="198">
        <f>A185</f>
        <v/>
      </c>
      <c r="S185" s="205" t="n"/>
      <c r="T185" s="205" t="n"/>
      <c r="U185" s="205" t="n"/>
      <c r="V185" s="205" t="n"/>
      <c r="W185" s="205" t="n"/>
      <c r="X185" s="205" t="n"/>
      <c r="Y185" s="205" t="n"/>
      <c r="Z185" s="205" t="n"/>
      <c r="AA185" s="205" t="n"/>
      <c r="AB185" s="205" t="n"/>
      <c r="AC185" s="205" t="n"/>
      <c r="AD185" s="205" t="n"/>
      <c r="AE185" s="205" t="n"/>
      <c r="AF185" s="205" t="n"/>
      <c r="AG185" s="205" t="n"/>
      <c r="AH185" s="205" t="n"/>
      <c r="AI185" s="202" t="n"/>
    </row>
    <row r="186" ht="63.75" customHeight="1" s="169">
      <c r="A186" s="192" t="n">
        <v>150</v>
      </c>
      <c r="B186" s="193" t="inlineStr">
        <is>
          <t>Затвор 32нж910р Ду 1000 Ру 10 с эл.приводом</t>
        </is>
      </c>
      <c r="C186" s="210" t="inlineStr">
        <is>
          <t>ТУ 3721-001-22294686-2008
ГОСТ 13547-2015</t>
        </is>
      </c>
      <c r="D186" s="210" t="n">
        <v>1000</v>
      </c>
      <c r="E186" s="210" t="inlineStr">
        <is>
          <t>полнопроходной</t>
        </is>
      </c>
      <c r="F186" s="210" t="n">
        <v>1</v>
      </c>
      <c r="G186" s="210" t="n">
        <v>50</v>
      </c>
      <c r="H186" s="210" t="inlineStr">
        <is>
          <t>морская вода</t>
        </is>
      </c>
      <c r="I186" s="210" t="inlineStr">
        <is>
          <t>коррозионно стойкая сталь 08Х18Н10Т</t>
        </is>
      </c>
      <c r="J186" s="210" t="inlineStr">
        <is>
          <t>УХЛ4</t>
        </is>
      </c>
      <c r="K186" s="210" t="inlineStr">
        <is>
          <t>фланцевое с КОФ</t>
        </is>
      </c>
      <c r="L186" s="210" t="inlineStr">
        <is>
          <t>ГЗ-В 600 ГРЛЕ.421322.001ТУ</t>
        </is>
      </c>
      <c r="M186" s="210" t="inlineStr">
        <is>
          <t>У1, IP-65, 1,5кВт</t>
        </is>
      </c>
      <c r="N186" s="210" t="n"/>
      <c r="O186" s="210" t="inlineStr">
        <is>
          <t>Диск (запорный элемент) 08Х18Н10Т (AISI 321), ось (вал привода) 20Х13, фланец боковой Ст20 (наплавка уплотнительной поверхности фланца - коррозионностойкая 12Х18Н9Т), редуктор Ст20, уплотнительное кольцо резина СКЕПТ (EPDM)</t>
        </is>
      </c>
      <c r="P186" s="210" t="n"/>
      <c r="Q186" s="210" t="inlineStr">
        <is>
          <t>Затвор фланцевый 32нж910р Ду1000 Ру10 с эл.приводом с комплектом ответных фланцев (90 гр. указатель поворота- визуальны и встроенный дистанционный блок (токовый выход) указателя положения (открыто, закрыто)</t>
        </is>
      </c>
      <c r="R186" s="198">
        <f>A186</f>
        <v/>
      </c>
      <c r="S186" s="205" t="n"/>
      <c r="T186" s="205" t="n"/>
      <c r="U186" s="205" t="n"/>
      <c r="V186" s="205" t="n"/>
      <c r="W186" s="205" t="n"/>
      <c r="X186" s="205" t="n"/>
      <c r="Y186" s="205" t="n"/>
      <c r="Z186" s="205" t="n"/>
      <c r="AA186" s="205" t="n"/>
      <c r="AB186" s="205" t="n"/>
      <c r="AC186" s="205" t="n"/>
      <c r="AD186" s="205" t="n"/>
      <c r="AE186" s="205" t="n"/>
      <c r="AF186" s="205" t="n"/>
      <c r="AG186" s="205" t="n"/>
      <c r="AH186" s="205" t="n"/>
      <c r="AI186" s="202" t="n"/>
    </row>
    <row r="187" ht="60" customHeight="1" s="169">
      <c r="A187" s="192" t="n">
        <v>151</v>
      </c>
      <c r="B187" s="193" t="inlineStr">
        <is>
          <t>Затвор дисковый поворотный ЗДП-150-6,3-1-М-А-УХЛ1 (не под электропривод) Ду 150 Ру 6,3</t>
        </is>
      </c>
      <c r="C187" s="210" t="inlineStr">
        <is>
          <t>ТУ 28.14.13-012-09338969-2019</t>
        </is>
      </c>
      <c r="D187" s="210" t="n">
        <v>150</v>
      </c>
      <c r="E187" s="210" t="inlineStr">
        <is>
          <t>условно полнопроходный</t>
        </is>
      </c>
      <c r="F187" s="210" t="n">
        <v>0.63</v>
      </c>
      <c r="G187" s="210" t="inlineStr">
        <is>
          <t>-45°С +95°С</t>
        </is>
      </c>
      <c r="H187" s="210" t="inlineStr">
        <is>
          <t>масло</t>
        </is>
      </c>
      <c r="I187" s="210" t="inlineStr">
        <is>
          <t>алюминий</t>
        </is>
      </c>
      <c r="J187" s="210" t="inlineStr">
        <is>
          <t>УХЛ1</t>
        </is>
      </c>
      <c r="K187" s="210" t="inlineStr">
        <is>
          <t>межфланцевый</t>
        </is>
      </c>
      <c r="L187" s="210" t="inlineStr">
        <is>
          <t>Ручной</t>
        </is>
      </c>
      <c r="M187" s="210" t="n"/>
      <c r="N187" s="210" t="n"/>
      <c r="O187" s="210" t="n"/>
      <c r="P187" s="210" t="n"/>
      <c r="Q187" s="210" t="n"/>
      <c r="R187" s="198">
        <f>A187</f>
        <v/>
      </c>
      <c r="S187" s="205" t="n"/>
      <c r="T187" s="205" t="n"/>
      <c r="U187" s="205" t="n"/>
      <c r="V187" s="205" t="n"/>
      <c r="W187" s="205" t="n"/>
      <c r="X187" s="205" t="n"/>
      <c r="Y187" s="205" t="n"/>
      <c r="Z187" s="205" t="n"/>
      <c r="AA187" s="205" t="n"/>
      <c r="AB187" s="205" t="n"/>
      <c r="AC187" s="205" t="n"/>
      <c r="AD187" s="205" t="n"/>
      <c r="AE187" s="205" t="n"/>
      <c r="AF187" s="205" t="n"/>
      <c r="AG187" s="205" t="n"/>
      <c r="AH187" s="205" t="n"/>
      <c r="AI187" s="248" t="inlineStr">
        <is>
          <t>60 мес. с ввода в эксплуатацию, не более 66 мес. с даты поставки</t>
        </is>
      </c>
    </row>
    <row r="188" ht="51" customHeight="1" s="169">
      <c r="A188" s="192" t="n">
        <v>152</v>
      </c>
      <c r="B188" s="193" t="inlineStr">
        <is>
          <t>Затвор дисковый поворотный ЗДП-50-6,3-1-М-А-УХЛ1 Ду 50 Ру 6,3</t>
        </is>
      </c>
      <c r="C188" s="210" t="inlineStr">
        <is>
          <t>ТУ 28.14.13-012-09338969-2019</t>
        </is>
      </c>
      <c r="D188" s="210" t="n">
        <v>50</v>
      </c>
      <c r="E188" s="210" t="inlineStr">
        <is>
          <t>условно полнопроходный</t>
        </is>
      </c>
      <c r="F188" s="210" t="n">
        <v>0.63</v>
      </c>
      <c r="G188" s="210" t="inlineStr">
        <is>
          <t>-45°С +95°С</t>
        </is>
      </c>
      <c r="H188" s="210" t="inlineStr">
        <is>
          <t>масло</t>
        </is>
      </c>
      <c r="I188" s="210" t="inlineStr">
        <is>
          <t>алюминий</t>
        </is>
      </c>
      <c r="J188" s="210" t="inlineStr">
        <is>
          <t>УХЛ1</t>
        </is>
      </c>
      <c r="K188" s="210" t="inlineStr">
        <is>
          <t>межфланцевый</t>
        </is>
      </c>
      <c r="L188" s="210" t="inlineStr">
        <is>
          <t>Ручной</t>
        </is>
      </c>
      <c r="M188" s="210" t="n"/>
      <c r="N188" s="210" t="n"/>
      <c r="O188" s="210" t="n"/>
      <c r="P188" s="210" t="n"/>
      <c r="Q188" s="210" t="n"/>
      <c r="R188" s="198">
        <f>A188</f>
        <v/>
      </c>
      <c r="S188" s="205" t="n"/>
      <c r="T188" s="205" t="n"/>
      <c r="U188" s="205" t="n"/>
      <c r="V188" s="205" t="n"/>
      <c r="W188" s="205" t="n"/>
      <c r="X188" s="205" t="n"/>
      <c r="Y188" s="205" t="n"/>
      <c r="Z188" s="205" t="n"/>
      <c r="AA188" s="205" t="n"/>
      <c r="AB188" s="205" t="n"/>
      <c r="AC188" s="205" t="n"/>
      <c r="AD188" s="205" t="n"/>
      <c r="AE188" s="205" t="n"/>
      <c r="AF188" s="205" t="n"/>
      <c r="AG188" s="205" t="n"/>
      <c r="AH188" s="205" t="n"/>
      <c r="AI188" s="248" t="inlineStr">
        <is>
          <t>60 мес. с ввода в эксплуатацию, не более 66 мес. с даты поставки</t>
        </is>
      </c>
    </row>
    <row r="189" ht="51" customHeight="1" s="169">
      <c r="A189" s="192" t="n">
        <v>153</v>
      </c>
      <c r="B189" s="193" t="inlineStr">
        <is>
          <t>Затвор дисковый поворотный ЗДП-80-УХЛ1 Ду 80 Ру 6,3</t>
        </is>
      </c>
      <c r="C189" s="210" t="inlineStr">
        <is>
          <t>ТУ 28.14.13-012-09338969-2019</t>
        </is>
      </c>
      <c r="D189" s="210" t="n">
        <v>80</v>
      </c>
      <c r="E189" s="210" t="inlineStr">
        <is>
          <t>условно полнопроходный</t>
        </is>
      </c>
      <c r="F189" s="210" t="n">
        <v>0.63</v>
      </c>
      <c r="G189" s="210" t="inlineStr">
        <is>
          <t>-45°С +95°С</t>
        </is>
      </c>
      <c r="H189" s="210" t="inlineStr">
        <is>
          <t>масло</t>
        </is>
      </c>
      <c r="I189" s="210" t="inlineStr">
        <is>
          <t>алюминий</t>
        </is>
      </c>
      <c r="J189" s="210" t="inlineStr">
        <is>
          <t>УХЛ1</t>
        </is>
      </c>
      <c r="K189" s="210" t="inlineStr">
        <is>
          <t>межфланцевый</t>
        </is>
      </c>
      <c r="L189" s="210" t="inlineStr">
        <is>
          <t>Ручной</t>
        </is>
      </c>
      <c r="M189" s="210" t="n"/>
      <c r="N189" s="210" t="n"/>
      <c r="O189" s="210" t="n"/>
      <c r="P189" s="210" t="n"/>
      <c r="Q189" s="210" t="n"/>
      <c r="R189" s="198">
        <f>A189</f>
        <v/>
      </c>
      <c r="S189" s="205" t="n"/>
      <c r="T189" s="205" t="n"/>
      <c r="U189" s="205" t="n"/>
      <c r="V189" s="205" t="n"/>
      <c r="W189" s="205" t="n"/>
      <c r="X189" s="205" t="n"/>
      <c r="Y189" s="205" t="n"/>
      <c r="Z189" s="205" t="n"/>
      <c r="AA189" s="205" t="n"/>
      <c r="AB189" s="205" t="n"/>
      <c r="AC189" s="205" t="n"/>
      <c r="AD189" s="205" t="n"/>
      <c r="AE189" s="205" t="n"/>
      <c r="AF189" s="205" t="n"/>
      <c r="AG189" s="205" t="n"/>
      <c r="AH189" s="205" t="n"/>
      <c r="AI189" s="248" t="inlineStr">
        <is>
          <t>60 мес. с ввода в эксплуатацию, не более 66 мес. с даты поставки</t>
        </is>
      </c>
    </row>
    <row r="190" ht="60" customHeight="1" s="169">
      <c r="A190" s="192" t="n">
        <v>154</v>
      </c>
      <c r="B190" s="193" t="inlineStr">
        <is>
          <t>Затвор дисковый поворотный(ГРЭНВЭЛ) Тип /серия FL(w)-3-MR-E Ду 100, Ру 16</t>
        </is>
      </c>
      <c r="C190" s="210" t="inlineStr">
        <is>
          <t>ТУ 3700-001-81673229-2007</t>
        </is>
      </c>
      <c r="D190" s="210" t="n">
        <v>100</v>
      </c>
      <c r="E190" s="210" t="inlineStr">
        <is>
          <t>стандарт</t>
        </is>
      </c>
      <c r="F190" s="210" t="n">
        <v>1.6</v>
      </c>
      <c r="G190" s="210" t="inlineStr">
        <is>
          <t xml:space="preserve">-20…+110      </t>
        </is>
      </c>
      <c r="H190" s="210" t="inlineStr">
        <is>
          <t>вода</t>
        </is>
      </c>
      <c r="I190" s="210" t="inlineStr">
        <is>
          <t>Серый чугун EN-GJL-250</t>
        </is>
      </c>
      <c r="J190" s="210" t="inlineStr">
        <is>
          <t>Класс герметичности: А</t>
        </is>
      </c>
      <c r="K190" s="210" t="inlineStr">
        <is>
          <t>межфланцевый</t>
        </is>
      </c>
      <c r="L190" s="210" t="inlineStr">
        <is>
          <t>Ручной</t>
        </is>
      </c>
      <c r="M190" s="210" t="inlineStr">
        <is>
          <t>Ручка с фиксацией произвольного положения</t>
        </is>
      </c>
      <c r="N190" s="210" t="inlineStr">
        <is>
          <t>-</t>
        </is>
      </c>
      <c r="O190" s="210" t="inlineStr">
        <is>
          <t>Корпус: Серый чугун GG25 Седло: EPDM Диск: Нержавеющая сталь CF8M</t>
        </is>
      </c>
      <c r="P190" s="210" t="inlineStr">
        <is>
          <t>-</t>
        </is>
      </c>
      <c r="Q190" s="210" t="inlineStr">
        <is>
          <t>-</t>
        </is>
      </c>
      <c r="R190" s="198">
        <f>A190</f>
        <v/>
      </c>
      <c r="S190" s="205" t="n"/>
      <c r="T190" s="205" t="n"/>
      <c r="U190" s="205" t="n"/>
      <c r="V190" s="205" t="n"/>
      <c r="W190" s="205" t="n"/>
      <c r="X190" s="205" t="n"/>
      <c r="Y190" s="205" t="n"/>
      <c r="Z190" s="205" t="n"/>
      <c r="AA190" s="205" t="n"/>
      <c r="AB190" s="205" t="n"/>
      <c r="AC190" s="205" t="n"/>
      <c r="AD190" s="205" t="n"/>
      <c r="AE190" s="205" t="n"/>
      <c r="AF190" s="205" t="n"/>
      <c r="AG190" s="205" t="n"/>
      <c r="AH190" s="205" t="n"/>
      <c r="AI190" s="202" t="n"/>
    </row>
    <row r="191" ht="89.25" customHeight="1" s="169">
      <c r="A191" s="192" t="n">
        <v>155</v>
      </c>
      <c r="B191" s="193" t="inlineStr">
        <is>
          <t>Затвор дисковый поворотный(ГРЭНВЭЛ) ЗП ТЛ Ду 100 Ру 16</t>
        </is>
      </c>
      <c r="C191" s="210" t="inlineStr">
        <is>
          <t>ТУ 3700-001-81673229-2007</t>
        </is>
      </c>
      <c r="D191" s="210" t="n">
        <v>100</v>
      </c>
      <c r="E191" s="210" t="inlineStr">
        <is>
          <t>стандарт</t>
        </is>
      </c>
      <c r="F191" s="210" t="n">
        <v>1.6</v>
      </c>
      <c r="G191" s="210" t="inlineStr">
        <is>
          <t>до +115°C (кратковременно до +130°C)</t>
        </is>
      </c>
      <c r="H191" s="210" t="inlineStr">
        <is>
          <t>вода (в том числе питьевая), растворы гликоля до 45%, горячий воздух, прочие нейтральные среды</t>
        </is>
      </c>
      <c r="I191" s="210" t="inlineStr">
        <is>
          <t>Корпус: - Серый чугун GG25 • Высокопрочный чугун GGG40</t>
        </is>
      </c>
      <c r="J191" s="210" t="n"/>
      <c r="K191" s="210" t="inlineStr">
        <is>
          <t>межфланцевое</t>
        </is>
      </c>
      <c r="L191" s="210" t="inlineStr">
        <is>
          <t>ручной (рукоятка)</t>
        </is>
      </c>
      <c r="M191" s="210" t="n"/>
      <c r="N191" s="210" t="n"/>
      <c r="O191" s="210" t="inlineStr">
        <is>
          <t>Седло- EPDM HT; Диск - Нержавеющая сталь CF8M</t>
        </is>
      </c>
      <c r="P191" s="210" t="n"/>
      <c r="Q191" s="210"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BD01M40469</t>
        </is>
      </c>
      <c r="R191" s="198">
        <f>A191</f>
        <v/>
      </c>
      <c r="S191" s="205" t="n"/>
      <c r="T191" s="205" t="n"/>
      <c r="U191" s="205" t="n"/>
      <c r="V191" s="205" t="n"/>
      <c r="W191" s="205" t="n"/>
      <c r="X191" s="205" t="n"/>
      <c r="Y191" s="205" t="n"/>
      <c r="Z191" s="205" t="n"/>
      <c r="AA191" s="205" t="n"/>
      <c r="AB191" s="205" t="n"/>
      <c r="AC191" s="205" t="n"/>
      <c r="AD191" s="205" t="n"/>
      <c r="AE191" s="205" t="n"/>
      <c r="AF191" s="205" t="n"/>
      <c r="AG191" s="205" t="n"/>
      <c r="AH191" s="205" t="n"/>
      <c r="AI191" s="202" t="n"/>
    </row>
    <row r="192" ht="89.25" customHeight="1" s="169">
      <c r="A192" s="192" t="n">
        <v>156</v>
      </c>
      <c r="B192" s="193" t="inlineStr">
        <is>
          <t>Затвор дисковый поворотный(ГРЭНВЭЛ) ЗП ТЛ Ду 150 Ру 16</t>
        </is>
      </c>
      <c r="C192" s="210" t="inlineStr">
        <is>
          <t>ТУ 3700-001-81673229-2007</t>
        </is>
      </c>
      <c r="D192" s="210" t="n">
        <v>150</v>
      </c>
      <c r="E192" s="210" t="inlineStr">
        <is>
          <t>стандарт</t>
        </is>
      </c>
      <c r="F192" s="210" t="n">
        <v>1.6</v>
      </c>
      <c r="G192" s="210" t="inlineStr">
        <is>
          <t>до +115°C (кратковременно до +130°C)</t>
        </is>
      </c>
      <c r="H192" s="210" t="inlineStr">
        <is>
          <t>вода (в том числе питьевая), растворы гликоля до 45%, горячий воздух, прочие нейтральные среды</t>
        </is>
      </c>
      <c r="I192" s="210" t="inlineStr">
        <is>
          <t>Корпус: - Серый чугун GG25 • Высокопрочный чугун GGG40</t>
        </is>
      </c>
      <c r="J192" s="210" t="n"/>
      <c r="K192" s="210" t="inlineStr">
        <is>
          <t>межфланцевое</t>
        </is>
      </c>
      <c r="L192" s="210" t="inlineStr">
        <is>
          <t>ручной (рукоятка)</t>
        </is>
      </c>
      <c r="M192" s="210" t="n"/>
      <c r="N192" s="210" t="n"/>
      <c r="O192" s="210" t="inlineStr">
        <is>
          <t>Седло- EPDM HT; Диск - Нержавеющая сталь CF8M</t>
        </is>
      </c>
      <c r="P192" s="210" t="n"/>
      <c r="Q192" s="210"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BD01M40469</t>
        </is>
      </c>
      <c r="R192" s="198">
        <f>A192</f>
        <v/>
      </c>
      <c r="S192" s="205" t="n"/>
      <c r="T192" s="205" t="n"/>
      <c r="U192" s="205" t="n"/>
      <c r="V192" s="205" t="n"/>
      <c r="W192" s="205" t="n"/>
      <c r="X192" s="205" t="n"/>
      <c r="Y192" s="205" t="n"/>
      <c r="Z192" s="205" t="n"/>
      <c r="AA192" s="205" t="n"/>
      <c r="AB192" s="205" t="n"/>
      <c r="AC192" s="205" t="n"/>
      <c r="AD192" s="205" t="n"/>
      <c r="AE192" s="205" t="n"/>
      <c r="AF192" s="205" t="n"/>
      <c r="AG192" s="205" t="n"/>
      <c r="AH192" s="205" t="n"/>
      <c r="AI192" s="202" t="n"/>
    </row>
    <row r="193" ht="89.25" customHeight="1" s="169">
      <c r="A193" s="192" t="n">
        <v>157</v>
      </c>
      <c r="B193" s="193" t="inlineStr">
        <is>
          <t>Затвор дисковый поворотный(ГРЭНВЭЛ) ЗП ТЛ Ду 200 Ру 16</t>
        </is>
      </c>
      <c r="C193" s="210" t="inlineStr">
        <is>
          <t>ТУ 3700-001-81673229-2007</t>
        </is>
      </c>
      <c r="D193" s="210" t="n">
        <v>200</v>
      </c>
      <c r="E193" s="210" t="inlineStr">
        <is>
          <t>стандарт</t>
        </is>
      </c>
      <c r="F193" s="210" t="n">
        <v>1.6</v>
      </c>
      <c r="G193" s="210" t="inlineStr">
        <is>
          <t>до +115°C (кратковременно до +130°C)</t>
        </is>
      </c>
      <c r="H193" s="210" t="inlineStr">
        <is>
          <t>вода (в том числе питьевая), растворы гликоля до 45%, горячий воздух, прочие нейтральные среды</t>
        </is>
      </c>
      <c r="I193" s="210" t="inlineStr">
        <is>
          <t>Корпус: - Серый чугун GG25 • Высокопрочный чугун GGG40</t>
        </is>
      </c>
      <c r="J193" s="210" t="n"/>
      <c r="K193" s="210" t="inlineStr">
        <is>
          <t>межфланцевое</t>
        </is>
      </c>
      <c r="L193" s="210" t="inlineStr">
        <is>
          <t>ручной (рукоятка)</t>
        </is>
      </c>
      <c r="M193" s="210" t="n"/>
      <c r="N193" s="210" t="n"/>
      <c r="O193" s="210" t="inlineStr">
        <is>
          <t>Седло- EPDM HT; Диск - Нержавеющая сталь CF8M</t>
        </is>
      </c>
      <c r="P193" s="210" t="n"/>
      <c r="Q193" s="210"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BD01M40469</t>
        </is>
      </c>
      <c r="R193" s="198">
        <f>A193</f>
        <v/>
      </c>
      <c r="S193" s="205" t="n"/>
      <c r="T193" s="205" t="n"/>
      <c r="U193" s="205" t="n"/>
      <c r="V193" s="205" t="n"/>
      <c r="W193" s="205" t="n"/>
      <c r="X193" s="205" t="n"/>
      <c r="Y193" s="205" t="n"/>
      <c r="Z193" s="205" t="n"/>
      <c r="AA193" s="205" t="n"/>
      <c r="AB193" s="205" t="n"/>
      <c r="AC193" s="205" t="n"/>
      <c r="AD193" s="205" t="n"/>
      <c r="AE193" s="205" t="n"/>
      <c r="AF193" s="205" t="n"/>
      <c r="AG193" s="205" t="n"/>
      <c r="AH193" s="205" t="n"/>
      <c r="AI193" s="202" t="n"/>
    </row>
    <row r="194" ht="89.25" customHeight="1" s="169">
      <c r="A194" s="192" t="n">
        <v>158</v>
      </c>
      <c r="B194" s="193" t="inlineStr">
        <is>
          <t>Затвор дисковый поворотный(ГРЭНВЭЛ) ЗП ТЛ Ду 80 Ру 16</t>
        </is>
      </c>
      <c r="C194" s="210" t="inlineStr">
        <is>
          <t>ТУ 3700-001-81673229-2007</t>
        </is>
      </c>
      <c r="D194" s="210" t="n">
        <v>80</v>
      </c>
      <c r="E194" s="210" t="inlineStr">
        <is>
          <t>стандарт</t>
        </is>
      </c>
      <c r="F194" s="210" t="n">
        <v>1.6</v>
      </c>
      <c r="G194" s="210" t="inlineStr">
        <is>
          <t>до +115°C (кратковременно до +130°C)</t>
        </is>
      </c>
      <c r="H194" s="210" t="inlineStr">
        <is>
          <t>вода (в том числе питьевая), растворы гликоля до 45%, горячий воздух, прочие нейтральные среды</t>
        </is>
      </c>
      <c r="I194" s="210" t="inlineStr">
        <is>
          <t>Корпус: - Серый чугун GG25 • Высокопрочный чугун GGG40</t>
        </is>
      </c>
      <c r="J194" s="210" t="n"/>
      <c r="K194" s="210" t="inlineStr">
        <is>
          <t>межфланцевое</t>
        </is>
      </c>
      <c r="L194" s="210" t="inlineStr">
        <is>
          <t>ручной (рукоятка)</t>
        </is>
      </c>
      <c r="M194" s="210" t="n"/>
      <c r="N194" s="210" t="n"/>
      <c r="O194" s="210" t="inlineStr">
        <is>
          <t>Седло- EPDM HT; Диск - Нержавеющая сталь CF8M</t>
        </is>
      </c>
      <c r="P194" s="210" t="n"/>
      <c r="Q194" s="210"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BD01M38936</t>
        </is>
      </c>
      <c r="R194" s="198">
        <f>A194</f>
        <v/>
      </c>
      <c r="S194" s="205" t="n"/>
      <c r="T194" s="205" t="n"/>
      <c r="U194" s="205" t="n"/>
      <c r="V194" s="205" t="n"/>
      <c r="W194" s="205" t="n"/>
      <c r="X194" s="205" t="n"/>
      <c r="Y194" s="205" t="n"/>
      <c r="Z194" s="205" t="n"/>
      <c r="AA194" s="205" t="n"/>
      <c r="AB194" s="205" t="n"/>
      <c r="AC194" s="205" t="n"/>
      <c r="AD194" s="205" t="n"/>
      <c r="AE194" s="205" t="n"/>
      <c r="AF194" s="205" t="n"/>
      <c r="AG194" s="205" t="n"/>
      <c r="AH194" s="205" t="n"/>
      <c r="AI194" s="202" t="n"/>
    </row>
    <row r="195" ht="60" customHeight="1" s="169">
      <c r="A195" s="192" t="n">
        <v>159</v>
      </c>
      <c r="B195" s="193" t="inlineStr">
        <is>
          <t>Затвор дисковый поворотный(ГРЭНВЭЛ) Тип /серия FL(w)-3-MR-E Ду 150 Ру 16</t>
        </is>
      </c>
      <c r="C195" s="210" t="inlineStr">
        <is>
          <t>ТУ 3700-001-81673229-2007</t>
        </is>
      </c>
      <c r="D195" s="210" t="n">
        <v>150</v>
      </c>
      <c r="E195" s="210" t="inlineStr">
        <is>
          <t>стандарт</t>
        </is>
      </c>
      <c r="F195" s="210" t="n">
        <v>1.6</v>
      </c>
      <c r="G195" s="210" t="inlineStr">
        <is>
          <t xml:space="preserve">-20…+110      </t>
        </is>
      </c>
      <c r="H195" s="210" t="inlineStr">
        <is>
          <t>вода</t>
        </is>
      </c>
      <c r="I195" s="210" t="inlineStr">
        <is>
          <t>Серый чугун EN-GJL-250</t>
        </is>
      </c>
      <c r="J195" s="210" t="inlineStr">
        <is>
          <t>Класс герметичности: А</t>
        </is>
      </c>
      <c r="K195" s="210" t="inlineStr">
        <is>
          <t>межфланцевый</t>
        </is>
      </c>
      <c r="L195" s="210" t="inlineStr">
        <is>
          <t>Ручной</t>
        </is>
      </c>
      <c r="M195" s="210" t="inlineStr">
        <is>
          <t>Ручка с фиксацией произвольного положения</t>
        </is>
      </c>
      <c r="N195" s="210" t="inlineStr">
        <is>
          <t>-</t>
        </is>
      </c>
      <c r="O195" s="210" t="inlineStr">
        <is>
          <t>Корпус: Серый чугун GG25 Седло: EPDM Диск: Нержавеющая сталь CF8M</t>
        </is>
      </c>
      <c r="P195" s="210" t="inlineStr">
        <is>
          <t>-</t>
        </is>
      </c>
      <c r="Q195" s="210" t="inlineStr">
        <is>
          <t>-</t>
        </is>
      </c>
      <c r="R195" s="198">
        <f>A195</f>
        <v/>
      </c>
      <c r="S195" s="205" t="n"/>
      <c r="T195" s="205" t="n"/>
      <c r="U195" s="205" t="n"/>
      <c r="V195" s="205" t="n"/>
      <c r="W195" s="205" t="n"/>
      <c r="X195" s="205" t="n"/>
      <c r="Y195" s="205" t="n"/>
      <c r="Z195" s="205" t="n"/>
      <c r="AA195" s="205" t="n"/>
      <c r="AB195" s="205" t="n"/>
      <c r="AC195" s="205" t="n"/>
      <c r="AD195" s="205" t="n"/>
      <c r="AE195" s="205" t="n"/>
      <c r="AF195" s="205" t="n"/>
      <c r="AG195" s="205" t="n"/>
      <c r="AH195" s="205" t="n"/>
      <c r="AI195" s="202" t="n"/>
    </row>
    <row r="196" ht="60" customHeight="1" s="169">
      <c r="A196" s="192" t="n">
        <v>160</v>
      </c>
      <c r="B196" s="193" t="inlineStr">
        <is>
          <t>Затвор дисковый поворотный(ГРЭНВЭЛ) Тип /серия FL(w)-3-MR-E Ду 200 Ру 16</t>
        </is>
      </c>
      <c r="C196" s="210" t="inlineStr">
        <is>
          <t>ТУ 3700-001-81673229-2007</t>
        </is>
      </c>
      <c r="D196" s="210" t="n">
        <v>200</v>
      </c>
      <c r="E196" s="210" t="inlineStr">
        <is>
          <t>стандарт</t>
        </is>
      </c>
      <c r="F196" s="210" t="n">
        <v>1.6</v>
      </c>
      <c r="G196" s="210" t="inlineStr">
        <is>
          <t xml:space="preserve">-20…+110      </t>
        </is>
      </c>
      <c r="H196" s="210" t="inlineStr">
        <is>
          <t>вода</t>
        </is>
      </c>
      <c r="I196" s="210" t="inlineStr">
        <is>
          <t>Серый чугун EN-GJL-250</t>
        </is>
      </c>
      <c r="J196" s="210" t="inlineStr">
        <is>
          <t>Класс герметичности: А</t>
        </is>
      </c>
      <c r="K196" s="210" t="inlineStr">
        <is>
          <t>межфланцевый</t>
        </is>
      </c>
      <c r="L196" s="210" t="inlineStr">
        <is>
          <t>Ручной</t>
        </is>
      </c>
      <c r="M196" s="210" t="inlineStr">
        <is>
          <t>Ручка с фиксацией произвольного положения</t>
        </is>
      </c>
      <c r="N196" s="210" t="inlineStr">
        <is>
          <t>-</t>
        </is>
      </c>
      <c r="O196" s="210" t="inlineStr">
        <is>
          <t>Корпус: Серый чугун GG25 Седло: EPDM Диск: Нержавеющая сталь CF8M</t>
        </is>
      </c>
      <c r="P196" s="210" t="inlineStr">
        <is>
          <t>-</t>
        </is>
      </c>
      <c r="Q196" s="210" t="inlineStr">
        <is>
          <t>-</t>
        </is>
      </c>
      <c r="R196" s="198">
        <f>A196</f>
        <v/>
      </c>
      <c r="S196" s="205" t="n"/>
      <c r="T196" s="205" t="n"/>
      <c r="U196" s="205" t="n"/>
      <c r="V196" s="205" t="n"/>
      <c r="W196" s="205" t="n"/>
      <c r="X196" s="205" t="n"/>
      <c r="Y196" s="205" t="n"/>
      <c r="Z196" s="205" t="n"/>
      <c r="AA196" s="205" t="n"/>
      <c r="AB196" s="205" t="n"/>
      <c r="AC196" s="205" t="n"/>
      <c r="AD196" s="205" t="n"/>
      <c r="AE196" s="205" t="n"/>
      <c r="AF196" s="205" t="n"/>
      <c r="AG196" s="205" t="n"/>
      <c r="AH196" s="205" t="n"/>
      <c r="AI196" s="202" t="n"/>
    </row>
    <row r="197" ht="51" customHeight="1" s="169">
      <c r="A197" s="192" t="n">
        <v>161</v>
      </c>
      <c r="B197" s="193" t="inlineStr">
        <is>
          <t>Затвор дисковый поворотный(ГРЭНВЭЛ) Тип /серия FL(w)-3-MR-E Ду 80</t>
        </is>
      </c>
      <c r="C197" s="210" t="inlineStr">
        <is>
          <t>ТУ 3700-001-81673229-2007</t>
        </is>
      </c>
      <c r="D197" s="210" t="n">
        <v>80</v>
      </c>
      <c r="E197" s="210" t="inlineStr">
        <is>
          <t>стандарт</t>
        </is>
      </c>
      <c r="F197" s="210" t="n">
        <v>1.6</v>
      </c>
      <c r="G197" s="210" t="inlineStr">
        <is>
          <t xml:space="preserve">-20…+110      </t>
        </is>
      </c>
      <c r="H197" s="210" t="inlineStr">
        <is>
          <t>вода</t>
        </is>
      </c>
      <c r="I197" s="210" t="inlineStr">
        <is>
          <t>Серый чугун EN-GJL-250</t>
        </is>
      </c>
      <c r="J197" s="210" t="inlineStr">
        <is>
          <t>Класс герметичности: А</t>
        </is>
      </c>
      <c r="K197" s="210" t="inlineStr">
        <is>
          <t>межфланцевый</t>
        </is>
      </c>
      <c r="L197" s="210" t="inlineStr">
        <is>
          <t>Ручной</t>
        </is>
      </c>
      <c r="M197" s="210" t="inlineStr">
        <is>
          <t>Ручка с фиксацией произвольного положения</t>
        </is>
      </c>
      <c r="N197" s="210" t="inlineStr">
        <is>
          <t>-</t>
        </is>
      </c>
      <c r="O197" s="210" t="inlineStr">
        <is>
          <t>Корпус: Серый чугун GG25 Седло: EPDM Диск: Нержавеющая сталь CF8M</t>
        </is>
      </c>
      <c r="P197" s="210" t="inlineStr">
        <is>
          <t>-</t>
        </is>
      </c>
      <c r="Q197" s="210" t="inlineStr">
        <is>
          <t>-</t>
        </is>
      </c>
      <c r="R197" s="198">
        <f>A197</f>
        <v/>
      </c>
      <c r="S197" s="205" t="n"/>
      <c r="T197" s="205" t="n"/>
      <c r="U197" s="205" t="n"/>
      <c r="V197" s="205" t="n"/>
      <c r="W197" s="205" t="n"/>
      <c r="X197" s="205" t="n"/>
      <c r="Y197" s="205" t="n"/>
      <c r="Z197" s="205" t="n"/>
      <c r="AA197" s="205" t="n"/>
      <c r="AB197" s="205" t="n"/>
      <c r="AC197" s="205" t="n"/>
      <c r="AD197" s="205" t="n"/>
      <c r="AE197" s="205" t="n"/>
      <c r="AF197" s="205" t="n"/>
      <c r="AG197" s="205" t="n"/>
      <c r="AH197" s="205" t="n"/>
      <c r="AI197" s="202" t="n"/>
    </row>
    <row r="198" ht="51" customHeight="1" s="169">
      <c r="A198" s="192" t="n">
        <v>162</v>
      </c>
      <c r="B198" s="193" t="inlineStr">
        <is>
          <t>Затвор поворотный дисковый Ду 65 Ру 16  ГРАНВЭЛ тип ЗПВС</t>
        </is>
      </c>
      <c r="C198" s="210" t="inlineStr">
        <is>
          <t>ТУ 3700-001-81673229-2007</t>
        </is>
      </c>
      <c r="D198" s="210" t="n">
        <v>65</v>
      </c>
      <c r="E198" s="210" t="inlineStr">
        <is>
          <t>стандарт</t>
        </is>
      </c>
      <c r="F198" s="210" t="n">
        <v>1.6</v>
      </c>
      <c r="G198" s="210" t="inlineStr">
        <is>
          <t>-20…+112</t>
        </is>
      </c>
      <c r="H198" s="210" t="inlineStr">
        <is>
          <t>Вода</t>
        </is>
      </c>
      <c r="I198" s="210" t="inlineStr">
        <is>
          <t>чугун</t>
        </is>
      </c>
      <c r="J198" s="210" t="inlineStr">
        <is>
          <t>У1</t>
        </is>
      </c>
      <c r="K198" s="210" t="inlineStr">
        <is>
          <t>межфланцовое</t>
        </is>
      </c>
      <c r="L198" s="210" t="inlineStr">
        <is>
          <t xml:space="preserve">Ручное </t>
        </is>
      </c>
      <c r="M198" s="210" t="inlineStr">
        <is>
          <t>Рукоятка</t>
        </is>
      </c>
      <c r="N198" s="210" t="inlineStr">
        <is>
          <t>любое</t>
        </is>
      </c>
      <c r="O198" s="210" t="inlineStr">
        <is>
          <t>Затвор диска поворотный ЗПВС-FL(w)-3150-MR-E, ДУ-65, РУ-16, межфланцовый, рукоятка, корпус-GG25, диск-GGG40, седло -EPDM, Т раб=-15…+110С</t>
        </is>
      </c>
      <c r="P198" s="210" t="inlineStr">
        <is>
          <t>-</t>
        </is>
      </c>
      <c r="Q198" s="210" t="n"/>
      <c r="R198" s="198">
        <f>A198</f>
        <v/>
      </c>
      <c r="S198" s="205" t="n"/>
      <c r="T198" s="205" t="n"/>
      <c r="U198" s="205" t="n"/>
      <c r="V198" s="205" t="n"/>
      <c r="W198" s="205" t="n"/>
      <c r="X198" s="205" t="n"/>
      <c r="Y198" s="205" t="n"/>
      <c r="Z198" s="205" t="n"/>
      <c r="AA198" s="205" t="n"/>
      <c r="AB198" s="205" t="n"/>
      <c r="AC198" s="205" t="n"/>
      <c r="AD198" s="205" t="n"/>
      <c r="AE198" s="205" t="n"/>
      <c r="AF198" s="205" t="n"/>
      <c r="AG198" s="205" t="n"/>
      <c r="AH198" s="205" t="n"/>
      <c r="AI198" s="202" t="n"/>
    </row>
    <row r="199" ht="204" customHeight="1" s="169">
      <c r="A199" s="192" t="n">
        <v>163</v>
      </c>
      <c r="B199" s="193" t="inlineStr">
        <is>
          <t>Электропривод прямоходный Regada SТ0 490.0-00TQV/00</t>
        </is>
      </c>
      <c r="C199" s="210" t="n"/>
      <c r="D199" s="210" t="n"/>
      <c r="E199" s="210" t="n"/>
      <c r="F199" s="210" t="n"/>
      <c r="G199" s="210" t="inlineStr">
        <is>
          <t>25°C - +55°C</t>
        </is>
      </c>
      <c r="H199" s="210" t="n"/>
      <c r="I199" s="210" t="n"/>
      <c r="J199" s="210" t="inlineStr">
        <is>
          <t>У</t>
        </is>
      </c>
      <c r="K199" s="210" t="n"/>
      <c r="L199" s="210" t="n"/>
      <c r="M199" s="210" t="n"/>
      <c r="N199" s="210" t="n"/>
      <c r="O199" s="210" t="n"/>
      <c r="P199" s="210" t="n"/>
      <c r="Q199" s="210" t="inlineStr">
        <is>
          <t>Степень защиты IP 54, Питающее напряжение 230 V AC, Схема включения Z20, Выключающая сила 2 900 N, Макс. нагрузочная сила 2 500 N, Скорость управления 4 mm/min,  Электродвигатель 1 W, Выключение злектропривода от нагрузки Двухсиловое (Схема включения Z20 выключатели S1, S2), Рабочий ход с датчиком 25 mm, Датчик положения Электронный с R/I преобразователем с токовым сигналом С источником, Включение 2-проводник, Выход 4 - 20 mA, Схема включения Z269, Механическое присоединение Столбикы, Присоединительная высота 110мм, Прицоедин. резьба тяги M8x1-22, Эскиз P-1185/B, 2 добавочные выключатели положения, Схема включения Z21.</t>
        </is>
      </c>
      <c r="R199" s="198">
        <f>A199</f>
        <v/>
      </c>
      <c r="S199" s="186" t="n"/>
      <c r="T199" s="186" t="n"/>
      <c r="U199" s="186" t="n"/>
      <c r="V199" s="186" t="n"/>
      <c r="W199" s="186" t="n"/>
      <c r="X199" s="186" t="n"/>
      <c r="Y199" s="186" t="n"/>
      <c r="Z199" s="186" t="n"/>
      <c r="AA199" s="186" t="n"/>
      <c r="AB199" s="186" t="n"/>
      <c r="AC199" s="186" t="n"/>
      <c r="AD199" s="186" t="n"/>
      <c r="AE199" s="186" t="n"/>
      <c r="AF199" s="186" t="n"/>
      <c r="AG199" s="186" t="n"/>
      <c r="AH199" s="186" t="n"/>
      <c r="AI199" s="202" t="n"/>
    </row>
    <row r="200" ht="17.85" customHeight="1" s="169">
      <c r="A200" s="249" t="inlineStr">
        <is>
          <t>Спецификация №2 Грузополучатель №2 Таблица 1.4 (филиал КТЭЦ) — Эксплуатация</t>
        </is>
      </c>
      <c r="B200" s="182" t="n"/>
      <c r="C200" s="182" t="n"/>
      <c r="D200" s="182" t="n"/>
      <c r="E200" s="182" t="n"/>
      <c r="F200" s="182" t="n"/>
      <c r="G200" s="182" t="n"/>
      <c r="H200" s="182" t="n"/>
      <c r="I200" s="182" t="n"/>
      <c r="J200" s="182" t="n"/>
      <c r="K200" s="182" t="n"/>
      <c r="L200" s="182" t="n"/>
      <c r="M200" s="182" t="n"/>
      <c r="N200" s="182" t="n"/>
      <c r="O200" s="182" t="n"/>
      <c r="P200" s="182" t="n"/>
      <c r="Q200" s="180" t="n"/>
      <c r="R200" s="250">
        <f>A200</f>
        <v/>
      </c>
      <c r="S200" s="182" t="n"/>
      <c r="T200" s="182" t="n"/>
      <c r="U200" s="182" t="n"/>
      <c r="V200" s="182" t="n"/>
      <c r="W200" s="182" t="n"/>
      <c r="X200" s="182" t="n"/>
      <c r="Y200" s="182" t="n"/>
      <c r="Z200" s="182" t="n"/>
      <c r="AA200" s="182" t="n"/>
      <c r="AB200" s="182" t="n"/>
      <c r="AC200" s="182" t="n"/>
      <c r="AD200" s="182" t="n"/>
      <c r="AE200" s="182" t="n"/>
      <c r="AF200" s="182" t="n"/>
      <c r="AG200" s="182" t="n"/>
      <c r="AH200" s="182" t="n"/>
      <c r="AI200" s="180" t="n"/>
    </row>
    <row r="201" ht="102" customHeight="1" s="169">
      <c r="A201" s="192" t="n">
        <v>1</v>
      </c>
      <c r="B201" s="193" t="inlineStr">
        <is>
          <t>Рыбозащитное устройство с потокообразователем</t>
        </is>
      </c>
      <c r="C201" s="210" t="n"/>
      <c r="D201" s="210" t="n"/>
      <c r="E201" s="210" t="n"/>
      <c r="F201" s="210" t="n"/>
      <c r="G201" s="210" t="n"/>
      <c r="H201" s="210" t="inlineStr">
        <is>
          <t>Вода</t>
        </is>
      </c>
      <c r="I201" s="210" t="inlineStr">
        <is>
          <t>Сталь 20</t>
        </is>
      </c>
      <c r="J201" s="210" t="n"/>
      <c r="K201" s="210" t="n"/>
      <c r="L201" s="210" t="n"/>
      <c r="M201" s="210" t="n"/>
      <c r="N201" s="210" t="n"/>
      <c r="O201" s="210" t="n"/>
      <c r="P201" s="210" t="n"/>
      <c r="Q201" s="210" t="inlineStr">
        <is>
          <t>Рыбозащитное устройство с потокообразователем РОП-200, под производительность насоса от 250 куб м/час. В комплекте переход на трубу ДУ 200 Материал изготовления ст.20. Покраска РОП — серебрянка. Диаметр заградительной ячейки — 4мм (длина защищаемой молоди рыбы длиной от 30мм)</t>
        </is>
      </c>
      <c r="R201" s="198" t="n">
        <v>1</v>
      </c>
      <c r="S201" s="199" t="inlineStr">
        <is>
          <t>СРО (рыбозащитный оголовок с потокообразователем), типоразмер по расходу (250 м³/ч ≈ СРО-100)</t>
        </is>
      </c>
      <c r="T201" s="224" t="n"/>
      <c r="U201" s="224" t="n"/>
      <c r="V201" s="224" t="n"/>
      <c r="W201" s="251" t="n"/>
      <c r="X201" s="251" t="n"/>
      <c r="Y201" s="251" t="n"/>
      <c r="Z201" s="251" t="n"/>
      <c r="AA201" s="251" t="n"/>
      <c r="AB201" s="251" t="n"/>
      <c r="AC201" s="251" t="n"/>
      <c r="AD201" s="251" t="n"/>
      <c r="AE201" s="251" t="n"/>
      <c r="AF201" s="251" t="n"/>
      <c r="AG201" s="251" t="n"/>
      <c r="AH201" s="251" t="n"/>
      <c r="AI201" s="202" t="n"/>
    </row>
    <row r="202" ht="17.1" customHeight="1" s="169">
      <c r="A202" s="249" t="inlineStr">
        <is>
          <t>Спецификация №2 Грузополучатель №2 Таблица 1.5 (филиал КТЭЦ) — Техническое обслуживание</t>
        </is>
      </c>
      <c r="B202" s="182" t="n"/>
      <c r="C202" s="182" t="n"/>
      <c r="D202" s="182" t="n"/>
      <c r="E202" s="182" t="n"/>
      <c r="F202" s="182" t="n"/>
      <c r="G202" s="182" t="n"/>
      <c r="H202" s="182" t="n"/>
      <c r="I202" s="182" t="n"/>
      <c r="J202" s="182" t="n"/>
      <c r="K202" s="182" t="n"/>
      <c r="L202" s="182" t="n"/>
      <c r="M202" s="182" t="n"/>
      <c r="N202" s="182" t="n"/>
      <c r="O202" s="182" t="n"/>
      <c r="P202" s="182" t="n"/>
      <c r="Q202" s="180" t="n"/>
      <c r="R202" s="250">
        <f>A202</f>
        <v/>
      </c>
      <c r="S202" s="182" t="n"/>
      <c r="T202" s="182" t="n"/>
      <c r="U202" s="182" t="n"/>
      <c r="V202" s="182" t="n"/>
      <c r="W202" s="182" t="n"/>
      <c r="X202" s="182" t="n"/>
      <c r="Y202" s="182" t="n"/>
      <c r="Z202" s="182" t="n"/>
      <c r="AA202" s="182" t="n"/>
      <c r="AB202" s="182" t="n"/>
      <c r="AC202" s="182" t="n"/>
      <c r="AD202" s="182" t="n"/>
      <c r="AE202" s="182" t="n"/>
      <c r="AF202" s="182" t="n"/>
      <c r="AG202" s="182" t="n"/>
      <c r="AH202" s="182" t="n"/>
      <c r="AI202" s="180" t="n"/>
    </row>
    <row r="203" ht="27.95" customHeight="1" s="169">
      <c r="A203" s="192" t="n">
        <v>1</v>
      </c>
      <c r="B203" s="193" t="inlineStr">
        <is>
          <t>Клапан запорный 15кч18п Ду 25 Ру 16</t>
        </is>
      </c>
      <c r="C203" s="210" t="inlineStr">
        <is>
          <t>ТУ 3732-001-00218137-94</t>
        </is>
      </c>
      <c r="D203" s="210" t="n">
        <v>25</v>
      </c>
      <c r="E203" s="210" t="inlineStr">
        <is>
          <t>-</t>
        </is>
      </c>
      <c r="F203" s="210" t="n">
        <v>1.6</v>
      </c>
      <c r="G203" s="210" t="inlineStr">
        <is>
          <t xml:space="preserve">  Вода, пар От +1°С до +150°С</t>
        </is>
      </c>
      <c r="H203" s="210" t="inlineStr">
        <is>
          <t xml:space="preserve"> вода, пар.</t>
        </is>
      </c>
      <c r="I203" s="210" t="inlineStr">
        <is>
          <t>КЧ30</t>
        </is>
      </c>
      <c r="J203" s="210" t="inlineStr">
        <is>
          <t>У</t>
        </is>
      </c>
      <c r="K203" s="210" t="inlineStr">
        <is>
          <t xml:space="preserve">Муфтовый   </t>
        </is>
      </c>
      <c r="L203" s="210" t="inlineStr">
        <is>
          <t>Ручной</t>
        </is>
      </c>
      <c r="M203" s="210" t="inlineStr">
        <is>
          <t>-</t>
        </is>
      </c>
      <c r="N203" s="210" t="inlineStr">
        <is>
          <t>любое</t>
        </is>
      </c>
      <c r="O203" s="210" t="n"/>
      <c r="P203" s="210" t="n"/>
      <c r="Q203" s="210" t="n"/>
      <c r="R203" s="198">
        <f>A203</f>
        <v/>
      </c>
      <c r="S203" s="228" t="inlineStr">
        <is>
          <t>Клапан запорный 15кч18п Китай 1" Ду25 Ру16 резьбовой, корпус - чугун, с маховиком</t>
        </is>
      </c>
      <c r="T203" s="224" t="n"/>
      <c r="U203" s="224" t="n"/>
      <c r="V203" s="224" t="n"/>
      <c r="W203" s="252" t="n"/>
      <c r="X203" s="252" t="n"/>
      <c r="Y203" s="252" t="n"/>
      <c r="Z203" s="252" t="n"/>
      <c r="AA203" s="252" t="n"/>
      <c r="AB203" s="252" t="n"/>
      <c r="AC203" s="252" t="n"/>
      <c r="AD203" s="252" t="n"/>
      <c r="AE203" s="252" t="n"/>
      <c r="AF203" s="252" t="n"/>
      <c r="AG203" s="252" t="n"/>
      <c r="AH203" s="252" t="n"/>
      <c r="AI203" s="202" t="n"/>
    </row>
    <row r="204" ht="51" customHeight="1" s="169">
      <c r="A204" s="192" t="n">
        <v>2</v>
      </c>
      <c r="B204" s="193" t="inlineStr">
        <is>
          <t>Задвижка 30с64нж Ду 50 Ру 25</t>
        </is>
      </c>
      <c r="C204" s="210" t="inlineStr">
        <is>
          <t>ГОСТ 5762-2002</t>
        </is>
      </c>
      <c r="D204" s="210" t="n">
        <v>50</v>
      </c>
      <c r="E204" s="210" t="inlineStr">
        <is>
          <t>стандарт</t>
        </is>
      </c>
      <c r="F204" s="210" t="n">
        <v>2.5</v>
      </c>
      <c r="G204" s="210" t="inlineStr">
        <is>
          <t>от −40°С  до +425°С</t>
        </is>
      </c>
      <c r="H204" s="210" t="inlineStr">
        <is>
          <t>вода, пар, неагрессивные нефтепродукты</t>
        </is>
      </c>
      <c r="I204" s="210" t="inlineStr">
        <is>
          <t>сталь 25л</t>
        </is>
      </c>
      <c r="J204" s="210" t="inlineStr">
        <is>
          <t>У1</t>
        </is>
      </c>
      <c r="K204" s="210" t="inlineStr">
        <is>
          <t>фланцевый</t>
        </is>
      </c>
      <c r="L204" s="210" t="inlineStr">
        <is>
          <t>ручной</t>
        </is>
      </c>
      <c r="M204" s="210" t="inlineStr">
        <is>
          <t>маховик</t>
        </is>
      </c>
      <c r="N204" s="210" t="inlineStr">
        <is>
          <t>горизонтальное, либо вертикальное</t>
        </is>
      </c>
      <c r="O204" s="210" t="inlineStr">
        <is>
          <t>Крышка, клин Ст25Л, шпиндель Ст20х13</t>
        </is>
      </c>
      <c r="P204" s="210" t="n"/>
      <c r="Q204" s="210" t="n"/>
      <c r="R204" s="198">
        <f>A204</f>
        <v/>
      </c>
      <c r="S204" s="205" t="n"/>
      <c r="T204" s="205" t="n"/>
      <c r="U204" s="205" t="n"/>
      <c r="V204" s="205" t="n"/>
      <c r="W204" s="205" t="n"/>
      <c r="X204" s="205" t="n"/>
      <c r="Y204" s="205" t="n"/>
      <c r="Z204" s="205" t="n"/>
      <c r="AA204" s="205" t="n"/>
      <c r="AB204" s="205" t="n"/>
      <c r="AC204" s="205" t="n"/>
      <c r="AD204" s="205" t="n"/>
      <c r="AE204" s="205" t="n"/>
      <c r="AF204" s="205" t="n"/>
      <c r="AG204" s="205" t="n"/>
      <c r="AH204" s="205" t="n"/>
      <c r="AI204" s="202" t="n"/>
    </row>
    <row r="205" ht="51" customHeight="1" s="169">
      <c r="A205" s="192" t="n">
        <v>3</v>
      </c>
      <c r="B205" s="193" t="inlineStr">
        <is>
          <t>Задвижка 30с64нж Ду 80 Ру 25</t>
        </is>
      </c>
      <c r="C205" s="210" t="inlineStr">
        <is>
          <t>ГОСТ 5762-2002</t>
        </is>
      </c>
      <c r="D205" s="210" t="n">
        <v>80</v>
      </c>
      <c r="E205" s="210" t="inlineStr">
        <is>
          <t>стандарт</t>
        </is>
      </c>
      <c r="F205" s="210" t="n">
        <v>2.5</v>
      </c>
      <c r="G205" s="210" t="inlineStr">
        <is>
          <t>от −40°С  до +425°С</t>
        </is>
      </c>
      <c r="H205" s="210" t="inlineStr">
        <is>
          <t>вода, пар, неагрессивные нефтепродукты</t>
        </is>
      </c>
      <c r="I205" s="210" t="inlineStr">
        <is>
          <t>сталь 25л</t>
        </is>
      </c>
      <c r="J205" s="210" t="inlineStr">
        <is>
          <t>У1</t>
        </is>
      </c>
      <c r="K205" s="210" t="inlineStr">
        <is>
          <t>фланцевый</t>
        </is>
      </c>
      <c r="L205" s="210" t="inlineStr">
        <is>
          <t>ручной</t>
        </is>
      </c>
      <c r="M205" s="210" t="inlineStr">
        <is>
          <t>маховик</t>
        </is>
      </c>
      <c r="N205" s="210" t="inlineStr">
        <is>
          <t>горизонтальное, либо вертикальное</t>
        </is>
      </c>
      <c r="O205" s="210" t="inlineStr">
        <is>
          <t>Крышка, клин Ст25Л, шпиндель Ст20х13</t>
        </is>
      </c>
      <c r="P205" s="210" t="n"/>
      <c r="Q205" s="210" t="n"/>
      <c r="R205" s="198">
        <f>A205</f>
        <v/>
      </c>
      <c r="S205" s="205" t="n"/>
      <c r="T205" s="205" t="n"/>
      <c r="U205" s="205" t="n"/>
      <c r="V205" s="205" t="n"/>
      <c r="W205" s="205" t="n"/>
      <c r="X205" s="205" t="n"/>
      <c r="Y205" s="205" t="n"/>
      <c r="Z205" s="205" t="n"/>
      <c r="AA205" s="205" t="n"/>
      <c r="AB205" s="205" t="n"/>
      <c r="AC205" s="205" t="n"/>
      <c r="AD205" s="205" t="n"/>
      <c r="AE205" s="205" t="n"/>
      <c r="AF205" s="205" t="n"/>
      <c r="AG205" s="205" t="n"/>
      <c r="AH205" s="205" t="n"/>
      <c r="AI205" s="202" t="n"/>
    </row>
    <row r="206" ht="63.75" customHeight="1" s="169">
      <c r="A206" s="192" t="n">
        <v>4</v>
      </c>
      <c r="B206" s="193" t="inlineStr">
        <is>
          <t>Кран шаровой 11б27п1 Ду 15 Ру 16</t>
        </is>
      </c>
      <c r="C206" s="210" t="inlineStr">
        <is>
          <t xml:space="preserve">ГОСТ 9544-2015 ГОСТ 28343 ГОСТ 21345 </t>
        </is>
      </c>
      <c r="D206" s="210" t="n">
        <v>15</v>
      </c>
      <c r="E206" s="210" t="inlineStr">
        <is>
          <t>полный</t>
        </is>
      </c>
      <c r="F206" s="210" t="n">
        <v>1.6</v>
      </c>
      <c r="G206" s="210" t="inlineStr">
        <is>
          <t>От -10 до +90 °С</t>
        </is>
      </c>
      <c r="H206" s="210" t="inlineStr">
        <is>
          <t>вода</t>
        </is>
      </c>
      <c r="I206" s="210" t="inlineStr">
        <is>
          <t>латунь HPb58-2A</t>
        </is>
      </c>
      <c r="J206" s="210" t="inlineStr">
        <is>
          <t>У1</t>
        </is>
      </c>
      <c r="K206" s="210" t="inlineStr">
        <is>
          <t>Муфта-муфта ВР-ВР</t>
        </is>
      </c>
      <c r="L206" s="210" t="inlineStr">
        <is>
          <t xml:space="preserve">Ручное </t>
        </is>
      </c>
      <c r="M206" s="210" t="inlineStr">
        <is>
          <t>рукоятка</t>
        </is>
      </c>
      <c r="N206" s="210" t="inlineStr">
        <is>
          <t>любое</t>
        </is>
      </c>
      <c r="O206" s="210"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206" s="210" t="n"/>
      <c r="Q206" s="210" t="inlineStr">
        <is>
          <t xml:space="preserve"> (класс гермитичности "А" по ГОСТ 9544-2015).  </t>
        </is>
      </c>
      <c r="R206" s="198">
        <f>A206</f>
        <v/>
      </c>
      <c r="S206" s="205" t="n"/>
      <c r="T206" s="205" t="n"/>
      <c r="U206" s="205" t="n"/>
      <c r="V206" s="205" t="n"/>
      <c r="W206" s="205" t="n"/>
      <c r="X206" s="205" t="n"/>
      <c r="Y206" s="205" t="n"/>
      <c r="Z206" s="205" t="n"/>
      <c r="AA206" s="205" t="n"/>
      <c r="AB206" s="205" t="n"/>
      <c r="AC206" s="205" t="n"/>
      <c r="AD206" s="205" t="n"/>
      <c r="AE206" s="205" t="n"/>
      <c r="AF206" s="205" t="n"/>
      <c r="AG206" s="205" t="n"/>
      <c r="AH206" s="205" t="n"/>
      <c r="AI206" s="202" t="n"/>
    </row>
    <row r="207" ht="51" customHeight="1" s="169">
      <c r="A207" s="192" t="n">
        <v>5</v>
      </c>
      <c r="B207" s="193" t="inlineStr">
        <is>
          <t>Кран шаровой 11б27п1 Ду 20 Ру 16</t>
        </is>
      </c>
      <c r="C207" s="210" t="inlineStr">
        <is>
          <t xml:space="preserve">ГОСТ 9544-2015 ГОСТ 28343 ГОСТ 21345 </t>
        </is>
      </c>
      <c r="D207" s="222" t="n">
        <v>20</v>
      </c>
      <c r="E207" s="222" t="inlineStr">
        <is>
          <t>стандарт</t>
        </is>
      </c>
      <c r="F207" s="222" t="n">
        <v>1.6</v>
      </c>
      <c r="G207" s="222" t="inlineStr">
        <is>
          <t>до +150</t>
        </is>
      </c>
      <c r="H207" s="222" t="inlineStr">
        <is>
          <t>вода, пар</t>
        </is>
      </c>
      <c r="I207" s="222" t="inlineStr">
        <is>
          <t>латунь ЛЦ40Сд</t>
        </is>
      </c>
      <c r="J207" s="222" t="inlineStr">
        <is>
          <t>УХЛ4</t>
        </is>
      </c>
      <c r="K207" s="222" t="inlineStr">
        <is>
          <t>муфтовый</t>
        </is>
      </c>
      <c r="L207" s="222" t="inlineStr">
        <is>
          <t>ручной (рукоятка)</t>
        </is>
      </c>
      <c r="M207" s="253" t="inlineStr">
        <is>
          <t>-</t>
        </is>
      </c>
      <c r="N207" s="222" t="inlineStr">
        <is>
          <t>любое</t>
        </is>
      </c>
      <c r="O207" s="222"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P207" s="222" t="inlineStr">
        <is>
          <t>-</t>
        </is>
      </c>
      <c r="Q207" s="222" t="inlineStr">
        <is>
          <t>-</t>
        </is>
      </c>
      <c r="R207" s="198">
        <f>A207</f>
        <v/>
      </c>
      <c r="S207" s="205" t="n"/>
      <c r="T207" s="205" t="n"/>
      <c r="U207" s="205" t="n"/>
      <c r="V207" s="205" t="n"/>
      <c r="W207" s="205" t="n"/>
      <c r="X207" s="205" t="n"/>
      <c r="Y207" s="205" t="n"/>
      <c r="Z207" s="205" t="n"/>
      <c r="AA207" s="205" t="n"/>
      <c r="AB207" s="205" t="n"/>
      <c r="AC207" s="205" t="n"/>
      <c r="AD207" s="205" t="n"/>
      <c r="AE207" s="205" t="n"/>
      <c r="AF207" s="205" t="n"/>
      <c r="AG207" s="205" t="n"/>
      <c r="AH207" s="205" t="n"/>
      <c r="AI207" s="202" t="n"/>
    </row>
    <row r="208" ht="63.75" customHeight="1" s="169">
      <c r="A208" s="192" t="n">
        <v>6</v>
      </c>
      <c r="B208" s="193" t="inlineStr">
        <is>
          <t>Кран шаровой 11б27п1 Ду 25 Ру 16</t>
        </is>
      </c>
      <c r="C208" s="210" t="inlineStr">
        <is>
          <t xml:space="preserve">ГОСТ 9544-2015 ГОСТ 28343 ГОСТ 21345 </t>
        </is>
      </c>
      <c r="D208" s="210" t="n">
        <v>25</v>
      </c>
      <c r="E208" s="210" t="inlineStr">
        <is>
          <t>полный</t>
        </is>
      </c>
      <c r="F208" s="210" t="n">
        <v>1.6</v>
      </c>
      <c r="G208" s="210" t="inlineStr">
        <is>
          <t>От -10 до +90 °С</t>
        </is>
      </c>
      <c r="H208" s="210" t="inlineStr">
        <is>
          <t>вода</t>
        </is>
      </c>
      <c r="I208" s="210" t="inlineStr">
        <is>
          <t>латунь HPb58-2A</t>
        </is>
      </c>
      <c r="J208" s="210" t="inlineStr">
        <is>
          <t>У1</t>
        </is>
      </c>
      <c r="K208" s="210" t="inlineStr">
        <is>
          <t>Муфта-муфта ВР-ВР</t>
        </is>
      </c>
      <c r="L208" s="210" t="inlineStr">
        <is>
          <t xml:space="preserve">Ручное </t>
        </is>
      </c>
      <c r="M208" s="210" t="inlineStr">
        <is>
          <t>рукоятка</t>
        </is>
      </c>
      <c r="N208" s="210" t="inlineStr">
        <is>
          <t>любое</t>
        </is>
      </c>
      <c r="O208" s="210"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208" s="210" t="n"/>
      <c r="Q208" s="210" t="n"/>
      <c r="R208" s="198">
        <f>A208</f>
        <v/>
      </c>
      <c r="S208" s="205" t="n"/>
      <c r="T208" s="205" t="n"/>
      <c r="U208" s="205" t="n"/>
      <c r="V208" s="205" t="n"/>
      <c r="W208" s="205" t="n"/>
      <c r="X208" s="205" t="n"/>
      <c r="Y208" s="205" t="n"/>
      <c r="Z208" s="205" t="n"/>
      <c r="AA208" s="205" t="n"/>
      <c r="AB208" s="205" t="n"/>
      <c r="AC208" s="205" t="n"/>
      <c r="AD208" s="205" t="n"/>
      <c r="AE208" s="205" t="n"/>
      <c r="AF208" s="205" t="n"/>
      <c r="AG208" s="205" t="n"/>
      <c r="AH208" s="205" t="n"/>
      <c r="AI208" s="202" t="n"/>
    </row>
    <row r="209" ht="63.75" customHeight="1" s="169">
      <c r="A209" s="192" t="n">
        <v>7</v>
      </c>
      <c r="B209" s="193" t="inlineStr">
        <is>
          <t>Кран шаровой 11б27п1 Ду 32 Ру 16</t>
        </is>
      </c>
      <c r="C209" s="210" t="inlineStr">
        <is>
          <t xml:space="preserve">ГОСТ 9544-2015 ГОСТ 28343 ГОСТ 21345 </t>
        </is>
      </c>
      <c r="D209" s="210" t="n">
        <v>32</v>
      </c>
      <c r="E209" s="210" t="inlineStr">
        <is>
          <t>полный</t>
        </is>
      </c>
      <c r="F209" s="210" t="n">
        <v>1.6</v>
      </c>
      <c r="G209" s="210" t="inlineStr">
        <is>
          <t>От -10 до +90 °С</t>
        </is>
      </c>
      <c r="H209" s="210" t="inlineStr">
        <is>
          <t>вода</t>
        </is>
      </c>
      <c r="I209" s="210" t="inlineStr">
        <is>
          <t>латунь HPb58-2A</t>
        </is>
      </c>
      <c r="J209" s="210" t="inlineStr">
        <is>
          <t>У1</t>
        </is>
      </c>
      <c r="K209" s="210" t="inlineStr">
        <is>
          <t>Муфта-муфта ВР-ВР</t>
        </is>
      </c>
      <c r="L209" s="210" t="inlineStr">
        <is>
          <t xml:space="preserve">Ручное </t>
        </is>
      </c>
      <c r="M209" s="210" t="inlineStr">
        <is>
          <t>рукоятка</t>
        </is>
      </c>
      <c r="N209" s="210" t="inlineStr">
        <is>
          <t>любое</t>
        </is>
      </c>
      <c r="O209" s="210"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209" s="210" t="n"/>
      <c r="Q209" s="210" t="inlineStr">
        <is>
          <t xml:space="preserve">(класс гермитичности "А" по ГОСТ 9544-2015). </t>
        </is>
      </c>
      <c r="R209" s="198">
        <f>A209</f>
        <v/>
      </c>
      <c r="S209" s="205" t="n"/>
      <c r="T209" s="205" t="n"/>
      <c r="U209" s="205" t="n"/>
      <c r="V209" s="205" t="n"/>
      <c r="W209" s="205" t="n"/>
      <c r="X209" s="205" t="n"/>
      <c r="Y209" s="205" t="n"/>
      <c r="Z209" s="205" t="n"/>
      <c r="AA209" s="205" t="n"/>
      <c r="AB209" s="205" t="n"/>
      <c r="AC209" s="205" t="n"/>
      <c r="AD209" s="205" t="n"/>
      <c r="AE209" s="205" t="n"/>
      <c r="AF209" s="205" t="n"/>
      <c r="AG209" s="205" t="n"/>
      <c r="AH209" s="205" t="n"/>
      <c r="AI209" s="202" t="n"/>
    </row>
    <row r="210" ht="63.75" customHeight="1" s="169">
      <c r="A210" s="192" t="n">
        <v>8</v>
      </c>
      <c r="B210" s="193" t="inlineStr">
        <is>
          <t>Кран шаровой 11б27п1 Ду 50 Ру 16</t>
        </is>
      </c>
      <c r="C210" s="210" t="inlineStr">
        <is>
          <t xml:space="preserve">ГОСТ 9544-2015 ГОСТ 28343 ГОСТ 21345 </t>
        </is>
      </c>
      <c r="D210" s="210" t="n">
        <v>50</v>
      </c>
      <c r="E210" s="210" t="inlineStr">
        <is>
          <t>полный</t>
        </is>
      </c>
      <c r="F210" s="210" t="n">
        <v>1.6</v>
      </c>
      <c r="G210" s="210" t="inlineStr">
        <is>
          <t>От -10 до +90 °С</t>
        </is>
      </c>
      <c r="H210" s="210" t="inlineStr">
        <is>
          <t>вода</t>
        </is>
      </c>
      <c r="I210" s="210" t="inlineStr">
        <is>
          <t>латунь HPb58-2A</t>
        </is>
      </c>
      <c r="J210" s="210" t="inlineStr">
        <is>
          <t>У1</t>
        </is>
      </c>
      <c r="K210" s="210" t="inlineStr">
        <is>
          <t>Муфта-муфта ВР-ВР</t>
        </is>
      </c>
      <c r="L210" s="210" t="inlineStr">
        <is>
          <t xml:space="preserve">Ручное </t>
        </is>
      </c>
      <c r="M210" s="210" t="inlineStr">
        <is>
          <t>рукоятка</t>
        </is>
      </c>
      <c r="N210" s="210" t="inlineStr">
        <is>
          <t>любое</t>
        </is>
      </c>
      <c r="O210" s="210" t="inlineStr">
        <is>
          <t>Материал корпуса: латунь HPb58-2A, материал муфты: латунь HPb58-2A, уплотнение шара PTFE, шар, шток: сталь с антикоррозионным покрытием, уплотнение штока EPDM, винт сталь, ручка алюминиевый сплав</t>
        </is>
      </c>
      <c r="P210" s="210" t="inlineStr">
        <is>
          <t>размер b (толщина) согласно ГОСТ 33259-2015: b = 22 мм</t>
        </is>
      </c>
      <c r="Q210" s="210" t="n"/>
      <c r="R210" s="198">
        <f>A210</f>
        <v/>
      </c>
      <c r="S210" s="205" t="n"/>
      <c r="T210" s="205" t="n"/>
      <c r="U210" s="205" t="n"/>
      <c r="V210" s="205" t="n"/>
      <c r="W210" s="205" t="n"/>
      <c r="X210" s="205" t="n"/>
      <c r="Y210" s="205" t="n"/>
      <c r="Z210" s="205" t="n"/>
      <c r="AA210" s="205" t="n"/>
      <c r="AB210" s="205" t="n"/>
      <c r="AC210" s="205" t="n"/>
      <c r="AD210" s="205" t="n"/>
      <c r="AE210" s="205" t="n"/>
      <c r="AF210" s="205" t="n"/>
      <c r="AG210" s="205" t="n"/>
      <c r="AH210" s="205" t="n"/>
      <c r="AI210" s="202" t="n"/>
    </row>
    <row r="211" ht="114.75" customHeight="1" s="169">
      <c r="A211" s="192" t="n">
        <v>9</v>
      </c>
      <c r="B211" s="193" t="inlineStr">
        <is>
          <t>Кран шаровой 11с22п Ду 50 Ру 16</t>
        </is>
      </c>
      <c r="C211" s="222" t="inlineStr">
        <is>
          <t>ГОСТ 21345-2005</t>
        </is>
      </c>
      <c r="D211" s="222" t="n">
        <v>50</v>
      </c>
      <c r="E211" s="222" t="inlineStr">
        <is>
          <t>стандарт</t>
        </is>
      </c>
      <c r="F211" s="222" t="n">
        <v>1.6</v>
      </c>
      <c r="G211" s="222" t="inlineStr">
        <is>
          <t>до +200</t>
        </is>
      </c>
      <c r="H211" s="222" t="inlineStr">
        <is>
          <t>вода, природный газ, нефтепродукты, инертные газы</t>
        </is>
      </c>
      <c r="I211" s="222" t="inlineStr">
        <is>
          <t>сталь 20</t>
        </is>
      </c>
      <c r="J211" s="222" t="inlineStr">
        <is>
          <t>У1</t>
        </is>
      </c>
      <c r="K211" s="222" t="inlineStr">
        <is>
          <t>фланцевый</t>
        </is>
      </c>
      <c r="L211" s="222" t="inlineStr">
        <is>
          <t>ручной (рукоятка)</t>
        </is>
      </c>
      <c r="M211" s="253" t="inlineStr">
        <is>
          <t>-</t>
        </is>
      </c>
      <c r="N211" s="222" t="inlineStr">
        <is>
          <t>любое</t>
        </is>
      </c>
      <c r="O211" s="222"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211" s="222" t="inlineStr">
        <is>
          <t>-</t>
        </is>
      </c>
      <c r="Q211" s="222" t="inlineStr">
        <is>
          <t>-</t>
        </is>
      </c>
      <c r="R211" s="198">
        <f>A211</f>
        <v/>
      </c>
      <c r="S211" s="205" t="n"/>
      <c r="T211" s="205" t="n"/>
      <c r="U211" s="205" t="n"/>
      <c r="V211" s="205" t="n"/>
      <c r="W211" s="205" t="n"/>
      <c r="X211" s="205" t="n"/>
      <c r="Y211" s="205" t="n"/>
      <c r="Z211" s="205" t="n"/>
      <c r="AA211" s="205" t="n"/>
      <c r="AB211" s="205" t="n"/>
      <c r="AC211" s="205" t="n"/>
      <c r="AD211" s="205" t="n"/>
      <c r="AE211" s="205" t="n"/>
      <c r="AF211" s="205" t="n"/>
      <c r="AG211" s="205" t="n"/>
      <c r="AH211" s="205" t="n"/>
      <c r="AI211" s="202" t="n"/>
    </row>
    <row r="212" ht="114.75" customHeight="1" s="169">
      <c r="A212" s="192" t="n">
        <v>10</v>
      </c>
      <c r="B212" s="193" t="inlineStr">
        <is>
          <t>Кран шаровой 11с22п Ду 80 Ру 16</t>
        </is>
      </c>
      <c r="C212" s="222" t="inlineStr">
        <is>
          <t>ГОСТ 21345-2005</t>
        </is>
      </c>
      <c r="D212" s="222" t="n">
        <v>80</v>
      </c>
      <c r="E212" s="222" t="inlineStr">
        <is>
          <t>стандарт</t>
        </is>
      </c>
      <c r="F212" s="222" t="n">
        <v>1.6</v>
      </c>
      <c r="G212" s="222" t="inlineStr">
        <is>
          <t>до +200</t>
        </is>
      </c>
      <c r="H212" s="222" t="inlineStr">
        <is>
          <t>вода, природный газ, нефтепродукты, инертные газы</t>
        </is>
      </c>
      <c r="I212" s="222" t="inlineStr">
        <is>
          <t>сталь 20</t>
        </is>
      </c>
      <c r="J212" s="222" t="inlineStr">
        <is>
          <t>У1</t>
        </is>
      </c>
      <c r="K212" s="222" t="inlineStr">
        <is>
          <t>фланцевый</t>
        </is>
      </c>
      <c r="L212" s="222" t="inlineStr">
        <is>
          <t>ручной (рукоятка)</t>
        </is>
      </c>
      <c r="M212" s="253" t="inlineStr">
        <is>
          <t>-</t>
        </is>
      </c>
      <c r="N212" s="222" t="inlineStr">
        <is>
          <t>любое</t>
        </is>
      </c>
      <c r="O212" s="222"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212" s="222" t="inlineStr">
        <is>
          <t>-</t>
        </is>
      </c>
      <c r="Q212" s="222" t="inlineStr">
        <is>
          <t>-</t>
        </is>
      </c>
      <c r="R212" s="198">
        <f>A212</f>
        <v/>
      </c>
      <c r="S212" s="205" t="n"/>
      <c r="T212" s="205" t="n"/>
      <c r="U212" s="205" t="n"/>
      <c r="V212" s="205" t="n"/>
      <c r="W212" s="205" t="n"/>
      <c r="X212" s="205" t="n"/>
      <c r="Y212" s="205" t="n"/>
      <c r="Z212" s="205" t="n"/>
      <c r="AA212" s="205" t="n"/>
      <c r="AB212" s="205" t="n"/>
      <c r="AC212" s="205" t="n"/>
      <c r="AD212" s="205" t="n"/>
      <c r="AE212" s="205" t="n"/>
      <c r="AF212" s="205" t="n"/>
      <c r="AG212" s="205" t="n"/>
      <c r="AH212" s="205" t="n"/>
      <c r="AI212" s="202" t="n"/>
    </row>
    <row r="213" ht="114.75" customHeight="1" s="169">
      <c r="A213" s="192" t="n">
        <v>11</v>
      </c>
      <c r="B213" s="193" t="inlineStr">
        <is>
          <t>Кран шаровой 11с22п Ду 100 Ру 16</t>
        </is>
      </c>
      <c r="C213" s="222" t="inlineStr">
        <is>
          <t>ГОСТ 21345-2005</t>
        </is>
      </c>
      <c r="D213" s="222" t="n">
        <v>100</v>
      </c>
      <c r="E213" s="222" t="inlineStr">
        <is>
          <t>стандарт</t>
        </is>
      </c>
      <c r="F213" s="222" t="n">
        <v>1.6</v>
      </c>
      <c r="G213" s="222" t="inlineStr">
        <is>
          <t>до +200</t>
        </is>
      </c>
      <c r="H213" s="222" t="inlineStr">
        <is>
          <t>вода, природный газ, нефтепродукты, инертные газы</t>
        </is>
      </c>
      <c r="I213" s="222" t="inlineStr">
        <is>
          <t>сталь 20</t>
        </is>
      </c>
      <c r="J213" s="222" t="inlineStr">
        <is>
          <t>У1</t>
        </is>
      </c>
      <c r="K213" s="222" t="inlineStr">
        <is>
          <t>фланцевый</t>
        </is>
      </c>
      <c r="L213" s="222" t="inlineStr">
        <is>
          <t>ручной (рукоятка)</t>
        </is>
      </c>
      <c r="M213" s="253" t="inlineStr">
        <is>
          <t>-</t>
        </is>
      </c>
      <c r="N213" s="222" t="inlineStr">
        <is>
          <t>любое</t>
        </is>
      </c>
      <c r="O213" s="222"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213" s="222" t="inlineStr">
        <is>
          <t>-</t>
        </is>
      </c>
      <c r="Q213" s="222" t="inlineStr">
        <is>
          <t>-</t>
        </is>
      </c>
      <c r="R213" s="198">
        <f>A213</f>
        <v/>
      </c>
      <c r="S213" s="205" t="n"/>
      <c r="T213" s="205" t="n"/>
      <c r="U213" s="205" t="n"/>
      <c r="V213" s="205" t="n"/>
      <c r="W213" s="205" t="n"/>
      <c r="X213" s="205" t="n"/>
      <c r="Y213" s="205" t="n"/>
      <c r="Z213" s="205" t="n"/>
      <c r="AA213" s="205" t="n"/>
      <c r="AB213" s="205" t="n"/>
      <c r="AC213" s="205" t="n"/>
      <c r="AD213" s="205" t="n"/>
      <c r="AE213" s="205" t="n"/>
      <c r="AF213" s="205" t="n"/>
      <c r="AG213" s="205" t="n"/>
      <c r="AH213" s="205" t="n"/>
      <c r="AI213" s="202" t="n"/>
    </row>
    <row r="214" ht="51" customHeight="1" s="169">
      <c r="A214" s="192" t="n">
        <v>12</v>
      </c>
      <c r="B214" s="193" t="inlineStr">
        <is>
          <t>Кран шаровой 11с67п Ду 15 Ру 25 цельносварной под приварку</t>
        </is>
      </c>
      <c r="C214" s="210" t="inlineStr">
        <is>
          <t>ГОСТ 21345-2005</t>
        </is>
      </c>
      <c r="D214" s="210" t="n">
        <v>15</v>
      </c>
      <c r="E214" s="210" t="inlineStr">
        <is>
          <t>полнопроходной</t>
        </is>
      </c>
      <c r="F214" s="210" t="n">
        <v>2.5</v>
      </c>
      <c r="G214" s="210" t="inlineStr">
        <is>
          <t>От -40°С до +200°С</t>
        </is>
      </c>
      <c r="H214" s="210" t="inlineStr">
        <is>
          <t>Вода</t>
        </is>
      </c>
      <c r="I214" s="210" t="inlineStr">
        <is>
          <t>сталь 20</t>
        </is>
      </c>
      <c r="J214" s="210" t="inlineStr">
        <is>
          <t>У1</t>
        </is>
      </c>
      <c r="K214" s="210" t="inlineStr">
        <is>
          <t>под приварку</t>
        </is>
      </c>
      <c r="L214" s="210" t="inlineStr">
        <is>
          <t xml:space="preserve">Ручное </t>
        </is>
      </c>
      <c r="M214" s="210" t="inlineStr">
        <is>
          <t>Рукоятка</t>
        </is>
      </c>
      <c r="N214" s="210" t="inlineStr">
        <is>
          <t>любое</t>
        </is>
      </c>
      <c r="O214" s="210" t="inlineStr">
        <is>
          <t>Шток:  сталь, 20Х13 
Уплотнения штока: фторопласт Ф4Г3К6 
Уплотнения шара: фторопласт Ф4Г3К6       
Шар: нержавеющая сталь</t>
        </is>
      </c>
      <c r="P214" s="210" t="n"/>
      <c r="Q214" s="210" t="n"/>
      <c r="R214" s="198">
        <f>A214</f>
        <v/>
      </c>
      <c r="S214" s="205" t="n"/>
      <c r="T214" s="205" t="n"/>
      <c r="U214" s="205" t="n"/>
      <c r="V214" s="205" t="n"/>
      <c r="W214" s="205" t="n"/>
      <c r="X214" s="205" t="n"/>
      <c r="Y214" s="205" t="n"/>
      <c r="Z214" s="205" t="n"/>
      <c r="AA214" s="205" t="n"/>
      <c r="AB214" s="205" t="n"/>
      <c r="AC214" s="205" t="n"/>
      <c r="AD214" s="205" t="n"/>
      <c r="AE214" s="205" t="n"/>
      <c r="AF214" s="205" t="n"/>
      <c r="AG214" s="205" t="n"/>
      <c r="AH214" s="205" t="n"/>
      <c r="AI214" s="202" t="n"/>
    </row>
    <row r="215" ht="89.25" customHeight="1" s="169">
      <c r="A215" s="192" t="n">
        <v>13</v>
      </c>
      <c r="B215" s="193" t="inlineStr">
        <is>
          <t>Кран шаровой 11с67п Ду 25 Ру 25 цельносварной под приварку</t>
        </is>
      </c>
      <c r="C215" s="210" t="inlineStr">
        <is>
          <t>ГОСТ 21345-2005</t>
        </is>
      </c>
      <c r="D215" s="210" t="n">
        <v>25</v>
      </c>
      <c r="E215" s="210" t="inlineStr">
        <is>
          <t>полнопроходной</t>
        </is>
      </c>
      <c r="F215" s="210" t="n">
        <v>2.5</v>
      </c>
      <c r="G215" s="210" t="inlineStr">
        <is>
          <t>От -40°С до +180°С</t>
        </is>
      </c>
      <c r="H215" s="210" t="inlineStr">
        <is>
          <t>Вода, газ, нефтепродукты и другие нетоксичные и не агрессивные среды, нейтральные к материалам деталей крана.</t>
        </is>
      </c>
      <c r="I215" s="210" t="inlineStr">
        <is>
          <t>сталь 20</t>
        </is>
      </c>
      <c r="J215" s="210" t="inlineStr">
        <is>
          <t>У1</t>
        </is>
      </c>
      <c r="K215" s="210" t="inlineStr">
        <is>
          <t>под приварку</t>
        </is>
      </c>
      <c r="L215" s="210" t="inlineStr">
        <is>
          <t>Ручной</t>
        </is>
      </c>
      <c r="M215" s="210" t="inlineStr">
        <is>
          <t>Рукоятка</t>
        </is>
      </c>
      <c r="N215" s="210" t="n"/>
      <c r="O215"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215" s="210" t="n"/>
      <c r="Q215" s="210" t="n"/>
      <c r="R215" s="198">
        <f>A215</f>
        <v/>
      </c>
      <c r="S215" s="205" t="n"/>
      <c r="T215" s="205" t="n"/>
      <c r="U215" s="205" t="n"/>
      <c r="V215" s="205" t="n"/>
      <c r="W215" s="205" t="n"/>
      <c r="X215" s="205" t="n"/>
      <c r="Y215" s="205" t="n"/>
      <c r="Z215" s="205" t="n"/>
      <c r="AA215" s="205" t="n"/>
      <c r="AB215" s="205" t="n"/>
      <c r="AC215" s="205" t="n"/>
      <c r="AD215" s="205" t="n"/>
      <c r="AE215" s="205" t="n"/>
      <c r="AF215" s="205" t="n"/>
      <c r="AG215" s="205" t="n"/>
      <c r="AH215" s="205" t="n"/>
      <c r="AI215" s="202" t="n"/>
    </row>
    <row r="216" ht="89.25" customHeight="1" s="169">
      <c r="A216" s="192" t="n">
        <v>14</v>
      </c>
      <c r="B216" s="193" t="inlineStr">
        <is>
          <t>Кран шаровой 11с67п Ду 32 Ру 25 цельносварной под приварку</t>
        </is>
      </c>
      <c r="C216" s="210" t="inlineStr">
        <is>
          <t>ГОСТ 21345-2005</t>
        </is>
      </c>
      <c r="D216" s="210" t="n">
        <v>32</v>
      </c>
      <c r="E216" s="210" t="inlineStr">
        <is>
          <t>полнопроходной</t>
        </is>
      </c>
      <c r="F216" s="210" t="n">
        <v>2.5</v>
      </c>
      <c r="G216" s="210" t="inlineStr">
        <is>
          <t>От -40°С до +180°С</t>
        </is>
      </c>
      <c r="H216" s="210" t="inlineStr">
        <is>
          <t>Вода, газ, нефтепродукты и другие нетоксичные и не агрессивные среды, нейтральные к материалам деталей крана.</t>
        </is>
      </c>
      <c r="I216" s="210" t="inlineStr">
        <is>
          <t>сталь 20</t>
        </is>
      </c>
      <c r="J216" s="210" t="inlineStr">
        <is>
          <t>У1</t>
        </is>
      </c>
      <c r="K216" s="210" t="inlineStr">
        <is>
          <t>под приварку</t>
        </is>
      </c>
      <c r="L216" s="210" t="inlineStr">
        <is>
          <t>Ручной</t>
        </is>
      </c>
      <c r="M216" s="210" t="inlineStr">
        <is>
          <t>Рукоятка</t>
        </is>
      </c>
      <c r="N216" s="210" t="inlineStr">
        <is>
          <t>любое</t>
        </is>
      </c>
      <c r="O216"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216" s="210" t="inlineStr">
        <is>
          <t>строительная длина 260мм</t>
        </is>
      </c>
      <c r="Q216" s="210" t="n"/>
      <c r="R216" s="198">
        <f>A216</f>
        <v/>
      </c>
      <c r="S216" s="205" t="n"/>
      <c r="T216" s="205" t="n"/>
      <c r="U216" s="205" t="n"/>
      <c r="V216" s="205" t="n"/>
      <c r="W216" s="205" t="n"/>
      <c r="X216" s="205" t="n"/>
      <c r="Y216" s="205" t="n"/>
      <c r="Z216" s="205" t="n"/>
      <c r="AA216" s="205" t="n"/>
      <c r="AB216" s="205" t="n"/>
      <c r="AC216" s="205" t="n"/>
      <c r="AD216" s="205" t="n"/>
      <c r="AE216" s="205" t="n"/>
      <c r="AF216" s="205" t="n"/>
      <c r="AG216" s="205" t="n"/>
      <c r="AH216" s="205" t="n"/>
      <c r="AI216" s="202" t="n"/>
    </row>
    <row r="217" ht="51" customHeight="1" s="169">
      <c r="A217" s="192" t="n">
        <v>15</v>
      </c>
      <c r="B217" s="193" t="inlineStr">
        <is>
          <t>Кран шаровой 11с67п Ду 40 Ру 25 цельносварной под приварку</t>
        </is>
      </c>
      <c r="C217" s="210" t="inlineStr">
        <is>
          <t>ГОСТ 21345-2005</t>
        </is>
      </c>
      <c r="D217" s="210" t="n">
        <v>40</v>
      </c>
      <c r="E217" s="210" t="inlineStr">
        <is>
          <t>полнопроходной</t>
        </is>
      </c>
      <c r="F217" s="210" t="n">
        <v>2.5</v>
      </c>
      <c r="G217" s="210" t="inlineStr">
        <is>
          <t>От -40°С до +200°С</t>
        </is>
      </c>
      <c r="H217" s="210" t="inlineStr">
        <is>
          <t>Вода</t>
        </is>
      </c>
      <c r="I217" s="210" t="inlineStr">
        <is>
          <t>сталь 20</t>
        </is>
      </c>
      <c r="J217" s="210" t="inlineStr">
        <is>
          <t>У1</t>
        </is>
      </c>
      <c r="K217" s="210" t="inlineStr">
        <is>
          <t>под приварку</t>
        </is>
      </c>
      <c r="L217" s="210" t="inlineStr">
        <is>
          <t xml:space="preserve">Ручное </t>
        </is>
      </c>
      <c r="M217" s="210" t="inlineStr">
        <is>
          <t>Рукоятка</t>
        </is>
      </c>
      <c r="N217" s="210" t="inlineStr">
        <is>
          <t>любое</t>
        </is>
      </c>
      <c r="O217" s="210" t="inlineStr">
        <is>
          <t>Шток:  сталь, 20Х13 
Уплотнения штока: фторопласт Ф4Г3К6 
Уплотнения шара: фторопласт Ф4Г3К6
 Шар: нержавеющая сталь</t>
        </is>
      </c>
      <c r="P217" s="210" t="n"/>
      <c r="Q217" s="210" t="n"/>
      <c r="R217" s="198">
        <f>A217</f>
        <v/>
      </c>
      <c r="S217" s="205" t="n"/>
      <c r="T217" s="205" t="n"/>
      <c r="U217" s="205" t="n"/>
      <c r="V217" s="205" t="n"/>
      <c r="W217" s="205" t="n"/>
      <c r="X217" s="205" t="n"/>
      <c r="Y217" s="205" t="n"/>
      <c r="Z217" s="205" t="n"/>
      <c r="AA217" s="205" t="n"/>
      <c r="AB217" s="205" t="n"/>
      <c r="AC217" s="205" t="n"/>
      <c r="AD217" s="205" t="n"/>
      <c r="AE217" s="205" t="n"/>
      <c r="AF217" s="205" t="n"/>
      <c r="AG217" s="205" t="n"/>
      <c r="AH217" s="205" t="n"/>
      <c r="AI217" s="202" t="n"/>
    </row>
    <row r="218" ht="51" customHeight="1" s="169">
      <c r="A218" s="192" t="n">
        <v>16</v>
      </c>
      <c r="B218" s="193" t="inlineStr">
        <is>
          <t>Кран шаровой 11с67п Ду 50 Ру 25 цельносварной под приварку</t>
        </is>
      </c>
      <c r="C218" s="210" t="inlineStr">
        <is>
          <t>ГОСТ 21345-2005</t>
        </is>
      </c>
      <c r="D218" s="210" t="n">
        <v>50</v>
      </c>
      <c r="E218" s="210" t="inlineStr">
        <is>
          <t>полнопроходной</t>
        </is>
      </c>
      <c r="F218" s="210" t="n">
        <v>2.5</v>
      </c>
      <c r="G218" s="210" t="inlineStr">
        <is>
          <t>от -40 до +200</t>
        </is>
      </c>
      <c r="H218" s="210" t="inlineStr">
        <is>
          <t>вода</t>
        </is>
      </c>
      <c r="I218" s="210" t="inlineStr">
        <is>
          <t>сталь 20</t>
        </is>
      </c>
      <c r="J218" s="210" t="inlineStr">
        <is>
          <t>У1</t>
        </is>
      </c>
      <c r="K218" s="210" t="inlineStr">
        <is>
          <t>под приварку</t>
        </is>
      </c>
      <c r="L218" s="210" t="inlineStr">
        <is>
          <t>ручное</t>
        </is>
      </c>
      <c r="M218" s="210" t="inlineStr">
        <is>
          <t>рукоятка</t>
        </is>
      </c>
      <c r="N218" s="210" t="inlineStr">
        <is>
          <t>любое</t>
        </is>
      </c>
      <c r="O218" s="210" t="inlineStr">
        <is>
          <t xml:space="preserve">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 </t>
        </is>
      </c>
      <c r="P218" s="210" t="inlineStr">
        <is>
          <t>строительная длина 300мм</t>
        </is>
      </c>
      <c r="Q218" s="210" t="n"/>
      <c r="R218" s="198">
        <f>A218</f>
        <v/>
      </c>
      <c r="S218" s="205" t="n"/>
      <c r="T218" s="205" t="n"/>
      <c r="U218" s="205" t="n"/>
      <c r="V218" s="205" t="n"/>
      <c r="W218" s="205" t="n"/>
      <c r="X218" s="205" t="n"/>
      <c r="Y218" s="205" t="n"/>
      <c r="Z218" s="205" t="n"/>
      <c r="AA218" s="205" t="n"/>
      <c r="AB218" s="205" t="n"/>
      <c r="AC218" s="205" t="n"/>
      <c r="AD218" s="205" t="n"/>
      <c r="AE218" s="205" t="n"/>
      <c r="AF218" s="205" t="n"/>
      <c r="AG218" s="205" t="n"/>
      <c r="AH218" s="205" t="n"/>
      <c r="AI218" s="202" t="n"/>
    </row>
    <row r="219" ht="51" customHeight="1" s="169">
      <c r="A219" s="192" t="n">
        <v>17</v>
      </c>
      <c r="B219" s="193" t="inlineStr">
        <is>
          <t>Кран шаровой 11с67п Ду 100 Ру 25 цельносварной под приварку</t>
        </is>
      </c>
      <c r="C219" s="210" t="inlineStr">
        <is>
          <t>ГОСТ 21345-2005</t>
        </is>
      </c>
      <c r="D219" s="210" t="n">
        <v>100</v>
      </c>
      <c r="E219" s="210" t="inlineStr">
        <is>
          <t>полнопроходной</t>
        </is>
      </c>
      <c r="F219" s="210" t="n">
        <v>2.5</v>
      </c>
      <c r="G219" s="210" t="inlineStr">
        <is>
          <t>от -40 до +200</t>
        </is>
      </c>
      <c r="H219" s="210" t="inlineStr">
        <is>
          <t>вода</t>
        </is>
      </c>
      <c r="I219" s="210" t="inlineStr">
        <is>
          <t>сталь 20</t>
        </is>
      </c>
      <c r="J219" s="210" t="inlineStr">
        <is>
          <t>У1</t>
        </is>
      </c>
      <c r="K219" s="210" t="inlineStr">
        <is>
          <t>под приварку</t>
        </is>
      </c>
      <c r="L219" s="210" t="inlineStr">
        <is>
          <t>ручное</t>
        </is>
      </c>
      <c r="M219" s="210" t="inlineStr">
        <is>
          <t>рукоятка</t>
        </is>
      </c>
      <c r="N219" s="210" t="inlineStr">
        <is>
          <t>любое</t>
        </is>
      </c>
      <c r="O219"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219" s="210" t="inlineStr">
        <is>
          <t>строительная длина 390мм</t>
        </is>
      </c>
      <c r="Q219" s="210" t="n"/>
      <c r="R219" s="198">
        <f>A219</f>
        <v/>
      </c>
      <c r="S219" s="205" t="n"/>
      <c r="T219" s="205" t="n"/>
      <c r="U219" s="205" t="n"/>
      <c r="V219" s="205" t="n"/>
      <c r="W219" s="205" t="n"/>
      <c r="X219" s="205" t="n"/>
      <c r="Y219" s="205" t="n"/>
      <c r="Z219" s="205" t="n"/>
      <c r="AA219" s="205" t="n"/>
      <c r="AB219" s="205" t="n"/>
      <c r="AC219" s="205" t="n"/>
      <c r="AD219" s="205" t="n"/>
      <c r="AE219" s="205" t="n"/>
      <c r="AF219" s="205" t="n"/>
      <c r="AG219" s="205" t="n"/>
      <c r="AH219" s="205" t="n"/>
      <c r="AI219" s="202" t="n"/>
    </row>
    <row r="220" ht="51" customHeight="1" s="169">
      <c r="A220" s="192" t="n">
        <v>18</v>
      </c>
      <c r="B220" s="193" t="inlineStr">
        <is>
          <t>Кран шаровой 11с67п Ду 150 Ру 25 цельносварной под приварку</t>
        </is>
      </c>
      <c r="C220" s="210" t="inlineStr">
        <is>
          <t>ГОСТ 21345-2005</t>
        </is>
      </c>
      <c r="D220" s="210" t="n">
        <v>150</v>
      </c>
      <c r="E220" s="210" t="inlineStr">
        <is>
          <t>полнопроходной</t>
        </is>
      </c>
      <c r="F220" s="210" t="n">
        <v>2.5</v>
      </c>
      <c r="G220" s="210" t="inlineStr">
        <is>
          <t>от -40 до +200</t>
        </is>
      </c>
      <c r="H220" s="210" t="inlineStr">
        <is>
          <t>вода</t>
        </is>
      </c>
      <c r="I220" s="210" t="inlineStr">
        <is>
          <t>сталь 20</t>
        </is>
      </c>
      <c r="J220" s="210" t="inlineStr">
        <is>
          <t>У1</t>
        </is>
      </c>
      <c r="K220" s="210" t="inlineStr">
        <is>
          <t>под приварку</t>
        </is>
      </c>
      <c r="L220" s="210" t="inlineStr">
        <is>
          <t>ручное</t>
        </is>
      </c>
      <c r="M220" s="210" t="inlineStr">
        <is>
          <t>рукоятка</t>
        </is>
      </c>
      <c r="N220" s="210" t="inlineStr">
        <is>
          <t>любое</t>
        </is>
      </c>
      <c r="O220" s="210" t="inlineStr">
        <is>
          <t>Корпус : сталь 20  Шар : нержавеющая сталь 08Х18Н10 Шпиндель : нержавеющая сталь 20Х13 Седло : фторопласт Ф4Г3К6 Уплотнение шпинделя : фторопласт Ф4Г3К6  Управление: Рукоятка</t>
        </is>
      </c>
      <c r="P220" s="210" t="inlineStr">
        <is>
          <t>строительная длина 390мм</t>
        </is>
      </c>
      <c r="Q220" s="210" t="n"/>
      <c r="R220" s="198">
        <f>A220</f>
        <v/>
      </c>
      <c r="S220" s="186" t="n"/>
      <c r="T220" s="186" t="n"/>
      <c r="U220" s="186" t="n"/>
      <c r="V220" s="186" t="n"/>
      <c r="W220" s="186" t="n"/>
      <c r="X220" s="186" t="n"/>
      <c r="Y220" s="186" t="n"/>
      <c r="Z220" s="186" t="n"/>
      <c r="AA220" s="186" t="n"/>
      <c r="AB220" s="186" t="n"/>
      <c r="AC220" s="186" t="n"/>
      <c r="AD220" s="186" t="n"/>
      <c r="AE220" s="186" t="n"/>
      <c r="AF220" s="186" t="n"/>
      <c r="AG220" s="186" t="n"/>
      <c r="AH220" s="186" t="n"/>
      <c r="AI220" s="202" t="n"/>
    </row>
    <row r="221" ht="15" customHeight="1" s="169">
      <c r="A221" s="219" t="inlineStr">
        <is>
          <t>Спецификация №3 Грузополучатель №3 Таблица 1.6 (филиал Коммунальная энергетика) — Ремонт</t>
        </is>
      </c>
      <c r="B221" s="182" t="n"/>
      <c r="C221" s="182" t="n"/>
      <c r="D221" s="182" t="n"/>
      <c r="E221" s="182" t="n"/>
      <c r="F221" s="182" t="n"/>
      <c r="G221" s="182" t="n"/>
      <c r="H221" s="182" t="n"/>
      <c r="I221" s="182" t="n"/>
      <c r="J221" s="182" t="n"/>
      <c r="K221" s="182" t="n"/>
      <c r="L221" s="182" t="n"/>
      <c r="M221" s="182" t="n"/>
      <c r="N221" s="182" t="n"/>
      <c r="O221" s="182" t="n"/>
      <c r="P221" s="182" t="n"/>
      <c r="Q221" s="183" t="n"/>
      <c r="R221" s="250">
        <f>A221</f>
        <v/>
      </c>
      <c r="S221" s="182" t="n"/>
      <c r="T221" s="182" t="n"/>
      <c r="U221" s="182" t="n"/>
      <c r="V221" s="182" t="n"/>
      <c r="W221" s="182" t="n"/>
      <c r="X221" s="182" t="n"/>
      <c r="Y221" s="182" t="n"/>
      <c r="Z221" s="182" t="n"/>
      <c r="AA221" s="182" t="n"/>
      <c r="AB221" s="182" t="n"/>
      <c r="AC221" s="182" t="n"/>
      <c r="AD221" s="182" t="n"/>
      <c r="AE221" s="182" t="n"/>
      <c r="AF221" s="182" t="n"/>
      <c r="AG221" s="182" t="n"/>
      <c r="AH221" s="180" t="n"/>
      <c r="AI221" s="191" t="n"/>
    </row>
    <row r="222" ht="54.75" customFormat="1" customHeight="1" s="171">
      <c r="A222" s="192" t="n">
        <v>1</v>
      </c>
      <c r="B222" s="193" t="inlineStr">
        <is>
          <t>Клапан регулирующий 25с947нж Ду 25 Ру 25 с ЭИМ</t>
        </is>
      </c>
      <c r="C222" s="254" t="inlineStr">
        <is>
          <t>ТУ 3742-002-22294686-2005</t>
        </is>
      </c>
      <c r="D222" s="253" t="n">
        <v>25</v>
      </c>
      <c r="E222" s="253" t="inlineStr">
        <is>
          <t>стандарт</t>
        </is>
      </c>
      <c r="F222" s="253" t="n">
        <v>2.5</v>
      </c>
      <c r="G222" s="254" t="inlineStr">
        <is>
          <t>от -40 до +425</t>
        </is>
      </c>
      <c r="H222" s="254" t="inlineStr">
        <is>
          <t>вода, воздух, пар, аммиак, природный газ, нефть, нефтепродукты.</t>
        </is>
      </c>
      <c r="I222" s="222" t="inlineStr">
        <is>
          <t>сталь</t>
        </is>
      </c>
      <c r="J222" s="253" t="inlineStr">
        <is>
          <t>У1</t>
        </is>
      </c>
      <c r="K222" s="222" t="inlineStr">
        <is>
          <t>фланцевый</t>
        </is>
      </c>
      <c r="L222" s="222" t="inlineStr">
        <is>
          <t>электропривод ST «Regada»</t>
        </is>
      </c>
      <c r="M222" s="222" t="inlineStr">
        <is>
          <t>взравозащищённый</t>
        </is>
      </c>
      <c r="N222" s="222" t="inlineStr">
        <is>
          <t>вертикальное</t>
        </is>
      </c>
      <c r="O222" s="253" t="inlineStr">
        <is>
          <t>-</t>
        </is>
      </c>
      <c r="P222" s="253" t="inlineStr">
        <is>
          <t>-</t>
        </is>
      </c>
      <c r="Q222" s="254" t="inlineStr">
        <is>
          <t>"REGADA", АС 220 В, АС 380 В, DC 24 В</t>
        </is>
      </c>
      <c r="R222" s="198">
        <f>A222</f>
        <v/>
      </c>
      <c r="S222" s="255" t="inlineStr">
        <is>
          <t>Клапан регулирующий Авангард КР 25с947нж Ду25 Ру25 с электроприводом 15-20 109 Regada ST mini</t>
        </is>
      </c>
      <c r="T222" s="256" t="n"/>
      <c r="U222" s="256" t="n"/>
      <c r="V222" s="256" t="n"/>
      <c r="W222" s="256" t="n"/>
      <c r="X222" s="256" t="n"/>
      <c r="Y222" s="256" t="n"/>
      <c r="Z222" s="256" t="n"/>
      <c r="AA222" s="256" t="n"/>
      <c r="AB222" s="256" t="n"/>
      <c r="AC222" s="256" t="n"/>
      <c r="AD222" s="256" t="n"/>
      <c r="AE222" s="256" t="n"/>
      <c r="AF222" s="256" t="n"/>
      <c r="AG222" s="256" t="n"/>
      <c r="AH222" s="256" t="n"/>
      <c r="AI222" s="202" t="n"/>
    </row>
    <row r="223" ht="63.75" customFormat="1" customHeight="1" s="171">
      <c r="A223" s="192" t="n">
        <v>2</v>
      </c>
      <c r="B223" s="193" t="inlineStr">
        <is>
          <t>Клапан регулирующий 25с947нж Ду 50 Ру 25 с ЭИМ</t>
        </is>
      </c>
      <c r="C223" s="254" t="inlineStr">
        <is>
          <t>ТУ 3742-002-22294686-2005</t>
        </is>
      </c>
      <c r="D223" s="253" t="n">
        <v>50</v>
      </c>
      <c r="E223" s="253" t="inlineStr">
        <is>
          <t>стандарт</t>
        </is>
      </c>
      <c r="F223" s="253" t="n">
        <v>2.5</v>
      </c>
      <c r="G223" s="254" t="inlineStr">
        <is>
          <t>от -40 до +425</t>
        </is>
      </c>
      <c r="H223" s="254" t="inlineStr">
        <is>
          <t>вода, воздух, пар, аммиак, природный газ, нефть, нефтепродукты.</t>
        </is>
      </c>
      <c r="I223" s="222" t="inlineStr">
        <is>
          <t>сталь</t>
        </is>
      </c>
      <c r="J223" s="253" t="inlineStr">
        <is>
          <t>У1</t>
        </is>
      </c>
      <c r="K223" s="222" t="inlineStr">
        <is>
          <t>фланцевый</t>
        </is>
      </c>
      <c r="L223" s="222" t="inlineStr">
        <is>
          <t>электропривод ST «Regada»</t>
        </is>
      </c>
      <c r="M223" s="222" t="inlineStr">
        <is>
          <t>взравозащищённый</t>
        </is>
      </c>
      <c r="N223" s="222" t="inlineStr">
        <is>
          <t>вертикальное</t>
        </is>
      </c>
      <c r="O223" s="253" t="inlineStr">
        <is>
          <t>-</t>
        </is>
      </c>
      <c r="P223" s="253" t="inlineStr">
        <is>
          <t>-</t>
        </is>
      </c>
      <c r="Q223" s="254" t="inlineStr">
        <is>
          <t>"REGADA", АС 220 В, АС 380 В, DC 24 В</t>
        </is>
      </c>
      <c r="R223" s="198">
        <f>A223</f>
        <v/>
      </c>
      <c r="S223" s="205" t="n"/>
      <c r="T223" s="205" t="n"/>
      <c r="U223" s="205" t="n"/>
      <c r="V223" s="205" t="n"/>
      <c r="W223" s="205" t="n"/>
      <c r="X223" s="205" t="n"/>
      <c r="Y223" s="205" t="n"/>
      <c r="Z223" s="205" t="n"/>
      <c r="AA223" s="205" t="n"/>
      <c r="AB223" s="205" t="n"/>
      <c r="AC223" s="205" t="n"/>
      <c r="AD223" s="205" t="n"/>
      <c r="AE223" s="205" t="n"/>
      <c r="AF223" s="205" t="n"/>
      <c r="AG223" s="205" t="n"/>
      <c r="AH223" s="205" t="n"/>
      <c r="AI223" s="202" t="n"/>
    </row>
    <row r="224" ht="127.5" customFormat="1" customHeight="1" s="171">
      <c r="A224" s="192" t="n">
        <v>3</v>
      </c>
      <c r="B224" s="193" t="inlineStr">
        <is>
          <t>Регулирующий клапан Ридан VFG-2R Ду 80, Kvs 80, Ру 16</t>
        </is>
      </c>
      <c r="C224" s="254" t="inlineStr">
        <is>
          <t>ТУ 28.14.11-002-72323163-2022</t>
        </is>
      </c>
      <c r="D224" s="253" t="n">
        <v>80</v>
      </c>
      <c r="E224" s="257" t="inlineStr">
        <is>
          <t>стандарт</t>
        </is>
      </c>
      <c r="F224" s="253" t="n">
        <v>1.6</v>
      </c>
      <c r="G224" s="254" t="inlineStr">
        <is>
          <t>от 2 до +150 C</t>
        </is>
      </c>
      <c r="H224" s="254" t="inlineStr">
        <is>
          <t>вода, 30% водный раствор гликоля</t>
        </is>
      </c>
      <c r="I224" s="223" t="inlineStr">
        <is>
          <t>чугун</t>
        </is>
      </c>
      <c r="J224" s="253" t="inlineStr">
        <is>
          <t>-</t>
        </is>
      </c>
      <c r="K224" s="223" t="inlineStr">
        <is>
          <t>фланцевый</t>
        </is>
      </c>
      <c r="L224" s="222" t="inlineStr">
        <is>
          <t>-</t>
        </is>
      </c>
      <c r="M224" s="222" t="inlineStr">
        <is>
          <t>-</t>
        </is>
      </c>
      <c r="N224" s="222" t="inlineStr">
        <is>
          <t>-</t>
        </is>
      </c>
      <c r="O224" s="222" t="inlineStr">
        <is>
          <t>Температура рабочей среды, °С	2–150 °С
Тип присоединения к трубопроводу	фланцы по ГОСТ 33259
Масса, кг, не более	33
Пропускная способность Kvs, м³/ч	80
Рабочая среда	Вода или 30% водный раствор гликоля
Модель	VFG-2R
Диаметр, Ду	80
Давление, Ру	16</t>
        </is>
      </c>
      <c r="P224" s="253" t="inlineStr">
        <is>
          <t>-</t>
        </is>
      </c>
      <c r="Q224" s="254" t="inlineStr">
        <is>
          <t>-</t>
        </is>
      </c>
      <c r="R224" s="198">
        <f>A224</f>
        <v/>
      </c>
      <c r="S224" s="205" t="n"/>
      <c r="T224" s="205" t="n"/>
      <c r="U224" s="205" t="n"/>
      <c r="V224" s="205" t="n"/>
      <c r="W224" s="205" t="n"/>
      <c r="X224" s="205" t="n"/>
      <c r="Y224" s="205" t="n"/>
      <c r="Z224" s="205" t="n"/>
      <c r="AA224" s="205" t="n"/>
      <c r="AB224" s="205" t="n"/>
      <c r="AC224" s="205" t="n"/>
      <c r="AD224" s="205" t="n"/>
      <c r="AE224" s="205" t="n"/>
      <c r="AF224" s="205" t="n"/>
      <c r="AG224" s="205" t="n"/>
      <c r="AH224" s="205" t="n"/>
      <c r="AI224" s="202" t="n"/>
    </row>
    <row r="225" ht="51" customFormat="1" customHeight="1" s="171">
      <c r="A225" s="192" t="n">
        <v>4</v>
      </c>
      <c r="B225" s="193" t="inlineStr">
        <is>
          <t>Клапан обратный межфланцевый 19ч21бр Ду 100 Ру 16</t>
        </is>
      </c>
      <c r="C225" s="210" t="inlineStr">
        <is>
          <t>ТУ 372240-001-48140495-05</t>
        </is>
      </c>
      <c r="D225" s="210" t="n">
        <v>100</v>
      </c>
      <c r="E225" s="212" t="inlineStr">
        <is>
          <t>стандарт</t>
        </is>
      </c>
      <c r="F225" s="210" t="n">
        <v>1.6</v>
      </c>
      <c r="G225" s="210" t="inlineStr">
        <is>
          <t>до +225</t>
        </is>
      </c>
      <c r="H225" s="210" t="inlineStr">
        <is>
          <t>жидкости, пар и газы</t>
        </is>
      </c>
      <c r="I225" s="210" t="inlineStr">
        <is>
          <t>чугун</t>
        </is>
      </c>
      <c r="J225" s="210" t="inlineStr">
        <is>
          <t>У</t>
        </is>
      </c>
      <c r="K225" s="210" t="inlineStr">
        <is>
          <t>межфланцевый</t>
        </is>
      </c>
      <c r="L225" s="212" t="inlineStr">
        <is>
          <t>-</t>
        </is>
      </c>
      <c r="M225" s="212" t="inlineStr">
        <is>
          <t>-</t>
        </is>
      </c>
      <c r="N225" s="210" t="inlineStr">
        <is>
          <t>любое</t>
        </is>
      </c>
      <c r="O225" s="210" t="inlineStr">
        <is>
          <t>материал уплотнения - латунь ЛЦ40С</t>
        </is>
      </c>
      <c r="P225" s="212" t="inlineStr">
        <is>
          <t>-</t>
        </is>
      </c>
      <c r="Q225" s="212" t="inlineStr">
        <is>
          <t>-</t>
        </is>
      </c>
      <c r="R225" s="198">
        <f>A225</f>
        <v/>
      </c>
      <c r="S225" s="205" t="n"/>
      <c r="T225" s="205" t="n"/>
      <c r="U225" s="205" t="n"/>
      <c r="V225" s="205" t="n"/>
      <c r="W225" s="205" t="n"/>
      <c r="X225" s="205" t="n"/>
      <c r="Y225" s="205" t="n"/>
      <c r="Z225" s="205" t="n"/>
      <c r="AA225" s="205" t="n"/>
      <c r="AB225" s="205" t="n"/>
      <c r="AC225" s="205" t="n"/>
      <c r="AD225" s="205" t="n"/>
      <c r="AE225" s="205" t="n"/>
      <c r="AF225" s="205" t="n"/>
      <c r="AG225" s="205" t="n"/>
      <c r="AH225" s="205" t="n"/>
      <c r="AI225" s="202" t="n"/>
    </row>
    <row r="226" ht="51" customHeight="1" s="169">
      <c r="A226" s="192" t="n">
        <v>5</v>
      </c>
      <c r="B226" s="193" t="inlineStr">
        <is>
          <t xml:space="preserve">Клапан обратный межфланцевый 19ч21бр Ду 50 Ру 16 </t>
        </is>
      </c>
      <c r="C226" s="210" t="inlineStr">
        <is>
          <t>ТУ 372240-001-48140495-05</t>
        </is>
      </c>
      <c r="D226" s="210" t="n">
        <v>50</v>
      </c>
      <c r="E226" s="212" t="inlineStr">
        <is>
          <t>стандарт</t>
        </is>
      </c>
      <c r="F226" s="210" t="n">
        <v>1.6</v>
      </c>
      <c r="G226" s="210" t="inlineStr">
        <is>
          <t>до +225</t>
        </is>
      </c>
      <c r="H226" s="210" t="inlineStr">
        <is>
          <t>жидкости, пар и газы</t>
        </is>
      </c>
      <c r="I226" s="210" t="inlineStr">
        <is>
          <t>чугун</t>
        </is>
      </c>
      <c r="J226" s="210" t="inlineStr">
        <is>
          <t>У</t>
        </is>
      </c>
      <c r="K226" s="210" t="inlineStr">
        <is>
          <t>межфланцевый</t>
        </is>
      </c>
      <c r="L226" s="212" t="inlineStr">
        <is>
          <t>-</t>
        </is>
      </c>
      <c r="M226" s="212" t="inlineStr">
        <is>
          <t>-</t>
        </is>
      </c>
      <c r="N226" s="210" t="inlineStr">
        <is>
          <t>любое</t>
        </is>
      </c>
      <c r="O226" s="210" t="inlineStr">
        <is>
          <t>материал уплотнения - латунь ЛЦ40С</t>
        </is>
      </c>
      <c r="P226" s="212" t="inlineStr">
        <is>
          <t>-</t>
        </is>
      </c>
      <c r="Q226" s="212" t="inlineStr">
        <is>
          <t>-</t>
        </is>
      </c>
      <c r="R226" s="198">
        <f>A226</f>
        <v/>
      </c>
      <c r="S226" s="205" t="n"/>
      <c r="T226" s="205" t="n"/>
      <c r="U226" s="205" t="n"/>
      <c r="V226" s="205" t="n"/>
      <c r="W226" s="205" t="n"/>
      <c r="X226" s="205" t="n"/>
      <c r="Y226" s="205" t="n"/>
      <c r="Z226" s="205" t="n"/>
      <c r="AA226" s="205" t="n"/>
      <c r="AB226" s="205" t="n"/>
      <c r="AC226" s="205" t="n"/>
      <c r="AD226" s="205" t="n"/>
      <c r="AE226" s="205" t="n"/>
      <c r="AF226" s="205" t="n"/>
      <c r="AG226" s="205" t="n"/>
      <c r="AH226" s="205" t="n"/>
      <c r="AI226" s="202" t="n"/>
    </row>
    <row r="227" ht="51" customFormat="1" customHeight="1" s="171">
      <c r="A227" s="192" t="n">
        <v>6</v>
      </c>
      <c r="B227" s="193" t="inlineStr">
        <is>
          <t>Клапан обратный межфланцевый 19ч21бр Ду 80 Ру 16</t>
        </is>
      </c>
      <c r="C227" s="210" t="inlineStr">
        <is>
          <t>ТУ 372240-001-48140495-05</t>
        </is>
      </c>
      <c r="D227" s="212" t="n">
        <v>80</v>
      </c>
      <c r="E227" s="212" t="inlineStr">
        <is>
          <t>стандарт</t>
        </is>
      </c>
      <c r="F227" s="210" t="n">
        <v>1.6</v>
      </c>
      <c r="G227" s="210" t="inlineStr">
        <is>
          <t>до +225</t>
        </is>
      </c>
      <c r="H227" s="210" t="inlineStr">
        <is>
          <t>жидкости, пар и газы</t>
        </is>
      </c>
      <c r="I227" s="210" t="inlineStr">
        <is>
          <t>чугун</t>
        </is>
      </c>
      <c r="J227" s="210" t="inlineStr">
        <is>
          <t>У</t>
        </is>
      </c>
      <c r="K227" s="210" t="inlineStr">
        <is>
          <t>межфланцевый</t>
        </is>
      </c>
      <c r="L227" s="212" t="inlineStr">
        <is>
          <t>-</t>
        </is>
      </c>
      <c r="M227" s="212" t="inlineStr">
        <is>
          <t>-</t>
        </is>
      </c>
      <c r="N227" s="210" t="inlineStr">
        <is>
          <t>любое</t>
        </is>
      </c>
      <c r="O227" s="210" t="inlineStr">
        <is>
          <t>материал уплотнения - латунь ЛЦ40С</t>
        </is>
      </c>
      <c r="P227" s="212" t="inlineStr">
        <is>
          <t>-</t>
        </is>
      </c>
      <c r="Q227" s="212" t="inlineStr">
        <is>
          <t>-</t>
        </is>
      </c>
      <c r="R227" s="198">
        <f>A227</f>
        <v/>
      </c>
      <c r="S227" s="205" t="n"/>
      <c r="T227" s="205" t="n"/>
      <c r="U227" s="205" t="n"/>
      <c r="V227" s="205" t="n"/>
      <c r="W227" s="205" t="n"/>
      <c r="X227" s="205" t="n"/>
      <c r="Y227" s="205" t="n"/>
      <c r="Z227" s="205" t="n"/>
      <c r="AA227" s="205" t="n"/>
      <c r="AB227" s="205" t="n"/>
      <c r="AC227" s="205" t="n"/>
      <c r="AD227" s="205" t="n"/>
      <c r="AE227" s="205" t="n"/>
      <c r="AF227" s="205" t="n"/>
      <c r="AG227" s="205" t="n"/>
      <c r="AH227" s="205" t="n"/>
      <c r="AI227" s="202" t="n"/>
    </row>
    <row r="228" ht="63.75" customHeight="1" s="169">
      <c r="A228" s="192" t="n">
        <v>7</v>
      </c>
      <c r="B228" s="193" t="inlineStr">
        <is>
          <t xml:space="preserve">Клапан обратный двухстворчатый DENDOR 010C Ду 100 Ру 16 межфланцевый </t>
        </is>
      </c>
      <c r="C228" s="210" t="inlineStr">
        <is>
          <t>Клапан соответствует требованиям
ГОСТ Р 51052-2002</t>
        </is>
      </c>
      <c r="D228" s="212" t="n">
        <v>100</v>
      </c>
      <c r="E228" s="212" t="inlineStr">
        <is>
          <t>стандарт</t>
        </is>
      </c>
      <c r="F228" s="210" t="n">
        <v>1.6</v>
      </c>
      <c r="G228" s="210" t="inlineStr">
        <is>
          <t>от - 25 до +130</t>
        </is>
      </c>
      <c r="H228" s="210" t="inlineStr">
        <is>
          <t>вода, воздух, пар</t>
        </is>
      </c>
      <c r="I228" s="210" t="inlineStr">
        <is>
          <t>Чугун GGG40</t>
        </is>
      </c>
      <c r="J228" s="210" t="inlineStr">
        <is>
          <t>У, Т, УХЛ, ОМ по ГОСТ 15150</t>
        </is>
      </c>
      <c r="K228" s="210" t="inlineStr">
        <is>
          <t>межфланцевый</t>
        </is>
      </c>
      <c r="L228" s="212" t="inlineStr">
        <is>
          <t>-</t>
        </is>
      </c>
      <c r="M228" s="212" t="inlineStr">
        <is>
          <t>-</t>
        </is>
      </c>
      <c r="N228" s="210" t="inlineStr">
        <is>
          <t>горизонтальное, либо вертикальное</t>
        </is>
      </c>
      <c r="O228" s="210" t="inlineStr">
        <is>
          <t>Уплотнение EPDM</t>
        </is>
      </c>
      <c r="P228" s="210" t="inlineStr">
        <is>
          <t>Строительная длина 64мм, диаметр корпуса  215мм</t>
        </is>
      </c>
      <c r="Q228" s="212" t="n"/>
      <c r="R228" s="198">
        <f>A228</f>
        <v/>
      </c>
      <c r="S228" s="205" t="n"/>
      <c r="T228" s="205" t="n"/>
      <c r="U228" s="205" t="n"/>
      <c r="V228" s="205" t="n"/>
      <c r="W228" s="205" t="n"/>
      <c r="X228" s="205" t="n"/>
      <c r="Y228" s="205" t="n"/>
      <c r="Z228" s="205" t="n"/>
      <c r="AA228" s="205" t="n"/>
      <c r="AB228" s="205" t="n"/>
      <c r="AC228" s="205" t="n"/>
      <c r="AD228" s="205" t="n"/>
      <c r="AE228" s="205" t="n"/>
      <c r="AF228" s="205" t="n"/>
      <c r="AG228" s="205" t="n"/>
      <c r="AH228" s="205" t="n"/>
      <c r="AI228" s="202" t="n"/>
    </row>
    <row r="229" ht="63.75" customHeight="1" s="169">
      <c r="A229" s="192" t="n">
        <v>8</v>
      </c>
      <c r="B229" s="193" t="inlineStr">
        <is>
          <t>Клапан обратный двухстворчатый DENDOR 010C Ду 150 Ру 16 межфланцевый</t>
        </is>
      </c>
      <c r="C229" s="210" t="inlineStr">
        <is>
          <t>Клапан соответствует требованиям
ГОСТ Р 51052-2002</t>
        </is>
      </c>
      <c r="D229" s="212" t="n">
        <v>150</v>
      </c>
      <c r="E229" s="212" t="inlineStr">
        <is>
          <t>стандарт</t>
        </is>
      </c>
      <c r="F229" s="210" t="n">
        <v>1.6</v>
      </c>
      <c r="G229" s="210" t="inlineStr">
        <is>
          <t>от - 25 до +130</t>
        </is>
      </c>
      <c r="H229" s="210" t="inlineStr">
        <is>
          <t>вода, воздух, пар</t>
        </is>
      </c>
      <c r="I229" s="210" t="inlineStr">
        <is>
          <t>Чугун GGG40</t>
        </is>
      </c>
      <c r="J229" s="210" t="inlineStr">
        <is>
          <t>У, Т, УХЛ, ОМ по ГОСТ 15150</t>
        </is>
      </c>
      <c r="K229" s="210" t="inlineStr">
        <is>
          <t>межфланцевый</t>
        </is>
      </c>
      <c r="L229" s="212" t="inlineStr">
        <is>
          <t>-</t>
        </is>
      </c>
      <c r="M229" s="212" t="inlineStr">
        <is>
          <t>-</t>
        </is>
      </c>
      <c r="N229" s="210" t="inlineStr">
        <is>
          <t>горизонтальное, либо вертикальное</t>
        </is>
      </c>
      <c r="O229" s="210" t="inlineStr">
        <is>
          <t>Уплотнение EPDM</t>
        </is>
      </c>
      <c r="P229" s="210" t="inlineStr">
        <is>
          <t>Строительная длина 76мм, диаметр корпуса  218мм</t>
        </is>
      </c>
      <c r="Q229" s="212" t="inlineStr">
        <is>
          <t>-</t>
        </is>
      </c>
      <c r="R229" s="198">
        <f>A229</f>
        <v/>
      </c>
      <c r="S229" s="205" t="n"/>
      <c r="T229" s="205" t="n"/>
      <c r="U229" s="205" t="n"/>
      <c r="V229" s="205" t="n"/>
      <c r="W229" s="205" t="n"/>
      <c r="X229" s="205" t="n"/>
      <c r="Y229" s="205" t="n"/>
      <c r="Z229" s="205" t="n"/>
      <c r="AA229" s="205" t="n"/>
      <c r="AB229" s="205" t="n"/>
      <c r="AC229" s="205" t="n"/>
      <c r="AD229" s="205" t="n"/>
      <c r="AE229" s="205" t="n"/>
      <c r="AF229" s="205" t="n"/>
      <c r="AG229" s="205" t="n"/>
      <c r="AH229" s="205" t="n"/>
      <c r="AI229" s="202" t="n"/>
    </row>
    <row r="230" ht="63.75" customHeight="1" s="169">
      <c r="A230" s="192" t="n">
        <v>9</v>
      </c>
      <c r="B230" s="193" t="inlineStr">
        <is>
          <t>Клапан обратный двухстворчатый DENDOR 010C Ду 200 Ру 16 межфланцевый</t>
        </is>
      </c>
      <c r="C230" s="210" t="inlineStr">
        <is>
          <t>Клапан соответствует требованиям
ГОСТ Р 51052-2002</t>
        </is>
      </c>
      <c r="D230" s="212" t="n">
        <v>200</v>
      </c>
      <c r="E230" s="212" t="inlineStr">
        <is>
          <t>стандарт</t>
        </is>
      </c>
      <c r="F230" s="210" t="n">
        <v>1.6</v>
      </c>
      <c r="G230" s="210" t="inlineStr">
        <is>
          <t>от - 25 до +130</t>
        </is>
      </c>
      <c r="H230" s="210" t="inlineStr">
        <is>
          <t>вода, воздух, пар</t>
        </is>
      </c>
      <c r="I230" s="210" t="inlineStr">
        <is>
          <t>Чугун GGG40</t>
        </is>
      </c>
      <c r="J230" s="210" t="inlineStr">
        <is>
          <t>У, Т, УХЛ, ОМ по ГОСТ 15150</t>
        </is>
      </c>
      <c r="K230" s="210" t="inlineStr">
        <is>
          <t>межфланцевый</t>
        </is>
      </c>
      <c r="L230" s="212" t="inlineStr">
        <is>
          <t>-</t>
        </is>
      </c>
      <c r="M230" s="212" t="inlineStr">
        <is>
          <t>-</t>
        </is>
      </c>
      <c r="N230" s="210" t="inlineStr">
        <is>
          <t>горизонтальное, либо вертикальное</t>
        </is>
      </c>
      <c r="O230" s="210" t="inlineStr">
        <is>
          <t>Уплотнение EPDM</t>
        </is>
      </c>
      <c r="P230" s="210" t="inlineStr">
        <is>
          <t>Строительная длина 89мм, диаметр корпуса  273мм</t>
        </is>
      </c>
      <c r="Q230" s="212" t="inlineStr">
        <is>
          <t>-</t>
        </is>
      </c>
      <c r="R230" s="198">
        <f>A230</f>
        <v/>
      </c>
      <c r="S230" s="205" t="n"/>
      <c r="T230" s="205" t="n"/>
      <c r="U230" s="205" t="n"/>
      <c r="V230" s="205" t="n"/>
      <c r="W230" s="205" t="n"/>
      <c r="X230" s="205" t="n"/>
      <c r="Y230" s="205" t="n"/>
      <c r="Z230" s="205" t="n"/>
      <c r="AA230" s="205" t="n"/>
      <c r="AB230" s="205" t="n"/>
      <c r="AC230" s="205" t="n"/>
      <c r="AD230" s="205" t="n"/>
      <c r="AE230" s="205" t="n"/>
      <c r="AF230" s="205" t="n"/>
      <c r="AG230" s="205" t="n"/>
      <c r="AH230" s="205" t="n"/>
      <c r="AI230" s="202" t="n"/>
    </row>
    <row r="231" ht="140.25" customFormat="1" customHeight="1" s="171">
      <c r="A231" s="192" t="n">
        <v>10</v>
      </c>
      <c r="B231" s="193" t="inlineStr">
        <is>
          <t>Клапан предохранительный сбросный ПСК 50C/125 Ду 50</t>
        </is>
      </c>
      <c r="C231" s="222" t="inlineStr">
        <is>
          <t>-</t>
        </is>
      </c>
      <c r="D231" s="222" t="n">
        <v>50</v>
      </c>
      <c r="E231" s="222" t="inlineStr">
        <is>
          <t>-</t>
        </is>
      </c>
      <c r="F231" s="222" t="inlineStr">
        <is>
          <t>-</t>
        </is>
      </c>
      <c r="G231" s="258" t="inlineStr">
        <is>
          <t>от -40°С до +50°С</t>
        </is>
      </c>
      <c r="H231" s="222" t="inlineStr">
        <is>
          <t>газ</t>
        </is>
      </c>
      <c r="I231" s="223" t="inlineStr">
        <is>
          <t>алюминий</t>
        </is>
      </c>
      <c r="J231" s="222" t="inlineStr">
        <is>
          <t>У2</t>
        </is>
      </c>
      <c r="K231" s="223" t="inlineStr">
        <is>
          <t>муфтовый</t>
        </is>
      </c>
      <c r="L231" s="253" t="inlineStr">
        <is>
          <t>-</t>
        </is>
      </c>
      <c r="M231" s="253" t="inlineStr">
        <is>
          <t>-</t>
        </is>
      </c>
      <c r="N231" s="222" t="inlineStr">
        <is>
          <t>-</t>
        </is>
      </c>
      <c r="O231" s="222" t="inlineStr">
        <is>
          <t xml:space="preserve">Предохранительный сбросной клапан ПСК-50С/125 предназначен для ограничения давления природного газа путем сброса избыточного давления газа в атмосферу. Максимальное давление открытия клапана: 125кПа (1.25кгс/см2)
Диаметр условного прохода: 50мм
Диапазон настройки срабатывания клапана: 50..125кПа
Присоединение: муфтовое
</t>
        </is>
      </c>
      <c r="P231" s="222" t="inlineStr">
        <is>
          <t>-</t>
        </is>
      </c>
      <c r="Q231" s="222" t="inlineStr">
        <is>
          <t>-</t>
        </is>
      </c>
      <c r="R231" s="198">
        <f>A231</f>
        <v/>
      </c>
      <c r="S231" s="205" t="n"/>
      <c r="T231" s="205" t="n"/>
      <c r="U231" s="205" t="n"/>
      <c r="V231" s="205" t="n"/>
      <c r="W231" s="205" t="n"/>
      <c r="X231" s="205" t="n"/>
      <c r="Y231" s="205" t="n"/>
      <c r="Z231" s="205" t="n"/>
      <c r="AA231" s="205" t="n"/>
      <c r="AB231" s="205" t="n"/>
      <c r="AC231" s="205" t="n"/>
      <c r="AD231" s="205" t="n"/>
      <c r="AE231" s="205" t="n"/>
      <c r="AF231" s="205" t="n"/>
      <c r="AG231" s="205" t="n"/>
      <c r="AH231" s="205" t="n"/>
      <c r="AI231" s="202" t="n"/>
    </row>
    <row r="232" ht="409.5" customFormat="1" customHeight="1" s="171">
      <c r="A232" s="192" t="n">
        <v>11</v>
      </c>
      <c r="B232" s="259" t="inlineStr">
        <is>
          <t>Клапан предохранительный 17с11нж Ду 25 Ру 16</t>
        </is>
      </c>
      <c r="C232" s="221" t="inlineStr">
        <is>
          <t>ТУ 3742-005-22294686-2009</t>
        </is>
      </c>
      <c r="D232" s="253" t="n">
        <v>25</v>
      </c>
      <c r="E232" s="257" t="inlineStr">
        <is>
          <t>стандарт</t>
        </is>
      </c>
      <c r="F232" s="222" t="n">
        <v>1.6</v>
      </c>
      <c r="G232" s="222" t="inlineStr">
        <is>
          <t>От -40 до +225</t>
        </is>
      </c>
      <c r="H232" s="222" t="inlineStr">
        <is>
          <t>Вода, воздух, пар, аммиак, нефть, жидкие углеводороды и нефтепродукты, масляные фракции и другие, среды, в которых скорость коррозии материала корпуса не превышает 0,2мм в год</t>
        </is>
      </c>
      <c r="I232" s="222" t="inlineStr">
        <is>
          <t>Углеродистая сталь</t>
        </is>
      </c>
      <c r="J232" s="223" t="inlineStr">
        <is>
          <t>У</t>
        </is>
      </c>
      <c r="K232" s="222" t="inlineStr">
        <is>
          <t>Штуцерно-торцевое</t>
        </is>
      </c>
      <c r="L232" s="253" t="inlineStr">
        <is>
          <t>-</t>
        </is>
      </c>
      <c r="M232" s="253" t="inlineStr">
        <is>
          <t>-</t>
        </is>
      </c>
      <c r="N232" s="222" t="inlineStr">
        <is>
          <t>-</t>
        </is>
      </c>
      <c r="O232" s="222" t="inlineStr">
        <is>
          <t xml:space="preserve">Наименование
Клапан предохранительный
Условный диаметр входа, мм
25
Тип присоединения входа
Наружная резьба
Возможность регулировки давления срабатывания Да
Диапазон регулировки (нижний), атм. (кг/см.кв., Bar) 8,0
Диапазон регулировки (верхний), атм. (кг/см.кв., Bar)
16,0
Наличие подрыва ?Нет
Материал Сталь
Модель 17с11нж
Страна происхождения Россия
Условный диметр выхода, мм 25
Тип присоединения выхода Наружная резьба
Максимальное давление, атм. (кг/см.кв., Bar) 16
Рабочая температура, °С от -40 до +225
Подъемность клапана Малоподъемный Рабочая среда Аммиак, хладон и газообразные или жидкие среды Покрытие Лакокрасочное
Особенность конструкции
Присоединение - Штуцерно-торцевое по ГОСТ 5890. Пружина №3 Регламентирующий документ ОСТ 26-07-1023-80
Назначение использования
Предназначенная для защиты от механического разрушения оборудования и трубопроводов избыточным давлением путём автоматического выпуска избытка рабочей среды
</t>
        </is>
      </c>
      <c r="P232" s="210" t="n"/>
      <c r="Q232" s="212" t="n"/>
      <c r="R232" s="198">
        <f>A232</f>
        <v/>
      </c>
      <c r="S232" s="205" t="n"/>
      <c r="T232" s="205" t="n"/>
      <c r="U232" s="205" t="n"/>
      <c r="V232" s="205" t="n"/>
      <c r="W232" s="205" t="n"/>
      <c r="X232" s="205" t="n"/>
      <c r="Y232" s="205" t="n"/>
      <c r="Z232" s="205" t="n"/>
      <c r="AA232" s="205" t="n"/>
      <c r="AB232" s="205" t="n"/>
      <c r="AC232" s="205" t="n"/>
      <c r="AD232" s="205" t="n"/>
      <c r="AE232" s="205" t="n"/>
      <c r="AF232" s="205" t="n"/>
      <c r="AG232" s="205" t="n"/>
      <c r="AH232" s="205" t="n"/>
      <c r="AI232" s="202" t="n"/>
    </row>
    <row r="233" ht="63.75" customHeight="1" s="169">
      <c r="A233" s="192" t="n">
        <v>12</v>
      </c>
      <c r="B233" s="193" t="inlineStr">
        <is>
          <t>Клапан предохранительный 17с28нж Ду 50 Ру16 (Рн 10-16)</t>
        </is>
      </c>
      <c r="C233" s="222" t="inlineStr">
        <is>
          <t>ТУ 3742-003-22294686-2007</t>
        </is>
      </c>
      <c r="D233" s="222" t="n">
        <v>50</v>
      </c>
      <c r="E233" s="222" t="inlineStr">
        <is>
          <t>стандарт</t>
        </is>
      </c>
      <c r="F233" s="222" t="n">
        <v>1.6</v>
      </c>
      <c r="G233" s="222" t="inlineStr">
        <is>
          <t>от -40 до +425</t>
        </is>
      </c>
      <c r="H233" s="222" t="inlineStr">
        <is>
          <t>вода, воздух, пар, аммиак, природный газ, нефть, нефтепродукты</t>
        </is>
      </c>
      <c r="I233" s="222" t="inlineStr">
        <is>
          <t>сталь 25Л</t>
        </is>
      </c>
      <c r="J233" s="222" t="inlineStr">
        <is>
          <t>У1</t>
        </is>
      </c>
      <c r="K233" s="222" t="inlineStr">
        <is>
          <t>фланцевый</t>
        </is>
      </c>
      <c r="L233" s="253" t="inlineStr">
        <is>
          <t>-</t>
        </is>
      </c>
      <c r="M233" s="253" t="inlineStr">
        <is>
          <t>-</t>
        </is>
      </c>
      <c r="N233" s="222" t="inlineStr">
        <is>
          <t>вертикальное, колпаком вверх</t>
        </is>
      </c>
      <c r="O233" s="222" t="inlineStr">
        <is>
          <t>Уплотнение в затворе - нержавеющая сталь; Пружина - Сталь 50ХФА; Золотник, седло, шток - Сталь 20Х13</t>
        </is>
      </c>
      <c r="P233" s="222" t="inlineStr">
        <is>
          <t>-</t>
        </is>
      </c>
      <c r="Q233" s="222" t="inlineStr">
        <is>
          <t>-</t>
        </is>
      </c>
      <c r="R233" s="198">
        <f>A233</f>
        <v/>
      </c>
      <c r="S233" s="205" t="n"/>
      <c r="T233" s="205" t="n"/>
      <c r="U233" s="205" t="n"/>
      <c r="V233" s="205" t="n"/>
      <c r="W233" s="205" t="n"/>
      <c r="X233" s="205" t="n"/>
      <c r="Y233" s="205" t="n"/>
      <c r="Z233" s="205" t="n"/>
      <c r="AA233" s="205" t="n"/>
      <c r="AB233" s="205" t="n"/>
      <c r="AC233" s="205" t="n"/>
      <c r="AD233" s="205" t="n"/>
      <c r="AE233" s="205" t="n"/>
      <c r="AF233" s="205" t="n"/>
      <c r="AG233" s="205" t="n"/>
      <c r="AH233" s="205" t="n"/>
      <c r="AI233" s="202" t="n"/>
    </row>
    <row r="234" ht="76.5" customHeight="1" s="169">
      <c r="A234" s="192" t="n">
        <v>13</v>
      </c>
      <c r="B234" s="193" t="inlineStr">
        <is>
          <t>Клапан предохранительный 17с6нж Ду 50 Ру 16</t>
        </is>
      </c>
      <c r="C234" s="222" t="inlineStr">
        <is>
          <t>ТУ 3742-005-22294686-2009</t>
        </is>
      </c>
      <c r="D234" s="222" t="n">
        <v>50</v>
      </c>
      <c r="E234" s="222" t="inlineStr">
        <is>
          <t>стандарт</t>
        </is>
      </c>
      <c r="F234" s="222" t="n">
        <v>1.6</v>
      </c>
      <c r="G234" s="222" t="inlineStr">
        <is>
          <t>от -40 до +425</t>
        </is>
      </c>
      <c r="H234" s="222" t="inlineStr">
        <is>
          <t>жидкие и газообразные, нефть, нефтепродукты, углеводородные газы, вода, пар</t>
        </is>
      </c>
      <c r="I234" s="222" t="inlineStr">
        <is>
          <t>сталь 25Л</t>
        </is>
      </c>
      <c r="J234" s="222" t="inlineStr">
        <is>
          <t>У1</t>
        </is>
      </c>
      <c r="K234" s="222" t="inlineStr">
        <is>
          <t>фланцевый</t>
        </is>
      </c>
      <c r="L234" s="253" t="n"/>
      <c r="M234" s="253" t="n"/>
      <c r="N234" s="222" t="inlineStr">
        <is>
          <t>вертикальное, колпаком вверх</t>
        </is>
      </c>
      <c r="O234" s="222" t="inlineStr">
        <is>
          <t>Седло: сталь 20Х13
Шток: сталь 20Х13.
Пружина: 50ХФА
Прокладка: Паронит
Шпилька: сталь 35</t>
        </is>
      </c>
      <c r="P234" s="222" t="inlineStr">
        <is>
          <t>-</t>
        </is>
      </c>
      <c r="Q234" s="222" t="inlineStr">
        <is>
          <t>-</t>
        </is>
      </c>
      <c r="R234" s="198">
        <f>A234</f>
        <v/>
      </c>
      <c r="S234" s="205" t="n"/>
      <c r="T234" s="205" t="n"/>
      <c r="U234" s="205" t="n"/>
      <c r="V234" s="205" t="n"/>
      <c r="W234" s="205" t="n"/>
      <c r="X234" s="205" t="n"/>
      <c r="Y234" s="205" t="n"/>
      <c r="Z234" s="205" t="n"/>
      <c r="AA234" s="205" t="n"/>
      <c r="AB234" s="205" t="n"/>
      <c r="AC234" s="205" t="n"/>
      <c r="AD234" s="205" t="n"/>
      <c r="AE234" s="205" t="n"/>
      <c r="AF234" s="205" t="n"/>
      <c r="AG234" s="205" t="n"/>
      <c r="AH234" s="205" t="n"/>
      <c r="AI234" s="202" t="n"/>
    </row>
    <row r="235" ht="76.5" customHeight="1" s="169">
      <c r="A235" s="192" t="n">
        <v>14</v>
      </c>
      <c r="B235" s="193" t="inlineStr">
        <is>
          <t>Клапан предохранительный 17с6нж Ду 80 Ру 16</t>
        </is>
      </c>
      <c r="C235" s="222" t="inlineStr">
        <is>
          <t>ТУ 3742-005-22294686-2009</t>
        </is>
      </c>
      <c r="D235" s="222" t="n">
        <v>80</v>
      </c>
      <c r="E235" s="222" t="inlineStr">
        <is>
          <t>стандарт</t>
        </is>
      </c>
      <c r="F235" s="222" t="n">
        <v>1.6</v>
      </c>
      <c r="G235" s="222" t="inlineStr">
        <is>
          <t>от -40 до +425</t>
        </is>
      </c>
      <c r="H235" s="222" t="inlineStr">
        <is>
          <t>жидкие и газообразные, нефть, нефтепродукты, углеводородные газы, вода, пар</t>
        </is>
      </c>
      <c r="I235" s="222" t="inlineStr">
        <is>
          <t>сталь 25Л</t>
        </is>
      </c>
      <c r="J235" s="222" t="inlineStr">
        <is>
          <t>У1</t>
        </is>
      </c>
      <c r="K235" s="222" t="inlineStr">
        <is>
          <t>фланцевый</t>
        </is>
      </c>
      <c r="L235" s="253" t="n"/>
      <c r="M235" s="253" t="n"/>
      <c r="N235" s="222" t="inlineStr">
        <is>
          <t>вертикальное, колпаком вверх</t>
        </is>
      </c>
      <c r="O235" s="222" t="inlineStr">
        <is>
          <t>Седло: сталь 20Х13
Шток: сталь 20Х13.
Пружина: 50ХФА
Прокладка: Паронит
Шпилька: сталь 35</t>
        </is>
      </c>
      <c r="P235" s="222" t="inlineStr">
        <is>
          <t>-</t>
        </is>
      </c>
      <c r="Q235" s="222" t="inlineStr">
        <is>
          <t>-</t>
        </is>
      </c>
      <c r="R235" s="198">
        <f>A235</f>
        <v/>
      </c>
      <c r="S235" s="205" t="n"/>
      <c r="T235" s="205" t="n"/>
      <c r="U235" s="205" t="n"/>
      <c r="V235" s="205" t="n"/>
      <c r="W235" s="205" t="n"/>
      <c r="X235" s="205" t="n"/>
      <c r="Y235" s="205" t="n"/>
      <c r="Z235" s="205" t="n"/>
      <c r="AA235" s="205" t="n"/>
      <c r="AB235" s="205" t="n"/>
      <c r="AC235" s="205" t="n"/>
      <c r="AD235" s="205" t="n"/>
      <c r="AE235" s="205" t="n"/>
      <c r="AF235" s="205" t="n"/>
      <c r="AG235" s="205" t="n"/>
      <c r="AH235" s="205" t="n"/>
      <c r="AI235" s="202" t="n"/>
    </row>
    <row r="236" ht="153" customHeight="1" s="169">
      <c r="A236" s="192" t="n">
        <v>15</v>
      </c>
      <c r="B236" s="193" t="inlineStr">
        <is>
          <t>Клапан 15с18нж Ду 32, Ру 25</t>
        </is>
      </c>
      <c r="C236" s="222" t="inlineStr">
        <is>
          <t>ТУ 3742-005-27844275</t>
        </is>
      </c>
      <c r="D236" s="253" t="n">
        <v>32</v>
      </c>
      <c r="E236" s="222" t="inlineStr">
        <is>
          <t>стандарт</t>
        </is>
      </c>
      <c r="F236" s="253" t="n">
        <v>2.5</v>
      </c>
      <c r="G236" s="260" t="inlineStr">
        <is>
          <t>от -40°С до +425°С</t>
        </is>
      </c>
      <c r="H236" s="222" t="inlineStr">
        <is>
          <t>Среды жидкие и газообразные по отношению, к которым уплотнения и детали крана коррозиестойки (вода, пар, газообразные смеси, нефтепродукты и т.п.)</t>
        </is>
      </c>
      <c r="I236" s="261" t="inlineStr">
        <is>
          <t>сталь 20Л.</t>
        </is>
      </c>
      <c r="J236" s="222" t="inlineStr">
        <is>
          <t>У1</t>
        </is>
      </c>
      <c r="K236" s="222" t="inlineStr">
        <is>
          <t>фланцевый</t>
        </is>
      </c>
      <c r="L236" s="253" t="n"/>
      <c r="M236" s="253" t="n"/>
      <c r="N236" s="222" t="inlineStr">
        <is>
          <t>вертикальное, колпаком вверх</t>
        </is>
      </c>
      <c r="O236" s="222" t="inlineStr">
        <is>
          <t>ручное - маховик (многооборотное)  Корпусные детали: Сталь 20Л, 20ГЛ.
Тарельчатый затвор: Сталь 20Л, 20ГЛ с наплавкой из стали 20Х13.
Уплотнения сальника: ТРГ.
Уплотнения затвора: металл по металлу.
Коэффициент гидравлического сопротивления: не более 5.
Монтаж односторонний по стрелке на корпусе, подача среды под тарельчатый затвор.</t>
        </is>
      </c>
      <c r="P236" s="210" t="n"/>
      <c r="Q236" s="210" t="n"/>
      <c r="R236" s="198">
        <f>A236</f>
        <v/>
      </c>
      <c r="S236" s="205" t="n"/>
      <c r="T236" s="205" t="n"/>
      <c r="U236" s="205" t="n"/>
      <c r="V236" s="205" t="n"/>
      <c r="W236" s="205" t="n"/>
      <c r="X236" s="205" t="n"/>
      <c r="Y236" s="205" t="n"/>
      <c r="Z236" s="205" t="n"/>
      <c r="AA236" s="205" t="n"/>
      <c r="AB236" s="205" t="n"/>
      <c r="AC236" s="205" t="n"/>
      <c r="AD236" s="205" t="n"/>
      <c r="AE236" s="205" t="n"/>
      <c r="AF236" s="205" t="n"/>
      <c r="AG236" s="205" t="n"/>
      <c r="AH236" s="205" t="n"/>
      <c r="AI236" s="202" t="n"/>
    </row>
    <row r="237" ht="51" customHeight="1" s="169">
      <c r="A237" s="192" t="n">
        <v>16</v>
      </c>
      <c r="B237" s="193" t="inlineStr">
        <is>
          <t>Кран для манометра трехходовой Ду 15 Ру 16</t>
        </is>
      </c>
      <c r="C237" s="222" t="inlineStr">
        <is>
          <t>Нормы герметичности затвора: ГОСТ 9544-2015</t>
        </is>
      </c>
      <c r="D237" s="222" t="n">
        <v>15</v>
      </c>
      <c r="E237" s="222" t="inlineStr">
        <is>
          <t>полный</t>
        </is>
      </c>
      <c r="F237" s="222" t="n">
        <v>1.6</v>
      </c>
      <c r="G237" s="222" t="inlineStr">
        <is>
          <t>до +225</t>
        </is>
      </c>
      <c r="H237" s="222" t="inlineStr">
        <is>
          <t>вода, пар</t>
        </is>
      </c>
      <c r="I237" s="222" t="inlineStr">
        <is>
          <t>латунь ЛЦ40Сд</t>
        </is>
      </c>
      <c r="J237" s="222" t="inlineStr">
        <is>
          <t>У1</t>
        </is>
      </c>
      <c r="K237" s="222" t="inlineStr">
        <is>
          <t>муфтовый</t>
        </is>
      </c>
      <c r="L237" s="222" t="inlineStr">
        <is>
          <t>ручной (рукоятка)</t>
        </is>
      </c>
      <c r="M237" s="253" t="inlineStr">
        <is>
          <t>-</t>
        </is>
      </c>
      <c r="N237" s="222" t="inlineStr">
        <is>
          <t>любое</t>
        </is>
      </c>
      <c r="O237" s="222" t="inlineStr">
        <is>
          <t>шаровая пробка - хромированная латунь ЛЦ40Сд; уплотнительные кольца - фторопласт-4</t>
        </is>
      </c>
      <c r="P237" s="262" t="inlineStr">
        <is>
          <t>-</t>
        </is>
      </c>
      <c r="Q237" s="262" t="inlineStr">
        <is>
          <t>-</t>
        </is>
      </c>
      <c r="R237" s="198">
        <f>A237</f>
        <v/>
      </c>
      <c r="S237" s="205" t="n"/>
      <c r="T237" s="205" t="n"/>
      <c r="U237" s="205" t="n"/>
      <c r="V237" s="205" t="n"/>
      <c r="W237" s="205" t="n"/>
      <c r="X237" s="205" t="n"/>
      <c r="Y237" s="205" t="n"/>
      <c r="Z237" s="205" t="n"/>
      <c r="AA237" s="205" t="n"/>
      <c r="AB237" s="205" t="n"/>
      <c r="AC237" s="205" t="n"/>
      <c r="AD237" s="205" t="n"/>
      <c r="AE237" s="205" t="n"/>
      <c r="AF237" s="205" t="n"/>
      <c r="AG237" s="205" t="n"/>
      <c r="AH237" s="205" t="n"/>
      <c r="AI237" s="202" t="n"/>
    </row>
    <row r="238" ht="51" customHeight="1" s="169">
      <c r="A238" s="192" t="n">
        <v>17</v>
      </c>
      <c r="B238" s="193" t="inlineStr">
        <is>
          <t>Клапан запорный муфтовый 15б1п Ду 15 Ру 16</t>
        </is>
      </c>
      <c r="C238" s="210" t="inlineStr">
        <is>
          <t>ТУ 3712-001-04606952-2004</t>
        </is>
      </c>
      <c r="D238" s="210" t="n">
        <v>15</v>
      </c>
      <c r="E238" s="210" t="inlineStr">
        <is>
          <t>стандарт</t>
        </is>
      </c>
      <c r="F238" s="210" t="n">
        <v>1.6</v>
      </c>
      <c r="G238" s="210" t="inlineStr">
        <is>
          <t>до +200</t>
        </is>
      </c>
      <c r="H238" s="210" t="inlineStr">
        <is>
          <t>вода, пар</t>
        </is>
      </c>
      <c r="I238" s="210" t="inlineStr">
        <is>
          <t>латунь ЛЦ40Сд</t>
        </is>
      </c>
      <c r="J238" s="210" t="inlineStr">
        <is>
          <t>УХЛ4. температура окружающей среды от +1 до +40</t>
        </is>
      </c>
      <c r="K238" s="210" t="inlineStr">
        <is>
          <t>муфтовый</t>
        </is>
      </c>
      <c r="L238" s="210" t="inlineStr">
        <is>
          <t>ручной (маховик)</t>
        </is>
      </c>
      <c r="M238" s="212" t="inlineStr">
        <is>
          <t>-</t>
        </is>
      </c>
      <c r="N238" s="210" t="inlineStr">
        <is>
          <t>любое</t>
        </is>
      </c>
      <c r="O238" s="210" t="inlineStr">
        <is>
          <t>Уплотнение: фторопласт</t>
        </is>
      </c>
      <c r="P238" s="262" t="inlineStr">
        <is>
          <t>-</t>
        </is>
      </c>
      <c r="Q238" s="262" t="inlineStr">
        <is>
          <t>-</t>
        </is>
      </c>
      <c r="R238" s="198">
        <f>A238</f>
        <v/>
      </c>
      <c r="S238" s="205" t="n"/>
      <c r="T238" s="205" t="n"/>
      <c r="U238" s="205" t="n"/>
      <c r="V238" s="205" t="n"/>
      <c r="W238" s="205" t="n"/>
      <c r="X238" s="205" t="n"/>
      <c r="Y238" s="205" t="n"/>
      <c r="Z238" s="205" t="n"/>
      <c r="AA238" s="205" t="n"/>
      <c r="AB238" s="205" t="n"/>
      <c r="AC238" s="205" t="n"/>
      <c r="AD238" s="205" t="n"/>
      <c r="AE238" s="205" t="n"/>
      <c r="AF238" s="205" t="n"/>
      <c r="AG238" s="205" t="n"/>
      <c r="AH238" s="205" t="n"/>
      <c r="AI238" s="202" t="n"/>
    </row>
    <row r="239" ht="51" customHeight="1" s="169">
      <c r="A239" s="192" t="n">
        <v>18</v>
      </c>
      <c r="B239" s="193" t="inlineStr">
        <is>
          <t>Клапан запорный муфтовый 15б1п Ду 20 Ру 16</t>
        </is>
      </c>
      <c r="C239" s="210" t="inlineStr">
        <is>
          <t>ТУ 3712-001-04606952-2004</t>
        </is>
      </c>
      <c r="D239" s="210" t="n">
        <v>20</v>
      </c>
      <c r="E239" s="210" t="inlineStr">
        <is>
          <t>стандарт</t>
        </is>
      </c>
      <c r="F239" s="210" t="n">
        <v>1.6</v>
      </c>
      <c r="G239" s="210" t="inlineStr">
        <is>
          <t>до +200</t>
        </is>
      </c>
      <c r="H239" s="210" t="inlineStr">
        <is>
          <t>вода, пар</t>
        </is>
      </c>
      <c r="I239" s="210" t="inlineStr">
        <is>
          <t>латунь ЛЦ40Сд</t>
        </is>
      </c>
      <c r="J239" s="210" t="inlineStr">
        <is>
          <t>УХЛ4. температура окружающей среды от +1 до +40</t>
        </is>
      </c>
      <c r="K239" s="210" t="inlineStr">
        <is>
          <t>муфтовый</t>
        </is>
      </c>
      <c r="L239" s="210" t="inlineStr">
        <is>
          <t>ручной (маховик)</t>
        </is>
      </c>
      <c r="M239" s="212" t="inlineStr">
        <is>
          <t>-</t>
        </is>
      </c>
      <c r="N239" s="210" t="inlineStr">
        <is>
          <t>любое</t>
        </is>
      </c>
      <c r="O239" s="210" t="inlineStr">
        <is>
          <t>Уплотнение: фторопласт</t>
        </is>
      </c>
      <c r="P239" s="262" t="inlineStr">
        <is>
          <t>-</t>
        </is>
      </c>
      <c r="Q239" s="262" t="inlineStr">
        <is>
          <t>-</t>
        </is>
      </c>
      <c r="R239" s="198">
        <f>A239</f>
        <v/>
      </c>
      <c r="S239" s="205" t="n"/>
      <c r="T239" s="205" t="n"/>
      <c r="U239" s="205" t="n"/>
      <c r="V239" s="205" t="n"/>
      <c r="W239" s="205" t="n"/>
      <c r="X239" s="205" t="n"/>
      <c r="Y239" s="205" t="n"/>
      <c r="Z239" s="205" t="n"/>
      <c r="AA239" s="205" t="n"/>
      <c r="AB239" s="205" t="n"/>
      <c r="AC239" s="205" t="n"/>
      <c r="AD239" s="205" t="n"/>
      <c r="AE239" s="205" t="n"/>
      <c r="AF239" s="205" t="n"/>
      <c r="AG239" s="205" t="n"/>
      <c r="AH239" s="205" t="n"/>
      <c r="AI239" s="202" t="n"/>
    </row>
    <row r="240" ht="51" customHeight="1" s="169">
      <c r="A240" s="192" t="n">
        <v>19</v>
      </c>
      <c r="B240" s="193" t="inlineStr">
        <is>
          <t>Клапан запорный муфтовый 15б1п Ду 25 Ру 16</t>
        </is>
      </c>
      <c r="C240" s="210" t="inlineStr">
        <is>
          <t>ТУ 3712-001-04606952-2004</t>
        </is>
      </c>
      <c r="D240" s="210" t="n">
        <v>25</v>
      </c>
      <c r="E240" s="210" t="inlineStr">
        <is>
          <t>стандарт</t>
        </is>
      </c>
      <c r="F240" s="210" t="n">
        <v>1.6</v>
      </c>
      <c r="G240" s="210" t="inlineStr">
        <is>
          <t>до +200</t>
        </is>
      </c>
      <c r="H240" s="210" t="inlineStr">
        <is>
          <t>вода, пар</t>
        </is>
      </c>
      <c r="I240" s="210" t="inlineStr">
        <is>
          <t>латунь ЛЦ40Сд</t>
        </is>
      </c>
      <c r="J240" s="210" t="inlineStr">
        <is>
          <t>УХЛ4. температура окружающей среды от +1 до +40</t>
        </is>
      </c>
      <c r="K240" s="210" t="inlineStr">
        <is>
          <t>муфтовый</t>
        </is>
      </c>
      <c r="L240" s="210" t="inlineStr">
        <is>
          <t>ручной (маховик)</t>
        </is>
      </c>
      <c r="M240" s="212" t="inlineStr">
        <is>
          <t>-</t>
        </is>
      </c>
      <c r="N240" s="210" t="inlineStr">
        <is>
          <t>любое</t>
        </is>
      </c>
      <c r="O240" s="210" t="inlineStr">
        <is>
          <t>Уплотнение: фторопласт</t>
        </is>
      </c>
      <c r="P240" s="262" t="inlineStr">
        <is>
          <t>-</t>
        </is>
      </c>
      <c r="Q240" s="262" t="inlineStr">
        <is>
          <t>-</t>
        </is>
      </c>
      <c r="R240" s="198">
        <f>A240</f>
        <v/>
      </c>
      <c r="S240" s="205" t="n"/>
      <c r="T240" s="205" t="n"/>
      <c r="U240" s="205" t="n"/>
      <c r="V240" s="205" t="n"/>
      <c r="W240" s="205" t="n"/>
      <c r="X240" s="205" t="n"/>
      <c r="Y240" s="205" t="n"/>
      <c r="Z240" s="205" t="n"/>
      <c r="AA240" s="205" t="n"/>
      <c r="AB240" s="205" t="n"/>
      <c r="AC240" s="205" t="n"/>
      <c r="AD240" s="205" t="n"/>
      <c r="AE240" s="205" t="n"/>
      <c r="AF240" s="205" t="n"/>
      <c r="AG240" s="205" t="n"/>
      <c r="AH240" s="205" t="n"/>
      <c r="AI240" s="202" t="n"/>
    </row>
    <row r="241" ht="51" customHeight="1" s="169">
      <c r="A241" s="192" t="n">
        <v>20</v>
      </c>
      <c r="B241" s="193" t="inlineStr">
        <is>
          <t>Клапан запорный 15кч12пМ Ду 25 Ру 25</t>
        </is>
      </c>
      <c r="C241" s="222" t="inlineStr">
        <is>
          <t>ТУ 3732-001-00218137-94</t>
        </is>
      </c>
      <c r="D241" s="222" t="n">
        <v>25</v>
      </c>
      <c r="E241" s="222" t="inlineStr">
        <is>
          <t>стандарт</t>
        </is>
      </c>
      <c r="F241" s="222" t="n">
        <v>2.5</v>
      </c>
      <c r="G241" s="222" t="inlineStr">
        <is>
          <t>от -40 до +150</t>
        </is>
      </c>
      <c r="H241" s="222" t="inlineStr">
        <is>
          <t>Хладон, аммиак, вода, пар</t>
        </is>
      </c>
      <c r="I241" s="222" t="inlineStr">
        <is>
          <t>ковкий чугун КЧ 30-6</t>
        </is>
      </c>
      <c r="J241" s="222" t="inlineStr">
        <is>
          <t>УХЛ4 Температура окружающей среды от - 30 до +50</t>
        </is>
      </c>
      <c r="K241" s="222" t="inlineStr">
        <is>
          <t>фланцевый</t>
        </is>
      </c>
      <c r="L241" s="222" t="inlineStr">
        <is>
          <t>ручной (маховик)</t>
        </is>
      </c>
      <c r="M241" s="253" t="inlineStr">
        <is>
          <t>-</t>
        </is>
      </c>
      <c r="N241" s="222" t="inlineStr">
        <is>
          <t>любое</t>
        </is>
      </c>
      <c r="O241" s="222" t="inlineStr">
        <is>
          <t>Золотник, шпиндель - сталь;
Уплотнение - Фторопласт-4</t>
        </is>
      </c>
      <c r="P241" s="262" t="inlineStr">
        <is>
          <t>-</t>
        </is>
      </c>
      <c r="Q241" s="262" t="inlineStr">
        <is>
          <t>-</t>
        </is>
      </c>
      <c r="R241" s="198">
        <f>A241</f>
        <v/>
      </c>
      <c r="S241" s="205" t="n"/>
      <c r="T241" s="205" t="n"/>
      <c r="U241" s="205" t="n"/>
      <c r="V241" s="205" t="n"/>
      <c r="W241" s="205" t="n"/>
      <c r="X241" s="205" t="n"/>
      <c r="Y241" s="205" t="n"/>
      <c r="Z241" s="205" t="n"/>
      <c r="AA241" s="205" t="n"/>
      <c r="AB241" s="205" t="n"/>
      <c r="AC241" s="205" t="n"/>
      <c r="AD241" s="205" t="n"/>
      <c r="AE241" s="205" t="n"/>
      <c r="AF241" s="205" t="n"/>
      <c r="AG241" s="205" t="n"/>
      <c r="AH241" s="205" t="n"/>
      <c r="AI241" s="202" t="n"/>
    </row>
    <row r="242" ht="51" customHeight="1" s="169">
      <c r="A242" s="192" t="n">
        <v>21</v>
      </c>
      <c r="B242" s="193" t="inlineStr">
        <is>
          <t>Клапан запорный 15кч16п1 Ду 32 Ру 25</t>
        </is>
      </c>
      <c r="C242" s="222" t="inlineStr">
        <is>
          <t>ГОСТ 33423-2015</t>
        </is>
      </c>
      <c r="D242" s="222" t="n">
        <v>32</v>
      </c>
      <c r="E242" s="222" t="inlineStr">
        <is>
          <t>стандарт</t>
        </is>
      </c>
      <c r="F242" s="222" t="n">
        <v>2.5</v>
      </c>
      <c r="G242" s="222" t="inlineStr">
        <is>
          <t>не более +200</t>
        </is>
      </c>
      <c r="H242" s="222" t="inlineStr">
        <is>
          <t>вода, нефтепродукты, пар, жидкие среды</t>
        </is>
      </c>
      <c r="I242" s="222" t="inlineStr">
        <is>
          <t>ковкий чугун КЧ 30-6</t>
        </is>
      </c>
      <c r="J242" s="222" t="inlineStr">
        <is>
          <t>У1</t>
        </is>
      </c>
      <c r="K242" s="222" t="inlineStr">
        <is>
          <t>фланцевый</t>
        </is>
      </c>
      <c r="L242" s="222" t="inlineStr">
        <is>
          <t>ручной (маховик)</t>
        </is>
      </c>
      <c r="M242" s="253" t="inlineStr">
        <is>
          <t>-</t>
        </is>
      </c>
      <c r="N242" s="222" t="inlineStr">
        <is>
          <t>любое, кроме расположения маховика вниз</t>
        </is>
      </c>
      <c r="O242" s="222" t="inlineStr">
        <is>
          <t>Шпиндель, золотник - сталь конструкционная;
Уплотнение на золотнике - фторопласт;
Уплотнение корпуса - паронит;</t>
        </is>
      </c>
      <c r="P242" s="262" t="inlineStr">
        <is>
          <t>-</t>
        </is>
      </c>
      <c r="Q242" s="262" t="inlineStr">
        <is>
          <t>-</t>
        </is>
      </c>
      <c r="R242" s="198">
        <f>A242</f>
        <v/>
      </c>
      <c r="S242" s="205" t="n"/>
      <c r="T242" s="205" t="n"/>
      <c r="U242" s="205" t="n"/>
      <c r="V242" s="205" t="n"/>
      <c r="W242" s="205" t="n"/>
      <c r="X242" s="205" t="n"/>
      <c r="Y242" s="205" t="n"/>
      <c r="Z242" s="205" t="n"/>
      <c r="AA242" s="205" t="n"/>
      <c r="AB242" s="205" t="n"/>
      <c r="AC242" s="205" t="n"/>
      <c r="AD242" s="205" t="n"/>
      <c r="AE242" s="205" t="n"/>
      <c r="AF242" s="205" t="n"/>
      <c r="AG242" s="205" t="n"/>
      <c r="AH242" s="205" t="n"/>
      <c r="AI242" s="202" t="n"/>
    </row>
    <row r="243" ht="51" customHeight="1" s="169">
      <c r="A243" s="192" t="n">
        <v>22</v>
      </c>
      <c r="B243" s="193" t="inlineStr">
        <is>
          <t>Клапан запорный 15кч16п1 Ду 40 Ру 25</t>
        </is>
      </c>
      <c r="C243" s="222" t="inlineStr">
        <is>
          <t>ГОСТ 33423-2015</t>
        </is>
      </c>
      <c r="D243" s="222" t="n">
        <v>40</v>
      </c>
      <c r="E243" s="222" t="inlineStr">
        <is>
          <t>стандарт</t>
        </is>
      </c>
      <c r="F243" s="222" t="n">
        <v>2.5</v>
      </c>
      <c r="G243" s="222" t="inlineStr">
        <is>
          <t>не более +200</t>
        </is>
      </c>
      <c r="H243" s="222" t="inlineStr">
        <is>
          <t>вода, нефтепродукты, пар, жидкие среды</t>
        </is>
      </c>
      <c r="I243" s="222" t="inlineStr">
        <is>
          <t>ковкий чугун КЧ 30-6</t>
        </is>
      </c>
      <c r="J243" s="222" t="inlineStr">
        <is>
          <t>У1</t>
        </is>
      </c>
      <c r="K243" s="222" t="inlineStr">
        <is>
          <t>фланцевый</t>
        </is>
      </c>
      <c r="L243" s="222" t="inlineStr">
        <is>
          <t>ручной (маховик)</t>
        </is>
      </c>
      <c r="M243" s="253" t="inlineStr">
        <is>
          <t>-</t>
        </is>
      </c>
      <c r="N243" s="222" t="inlineStr">
        <is>
          <t>любое, кроме расположения маховика вниз</t>
        </is>
      </c>
      <c r="O243" s="222" t="inlineStr">
        <is>
          <t>Шпиндель, золотник - сталь конструкционная;
Уплотнение на золотнике - фторопласт;
Уплотнение корпуса - паронит;</t>
        </is>
      </c>
      <c r="P243" s="262" t="inlineStr">
        <is>
          <t>-</t>
        </is>
      </c>
      <c r="Q243" s="262" t="inlineStr">
        <is>
          <t>-</t>
        </is>
      </c>
      <c r="R243" s="198">
        <f>A243</f>
        <v/>
      </c>
      <c r="S243" s="205" t="n"/>
      <c r="T243" s="205" t="n"/>
      <c r="U243" s="205" t="n"/>
      <c r="V243" s="205" t="n"/>
      <c r="W243" s="205" t="n"/>
      <c r="X243" s="205" t="n"/>
      <c r="Y243" s="205" t="n"/>
      <c r="Z243" s="205" t="n"/>
      <c r="AA243" s="205" t="n"/>
      <c r="AB243" s="205" t="n"/>
      <c r="AC243" s="205" t="n"/>
      <c r="AD243" s="205" t="n"/>
      <c r="AE243" s="205" t="n"/>
      <c r="AF243" s="205" t="n"/>
      <c r="AG243" s="205" t="n"/>
      <c r="AH243" s="205" t="n"/>
      <c r="AI243" s="202" t="n"/>
    </row>
    <row r="244" ht="51" customHeight="1" s="169">
      <c r="A244" s="192" t="n">
        <v>23</v>
      </c>
      <c r="B244" s="193" t="inlineStr">
        <is>
          <t>Клапан запорный 15кч16п1 Ду 50 Ру 25</t>
        </is>
      </c>
      <c r="C244" s="222" t="inlineStr">
        <is>
          <t>ГОСТ 33423-2015</t>
        </is>
      </c>
      <c r="D244" s="222" t="n">
        <v>50</v>
      </c>
      <c r="E244" s="222" t="inlineStr">
        <is>
          <t>стандарт</t>
        </is>
      </c>
      <c r="F244" s="222" t="n">
        <v>2.5</v>
      </c>
      <c r="G244" s="222" t="inlineStr">
        <is>
          <t>не более +200</t>
        </is>
      </c>
      <c r="H244" s="222" t="inlineStr">
        <is>
          <t>вода, нефтепродукты, пар, жидкие среды</t>
        </is>
      </c>
      <c r="I244" s="222" t="inlineStr">
        <is>
          <t>ковкий чугун КЧ 30-6</t>
        </is>
      </c>
      <c r="J244" s="222" t="inlineStr">
        <is>
          <t>У1</t>
        </is>
      </c>
      <c r="K244" s="222" t="inlineStr">
        <is>
          <t>фланцевый</t>
        </is>
      </c>
      <c r="L244" s="222" t="inlineStr">
        <is>
          <t>ручной (маховик)</t>
        </is>
      </c>
      <c r="M244" s="253" t="inlineStr">
        <is>
          <t>-</t>
        </is>
      </c>
      <c r="N244" s="222" t="inlineStr">
        <is>
          <t>любое, кроме расположения маховика вниз</t>
        </is>
      </c>
      <c r="O244" s="222" t="inlineStr">
        <is>
          <t>Шпиндель, золотник - сталь конструкционная;
Уплотнение на золотнике - фторопласт;
Уплотнение корпуса - паронит;</t>
        </is>
      </c>
      <c r="P244" s="262" t="inlineStr">
        <is>
          <t>-</t>
        </is>
      </c>
      <c r="Q244" s="262" t="inlineStr">
        <is>
          <t>-</t>
        </is>
      </c>
      <c r="R244" s="198">
        <f>A244</f>
        <v/>
      </c>
      <c r="S244" s="205" t="n"/>
      <c r="T244" s="205" t="n"/>
      <c r="U244" s="205" t="n"/>
      <c r="V244" s="205" t="n"/>
      <c r="W244" s="205" t="n"/>
      <c r="X244" s="205" t="n"/>
      <c r="Y244" s="205" t="n"/>
      <c r="Z244" s="205" t="n"/>
      <c r="AA244" s="205" t="n"/>
      <c r="AB244" s="205" t="n"/>
      <c r="AC244" s="205" t="n"/>
      <c r="AD244" s="205" t="n"/>
      <c r="AE244" s="205" t="n"/>
      <c r="AF244" s="205" t="n"/>
      <c r="AG244" s="205" t="n"/>
      <c r="AH244" s="205" t="n"/>
      <c r="AI244" s="202" t="n"/>
    </row>
    <row r="245" ht="63.75" customHeight="1" s="169">
      <c r="A245" s="192" t="n">
        <v>24</v>
      </c>
      <c r="B245" s="193" t="inlineStr">
        <is>
          <t>Клапан запорный 15кч19п Ду 25 Ру 16</t>
        </is>
      </c>
      <c r="C245" s="254" t="inlineStr">
        <is>
          <t>ТУ 3732-002-00218137-95</t>
        </is>
      </c>
      <c r="D245" s="263" t="n">
        <v>25</v>
      </c>
      <c r="E245" s="254" t="inlineStr">
        <is>
          <t>стандарт</t>
        </is>
      </c>
      <c r="F245" s="263" t="n">
        <v>1.6</v>
      </c>
      <c r="G245" s="263" t="inlineStr">
        <is>
          <t>до +225</t>
        </is>
      </c>
      <c r="H245" s="263" t="inlineStr">
        <is>
          <t>вода, пар</t>
        </is>
      </c>
      <c r="I245" s="254" t="inlineStr">
        <is>
          <t>чугун</t>
        </is>
      </c>
      <c r="J245" s="222" t="inlineStr">
        <is>
          <t>У1</t>
        </is>
      </c>
      <c r="K245" s="254" t="inlineStr">
        <is>
          <t>фланцевый</t>
        </is>
      </c>
      <c r="L245" s="254" t="inlineStr">
        <is>
          <t>ручной (маховик)</t>
        </is>
      </c>
      <c r="M245" s="263" t="inlineStr">
        <is>
          <t>-</t>
        </is>
      </c>
      <c r="N245" s="222" t="inlineStr">
        <is>
          <t>любое</t>
        </is>
      </c>
      <c r="O245" s="254" t="inlineStr">
        <is>
          <t>Корпус, крышка Чугун (GG18)
Шпиндель Сталь
Золотник Чугун (GG18)
Уплотнительные поверхности затвора PTFE
Маховик Чугун (GG18) с цинковым покрытием</t>
        </is>
      </c>
      <c r="P245" s="263" t="inlineStr">
        <is>
          <t>-</t>
        </is>
      </c>
      <c r="Q245" s="263" t="inlineStr">
        <is>
          <t>-</t>
        </is>
      </c>
      <c r="R245" s="198">
        <f>A245</f>
        <v/>
      </c>
      <c r="S245" s="205" t="n"/>
      <c r="T245" s="205" t="n"/>
      <c r="U245" s="205" t="n"/>
      <c r="V245" s="205" t="n"/>
      <c r="W245" s="205" t="n"/>
      <c r="X245" s="205" t="n"/>
      <c r="Y245" s="205" t="n"/>
      <c r="Z245" s="205" t="n"/>
      <c r="AA245" s="205" t="n"/>
      <c r="AB245" s="205" t="n"/>
      <c r="AC245" s="205" t="n"/>
      <c r="AD245" s="205" t="n"/>
      <c r="AE245" s="205" t="n"/>
      <c r="AF245" s="205" t="n"/>
      <c r="AG245" s="205" t="n"/>
      <c r="AH245" s="205" t="n"/>
      <c r="AI245" s="202" t="n"/>
    </row>
    <row r="246" ht="63.75" customHeight="1" s="169">
      <c r="A246" s="192" t="n">
        <v>25</v>
      </c>
      <c r="B246" s="193" t="inlineStr">
        <is>
          <t>Клапан запорный 15кч19п Ду 50 Ру 16</t>
        </is>
      </c>
      <c r="C246" s="254" t="inlineStr">
        <is>
          <t>ТУ 3732-002-00218137-95</t>
        </is>
      </c>
      <c r="D246" s="263" t="n">
        <v>50</v>
      </c>
      <c r="E246" s="254" t="inlineStr">
        <is>
          <t>стандарт</t>
        </is>
      </c>
      <c r="F246" s="263" t="n">
        <v>1.6</v>
      </c>
      <c r="G246" s="263" t="inlineStr">
        <is>
          <t>до +225</t>
        </is>
      </c>
      <c r="H246" s="263" t="inlineStr">
        <is>
          <t>вода, пар</t>
        </is>
      </c>
      <c r="I246" s="254" t="inlineStr">
        <is>
          <t>чугун</t>
        </is>
      </c>
      <c r="J246" s="222" t="inlineStr">
        <is>
          <t>У1</t>
        </is>
      </c>
      <c r="K246" s="254" t="inlineStr">
        <is>
          <t>фланцевый</t>
        </is>
      </c>
      <c r="L246" s="254" t="inlineStr">
        <is>
          <t>ручной (маховик)</t>
        </is>
      </c>
      <c r="M246" s="263" t="inlineStr">
        <is>
          <t>-</t>
        </is>
      </c>
      <c r="N246" s="222" t="inlineStr">
        <is>
          <t>любое</t>
        </is>
      </c>
      <c r="O246" s="254" t="inlineStr">
        <is>
          <t>Корпус, крышка Чугун (GG18)
Шпиндель Сталь
Золотник Чугун (GG18)
Уплотнительные поверхности затвора PTFE
Маховик Чугун (GG18) с цинковым покрытием</t>
        </is>
      </c>
      <c r="P246" s="263" t="inlineStr">
        <is>
          <t>-</t>
        </is>
      </c>
      <c r="Q246" s="263" t="inlineStr">
        <is>
          <t>-</t>
        </is>
      </c>
      <c r="R246" s="198">
        <f>A246</f>
        <v/>
      </c>
      <c r="S246" s="205" t="n"/>
      <c r="T246" s="205" t="n"/>
      <c r="U246" s="205" t="n"/>
      <c r="V246" s="205" t="n"/>
      <c r="W246" s="205" t="n"/>
      <c r="X246" s="205" t="n"/>
      <c r="Y246" s="205" t="n"/>
      <c r="Z246" s="205" t="n"/>
      <c r="AA246" s="205" t="n"/>
      <c r="AB246" s="205" t="n"/>
      <c r="AC246" s="205" t="n"/>
      <c r="AD246" s="205" t="n"/>
      <c r="AE246" s="205" t="n"/>
      <c r="AF246" s="205" t="n"/>
      <c r="AG246" s="205" t="n"/>
      <c r="AH246" s="205" t="n"/>
      <c r="AI246" s="202" t="n"/>
    </row>
    <row r="247" ht="63.75" customHeight="1" s="169">
      <c r="A247" s="192" t="n">
        <v>26</v>
      </c>
      <c r="B247" s="193" t="inlineStr">
        <is>
          <t>Клапан запорный 15нж65нж Ду 80 Ру 16</t>
        </is>
      </c>
      <c r="C247" s="222" t="inlineStr">
        <is>
          <t>ГОСТ 33423-2015</t>
        </is>
      </c>
      <c r="D247" s="222" t="n">
        <v>80</v>
      </c>
      <c r="E247" s="222" t="inlineStr">
        <is>
          <t>стандарт</t>
        </is>
      </c>
      <c r="F247" s="222" t="n">
        <v>1.6</v>
      </c>
      <c r="G247" s="222" t="inlineStr">
        <is>
          <t>от -60 до +560</t>
        </is>
      </c>
      <c r="H247" s="222" t="inlineStr">
        <is>
          <t>нефть, нефтепродукты, природный и топливный газ, аммиак, вода, пар</t>
        </is>
      </c>
      <c r="I247" s="222" t="inlineStr">
        <is>
          <t>сталь AISI 304</t>
        </is>
      </c>
      <c r="J247" s="222" t="inlineStr">
        <is>
          <t>УХЛ1</t>
        </is>
      </c>
      <c r="K247" s="222" t="inlineStr">
        <is>
          <t>фланцевый</t>
        </is>
      </c>
      <c r="L247" s="222" t="inlineStr">
        <is>
          <t>ручной (маховик)</t>
        </is>
      </c>
      <c r="M247" s="253" t="inlineStr">
        <is>
          <t>-</t>
        </is>
      </c>
      <c r="N247" s="222" t="inlineStr">
        <is>
          <t>управляющим органом вверх</t>
        </is>
      </c>
      <c r="O247" s="222" t="inlineStr">
        <is>
          <t>Втулка сальника, болт откидной, шпилька, гайка - сталь 14Х17Н2 (ГОСТ 5632)
уплотнение затвора - "металл по металлу", уплотнение сальниковое - ТРГ</t>
        </is>
      </c>
      <c r="P247" s="222" t="inlineStr">
        <is>
          <t>-</t>
        </is>
      </c>
      <c r="Q247" s="222" t="inlineStr">
        <is>
          <t>-</t>
        </is>
      </c>
      <c r="R247" s="198">
        <f>A247</f>
        <v/>
      </c>
      <c r="S247" s="205" t="n"/>
      <c r="T247" s="205" t="n"/>
      <c r="U247" s="205" t="n"/>
      <c r="V247" s="205" t="n"/>
      <c r="W247" s="205" t="n"/>
      <c r="X247" s="205" t="n"/>
      <c r="Y247" s="205" t="n"/>
      <c r="Z247" s="205" t="n"/>
      <c r="AA247" s="205" t="n"/>
      <c r="AB247" s="205" t="n"/>
      <c r="AC247" s="205" t="n"/>
      <c r="AD247" s="205" t="n"/>
      <c r="AE247" s="205" t="n"/>
      <c r="AF247" s="205" t="n"/>
      <c r="AG247" s="205" t="n"/>
      <c r="AH247" s="205" t="n"/>
      <c r="AI247" s="202" t="n"/>
    </row>
    <row r="248" ht="63.75" customHeight="1" s="169">
      <c r="A248" s="192" t="n">
        <v>27</v>
      </c>
      <c r="B248" s="193" t="inlineStr">
        <is>
          <t>Клапан запорный 15нж65нж Ду 100 Ру 16</t>
        </is>
      </c>
      <c r="C248" s="222" t="inlineStr">
        <is>
          <t>ГОСТ 33423-2015</t>
        </is>
      </c>
      <c r="D248" s="222" t="n">
        <v>100</v>
      </c>
      <c r="E248" s="222" t="inlineStr">
        <is>
          <t>стандарт</t>
        </is>
      </c>
      <c r="F248" s="222" t="n">
        <v>1.6</v>
      </c>
      <c r="G248" s="222" t="inlineStr">
        <is>
          <t>от -60 до +560</t>
        </is>
      </c>
      <c r="H248" s="222" t="inlineStr">
        <is>
          <t>нефть, нефтепродукты, природный и топливный газ, аммиак, вода, пар</t>
        </is>
      </c>
      <c r="I248" s="222" t="inlineStr">
        <is>
          <t>сталь AISI 304</t>
        </is>
      </c>
      <c r="J248" s="222" t="inlineStr">
        <is>
          <t>УХЛ1</t>
        </is>
      </c>
      <c r="K248" s="222" t="inlineStr">
        <is>
          <t>фланцевый</t>
        </is>
      </c>
      <c r="L248" s="222" t="inlineStr">
        <is>
          <t>ручной (маховик)</t>
        </is>
      </c>
      <c r="M248" s="253" t="inlineStr">
        <is>
          <t>-</t>
        </is>
      </c>
      <c r="N248" s="222" t="inlineStr">
        <is>
          <t>управляющим органом вверх</t>
        </is>
      </c>
      <c r="O248" s="222" t="inlineStr">
        <is>
          <t>Втулка сальника, болт откидной, шпилька, гайка - сталь 14Х17Н2 (ГОСТ 5632)
уплотнение затвора - "металл по металлу", уплотнение сальниковое - ТРГ</t>
        </is>
      </c>
      <c r="P248" s="222" t="inlineStr">
        <is>
          <t>-</t>
        </is>
      </c>
      <c r="Q248" s="222" t="inlineStr">
        <is>
          <t>-</t>
        </is>
      </c>
      <c r="R248" s="198">
        <f>A248</f>
        <v/>
      </c>
      <c r="S248" s="205" t="n"/>
      <c r="T248" s="205" t="n"/>
      <c r="U248" s="205" t="n"/>
      <c r="V248" s="205" t="n"/>
      <c r="W248" s="205" t="n"/>
      <c r="X248" s="205" t="n"/>
      <c r="Y248" s="205" t="n"/>
      <c r="Z248" s="205" t="n"/>
      <c r="AA248" s="205" t="n"/>
      <c r="AB248" s="205" t="n"/>
      <c r="AC248" s="205" t="n"/>
      <c r="AD248" s="205" t="n"/>
      <c r="AE248" s="205" t="n"/>
      <c r="AF248" s="205" t="n"/>
      <c r="AG248" s="205" t="n"/>
      <c r="AH248" s="205" t="n"/>
      <c r="AI248" s="202" t="n"/>
    </row>
    <row r="249" ht="63.75" customHeight="1" s="169">
      <c r="A249" s="192" t="n">
        <v>28</v>
      </c>
      <c r="B249" s="193" t="inlineStr">
        <is>
          <t>Клапан запорный 15нж65нж Ду 32 Ру 16</t>
        </is>
      </c>
      <c r="C249" s="222" t="inlineStr">
        <is>
          <t>ГОСТ 33423-2015</t>
        </is>
      </c>
      <c r="D249" s="222" t="n">
        <v>32</v>
      </c>
      <c r="E249" s="222" t="inlineStr">
        <is>
          <t>стандарт</t>
        </is>
      </c>
      <c r="F249" s="222" t="n">
        <v>1.6</v>
      </c>
      <c r="G249" s="222" t="inlineStr">
        <is>
          <t>от -60 до +560</t>
        </is>
      </c>
      <c r="H249" s="222" t="inlineStr">
        <is>
          <t>нефть, нефтепродукты, природный и топливный газ, аммиак, вода, пар</t>
        </is>
      </c>
      <c r="I249" s="222" t="inlineStr">
        <is>
          <t>сталь AISI 304</t>
        </is>
      </c>
      <c r="J249" s="222" t="inlineStr">
        <is>
          <t>УХЛ1</t>
        </is>
      </c>
      <c r="K249" s="222" t="inlineStr">
        <is>
          <t>фланцевый</t>
        </is>
      </c>
      <c r="L249" s="222" t="inlineStr">
        <is>
          <t>ручной (маховик)</t>
        </is>
      </c>
      <c r="M249" s="253" t="inlineStr">
        <is>
          <t>-</t>
        </is>
      </c>
      <c r="N249" s="222" t="inlineStr">
        <is>
          <t>управляющим органом вверх</t>
        </is>
      </c>
      <c r="O249" s="222" t="inlineStr">
        <is>
          <t>Втулка сальника, болт откидной, шпилька, гайка - сталь 14Х17Н2 (ГОСТ 5632)
уплотнение затвора - "металл по металлу", уплотнение сальниковое - ТРГ</t>
        </is>
      </c>
      <c r="P249" s="222" t="inlineStr">
        <is>
          <t>-</t>
        </is>
      </c>
      <c r="Q249" s="222" t="inlineStr">
        <is>
          <t>-</t>
        </is>
      </c>
      <c r="R249" s="198">
        <f>A249</f>
        <v/>
      </c>
      <c r="S249" s="205" t="n"/>
      <c r="T249" s="205" t="n"/>
      <c r="U249" s="205" t="n"/>
      <c r="V249" s="205" t="n"/>
      <c r="W249" s="205" t="n"/>
      <c r="X249" s="205" t="n"/>
      <c r="Y249" s="205" t="n"/>
      <c r="Z249" s="205" t="n"/>
      <c r="AA249" s="205" t="n"/>
      <c r="AB249" s="205" t="n"/>
      <c r="AC249" s="205" t="n"/>
      <c r="AD249" s="205" t="n"/>
      <c r="AE249" s="205" t="n"/>
      <c r="AF249" s="205" t="n"/>
      <c r="AG249" s="205" t="n"/>
      <c r="AH249" s="205" t="n"/>
      <c r="AI249" s="202" t="n"/>
    </row>
    <row r="250" ht="153" customHeight="1" s="169">
      <c r="A250" s="192" t="n">
        <v>29</v>
      </c>
      <c r="B250" s="193" t="inlineStr">
        <is>
          <t>Клапан стальной запорный фланцевый 15с18нж Ду 32 Ру 16</t>
        </is>
      </c>
      <c r="C250" s="223" t="inlineStr">
        <is>
          <t>ГОСТ 33423-2015</t>
        </is>
      </c>
      <c r="D250" s="222" t="n">
        <v>32</v>
      </c>
      <c r="E250" s="223" t="inlineStr">
        <is>
          <t>стандарт</t>
        </is>
      </c>
      <c r="F250" s="222" t="n">
        <v>1.6</v>
      </c>
      <c r="G250" s="258" t="inlineStr">
        <is>
          <t>от -40°С до +425°С</t>
        </is>
      </c>
      <c r="H250" s="222" t="inlineStr">
        <is>
          <t>Жидкие и газообразные среды, в том числе хлорсодержащие с содержанием влаги в хлоре не более 0,04%, по отношению к которым применяемые материалы коррозионностойки</t>
        </is>
      </c>
      <c r="I250" s="222" t="inlineStr">
        <is>
          <t>Углеродистая сталь</t>
        </is>
      </c>
      <c r="J250" s="223" t="inlineStr">
        <is>
          <t>У1</t>
        </is>
      </c>
      <c r="K250" s="222" t="inlineStr">
        <is>
          <t>фланцевый</t>
        </is>
      </c>
      <c r="L250" s="223" t="inlineStr">
        <is>
          <t>ручной (маховик)</t>
        </is>
      </c>
      <c r="M250" s="253" t="inlineStr">
        <is>
          <t>-</t>
        </is>
      </c>
      <c r="N250" s="222" t="inlineStr">
        <is>
          <t>-</t>
        </is>
      </c>
      <c r="O250" s="222" t="inlineStr">
        <is>
          <t>-</t>
        </is>
      </c>
      <c r="P250" s="222" t="n"/>
      <c r="Q250" s="222" t="n"/>
      <c r="R250" s="198">
        <f>A250</f>
        <v/>
      </c>
      <c r="S250" s="205" t="n"/>
      <c r="T250" s="205" t="n"/>
      <c r="U250" s="205" t="n"/>
      <c r="V250" s="205" t="n"/>
      <c r="W250" s="205" t="n"/>
      <c r="X250" s="205" t="n"/>
      <c r="Y250" s="205" t="n"/>
      <c r="Z250" s="205" t="n"/>
      <c r="AA250" s="205" t="n"/>
      <c r="AB250" s="205" t="n"/>
      <c r="AC250" s="205" t="n"/>
      <c r="AD250" s="205" t="n"/>
      <c r="AE250" s="205" t="n"/>
      <c r="AF250" s="205" t="n"/>
      <c r="AG250" s="205" t="n"/>
      <c r="AH250" s="205" t="n"/>
      <c r="AI250" s="202" t="n"/>
    </row>
    <row r="251" ht="204" customHeight="1" s="169">
      <c r="A251" s="192" t="n">
        <v>30</v>
      </c>
      <c r="B251" s="193" t="inlineStr">
        <is>
          <t>Клапан запорный 15с18п Ду 80 Ру 25</t>
        </is>
      </c>
      <c r="C251" s="222" t="inlineStr">
        <is>
          <t>ГОСТ 33423-2015</t>
        </is>
      </c>
      <c r="D251" s="222" t="n">
        <v>80</v>
      </c>
      <c r="E251" s="222" t="inlineStr">
        <is>
          <t>стандарт</t>
        </is>
      </c>
      <c r="F251" s="222" t="n">
        <v>2.5</v>
      </c>
      <c r="G251" s="222" t="inlineStr">
        <is>
          <t xml:space="preserve">	от -40 до +150 °С</t>
        </is>
      </c>
      <c r="H251" s="222" t="inlineStr">
        <is>
          <t>аммиак при температуре от -40 до +150 °С; топливный газ при температуре до 100°С</t>
        </is>
      </c>
      <c r="I251" s="222" t="inlineStr">
        <is>
          <t xml:space="preserve">	сталь 25Л</t>
        </is>
      </c>
      <c r="J251" s="222" t="inlineStr">
        <is>
          <t>-</t>
        </is>
      </c>
      <c r="K251" s="223" t="inlineStr">
        <is>
          <t>фланцевый</t>
        </is>
      </c>
      <c r="L251" s="222" t="inlineStr">
        <is>
          <t>ручной (маховик)</t>
        </is>
      </c>
      <c r="M251" s="253" t="inlineStr">
        <is>
          <t>-</t>
        </is>
      </c>
      <c r="N251" s="222" t="inlineStr">
        <is>
          <t>-</t>
        </is>
      </c>
      <c r="O251" s="222" t="inlineStr">
        <is>
          <t>Стальные вентили 15с18п используются для перекрытия потока жидкого и газообразного аммиака, а также топливного газа. Температурный режим рабочих сред запорных клапанов 15с18п может достигать в пиковых значениях 150°С при условном давлении в пределах 2,5 МПа. Вентиль 15с18п присоединяется к трубопроводу с помощью фланцев по ГОСТ 33259-2015. Управляется вручную, вращением маховика. Устанавливается на трубопроводах для перекрытия потока при проведении ремонтных, монтажных или профилактических работ. Запорные вентили 15с18п изготавливаются диаметрами условного прохода от 40 до 200 мм и имеют класс герметичности В</t>
        </is>
      </c>
      <c r="P251" s="222" t="n"/>
      <c r="Q251" s="222" t="n"/>
      <c r="R251" s="198">
        <f>A251</f>
        <v/>
      </c>
      <c r="S251" s="205" t="n"/>
      <c r="T251" s="205" t="n"/>
      <c r="U251" s="205" t="n"/>
      <c r="V251" s="205" t="n"/>
      <c r="W251" s="205" t="n"/>
      <c r="X251" s="205" t="n"/>
      <c r="Y251" s="205" t="n"/>
      <c r="Z251" s="205" t="n"/>
      <c r="AA251" s="205" t="n"/>
      <c r="AB251" s="205" t="n"/>
      <c r="AC251" s="205" t="n"/>
      <c r="AD251" s="205" t="n"/>
      <c r="AE251" s="205" t="n"/>
      <c r="AF251" s="205" t="n"/>
      <c r="AG251" s="205" t="n"/>
      <c r="AH251" s="205" t="n"/>
      <c r="AI251" s="202" t="n"/>
    </row>
    <row r="252" ht="204" customHeight="1" s="169">
      <c r="A252" s="192" t="n">
        <v>31</v>
      </c>
      <c r="B252" s="193" t="inlineStr">
        <is>
          <t>Клапан запорный 15с18п Ду 100 Ру 25</t>
        </is>
      </c>
      <c r="C252" s="223" t="inlineStr">
        <is>
          <t>ГОСТ 33423-2015</t>
        </is>
      </c>
      <c r="D252" s="222" t="n">
        <v>100</v>
      </c>
      <c r="E252" s="223" t="inlineStr">
        <is>
          <t>стандарт</t>
        </is>
      </c>
      <c r="F252" s="222" t="n">
        <v>2.5</v>
      </c>
      <c r="G252" s="223" t="inlineStr">
        <is>
          <t xml:space="preserve">	от -40 до +150 °С</t>
        </is>
      </c>
      <c r="H252" s="222" t="inlineStr">
        <is>
          <t>аммиак при температуре от -40 до +150 °С; топливный газ при температуре до 100°С</t>
        </is>
      </c>
      <c r="I252" s="223" t="inlineStr">
        <is>
          <t xml:space="preserve">	сталь 25Л</t>
        </is>
      </c>
      <c r="J252" s="222" t="inlineStr">
        <is>
          <t>-</t>
        </is>
      </c>
      <c r="K252" s="222" t="inlineStr">
        <is>
          <t>фланцевый</t>
        </is>
      </c>
      <c r="L252" s="223" t="inlineStr">
        <is>
          <t>ручной (маховик)</t>
        </is>
      </c>
      <c r="M252" s="253" t="inlineStr">
        <is>
          <t>-</t>
        </is>
      </c>
      <c r="N252" s="222" t="inlineStr">
        <is>
          <t>-</t>
        </is>
      </c>
      <c r="O252" s="223" t="inlineStr">
        <is>
          <t>Стальные вентили 15с18п используются для перекрытия потока жидкого и газообразного аммиака, а также топливного газа. Температурный режим рабочих сред запорных клапанов 15с18п может достигать в пиковых значениях 150°С при условном давлении в пределах 2,5 МПа. Вентиль 15с18п присоединяется к трубопроводу с помощью фланцев по ГОСТ 33259-2015. Управляется вручную, вращением маховика. Устанавливается на трубопроводах для перекрытия потока при проведении ремонтных, монтажных или профилактических работ. Запорные вентили 15с18п изготавливаются диаметрами условного прохода от 40 до 200 мм и имеют класс герметичности В</t>
        </is>
      </c>
      <c r="P252" s="222" t="n"/>
      <c r="Q252" s="222" t="n"/>
      <c r="R252" s="198">
        <f>A252</f>
        <v/>
      </c>
      <c r="S252" s="205" t="n"/>
      <c r="T252" s="205" t="n"/>
      <c r="U252" s="205" t="n"/>
      <c r="V252" s="205" t="n"/>
      <c r="W252" s="205" t="n"/>
      <c r="X252" s="205" t="n"/>
      <c r="Y252" s="205" t="n"/>
      <c r="Z252" s="205" t="n"/>
      <c r="AA252" s="205" t="n"/>
      <c r="AB252" s="205" t="n"/>
      <c r="AC252" s="205" t="n"/>
      <c r="AD252" s="205" t="n"/>
      <c r="AE252" s="205" t="n"/>
      <c r="AF252" s="205" t="n"/>
      <c r="AG252" s="205" t="n"/>
      <c r="AH252" s="205" t="n"/>
      <c r="AI252" s="202" t="n"/>
    </row>
    <row r="253" ht="127.5" customFormat="1" customHeight="1" s="171">
      <c r="A253" s="192" t="n">
        <v>32</v>
      </c>
      <c r="B253" s="193" t="inlineStr">
        <is>
          <t xml:space="preserve">Клапан запорный 15с22нж Ду 25 Ру 40 </t>
        </is>
      </c>
      <c r="C253" s="222" t="inlineStr">
        <is>
          <t>ТУ 3740-002-30995032-2014</t>
        </is>
      </c>
      <c r="D253" s="222" t="n">
        <v>25</v>
      </c>
      <c r="E253" s="222" t="inlineStr">
        <is>
          <t>стандарт</t>
        </is>
      </c>
      <c r="F253" s="222" t="n">
        <v>4</v>
      </c>
      <c r="G253" s="222" t="inlineStr">
        <is>
          <t>до +425</t>
        </is>
      </c>
      <c r="H253" s="222" t="inlineStr">
        <is>
          <t>Вода, пар, аммиак, жидкие и газообразные углеводороды, нефть, нефтепродукты,
топливный и природный газ, воздух и другие жидкости и газы.</t>
        </is>
      </c>
      <c r="I253" s="222" t="inlineStr">
        <is>
          <t>сталь 25Л</t>
        </is>
      </c>
      <c r="J253" s="222" t="inlineStr">
        <is>
          <t>Температура окружающей среды от -40 до +40 °C</t>
        </is>
      </c>
      <c r="K253" s="222" t="inlineStr">
        <is>
          <t>фланцевый</t>
        </is>
      </c>
      <c r="L253" s="222" t="inlineStr">
        <is>
          <t>ручной (маховик)</t>
        </is>
      </c>
      <c r="M253" s="253" t="inlineStr">
        <is>
          <t>-</t>
        </is>
      </c>
      <c r="N253" s="222" t="inlineStr">
        <is>
          <t>любое</t>
        </is>
      </c>
      <c r="O253" s="222" t="inlineStr">
        <is>
          <t>Золотник: Сталь 20Х13
Шпиндель: Сталь 20Х13
Контргайка: Сталь 35
Маховик: Сталь 25Л</t>
        </is>
      </c>
      <c r="P253" s="222" t="inlineStr">
        <is>
          <t>-</t>
        </is>
      </c>
      <c r="Q253" s="222" t="inlineStr">
        <is>
          <t>-</t>
        </is>
      </c>
      <c r="R253" s="198">
        <f>A253</f>
        <v/>
      </c>
      <c r="S253" s="205" t="n"/>
      <c r="T253" s="205" t="n"/>
      <c r="U253" s="205" t="n"/>
      <c r="V253" s="205" t="n"/>
      <c r="W253" s="205" t="n"/>
      <c r="X253" s="205" t="n"/>
      <c r="Y253" s="205" t="n"/>
      <c r="Z253" s="205" t="n"/>
      <c r="AA253" s="205" t="n"/>
      <c r="AB253" s="205" t="n"/>
      <c r="AC253" s="205" t="n"/>
      <c r="AD253" s="205" t="n"/>
      <c r="AE253" s="205" t="n"/>
      <c r="AF253" s="205" t="n"/>
      <c r="AG253" s="205" t="n"/>
      <c r="AH253" s="205" t="n"/>
      <c r="AI253" s="202" t="n"/>
    </row>
    <row r="254" ht="127.5" customFormat="1" customHeight="1" s="171">
      <c r="A254" s="192" t="n">
        <v>33</v>
      </c>
      <c r="B254" s="193" t="inlineStr">
        <is>
          <t>Клапан запорный 15с22нж Ду 32 Ру 40</t>
        </is>
      </c>
      <c r="C254" s="222" t="inlineStr">
        <is>
          <t>ТУ 3740-002-30995032-2014</t>
        </is>
      </c>
      <c r="D254" s="222" t="n">
        <v>32</v>
      </c>
      <c r="E254" s="222" t="inlineStr">
        <is>
          <t>стандарт</t>
        </is>
      </c>
      <c r="F254" s="222" t="n">
        <v>4</v>
      </c>
      <c r="G254" s="222" t="inlineStr">
        <is>
          <t>до +425</t>
        </is>
      </c>
      <c r="H254" s="222" t="inlineStr">
        <is>
          <t>Вода, пар, аммиак, жидкие и газообразные углеводороды, нефть, нефтепродукты,
топливный и природный газ, воздух и другие жидкости и газы.</t>
        </is>
      </c>
      <c r="I254" s="222" t="inlineStr">
        <is>
          <t>сталь 25Л</t>
        </is>
      </c>
      <c r="J254" s="222" t="inlineStr">
        <is>
          <t>Температура окружающей среды от -40 до +40 °C</t>
        </is>
      </c>
      <c r="K254" s="222" t="inlineStr">
        <is>
          <t>фланцевый</t>
        </is>
      </c>
      <c r="L254" s="222" t="inlineStr">
        <is>
          <t>ручной (маховик)</t>
        </is>
      </c>
      <c r="M254" s="253" t="inlineStr">
        <is>
          <t>-</t>
        </is>
      </c>
      <c r="N254" s="222" t="inlineStr">
        <is>
          <t>любое</t>
        </is>
      </c>
      <c r="O254" s="222" t="inlineStr">
        <is>
          <t>Золотник: Сталь 20Х13
Шпиндель: Сталь 20Х13
Контргайка: Сталь 35
Маховик: Сталь 25Л</t>
        </is>
      </c>
      <c r="P254" s="222" t="inlineStr">
        <is>
          <t>-</t>
        </is>
      </c>
      <c r="Q254" s="222" t="inlineStr">
        <is>
          <t>-</t>
        </is>
      </c>
      <c r="R254" s="198">
        <f>A254</f>
        <v/>
      </c>
      <c r="S254" s="205" t="n"/>
      <c r="T254" s="205" t="n"/>
      <c r="U254" s="205" t="n"/>
      <c r="V254" s="205" t="n"/>
      <c r="W254" s="205" t="n"/>
      <c r="X254" s="205" t="n"/>
      <c r="Y254" s="205" t="n"/>
      <c r="Z254" s="205" t="n"/>
      <c r="AA254" s="205" t="n"/>
      <c r="AB254" s="205" t="n"/>
      <c r="AC254" s="205" t="n"/>
      <c r="AD254" s="205" t="n"/>
      <c r="AE254" s="205" t="n"/>
      <c r="AF254" s="205" t="n"/>
      <c r="AG254" s="205" t="n"/>
      <c r="AH254" s="205" t="n"/>
      <c r="AI254" s="202" t="n"/>
    </row>
    <row r="255" ht="127.5" customFormat="1" customHeight="1" s="171">
      <c r="A255" s="192" t="n">
        <v>34</v>
      </c>
      <c r="B255" s="193" t="inlineStr">
        <is>
          <t>Клапан запорный 15с22нж Ду 40 Ру 40</t>
        </is>
      </c>
      <c r="C255" s="222" t="inlineStr">
        <is>
          <t>ТУ 3740-002-30995032-2014</t>
        </is>
      </c>
      <c r="D255" s="222" t="n">
        <v>40</v>
      </c>
      <c r="E255" s="222" t="inlineStr">
        <is>
          <t>стандарт</t>
        </is>
      </c>
      <c r="F255" s="222" t="n">
        <v>4</v>
      </c>
      <c r="G255" s="222" t="inlineStr">
        <is>
          <t>до +425</t>
        </is>
      </c>
      <c r="H255" s="222" t="inlineStr">
        <is>
          <t>Вода, пар, аммиак, жидкие и газообразные углеводороды, нефть, нефтепродукты,
топливный и природный газ, воздух и другие жидкости и газы.</t>
        </is>
      </c>
      <c r="I255" s="222" t="inlineStr">
        <is>
          <t>сталь 25Л</t>
        </is>
      </c>
      <c r="J255" s="222" t="inlineStr">
        <is>
          <t>Температура окружающей среды от -40 до +40 °C</t>
        </is>
      </c>
      <c r="K255" s="222" t="inlineStr">
        <is>
          <t>фланцевый</t>
        </is>
      </c>
      <c r="L255" s="222" t="inlineStr">
        <is>
          <t>ручной (маховик)</t>
        </is>
      </c>
      <c r="M255" s="253" t="inlineStr">
        <is>
          <t>-</t>
        </is>
      </c>
      <c r="N255" s="222" t="inlineStr">
        <is>
          <t>любое</t>
        </is>
      </c>
      <c r="O255" s="222" t="inlineStr">
        <is>
          <t>Золотник: Сталь 20Х13
Шпиндель: Сталь 20Х13
Контргайка: Сталь 35
Маховик: Сталь 25Л</t>
        </is>
      </c>
      <c r="P255" s="222" t="inlineStr">
        <is>
          <t>-</t>
        </is>
      </c>
      <c r="Q255" s="222" t="inlineStr">
        <is>
          <t>-</t>
        </is>
      </c>
      <c r="R255" s="198">
        <f>A255</f>
        <v/>
      </c>
      <c r="S255" s="205" t="n"/>
      <c r="T255" s="205" t="n"/>
      <c r="U255" s="205" t="n"/>
      <c r="V255" s="205" t="n"/>
      <c r="W255" s="205" t="n"/>
      <c r="X255" s="205" t="n"/>
      <c r="Y255" s="205" t="n"/>
      <c r="Z255" s="205" t="n"/>
      <c r="AA255" s="205" t="n"/>
      <c r="AB255" s="205" t="n"/>
      <c r="AC255" s="205" t="n"/>
      <c r="AD255" s="205" t="n"/>
      <c r="AE255" s="205" t="n"/>
      <c r="AF255" s="205" t="n"/>
      <c r="AG255" s="205" t="n"/>
      <c r="AH255" s="205" t="n"/>
      <c r="AI255" s="202" t="n"/>
    </row>
    <row r="256" ht="127.5" customFormat="1" customHeight="1" s="171">
      <c r="A256" s="192" t="n">
        <v>35</v>
      </c>
      <c r="B256" s="193" t="inlineStr">
        <is>
          <t>Клапан запорный 15с22нж Ду 50 Ру 40</t>
        </is>
      </c>
      <c r="C256" s="222" t="inlineStr">
        <is>
          <t>ТУ 3740-002-30995032-2014</t>
        </is>
      </c>
      <c r="D256" s="222" t="n">
        <v>50</v>
      </c>
      <c r="E256" s="222" t="inlineStr">
        <is>
          <t>стандарт</t>
        </is>
      </c>
      <c r="F256" s="222" t="n">
        <v>4</v>
      </c>
      <c r="G256" s="222" t="inlineStr">
        <is>
          <t>до +425</t>
        </is>
      </c>
      <c r="H256" s="222" t="inlineStr">
        <is>
          <t>Вода, пар, аммиак, жидкие и газообразные углеводороды, нефть, нефтепродукты,
топливный и природный газ, воздух и другие жидкости и газы.</t>
        </is>
      </c>
      <c r="I256" s="222" t="inlineStr">
        <is>
          <t>сталь 25Л</t>
        </is>
      </c>
      <c r="J256" s="222" t="inlineStr">
        <is>
          <t>Температура окружающей среды от -40 до +40 °C</t>
        </is>
      </c>
      <c r="K256" s="222" t="inlineStr">
        <is>
          <t>фланцевый</t>
        </is>
      </c>
      <c r="L256" s="222" t="inlineStr">
        <is>
          <t>ручной (маховик)</t>
        </is>
      </c>
      <c r="M256" s="253" t="inlineStr">
        <is>
          <t>-</t>
        </is>
      </c>
      <c r="N256" s="222" t="inlineStr">
        <is>
          <t>любое</t>
        </is>
      </c>
      <c r="O256" s="222" t="inlineStr">
        <is>
          <t>Золотник: Сталь 20Х13
Шпиндель: Сталь 20Х13
Контргайка: Сталь 35
Маховик: Сталь 25Л</t>
        </is>
      </c>
      <c r="P256" s="222" t="inlineStr">
        <is>
          <t>-</t>
        </is>
      </c>
      <c r="Q256" s="222" t="inlineStr">
        <is>
          <t>-</t>
        </is>
      </c>
      <c r="R256" s="198">
        <f>A256</f>
        <v/>
      </c>
      <c r="S256" s="205" t="n"/>
      <c r="T256" s="205" t="n"/>
      <c r="U256" s="205" t="n"/>
      <c r="V256" s="205" t="n"/>
      <c r="W256" s="205" t="n"/>
      <c r="X256" s="205" t="n"/>
      <c r="Y256" s="205" t="n"/>
      <c r="Z256" s="205" t="n"/>
      <c r="AA256" s="205" t="n"/>
      <c r="AB256" s="205" t="n"/>
      <c r="AC256" s="205" t="n"/>
      <c r="AD256" s="205" t="n"/>
      <c r="AE256" s="205" t="n"/>
      <c r="AF256" s="205" t="n"/>
      <c r="AG256" s="205" t="n"/>
      <c r="AH256" s="205" t="n"/>
      <c r="AI256" s="202" t="n"/>
    </row>
    <row r="257" ht="127.5" customFormat="1" customHeight="1" s="171">
      <c r="A257" s="192" t="n">
        <v>36</v>
      </c>
      <c r="B257" s="193" t="inlineStr">
        <is>
          <t>Клапан запорный 15с22нж Ду 80 Ру 40</t>
        </is>
      </c>
      <c r="C257" s="222" t="inlineStr">
        <is>
          <t>ТУ 3740-002-30995032-2014</t>
        </is>
      </c>
      <c r="D257" s="222" t="n">
        <v>80</v>
      </c>
      <c r="E257" s="222" t="inlineStr">
        <is>
          <t>стандарт</t>
        </is>
      </c>
      <c r="F257" s="222" t="n">
        <v>4</v>
      </c>
      <c r="G257" s="222" t="inlineStr">
        <is>
          <t>до +425</t>
        </is>
      </c>
      <c r="H257" s="222" t="inlineStr">
        <is>
          <t>Вода, пар, аммиак, жидкие и газообразные углеводороды, нефть, нефтепродукты,
топливный и природный газ, воздух и другие жидкости и газы.</t>
        </is>
      </c>
      <c r="I257" s="222" t="inlineStr">
        <is>
          <t>сталь 25Л</t>
        </is>
      </c>
      <c r="J257" s="222" t="inlineStr">
        <is>
          <t>Температура окружающей среды от -40 до +40 °C</t>
        </is>
      </c>
      <c r="K257" s="222" t="inlineStr">
        <is>
          <t>фланцевый</t>
        </is>
      </c>
      <c r="L257" s="222" t="inlineStr">
        <is>
          <t>ручной (маховик)</t>
        </is>
      </c>
      <c r="M257" s="253" t="inlineStr">
        <is>
          <t>-</t>
        </is>
      </c>
      <c r="N257" s="222" t="inlineStr">
        <is>
          <t>любое</t>
        </is>
      </c>
      <c r="O257" s="222" t="inlineStr">
        <is>
          <t>Золотник: Сталь 20Х13
Шпиндель: Сталь 20Х13
Контргайка: Сталь 35
Маховик: Сталь 25Л</t>
        </is>
      </c>
      <c r="P257" s="222" t="inlineStr">
        <is>
          <t>-</t>
        </is>
      </c>
      <c r="Q257" s="222" t="inlineStr">
        <is>
          <t>-</t>
        </is>
      </c>
      <c r="R257" s="198">
        <f>A257</f>
        <v/>
      </c>
      <c r="S257" s="205" t="n"/>
      <c r="T257" s="205" t="n"/>
      <c r="U257" s="205" t="n"/>
      <c r="V257" s="205" t="n"/>
      <c r="W257" s="205" t="n"/>
      <c r="X257" s="205" t="n"/>
      <c r="Y257" s="205" t="n"/>
      <c r="Z257" s="205" t="n"/>
      <c r="AA257" s="205" t="n"/>
      <c r="AB257" s="205" t="n"/>
      <c r="AC257" s="205" t="n"/>
      <c r="AD257" s="205" t="n"/>
      <c r="AE257" s="205" t="n"/>
      <c r="AF257" s="205" t="n"/>
      <c r="AG257" s="205" t="n"/>
      <c r="AH257" s="205" t="n"/>
      <c r="AI257" s="202" t="n"/>
    </row>
    <row r="258" ht="51" customHeight="1" s="169">
      <c r="A258" s="192" t="n">
        <v>37</v>
      </c>
      <c r="B258" s="193" t="inlineStr">
        <is>
          <t>Клапан запорный 15с65нж Ду 100 Ру 16 с КОФ</t>
        </is>
      </c>
      <c r="C258" s="222" t="inlineStr">
        <is>
          <t>ТУ У 32200218325-004-94</t>
        </is>
      </c>
      <c r="D258" s="222" t="n">
        <v>100</v>
      </c>
      <c r="E258" s="222" t="inlineStr">
        <is>
          <t>стандарт</t>
        </is>
      </c>
      <c r="F258" s="222" t="n">
        <v>1.6</v>
      </c>
      <c r="G258" s="222" t="inlineStr">
        <is>
          <t>от -40 до +425</t>
        </is>
      </c>
      <c r="H258" s="222" t="inlineStr">
        <is>
          <t>вода, пар, неагрессивные среды</t>
        </is>
      </c>
      <c r="I258" s="222" t="inlineStr">
        <is>
          <t>сталь 25Л</t>
        </is>
      </c>
      <c r="J258" s="222" t="inlineStr">
        <is>
          <t>У1</t>
        </is>
      </c>
      <c r="K258" s="222" t="inlineStr">
        <is>
          <t>фланцевый</t>
        </is>
      </c>
      <c r="L258" s="222" t="inlineStr">
        <is>
          <t>ручной (маховик)</t>
        </is>
      </c>
      <c r="M258" s="253" t="inlineStr">
        <is>
          <t>-</t>
        </is>
      </c>
      <c r="N258" s="222" t="inlineStr">
        <is>
          <t>любое</t>
        </is>
      </c>
      <c r="O258" s="222" t="inlineStr">
        <is>
          <t>-</t>
        </is>
      </c>
      <c r="P258" s="222" t="inlineStr">
        <is>
          <t>-</t>
        </is>
      </c>
      <c r="Q258" s="222" t="inlineStr">
        <is>
          <t>с комплектом ответных фланцев</t>
        </is>
      </c>
      <c r="R258" s="198">
        <f>A258</f>
        <v/>
      </c>
      <c r="S258" s="205" t="n"/>
      <c r="T258" s="205" t="n"/>
      <c r="U258" s="205" t="n"/>
      <c r="V258" s="205" t="n"/>
      <c r="W258" s="205" t="n"/>
      <c r="X258" s="205" t="n"/>
      <c r="Y258" s="205" t="n"/>
      <c r="Z258" s="205" t="n"/>
      <c r="AA258" s="205" t="n"/>
      <c r="AB258" s="205" t="n"/>
      <c r="AC258" s="205" t="n"/>
      <c r="AD258" s="205" t="n"/>
      <c r="AE258" s="205" t="n"/>
      <c r="AF258" s="205" t="n"/>
      <c r="AG258" s="205" t="n"/>
      <c r="AH258" s="205" t="n"/>
      <c r="AI258" s="202" t="n"/>
    </row>
    <row r="259" ht="51" customHeight="1" s="169">
      <c r="A259" s="192" t="n">
        <v>38</v>
      </c>
      <c r="B259" s="193" t="inlineStr">
        <is>
          <t>Клапан запорный 15с65нж Ду 25 Ру 16 с КОФ</t>
        </is>
      </c>
      <c r="C259" s="222" t="inlineStr">
        <is>
          <t>ТУ У 32200218325-004-94</t>
        </is>
      </c>
      <c r="D259" s="222" t="n">
        <v>25</v>
      </c>
      <c r="E259" s="222" t="inlineStr">
        <is>
          <t>стандарт</t>
        </is>
      </c>
      <c r="F259" s="222" t="n">
        <v>1.6</v>
      </c>
      <c r="G259" s="222" t="inlineStr">
        <is>
          <t>от -40 до +425</t>
        </is>
      </c>
      <c r="H259" s="222" t="inlineStr">
        <is>
          <t>вода, пар, неагрессивные среды</t>
        </is>
      </c>
      <c r="I259" s="222" t="inlineStr">
        <is>
          <t>сталь 25Л</t>
        </is>
      </c>
      <c r="J259" s="222" t="inlineStr">
        <is>
          <t>У1</t>
        </is>
      </c>
      <c r="K259" s="222" t="inlineStr">
        <is>
          <t>фланцевый</t>
        </is>
      </c>
      <c r="L259" s="222" t="inlineStr">
        <is>
          <t>ручной (маховик)</t>
        </is>
      </c>
      <c r="M259" s="253" t="inlineStr">
        <is>
          <t>-</t>
        </is>
      </c>
      <c r="N259" s="222" t="inlineStr">
        <is>
          <t>любое</t>
        </is>
      </c>
      <c r="O259" s="222" t="inlineStr">
        <is>
          <t>-</t>
        </is>
      </c>
      <c r="P259" s="222" t="inlineStr">
        <is>
          <t>-</t>
        </is>
      </c>
      <c r="Q259" s="222" t="inlineStr">
        <is>
          <t>с комплектом ответных фланцев</t>
        </is>
      </c>
      <c r="R259" s="198">
        <f>A259</f>
        <v/>
      </c>
      <c r="S259" s="205" t="n"/>
      <c r="T259" s="205" t="n"/>
      <c r="U259" s="205" t="n"/>
      <c r="V259" s="205" t="n"/>
      <c r="W259" s="205" t="n"/>
      <c r="X259" s="205" t="n"/>
      <c r="Y259" s="205" t="n"/>
      <c r="Z259" s="205" t="n"/>
      <c r="AA259" s="205" t="n"/>
      <c r="AB259" s="205" t="n"/>
      <c r="AC259" s="205" t="n"/>
      <c r="AD259" s="205" t="n"/>
      <c r="AE259" s="205" t="n"/>
      <c r="AF259" s="205" t="n"/>
      <c r="AG259" s="205" t="n"/>
      <c r="AH259" s="205" t="n"/>
      <c r="AI259" s="202" t="n"/>
    </row>
    <row r="260" ht="51" customHeight="1" s="169">
      <c r="A260" s="192" t="n">
        <v>39</v>
      </c>
      <c r="B260" s="193" t="inlineStr">
        <is>
          <t>Клапан запорный 15с65нж Ду 40 Ру 16 с КОФ</t>
        </is>
      </c>
      <c r="C260" s="222" t="inlineStr">
        <is>
          <t>ТУ У 32200218325-004-94</t>
        </is>
      </c>
      <c r="D260" s="222" t="n">
        <v>40</v>
      </c>
      <c r="E260" s="222" t="inlineStr">
        <is>
          <t>стандарт</t>
        </is>
      </c>
      <c r="F260" s="222" t="n">
        <v>1.6</v>
      </c>
      <c r="G260" s="222" t="inlineStr">
        <is>
          <t>от -40 до +425</t>
        </is>
      </c>
      <c r="H260" s="222" t="inlineStr">
        <is>
          <t>вода, пар, неагрессивные среды</t>
        </is>
      </c>
      <c r="I260" s="222" t="inlineStr">
        <is>
          <t>сталь 25Л</t>
        </is>
      </c>
      <c r="J260" s="222" t="inlineStr">
        <is>
          <t>У1</t>
        </is>
      </c>
      <c r="K260" s="222" t="inlineStr">
        <is>
          <t>фланцевый</t>
        </is>
      </c>
      <c r="L260" s="222" t="inlineStr">
        <is>
          <t>ручной (маховик)</t>
        </is>
      </c>
      <c r="M260" s="253" t="inlineStr">
        <is>
          <t>-</t>
        </is>
      </c>
      <c r="N260" s="222" t="inlineStr">
        <is>
          <t>любое</t>
        </is>
      </c>
      <c r="O260" s="222" t="inlineStr">
        <is>
          <t>-</t>
        </is>
      </c>
      <c r="P260" s="222" t="inlineStr">
        <is>
          <t>-</t>
        </is>
      </c>
      <c r="Q260" s="222" t="inlineStr">
        <is>
          <t>с комплектом ответных фланцев</t>
        </is>
      </c>
      <c r="R260" s="198">
        <f>A260</f>
        <v/>
      </c>
      <c r="S260" s="205" t="n"/>
      <c r="T260" s="205" t="n"/>
      <c r="U260" s="205" t="n"/>
      <c r="V260" s="205" t="n"/>
      <c r="W260" s="205" t="n"/>
      <c r="X260" s="205" t="n"/>
      <c r="Y260" s="205" t="n"/>
      <c r="Z260" s="205" t="n"/>
      <c r="AA260" s="205" t="n"/>
      <c r="AB260" s="205" t="n"/>
      <c r="AC260" s="205" t="n"/>
      <c r="AD260" s="205" t="n"/>
      <c r="AE260" s="205" t="n"/>
      <c r="AF260" s="205" t="n"/>
      <c r="AG260" s="205" t="n"/>
      <c r="AH260" s="205" t="n"/>
      <c r="AI260" s="202" t="n"/>
    </row>
    <row r="261" ht="51" customHeight="1" s="169">
      <c r="A261" s="192" t="n">
        <v>40</v>
      </c>
      <c r="B261" s="193" t="inlineStr">
        <is>
          <t>Клапан запорный 15с65нж Ду 50 Ру 16 с КОФ</t>
        </is>
      </c>
      <c r="C261" s="222" t="inlineStr">
        <is>
          <t>ТУ У 32200218325-004-94</t>
        </is>
      </c>
      <c r="D261" s="222" t="n">
        <v>50</v>
      </c>
      <c r="E261" s="222" t="inlineStr">
        <is>
          <t>стандарт</t>
        </is>
      </c>
      <c r="F261" s="222" t="n">
        <v>1.6</v>
      </c>
      <c r="G261" s="222" t="inlineStr">
        <is>
          <t>от -40 до +425</t>
        </is>
      </c>
      <c r="H261" s="222" t="inlineStr">
        <is>
          <t>вода, пар, неагрессивные среды</t>
        </is>
      </c>
      <c r="I261" s="222" t="inlineStr">
        <is>
          <t>сталь 25Л</t>
        </is>
      </c>
      <c r="J261" s="222" t="inlineStr">
        <is>
          <t>У1</t>
        </is>
      </c>
      <c r="K261" s="222" t="inlineStr">
        <is>
          <t>фланцевый</t>
        </is>
      </c>
      <c r="L261" s="222" t="inlineStr">
        <is>
          <t>ручной (маховик)</t>
        </is>
      </c>
      <c r="M261" s="253" t="inlineStr">
        <is>
          <t>-</t>
        </is>
      </c>
      <c r="N261" s="222" t="inlineStr">
        <is>
          <t>любое</t>
        </is>
      </c>
      <c r="O261" s="222" t="inlineStr">
        <is>
          <t>-</t>
        </is>
      </c>
      <c r="P261" s="222" t="inlineStr">
        <is>
          <t>-</t>
        </is>
      </c>
      <c r="Q261" s="222" t="inlineStr">
        <is>
          <t>с комплектом ответных фланцев</t>
        </is>
      </c>
      <c r="R261" s="198">
        <f>A261</f>
        <v/>
      </c>
      <c r="S261" s="205" t="n"/>
      <c r="T261" s="205" t="n"/>
      <c r="U261" s="205" t="n"/>
      <c r="V261" s="205" t="n"/>
      <c r="W261" s="205" t="n"/>
      <c r="X261" s="205" t="n"/>
      <c r="Y261" s="205" t="n"/>
      <c r="Z261" s="205" t="n"/>
      <c r="AA261" s="205" t="n"/>
      <c r="AB261" s="205" t="n"/>
      <c r="AC261" s="205" t="n"/>
      <c r="AD261" s="205" t="n"/>
      <c r="AE261" s="205" t="n"/>
      <c r="AF261" s="205" t="n"/>
      <c r="AG261" s="205" t="n"/>
      <c r="AH261" s="205" t="n"/>
      <c r="AI261" s="202" t="n"/>
    </row>
    <row r="262" ht="114.75" customHeight="1" s="169">
      <c r="A262" s="192" t="n">
        <v>41</v>
      </c>
      <c r="B262" s="193" t="inlineStr">
        <is>
          <t>Задвижка 30нж41нж Ду 80 Ру 16 1исп. САЗ</t>
        </is>
      </c>
      <c r="C262" s="222" t="inlineStr">
        <is>
          <t>ГОСТ 5762-2002</t>
        </is>
      </c>
      <c r="D262" s="222" t="n">
        <v>80</v>
      </c>
      <c r="E262" s="222" t="inlineStr">
        <is>
          <t>стандарт</t>
        </is>
      </c>
      <c r="F262" s="222" t="n">
        <v>1.6</v>
      </c>
      <c r="G262" s="222" t="inlineStr">
        <is>
          <t>от -60 до +560</t>
        </is>
      </c>
      <c r="H262" s="222" t="inlineStr">
        <is>
          <t>Жидкие и газообразные углеводороды, нефть, нефтепродукты, природный газ, газоконденсат, вода пар и другие жидкости и газы</t>
        </is>
      </c>
      <c r="I262" s="222" t="inlineStr">
        <is>
          <t>сталь 12Х18Н9ТЛ</t>
        </is>
      </c>
      <c r="J262" s="222" t="inlineStr">
        <is>
          <t>УХЛ1</t>
        </is>
      </c>
      <c r="K262" s="222" t="inlineStr">
        <is>
          <t>фланцевый</t>
        </is>
      </c>
      <c r="L262" s="222" t="inlineStr">
        <is>
          <t>ручной (маховик)</t>
        </is>
      </c>
      <c r="M262" s="253" t="inlineStr">
        <is>
          <t>-</t>
        </is>
      </c>
      <c r="N262" s="222" t="inlineStr">
        <is>
          <t>любое</t>
        </is>
      </c>
      <c r="O262" s="222" t="inlineStr">
        <is>
          <t>1) Диски-12Х18Н9ТЛ; 2) Шпиндель-12Х18Н9Т; 3) Прокладка-Паронит ПМБ; 4) Крышка-12Х18Н9ТЛ; 5) Гайка-12Х18Н9Т; 6) Шпилька 45Х14Н14В2М; 7) Набивка сальника-ТРГ; 8)Сальник-12Х18Н9ТЛ; 9) Болт откидной-45Х14Н14В2М; 10) Втулка резьбовая-Лц 40С; 11)Маховик-20ГЛ; 12) Контргайка-35Х; 13)Шпонка-40Х; 14) Ось-2Х18Н9</t>
        </is>
      </c>
      <c r="P262" s="222" t="inlineStr">
        <is>
          <t>-</t>
        </is>
      </c>
      <c r="Q262" s="222" t="inlineStr">
        <is>
          <t>1 исп. САЗ</t>
        </is>
      </c>
      <c r="R262" s="198">
        <f>A262</f>
        <v/>
      </c>
      <c r="S262" s="205" t="n"/>
      <c r="T262" s="205" t="n"/>
      <c r="U262" s="205" t="n"/>
      <c r="V262" s="205" t="n"/>
      <c r="W262" s="205" t="n"/>
      <c r="X262" s="205" t="n"/>
      <c r="Y262" s="205" t="n"/>
      <c r="Z262" s="205" t="n"/>
      <c r="AA262" s="205" t="n"/>
      <c r="AB262" s="205" t="n"/>
      <c r="AC262" s="205" t="n"/>
      <c r="AD262" s="205" t="n"/>
      <c r="AE262" s="205" t="n"/>
      <c r="AF262" s="205" t="n"/>
      <c r="AG262" s="205" t="n"/>
      <c r="AH262" s="205" t="n"/>
      <c r="AI262" s="202" t="n"/>
    </row>
    <row r="263" ht="76.5" customHeight="1" s="169">
      <c r="A263" s="192" t="n">
        <v>42</v>
      </c>
      <c r="B263" s="193" t="inlineStr">
        <is>
          <t>Задвижка 30с41нж Ду 50 Ру 16</t>
        </is>
      </c>
      <c r="C263" s="222" t="inlineStr">
        <is>
          <t>ТУ 3741–001–24380482–2016</t>
        </is>
      </c>
      <c r="D263" s="222" t="n">
        <v>50</v>
      </c>
      <c r="E263" s="222" t="inlineStr">
        <is>
          <t>стандарт</t>
        </is>
      </c>
      <c r="F263" s="222" t="n">
        <v>1.6</v>
      </c>
      <c r="G263" s="222" t="inlineStr">
        <is>
          <t>до +425</t>
        </is>
      </c>
      <c r="H263" s="222" t="inlineStr">
        <is>
          <t>вода, пар, жидкие неагрессивные среды</t>
        </is>
      </c>
      <c r="I263" s="222" t="inlineStr">
        <is>
          <t>сталь 25Л</t>
        </is>
      </c>
      <c r="J263" s="222" t="inlineStr">
        <is>
          <t>У1</t>
        </is>
      </c>
      <c r="K263" s="222" t="inlineStr">
        <is>
          <t>фланцевый</t>
        </is>
      </c>
      <c r="L263" s="222" t="inlineStr">
        <is>
          <t>ручной (маховик)</t>
        </is>
      </c>
      <c r="M263" s="253" t="inlineStr">
        <is>
          <t>-</t>
        </is>
      </c>
      <c r="N263" s="222" t="inlineStr">
        <is>
          <t>маховиком вверх</t>
        </is>
      </c>
      <c r="O263" s="222" t="inlineStr">
        <is>
          <t>Корпус, крышка, клин, маховик - сталь 25Л ГОСТ 977
шпиндель - сталь 20Х13 ГОСТ 5632
прокладка и уплотнение сальниковое - ТРГ
наплавка на кольце в корпусе и клине - тип 20Х13</t>
        </is>
      </c>
      <c r="P263" s="262" t="inlineStr">
        <is>
          <t>-</t>
        </is>
      </c>
      <c r="Q263" s="262" t="inlineStr">
        <is>
          <t>-</t>
        </is>
      </c>
      <c r="R263" s="198">
        <f>A263</f>
        <v/>
      </c>
      <c r="S263" s="205" t="n"/>
      <c r="T263" s="205" t="n"/>
      <c r="U263" s="205" t="n"/>
      <c r="V263" s="205" t="n"/>
      <c r="W263" s="205" t="n"/>
      <c r="X263" s="205" t="n"/>
      <c r="Y263" s="205" t="n"/>
      <c r="Z263" s="205" t="n"/>
      <c r="AA263" s="205" t="n"/>
      <c r="AB263" s="205" t="n"/>
      <c r="AC263" s="205" t="n"/>
      <c r="AD263" s="205" t="n"/>
      <c r="AE263" s="205" t="n"/>
      <c r="AF263" s="205" t="n"/>
      <c r="AG263" s="205" t="n"/>
      <c r="AH263" s="205" t="n"/>
      <c r="AI263" s="202" t="n"/>
    </row>
    <row r="264" ht="63.75" customFormat="1" customHeight="1" s="171">
      <c r="A264" s="192" t="n">
        <v>43</v>
      </c>
      <c r="B264" s="193" t="inlineStr">
        <is>
          <t>Задвижка 30с41нж Ду 80 Ру 16</t>
        </is>
      </c>
      <c r="C264" s="210" t="inlineStr">
        <is>
          <t>ТУ 3741–001–24380482–2016</t>
        </is>
      </c>
      <c r="D264" s="210" t="n">
        <v>80</v>
      </c>
      <c r="E264" s="210" t="inlineStr">
        <is>
          <t>стандарт</t>
        </is>
      </c>
      <c r="F264" s="210" t="n">
        <v>1.6</v>
      </c>
      <c r="G264" s="210" t="inlineStr">
        <is>
          <t>до +425</t>
        </is>
      </c>
      <c r="H264" s="210" t="inlineStr">
        <is>
          <t>вода, пар, жидкие неагрессивные среды</t>
        </is>
      </c>
      <c r="I264" s="210" t="inlineStr">
        <is>
          <t>сталь 25Л</t>
        </is>
      </c>
      <c r="J264" s="210" t="inlineStr">
        <is>
          <t>У1</t>
        </is>
      </c>
      <c r="K264" s="210" t="inlineStr">
        <is>
          <t>фланцевый</t>
        </is>
      </c>
      <c r="L264" s="210" t="inlineStr">
        <is>
          <t>ручной (маховик)</t>
        </is>
      </c>
      <c r="M264" s="212" t="inlineStr">
        <is>
          <t>-</t>
        </is>
      </c>
      <c r="N264" s="210" t="inlineStr">
        <is>
          <t>маховиком вверх</t>
        </is>
      </c>
      <c r="O264" s="210" t="inlineStr">
        <is>
          <t>Корпус, крышка, клин, маховик - сталь 25Л ГОСТ 977
шпиндель - сталь 20Х13 ГОСТ 5632
прокладка и уплотнение сальниковое - ТРГ
наплавка на кольце в корпусе и клине - тип 20Х13</t>
        </is>
      </c>
      <c r="P264" s="262" t="inlineStr">
        <is>
          <t>-</t>
        </is>
      </c>
      <c r="Q264" s="262" t="inlineStr">
        <is>
          <t>-</t>
        </is>
      </c>
      <c r="R264" s="198">
        <f>A264</f>
        <v/>
      </c>
      <c r="S264" s="205" t="n"/>
      <c r="T264" s="205" t="n"/>
      <c r="U264" s="205" t="n"/>
      <c r="V264" s="205" t="n"/>
      <c r="W264" s="205" t="n"/>
      <c r="X264" s="205" t="n"/>
      <c r="Y264" s="205" t="n"/>
      <c r="Z264" s="205" t="n"/>
      <c r="AA264" s="205" t="n"/>
      <c r="AB264" s="205" t="n"/>
      <c r="AC264" s="205" t="n"/>
      <c r="AD264" s="205" t="n"/>
      <c r="AE264" s="205" t="n"/>
      <c r="AF264" s="205" t="n"/>
      <c r="AG264" s="205" t="n"/>
      <c r="AH264" s="205" t="n"/>
      <c r="AI264" s="202" t="n"/>
    </row>
    <row r="265" ht="63.75" customHeight="1" s="169">
      <c r="A265" s="192" t="n">
        <v>44</v>
      </c>
      <c r="B265" s="193" t="inlineStr">
        <is>
          <t>Задвижка 30с41нж Ду 100 Ру 16</t>
        </is>
      </c>
      <c r="C265" s="210" t="inlineStr">
        <is>
          <t>ТУ 3741–001–24380482–2016</t>
        </is>
      </c>
      <c r="D265" s="210" t="n">
        <v>100</v>
      </c>
      <c r="E265" s="210" t="inlineStr">
        <is>
          <t>стандарт</t>
        </is>
      </c>
      <c r="F265" s="210" t="n">
        <v>1.6</v>
      </c>
      <c r="G265" s="210" t="inlineStr">
        <is>
          <t>до +425</t>
        </is>
      </c>
      <c r="H265" s="210" t="inlineStr">
        <is>
          <t>вода, пар, жидкие неагрессивные среды</t>
        </is>
      </c>
      <c r="I265" s="210" t="inlineStr">
        <is>
          <t>сталь 25Л</t>
        </is>
      </c>
      <c r="J265" s="210" t="inlineStr">
        <is>
          <t>У1</t>
        </is>
      </c>
      <c r="K265" s="210" t="inlineStr">
        <is>
          <t>фланцевый</t>
        </is>
      </c>
      <c r="L265" s="210" t="inlineStr">
        <is>
          <t>ручной (маховик)</t>
        </is>
      </c>
      <c r="M265" s="212" t="inlineStr">
        <is>
          <t>-</t>
        </is>
      </c>
      <c r="N265" s="210" t="inlineStr">
        <is>
          <t>маховиком вверх</t>
        </is>
      </c>
      <c r="O265" s="210" t="inlineStr">
        <is>
          <t>Корпус, крышка, клин, маховик - сталь 25Л ГОСТ 977
шпиндель - сталь 20Х13 ГОСТ 5632
прокладка и уплотнение сальниковое - ТРГ
наплавка на кольце в корпусе и клине - тип 20Х13</t>
        </is>
      </c>
      <c r="P265" s="262" t="inlineStr">
        <is>
          <t>-</t>
        </is>
      </c>
      <c r="Q265" s="262" t="inlineStr">
        <is>
          <t>-</t>
        </is>
      </c>
      <c r="R265" s="198">
        <f>A265</f>
        <v/>
      </c>
      <c r="S265" s="205" t="n"/>
      <c r="T265" s="205" t="n"/>
      <c r="U265" s="205" t="n"/>
      <c r="V265" s="205" t="n"/>
      <c r="W265" s="205" t="n"/>
      <c r="X265" s="205" t="n"/>
      <c r="Y265" s="205" t="n"/>
      <c r="Z265" s="205" t="n"/>
      <c r="AA265" s="205" t="n"/>
      <c r="AB265" s="205" t="n"/>
      <c r="AC265" s="205" t="n"/>
      <c r="AD265" s="205" t="n"/>
      <c r="AE265" s="205" t="n"/>
      <c r="AF265" s="205" t="n"/>
      <c r="AG265" s="205" t="n"/>
      <c r="AH265" s="205" t="n"/>
      <c r="AI265" s="202" t="n"/>
    </row>
    <row r="266" ht="76.5" customHeight="1" s="169">
      <c r="A266" s="192" t="n">
        <v>45</v>
      </c>
      <c r="B266" s="193" t="inlineStr">
        <is>
          <t>Задвижка 30с41нж Ду 150 Ру 16</t>
        </is>
      </c>
      <c r="C266" s="222" t="inlineStr">
        <is>
          <t>ТУ 3741–001–24380482–2016</t>
        </is>
      </c>
      <c r="D266" s="222" t="n">
        <v>150</v>
      </c>
      <c r="E266" s="222" t="inlineStr">
        <is>
          <t>стандарт</t>
        </is>
      </c>
      <c r="F266" s="222" t="n">
        <v>1.6</v>
      </c>
      <c r="G266" s="222" t="inlineStr">
        <is>
          <t>до +425</t>
        </is>
      </c>
      <c r="H266" s="222" t="inlineStr">
        <is>
          <t>вода, пар, жидкие неагрессивные среды</t>
        </is>
      </c>
      <c r="I266" s="222" t="inlineStr">
        <is>
          <t>сталь 25Л</t>
        </is>
      </c>
      <c r="J266" s="222" t="inlineStr">
        <is>
          <t>У1</t>
        </is>
      </c>
      <c r="K266" s="222" t="inlineStr">
        <is>
          <t>фланцевый</t>
        </is>
      </c>
      <c r="L266" s="222" t="inlineStr">
        <is>
          <t>ручной (маховик)</t>
        </is>
      </c>
      <c r="M266" s="253" t="inlineStr">
        <is>
          <t>-</t>
        </is>
      </c>
      <c r="N266" s="222" t="inlineStr">
        <is>
          <t>маховиком вверх</t>
        </is>
      </c>
      <c r="O266" s="222" t="inlineStr">
        <is>
          <t>Корпус, крышка, клин, маховик - сталь 25Л ГОСТ 977
шпиндель - сталь 20Х13 ГОСТ 5632
прокладка и уплотнение сальниковое - ТРГ
наплавка на кольце в корпусе и клине - тип 20Х13</t>
        </is>
      </c>
      <c r="P266" s="262" t="inlineStr">
        <is>
          <t>-</t>
        </is>
      </c>
      <c r="Q266" s="262" t="inlineStr">
        <is>
          <t>-</t>
        </is>
      </c>
      <c r="R266" s="198">
        <f>A266</f>
        <v/>
      </c>
      <c r="S266" s="205" t="n"/>
      <c r="T266" s="205" t="n"/>
      <c r="U266" s="205" t="n"/>
      <c r="V266" s="205" t="n"/>
      <c r="W266" s="205" t="n"/>
      <c r="X266" s="205" t="n"/>
      <c r="Y266" s="205" t="n"/>
      <c r="Z266" s="205" t="n"/>
      <c r="AA266" s="205" t="n"/>
      <c r="AB266" s="205" t="n"/>
      <c r="AC266" s="205" t="n"/>
      <c r="AD266" s="205" t="n"/>
      <c r="AE266" s="205" t="n"/>
      <c r="AF266" s="205" t="n"/>
      <c r="AG266" s="205" t="n"/>
      <c r="AH266" s="205" t="n"/>
      <c r="AI266" s="202" t="n"/>
    </row>
    <row r="267" ht="76.5" customHeight="1" s="169">
      <c r="A267" s="192" t="n">
        <v>46</v>
      </c>
      <c r="B267" s="193" t="inlineStr">
        <is>
          <t>Задвижка 30с41нж Ду 200 Ру 16</t>
        </is>
      </c>
      <c r="C267" s="222" t="inlineStr">
        <is>
          <t>ТУ 3741–001–24380482–2016</t>
        </is>
      </c>
      <c r="D267" s="222" t="n">
        <v>200</v>
      </c>
      <c r="E267" s="222" t="inlineStr">
        <is>
          <t>стандарт</t>
        </is>
      </c>
      <c r="F267" s="222" t="n">
        <v>1.6</v>
      </c>
      <c r="G267" s="222" t="inlineStr">
        <is>
          <t>до +425</t>
        </is>
      </c>
      <c r="H267" s="222" t="inlineStr">
        <is>
          <t>вода, пар, жидкие неагрессивные среды</t>
        </is>
      </c>
      <c r="I267" s="222" t="inlineStr">
        <is>
          <t>сталь 25Л</t>
        </is>
      </c>
      <c r="J267" s="222" t="inlineStr">
        <is>
          <t>У1</t>
        </is>
      </c>
      <c r="K267" s="222" t="inlineStr">
        <is>
          <t>фланцевый</t>
        </is>
      </c>
      <c r="L267" s="222" t="inlineStr">
        <is>
          <t>ручной (маховик)</t>
        </is>
      </c>
      <c r="M267" s="253" t="inlineStr">
        <is>
          <t>-</t>
        </is>
      </c>
      <c r="N267" s="222" t="inlineStr">
        <is>
          <t>маховиком вверх</t>
        </is>
      </c>
      <c r="O267" s="222" t="inlineStr">
        <is>
          <t>Корпус, крышка, клин, маховик - сталь 25Л ГОСТ 977
шпиндель - сталь 20Х13 ГОСТ 5632
прокладка и уплотнение сальниковое - ТРГ
наплавка на кольце в корпусе и клине - тип 20Х13</t>
        </is>
      </c>
      <c r="P267" s="262" t="inlineStr">
        <is>
          <t>-</t>
        </is>
      </c>
      <c r="Q267" s="262" t="inlineStr">
        <is>
          <t>-</t>
        </is>
      </c>
      <c r="R267" s="198">
        <f>A267</f>
        <v/>
      </c>
      <c r="S267" s="205" t="n"/>
      <c r="T267" s="205" t="n"/>
      <c r="U267" s="205" t="n"/>
      <c r="V267" s="205" t="n"/>
      <c r="W267" s="205" t="n"/>
      <c r="X267" s="205" t="n"/>
      <c r="Y267" s="205" t="n"/>
      <c r="Z267" s="205" t="n"/>
      <c r="AA267" s="205" t="n"/>
      <c r="AB267" s="205" t="n"/>
      <c r="AC267" s="205" t="n"/>
      <c r="AD267" s="205" t="n"/>
      <c r="AE267" s="205" t="n"/>
      <c r="AF267" s="205" t="n"/>
      <c r="AG267" s="205" t="n"/>
      <c r="AH267" s="205" t="n"/>
      <c r="AI267" s="202" t="n"/>
    </row>
    <row r="268" ht="63.75" customHeight="1" s="169">
      <c r="A268" s="192" t="n">
        <v>47</v>
      </c>
      <c r="B268" s="193" t="inlineStr">
        <is>
          <t>Задвижка 30ч6бр Ду 50 Ру 10</t>
        </is>
      </c>
      <c r="C268" s="222" t="inlineStr">
        <is>
          <t>ТУ УЗ 22-03326877-021-96</t>
        </is>
      </c>
      <c r="D268" s="222" t="n">
        <v>50</v>
      </c>
      <c r="E268" s="222" t="inlineStr">
        <is>
          <t>стандарт</t>
        </is>
      </c>
      <c r="F268" s="222" t="n">
        <v>1</v>
      </c>
      <c r="G268" s="222" t="inlineStr">
        <is>
          <t>до +225</t>
        </is>
      </c>
      <c r="H268" s="222" t="inlineStr">
        <is>
          <t>вода, пар</t>
        </is>
      </c>
      <c r="I268" s="222" t="inlineStr">
        <is>
          <t>серый чугун СЧ 18 (СЧ 20)</t>
        </is>
      </c>
      <c r="J268" s="222" t="inlineStr">
        <is>
          <t>У</t>
        </is>
      </c>
      <c r="K268" s="222" t="inlineStr">
        <is>
          <t>фланцевый</t>
        </is>
      </c>
      <c r="L268" s="222" t="inlineStr">
        <is>
          <t>ручной (маховик)</t>
        </is>
      </c>
      <c r="M268" s="253" t="inlineStr">
        <is>
          <t>-</t>
        </is>
      </c>
      <c r="N268" s="222" t="inlineStr">
        <is>
          <t>любое, кроме маховиком вниз</t>
        </is>
      </c>
      <c r="O268" s="222" t="inlineStr">
        <is>
          <t>Шпиндель — сталь 20Х13;
Кольцо уплотнительное, втулка резьбовая — латунь ЛЦ38МцС2;
Прокладка под крышку — паронит ПОН;
Набивка уплотнительная — АП-31;</t>
        </is>
      </c>
      <c r="P268" s="262" t="inlineStr">
        <is>
          <t>-</t>
        </is>
      </c>
      <c r="Q268" s="262" t="inlineStr">
        <is>
          <t>-</t>
        </is>
      </c>
      <c r="R268" s="198">
        <f>A268</f>
        <v/>
      </c>
      <c r="S268" s="205" t="n"/>
      <c r="T268" s="205" t="n"/>
      <c r="U268" s="205" t="n"/>
      <c r="V268" s="205" t="n"/>
      <c r="W268" s="205" t="n"/>
      <c r="X268" s="205" t="n"/>
      <c r="Y268" s="205" t="n"/>
      <c r="Z268" s="205" t="n"/>
      <c r="AA268" s="205" t="n"/>
      <c r="AB268" s="205" t="n"/>
      <c r="AC268" s="205" t="n"/>
      <c r="AD268" s="205" t="n"/>
      <c r="AE268" s="205" t="n"/>
      <c r="AF268" s="205" t="n"/>
      <c r="AG268" s="205" t="n"/>
      <c r="AH268" s="205" t="n"/>
      <c r="AI268" s="202" t="n"/>
    </row>
    <row r="269" ht="63.75" customHeight="1" s="169">
      <c r="A269" s="192" t="n">
        <v>48</v>
      </c>
      <c r="B269" s="193" t="inlineStr">
        <is>
          <t>Задвижка 30ч6бр Ду 80 Ру 10</t>
        </is>
      </c>
      <c r="C269" s="222" t="inlineStr">
        <is>
          <t>ТУ УЗ 22-03326877-021-96</t>
        </is>
      </c>
      <c r="D269" s="222" t="n">
        <v>80</v>
      </c>
      <c r="E269" s="222" t="inlineStr">
        <is>
          <t>стандарт</t>
        </is>
      </c>
      <c r="F269" s="222" t="n">
        <v>1</v>
      </c>
      <c r="G269" s="222" t="inlineStr">
        <is>
          <t>до +225</t>
        </is>
      </c>
      <c r="H269" s="222" t="inlineStr">
        <is>
          <t>вода, пар</t>
        </is>
      </c>
      <c r="I269" s="222" t="inlineStr">
        <is>
          <t>серый чугун СЧ 18 (СЧ 20)</t>
        </is>
      </c>
      <c r="J269" s="222" t="inlineStr">
        <is>
          <t>У</t>
        </is>
      </c>
      <c r="K269" s="222" t="inlineStr">
        <is>
          <t>фланцевый</t>
        </is>
      </c>
      <c r="L269" s="222" t="inlineStr">
        <is>
          <t>ручной (маховик)</t>
        </is>
      </c>
      <c r="M269" s="253" t="inlineStr">
        <is>
          <t>-</t>
        </is>
      </c>
      <c r="N269" s="222" t="inlineStr">
        <is>
          <t>любое, кроме маховиком вниз</t>
        </is>
      </c>
      <c r="O269" s="222" t="inlineStr">
        <is>
          <t>Шпиндель — сталь 20Х13;
Кольцо уплотнительное, втулка резьбовая — латунь ЛЦ38МцС2;
Прокладка под крышку — паронит ПОН;
Набивка уплотнительная — АП-31;</t>
        </is>
      </c>
      <c r="P269" s="262" t="inlineStr">
        <is>
          <t>-</t>
        </is>
      </c>
      <c r="Q269" s="262" t="inlineStr">
        <is>
          <t>-</t>
        </is>
      </c>
      <c r="R269" s="198">
        <f>A269</f>
        <v/>
      </c>
      <c r="S269" s="205" t="n"/>
      <c r="T269" s="205" t="n"/>
      <c r="U269" s="205" t="n"/>
      <c r="V269" s="205" t="n"/>
      <c r="W269" s="205" t="n"/>
      <c r="X269" s="205" t="n"/>
      <c r="Y269" s="205" t="n"/>
      <c r="Z269" s="205" t="n"/>
      <c r="AA269" s="205" t="n"/>
      <c r="AB269" s="205" t="n"/>
      <c r="AC269" s="205" t="n"/>
      <c r="AD269" s="205" t="n"/>
      <c r="AE269" s="205" t="n"/>
      <c r="AF269" s="205" t="n"/>
      <c r="AG269" s="205" t="n"/>
      <c r="AH269" s="205" t="n"/>
      <c r="AI269" s="202" t="n"/>
    </row>
    <row r="270" ht="63.75" customHeight="1" s="169">
      <c r="A270" s="192" t="n">
        <v>49</v>
      </c>
      <c r="B270" s="193" t="inlineStr">
        <is>
          <t>Задвижка 30ч6бр Ду 100 Ру 10</t>
        </is>
      </c>
      <c r="C270" s="222" t="inlineStr">
        <is>
          <t>ТУ УЗ 22-03326877-021-96</t>
        </is>
      </c>
      <c r="D270" s="222" t="n">
        <v>100</v>
      </c>
      <c r="E270" s="222" t="inlineStr">
        <is>
          <t>стандарт</t>
        </is>
      </c>
      <c r="F270" s="222" t="n">
        <v>1</v>
      </c>
      <c r="G270" s="222" t="inlineStr">
        <is>
          <t>до +225</t>
        </is>
      </c>
      <c r="H270" s="222" t="inlineStr">
        <is>
          <t>вода, пар</t>
        </is>
      </c>
      <c r="I270" s="222" t="inlineStr">
        <is>
          <t>серый чугун СЧ 18 (СЧ 20)</t>
        </is>
      </c>
      <c r="J270" s="222" t="inlineStr">
        <is>
          <t>У</t>
        </is>
      </c>
      <c r="K270" s="222" t="inlineStr">
        <is>
          <t>фланцевый</t>
        </is>
      </c>
      <c r="L270" s="222" t="inlineStr">
        <is>
          <t>ручной (маховик)</t>
        </is>
      </c>
      <c r="M270" s="253" t="inlineStr">
        <is>
          <t>-</t>
        </is>
      </c>
      <c r="N270" s="222" t="inlineStr">
        <is>
          <t>любое, кроме маховиком вниз</t>
        </is>
      </c>
      <c r="O270" s="222" t="inlineStr">
        <is>
          <t>Шпиндель — сталь 20Х13;
Кольцо уплотнительное, втулка резьбовая — латунь ЛЦ38МцС2;
Прокладка под крышку — паронит ПОН;
Набивка уплотнительная — АП-31;</t>
        </is>
      </c>
      <c r="P270" s="262" t="inlineStr">
        <is>
          <t>-</t>
        </is>
      </c>
      <c r="Q270" s="262" t="inlineStr">
        <is>
          <t>-</t>
        </is>
      </c>
      <c r="R270" s="198">
        <f>A270</f>
        <v/>
      </c>
      <c r="S270" s="205" t="n"/>
      <c r="T270" s="205" t="n"/>
      <c r="U270" s="205" t="n"/>
      <c r="V270" s="205" t="n"/>
      <c r="W270" s="205" t="n"/>
      <c r="X270" s="205" t="n"/>
      <c r="Y270" s="205" t="n"/>
      <c r="Z270" s="205" t="n"/>
      <c r="AA270" s="205" t="n"/>
      <c r="AB270" s="205" t="n"/>
      <c r="AC270" s="205" t="n"/>
      <c r="AD270" s="205" t="n"/>
      <c r="AE270" s="205" t="n"/>
      <c r="AF270" s="205" t="n"/>
      <c r="AG270" s="205" t="n"/>
      <c r="AH270" s="205" t="n"/>
      <c r="AI270" s="202" t="n"/>
    </row>
    <row r="271" ht="51" customHeight="1" s="169">
      <c r="A271" s="192" t="n">
        <v>50</v>
      </c>
      <c r="B271" s="193" t="inlineStr">
        <is>
          <t>Кран шаровой 11б27п(м) Ду 015 Ру16 3-х ходовой для манометров</t>
        </is>
      </c>
      <c r="C271" s="222" t="inlineStr">
        <is>
          <t>Нормы герметичности затвора: ГОСТ 9544-2015</t>
        </is>
      </c>
      <c r="D271" s="222" t="n">
        <v>15</v>
      </c>
      <c r="E271" s="222" t="inlineStr">
        <is>
          <t>полный</t>
        </is>
      </c>
      <c r="F271" s="222" t="n">
        <v>1.6</v>
      </c>
      <c r="G271" s="222" t="inlineStr">
        <is>
          <t>до +225</t>
        </is>
      </c>
      <c r="H271" s="222" t="inlineStr">
        <is>
          <t>вода, пар</t>
        </is>
      </c>
      <c r="I271" s="222" t="inlineStr">
        <is>
          <t>латунь ЛЦ40Сд</t>
        </is>
      </c>
      <c r="J271" s="222" t="inlineStr">
        <is>
          <t>У1</t>
        </is>
      </c>
      <c r="K271" s="222" t="inlineStr">
        <is>
          <t>муфтовый</t>
        </is>
      </c>
      <c r="L271" s="222" t="inlineStr">
        <is>
          <t>ручной (рукоятка)</t>
        </is>
      </c>
      <c r="M271" s="253" t="inlineStr">
        <is>
          <t>-</t>
        </is>
      </c>
      <c r="N271" s="222" t="inlineStr">
        <is>
          <t>любое</t>
        </is>
      </c>
      <c r="O271" s="222" t="inlineStr">
        <is>
          <t>шаровая пробка - хромированная латунь ЛЦ40Сд; уплотнительные кольца - фторопласт-4</t>
        </is>
      </c>
      <c r="P271" s="262" t="inlineStr">
        <is>
          <t>-</t>
        </is>
      </c>
      <c r="Q271" s="262" t="inlineStr">
        <is>
          <t>-</t>
        </is>
      </c>
      <c r="R271" s="198">
        <f>A271</f>
        <v/>
      </c>
      <c r="S271" s="205" t="n"/>
      <c r="T271" s="205" t="n"/>
      <c r="U271" s="205" t="n"/>
      <c r="V271" s="205" t="n"/>
      <c r="W271" s="205" t="n"/>
      <c r="X271" s="205" t="n"/>
      <c r="Y271" s="205" t="n"/>
      <c r="Z271" s="205" t="n"/>
      <c r="AA271" s="205" t="n"/>
      <c r="AB271" s="205" t="n"/>
      <c r="AC271" s="205" t="n"/>
      <c r="AD271" s="205" t="n"/>
      <c r="AE271" s="205" t="n"/>
      <c r="AF271" s="205" t="n"/>
      <c r="AG271" s="205" t="n"/>
      <c r="AH271" s="205" t="n"/>
      <c r="AI271" s="202" t="n"/>
    </row>
    <row r="272" ht="51" customHeight="1" s="169">
      <c r="A272" s="192" t="n">
        <v>51</v>
      </c>
      <c r="B272" s="193" t="inlineStr">
        <is>
          <t>Кран шаровой 11б27п1 Ду 15 Ру 16</t>
        </is>
      </c>
      <c r="C272" s="222" t="inlineStr">
        <is>
          <t>ТУ 3712-002-04606952-03</t>
        </is>
      </c>
      <c r="D272" s="222" t="n">
        <v>15</v>
      </c>
      <c r="E272" s="222" t="inlineStr">
        <is>
          <t>стандарт</t>
        </is>
      </c>
      <c r="F272" s="222" t="n">
        <v>1.6</v>
      </c>
      <c r="G272" s="222" t="inlineStr">
        <is>
          <t>до +150</t>
        </is>
      </c>
      <c r="H272" s="222" t="inlineStr">
        <is>
          <t>вода, пар</t>
        </is>
      </c>
      <c r="I272" s="222" t="inlineStr">
        <is>
          <t>латунь ЛЦ40Сд</t>
        </is>
      </c>
      <c r="J272" s="222" t="inlineStr">
        <is>
          <t>УХЛ4</t>
        </is>
      </c>
      <c r="K272" s="222" t="inlineStr">
        <is>
          <t>муфтовый</t>
        </is>
      </c>
      <c r="L272" s="222" t="inlineStr">
        <is>
          <t>ручной (рукоятка)</t>
        </is>
      </c>
      <c r="M272" s="253" t="inlineStr">
        <is>
          <t>-</t>
        </is>
      </c>
      <c r="N272" s="222" t="inlineStr">
        <is>
          <t>любое</t>
        </is>
      </c>
      <c r="O272" s="222"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P272" s="222" t="inlineStr">
        <is>
          <t>-</t>
        </is>
      </c>
      <c r="Q272" s="222" t="inlineStr">
        <is>
          <t>-</t>
        </is>
      </c>
      <c r="R272" s="198">
        <f>A272</f>
        <v/>
      </c>
      <c r="S272" s="205" t="n"/>
      <c r="T272" s="205" t="n"/>
      <c r="U272" s="205" t="n"/>
      <c r="V272" s="205" t="n"/>
      <c r="W272" s="205" t="n"/>
      <c r="X272" s="205" t="n"/>
      <c r="Y272" s="205" t="n"/>
      <c r="Z272" s="205" t="n"/>
      <c r="AA272" s="205" t="n"/>
      <c r="AB272" s="205" t="n"/>
      <c r="AC272" s="205" t="n"/>
      <c r="AD272" s="205" t="n"/>
      <c r="AE272" s="205" t="n"/>
      <c r="AF272" s="205" t="n"/>
      <c r="AG272" s="205" t="n"/>
      <c r="AH272" s="205" t="n"/>
      <c r="AI272" s="202" t="n"/>
    </row>
    <row r="273" ht="51" customHeight="1" s="169">
      <c r="A273" s="192" t="n">
        <v>52</v>
      </c>
      <c r="B273" s="193" t="inlineStr">
        <is>
          <t>Кран шаровой 11б27п1 Ду 20 Ру 16</t>
        </is>
      </c>
      <c r="C273" s="222" t="inlineStr">
        <is>
          <t>ТУ 3712-002-04606952-03</t>
        </is>
      </c>
      <c r="D273" s="222" t="n">
        <v>20</v>
      </c>
      <c r="E273" s="222" t="inlineStr">
        <is>
          <t>стандарт</t>
        </is>
      </c>
      <c r="F273" s="222" t="n">
        <v>1.6</v>
      </c>
      <c r="G273" s="222" t="inlineStr">
        <is>
          <t>до +150</t>
        </is>
      </c>
      <c r="H273" s="222" t="inlineStr">
        <is>
          <t>вода, пар</t>
        </is>
      </c>
      <c r="I273" s="222" t="inlineStr">
        <is>
          <t>латунь ЛЦ40Сд</t>
        </is>
      </c>
      <c r="J273" s="222" t="inlineStr">
        <is>
          <t>УХЛ4</t>
        </is>
      </c>
      <c r="K273" s="222" t="inlineStr">
        <is>
          <t>муфтовый</t>
        </is>
      </c>
      <c r="L273" s="222" t="inlineStr">
        <is>
          <t>ручной (рукоятка)</t>
        </is>
      </c>
      <c r="M273" s="253" t="inlineStr">
        <is>
          <t>-</t>
        </is>
      </c>
      <c r="N273" s="222" t="inlineStr">
        <is>
          <t>любое</t>
        </is>
      </c>
      <c r="O273" s="222"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P273" s="222" t="inlineStr">
        <is>
          <t>-</t>
        </is>
      </c>
      <c r="Q273" s="222" t="inlineStr">
        <is>
          <t>-</t>
        </is>
      </c>
      <c r="R273" s="198">
        <f>A273</f>
        <v/>
      </c>
      <c r="S273" s="205" t="n"/>
      <c r="T273" s="205" t="n"/>
      <c r="U273" s="205" t="n"/>
      <c r="V273" s="205" t="n"/>
      <c r="W273" s="205" t="n"/>
      <c r="X273" s="205" t="n"/>
      <c r="Y273" s="205" t="n"/>
      <c r="Z273" s="205" t="n"/>
      <c r="AA273" s="205" t="n"/>
      <c r="AB273" s="205" t="n"/>
      <c r="AC273" s="205" t="n"/>
      <c r="AD273" s="205" t="n"/>
      <c r="AE273" s="205" t="n"/>
      <c r="AF273" s="205" t="n"/>
      <c r="AG273" s="205" t="n"/>
      <c r="AH273" s="205" t="n"/>
      <c r="AI273" s="202" t="n"/>
    </row>
    <row r="274" ht="51" customHeight="1" s="169">
      <c r="A274" s="192" t="n">
        <v>53</v>
      </c>
      <c r="B274" s="193" t="inlineStr">
        <is>
          <t>Кран шаровой 11б27п1 Ду 25 Ру 16</t>
        </is>
      </c>
      <c r="C274" s="222" t="inlineStr">
        <is>
          <t>ТУ 3712-002-04606952-03</t>
        </is>
      </c>
      <c r="D274" s="222" t="n">
        <v>25</v>
      </c>
      <c r="E274" s="222" t="inlineStr">
        <is>
          <t>стандарт</t>
        </is>
      </c>
      <c r="F274" s="222" t="n">
        <v>1.6</v>
      </c>
      <c r="G274" s="222" t="inlineStr">
        <is>
          <t>до +150</t>
        </is>
      </c>
      <c r="H274" s="222" t="inlineStr">
        <is>
          <t>вода, пар</t>
        </is>
      </c>
      <c r="I274" s="222" t="inlineStr">
        <is>
          <t>латунь ЛЦ40Сд</t>
        </is>
      </c>
      <c r="J274" s="222" t="inlineStr">
        <is>
          <t>УХЛ4</t>
        </is>
      </c>
      <c r="K274" s="222" t="inlineStr">
        <is>
          <t>муфтовый</t>
        </is>
      </c>
      <c r="L274" s="222" t="inlineStr">
        <is>
          <t>ручной (рукоятка)</t>
        </is>
      </c>
      <c r="M274" s="253" t="inlineStr">
        <is>
          <t>-</t>
        </is>
      </c>
      <c r="N274" s="222" t="inlineStr">
        <is>
          <t>любое</t>
        </is>
      </c>
      <c r="O274" s="222"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P274" s="222" t="inlineStr">
        <is>
          <t>-</t>
        </is>
      </c>
      <c r="Q274" s="222" t="inlineStr">
        <is>
          <t>-</t>
        </is>
      </c>
      <c r="R274" s="198">
        <f>A274</f>
        <v/>
      </c>
      <c r="S274" s="205" t="n"/>
      <c r="T274" s="205" t="n"/>
      <c r="U274" s="205" t="n"/>
      <c r="V274" s="205" t="n"/>
      <c r="W274" s="205" t="n"/>
      <c r="X274" s="205" t="n"/>
      <c r="Y274" s="205" t="n"/>
      <c r="Z274" s="205" t="n"/>
      <c r="AA274" s="205" t="n"/>
      <c r="AB274" s="205" t="n"/>
      <c r="AC274" s="205" t="n"/>
      <c r="AD274" s="205" t="n"/>
      <c r="AE274" s="205" t="n"/>
      <c r="AF274" s="205" t="n"/>
      <c r="AG274" s="205" t="n"/>
      <c r="AH274" s="205" t="n"/>
      <c r="AI274" s="202" t="n"/>
    </row>
    <row r="275" ht="51" customFormat="1" customHeight="1" s="171">
      <c r="A275" s="192" t="n">
        <v>54</v>
      </c>
      <c r="B275" s="193" t="inlineStr">
        <is>
          <t>Кран шаровой 11б27п1 Ду 32 Ру 16</t>
        </is>
      </c>
      <c r="C275" s="222" t="inlineStr">
        <is>
          <t>ТУ 3712-002-04606952-03</t>
        </is>
      </c>
      <c r="D275" s="222" t="n">
        <v>32</v>
      </c>
      <c r="E275" s="222" t="inlineStr">
        <is>
          <t>стандарт</t>
        </is>
      </c>
      <c r="F275" s="222" t="n">
        <v>1.6</v>
      </c>
      <c r="G275" s="222" t="inlineStr">
        <is>
          <t>до +150</t>
        </is>
      </c>
      <c r="H275" s="222" t="inlineStr">
        <is>
          <t>вода, пар</t>
        </is>
      </c>
      <c r="I275" s="222" t="inlineStr">
        <is>
          <t>латунь ЛЦ40Сд</t>
        </is>
      </c>
      <c r="J275" s="222" t="inlineStr">
        <is>
          <t>УХЛ4</t>
        </is>
      </c>
      <c r="K275" s="222" t="inlineStr">
        <is>
          <t>муфтовый</t>
        </is>
      </c>
      <c r="L275" s="222" t="inlineStr">
        <is>
          <t>ручной (рукоятка)</t>
        </is>
      </c>
      <c r="M275" s="253" t="inlineStr">
        <is>
          <t>-</t>
        </is>
      </c>
      <c r="N275" s="222" t="inlineStr">
        <is>
          <t>любое</t>
        </is>
      </c>
      <c r="O275" s="222"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P275" s="222" t="inlineStr">
        <is>
          <t>-</t>
        </is>
      </c>
      <c r="Q275" s="222" t="inlineStr">
        <is>
          <t>-</t>
        </is>
      </c>
      <c r="R275" s="198">
        <f>A275</f>
        <v/>
      </c>
      <c r="S275" s="205" t="n"/>
      <c r="T275" s="205" t="n"/>
      <c r="U275" s="205" t="n"/>
      <c r="V275" s="205" t="n"/>
      <c r="W275" s="205" t="n"/>
      <c r="X275" s="205" t="n"/>
      <c r="Y275" s="205" t="n"/>
      <c r="Z275" s="205" t="n"/>
      <c r="AA275" s="205" t="n"/>
      <c r="AB275" s="205" t="n"/>
      <c r="AC275" s="205" t="n"/>
      <c r="AD275" s="205" t="n"/>
      <c r="AE275" s="205" t="n"/>
      <c r="AF275" s="205" t="n"/>
      <c r="AG275" s="205" t="n"/>
      <c r="AH275" s="205" t="n"/>
      <c r="AI275" s="202" t="n"/>
    </row>
    <row r="276" ht="51" customFormat="1" customHeight="1" s="171">
      <c r="A276" s="192" t="n">
        <v>55</v>
      </c>
      <c r="B276" s="193" t="inlineStr">
        <is>
          <t>Кран шаровой 11б27п1 Ду 40 Ру 16</t>
        </is>
      </c>
      <c r="C276" s="222" t="inlineStr">
        <is>
          <t>ТУ 3712-002-04606952-03</t>
        </is>
      </c>
      <c r="D276" s="222" t="n">
        <v>40</v>
      </c>
      <c r="E276" s="222" t="inlineStr">
        <is>
          <t>стандарт</t>
        </is>
      </c>
      <c r="F276" s="222" t="n">
        <v>1.6</v>
      </c>
      <c r="G276" s="222" t="inlineStr">
        <is>
          <t>до +150</t>
        </is>
      </c>
      <c r="H276" s="222" t="inlineStr">
        <is>
          <t>вода, пар</t>
        </is>
      </c>
      <c r="I276" s="222" t="inlineStr">
        <is>
          <t>латунь ЛЦ40Сд</t>
        </is>
      </c>
      <c r="J276" s="222" t="inlineStr">
        <is>
          <t>УХЛ4</t>
        </is>
      </c>
      <c r="K276" s="222" t="inlineStr">
        <is>
          <t>муфтовый</t>
        </is>
      </c>
      <c r="L276" s="222" t="inlineStr">
        <is>
          <t>ручной (рукоятка)</t>
        </is>
      </c>
      <c r="M276" s="253" t="inlineStr">
        <is>
          <t>-</t>
        </is>
      </c>
      <c r="N276" s="222" t="inlineStr">
        <is>
          <t>любое</t>
        </is>
      </c>
      <c r="O276" s="222"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P276" s="222" t="inlineStr">
        <is>
          <t>-</t>
        </is>
      </c>
      <c r="Q276" s="222" t="inlineStr">
        <is>
          <t>-</t>
        </is>
      </c>
      <c r="R276" s="198">
        <f>A276</f>
        <v/>
      </c>
      <c r="S276" s="205" t="n"/>
      <c r="T276" s="205" t="n"/>
      <c r="U276" s="205" t="n"/>
      <c r="V276" s="205" t="n"/>
      <c r="W276" s="205" t="n"/>
      <c r="X276" s="205" t="n"/>
      <c r="Y276" s="205" t="n"/>
      <c r="Z276" s="205" t="n"/>
      <c r="AA276" s="205" t="n"/>
      <c r="AB276" s="205" t="n"/>
      <c r="AC276" s="205" t="n"/>
      <c r="AD276" s="205" t="n"/>
      <c r="AE276" s="205" t="n"/>
      <c r="AF276" s="205" t="n"/>
      <c r="AG276" s="205" t="n"/>
      <c r="AH276" s="205" t="n"/>
      <c r="AI276" s="202" t="n"/>
    </row>
    <row r="277" ht="51" customFormat="1" customHeight="1" s="171">
      <c r="A277" s="192" t="n">
        <v>56</v>
      </c>
      <c r="B277" s="193" t="inlineStr">
        <is>
          <t>Кран шаровой 11б27п1 Ду 50 Ру 16</t>
        </is>
      </c>
      <c r="C277" s="222" t="inlineStr">
        <is>
          <t>ТУ 3712-002-04606952-03</t>
        </is>
      </c>
      <c r="D277" s="222" t="n">
        <v>50</v>
      </c>
      <c r="E277" s="222" t="inlineStr">
        <is>
          <t>стандарт</t>
        </is>
      </c>
      <c r="F277" s="222" t="n">
        <v>1.6</v>
      </c>
      <c r="G277" s="222" t="inlineStr">
        <is>
          <t>до +150</t>
        </is>
      </c>
      <c r="H277" s="222" t="inlineStr">
        <is>
          <t>вода, пар</t>
        </is>
      </c>
      <c r="I277" s="222" t="inlineStr">
        <is>
          <t>латунь ЛЦ40Сд</t>
        </is>
      </c>
      <c r="J277" s="222" t="inlineStr">
        <is>
          <t>УХЛ4</t>
        </is>
      </c>
      <c r="K277" s="222" t="inlineStr">
        <is>
          <t>муфтовый</t>
        </is>
      </c>
      <c r="L277" s="222" t="inlineStr">
        <is>
          <t>ручной (рукоятка)</t>
        </is>
      </c>
      <c r="M277" s="253" t="inlineStr">
        <is>
          <t>-</t>
        </is>
      </c>
      <c r="N277" s="222" t="inlineStr">
        <is>
          <t>любое</t>
        </is>
      </c>
      <c r="O277" s="222" t="inlineStr">
        <is>
          <t>Запорный элемент - шар из хромированной латуни ЛС 52-2. Уплотнение шара - фторопласт Ф-4, выполненный в виде уплотнительных седел. Уплотнение шпинделя - сальниковое.</t>
        </is>
      </c>
      <c r="P277" s="222" t="inlineStr">
        <is>
          <t>-</t>
        </is>
      </c>
      <c r="Q277" s="222" t="inlineStr">
        <is>
          <t>-</t>
        </is>
      </c>
      <c r="R277" s="198">
        <f>A277</f>
        <v/>
      </c>
      <c r="S277" s="205" t="n"/>
      <c r="T277" s="205" t="n"/>
      <c r="U277" s="205" t="n"/>
      <c r="V277" s="205" t="n"/>
      <c r="W277" s="205" t="n"/>
      <c r="X277" s="205" t="n"/>
      <c r="Y277" s="205" t="n"/>
      <c r="Z277" s="205" t="n"/>
      <c r="AA277" s="205" t="n"/>
      <c r="AB277" s="205" t="n"/>
      <c r="AC277" s="205" t="n"/>
      <c r="AD277" s="205" t="n"/>
      <c r="AE277" s="205" t="n"/>
      <c r="AF277" s="205" t="n"/>
      <c r="AG277" s="205" t="n"/>
      <c r="AH277" s="205" t="n"/>
      <c r="AI277" s="202" t="n"/>
    </row>
    <row r="278" ht="114.75" customHeight="1" s="169">
      <c r="A278" s="192" t="n">
        <v>57</v>
      </c>
      <c r="B278" s="193" t="inlineStr">
        <is>
          <t>Кран шаровой 11с22п Ду 32 Ру 16</t>
        </is>
      </c>
      <c r="C278" s="222" t="inlineStr">
        <is>
          <t>ГОСТ 21345-2005</t>
        </is>
      </c>
      <c r="D278" s="222" t="n">
        <v>32</v>
      </c>
      <c r="E278" s="222" t="inlineStr">
        <is>
          <t>стандарт</t>
        </is>
      </c>
      <c r="F278" s="222" t="n">
        <v>1.6</v>
      </c>
      <c r="G278" s="222" t="inlineStr">
        <is>
          <t>до +200</t>
        </is>
      </c>
      <c r="H278" s="222" t="inlineStr">
        <is>
          <t>вода, природный газ, нефтепродукты, инертные газы</t>
        </is>
      </c>
      <c r="I278" s="222" t="inlineStr">
        <is>
          <t>сталь 20</t>
        </is>
      </c>
      <c r="J278" s="222" t="inlineStr">
        <is>
          <t>У1</t>
        </is>
      </c>
      <c r="K278" s="222" t="inlineStr">
        <is>
          <t>фланцевый</t>
        </is>
      </c>
      <c r="L278" s="222" t="inlineStr">
        <is>
          <t>ручной (рукоятка)</t>
        </is>
      </c>
      <c r="M278" s="253" t="inlineStr">
        <is>
          <t>-</t>
        </is>
      </c>
      <c r="N278" s="222" t="inlineStr">
        <is>
          <t>любое</t>
        </is>
      </c>
      <c r="O278" s="222"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278" s="222" t="inlineStr">
        <is>
          <t>-</t>
        </is>
      </c>
      <c r="Q278" s="222" t="inlineStr">
        <is>
          <t>-</t>
        </is>
      </c>
      <c r="R278" s="198">
        <f>A278</f>
        <v/>
      </c>
      <c r="S278" s="205" t="n"/>
      <c r="T278" s="205" t="n"/>
      <c r="U278" s="205" t="n"/>
      <c r="V278" s="205" t="n"/>
      <c r="W278" s="205" t="n"/>
      <c r="X278" s="205" t="n"/>
      <c r="Y278" s="205" t="n"/>
      <c r="Z278" s="205" t="n"/>
      <c r="AA278" s="205" t="n"/>
      <c r="AB278" s="205" t="n"/>
      <c r="AC278" s="205" t="n"/>
      <c r="AD278" s="205" t="n"/>
      <c r="AE278" s="205" t="n"/>
      <c r="AF278" s="205" t="n"/>
      <c r="AG278" s="205" t="n"/>
      <c r="AH278" s="205" t="n"/>
      <c r="AI278" s="202" t="n"/>
    </row>
    <row r="279" ht="114.75" customHeight="1" s="169">
      <c r="A279" s="192" t="n">
        <v>58</v>
      </c>
      <c r="B279" s="193" t="inlineStr">
        <is>
          <t>Кран шаровой 11с22п Ду 50 Ру 16</t>
        </is>
      </c>
      <c r="C279" s="222" t="inlineStr">
        <is>
          <t>ГОСТ 21345-2005</t>
        </is>
      </c>
      <c r="D279" s="222" t="n">
        <v>50</v>
      </c>
      <c r="E279" s="222" t="inlineStr">
        <is>
          <t>стандарт</t>
        </is>
      </c>
      <c r="F279" s="222" t="n">
        <v>1.6</v>
      </c>
      <c r="G279" s="222" t="inlineStr">
        <is>
          <t>до +200</t>
        </is>
      </c>
      <c r="H279" s="222" t="inlineStr">
        <is>
          <t>вода, природный газ, нефтепродукты, инертные газы</t>
        </is>
      </c>
      <c r="I279" s="222" t="inlineStr">
        <is>
          <t>сталь 20</t>
        </is>
      </c>
      <c r="J279" s="222" t="inlineStr">
        <is>
          <t>У1</t>
        </is>
      </c>
      <c r="K279" s="222" t="inlineStr">
        <is>
          <t>фланцевый</t>
        </is>
      </c>
      <c r="L279" s="222" t="inlineStr">
        <is>
          <t>ручной (рукоятка)</t>
        </is>
      </c>
      <c r="M279" s="253" t="inlineStr">
        <is>
          <t>-</t>
        </is>
      </c>
      <c r="N279" s="222" t="inlineStr">
        <is>
          <t>любое</t>
        </is>
      </c>
      <c r="O279" s="222"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279" s="222" t="inlineStr">
        <is>
          <t>-</t>
        </is>
      </c>
      <c r="Q279" s="222" t="inlineStr">
        <is>
          <t>-</t>
        </is>
      </c>
      <c r="R279" s="198">
        <f>A279</f>
        <v/>
      </c>
      <c r="S279" s="205" t="n"/>
      <c r="T279" s="205" t="n"/>
      <c r="U279" s="205" t="n"/>
      <c r="V279" s="205" t="n"/>
      <c r="W279" s="205" t="n"/>
      <c r="X279" s="205" t="n"/>
      <c r="Y279" s="205" t="n"/>
      <c r="Z279" s="205" t="n"/>
      <c r="AA279" s="205" t="n"/>
      <c r="AB279" s="205" t="n"/>
      <c r="AC279" s="205" t="n"/>
      <c r="AD279" s="205" t="n"/>
      <c r="AE279" s="205" t="n"/>
      <c r="AF279" s="205" t="n"/>
      <c r="AG279" s="205" t="n"/>
      <c r="AH279" s="205" t="n"/>
      <c r="AI279" s="202" t="n"/>
    </row>
    <row r="280" ht="114.75" customHeight="1" s="169">
      <c r="A280" s="192" t="n">
        <v>59</v>
      </c>
      <c r="B280" s="193" t="inlineStr">
        <is>
          <t>Кран шаровой 11с22п Ду 80 Ру 16</t>
        </is>
      </c>
      <c r="C280" s="222" t="inlineStr">
        <is>
          <t>ГОСТ 21345-2005</t>
        </is>
      </c>
      <c r="D280" s="222" t="n">
        <v>80</v>
      </c>
      <c r="E280" s="222" t="inlineStr">
        <is>
          <t>стандарт</t>
        </is>
      </c>
      <c r="F280" s="222" t="n">
        <v>1.6</v>
      </c>
      <c r="G280" s="222" t="inlineStr">
        <is>
          <t>до +200</t>
        </is>
      </c>
      <c r="H280" s="222" t="inlineStr">
        <is>
          <t>вода, природный газ, нефтепродукты, инертные газы</t>
        </is>
      </c>
      <c r="I280" s="222" t="inlineStr">
        <is>
          <t>сталь 20</t>
        </is>
      </c>
      <c r="J280" s="222" t="inlineStr">
        <is>
          <t>У1</t>
        </is>
      </c>
      <c r="K280" s="222" t="inlineStr">
        <is>
          <t>фланцевый</t>
        </is>
      </c>
      <c r="L280" s="222" t="inlineStr">
        <is>
          <t>ручной (рукоятка)</t>
        </is>
      </c>
      <c r="M280" s="253" t="inlineStr">
        <is>
          <t>-</t>
        </is>
      </c>
      <c r="N280" s="222" t="inlineStr">
        <is>
          <t>любое</t>
        </is>
      </c>
      <c r="O280" s="222"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280" s="222" t="inlineStr">
        <is>
          <t>-</t>
        </is>
      </c>
      <c r="Q280" s="222" t="inlineStr">
        <is>
          <t>-</t>
        </is>
      </c>
      <c r="R280" s="198">
        <f>A280</f>
        <v/>
      </c>
      <c r="S280" s="205" t="n"/>
      <c r="T280" s="205" t="n"/>
      <c r="U280" s="205" t="n"/>
      <c r="V280" s="205" t="n"/>
      <c r="W280" s="205" t="n"/>
      <c r="X280" s="205" t="n"/>
      <c r="Y280" s="205" t="n"/>
      <c r="Z280" s="205" t="n"/>
      <c r="AA280" s="205" t="n"/>
      <c r="AB280" s="205" t="n"/>
      <c r="AC280" s="205" t="n"/>
      <c r="AD280" s="205" t="n"/>
      <c r="AE280" s="205" t="n"/>
      <c r="AF280" s="205" t="n"/>
      <c r="AG280" s="205" t="n"/>
      <c r="AH280" s="205" t="n"/>
      <c r="AI280" s="202" t="n"/>
    </row>
    <row r="281" ht="114.75" customHeight="1" s="169">
      <c r="A281" s="192" t="n">
        <v>60</v>
      </c>
      <c r="B281" s="193" t="inlineStr">
        <is>
          <t>Кран шаровой 11с22п Ду 100 Ру 16</t>
        </is>
      </c>
      <c r="C281" s="222" t="inlineStr">
        <is>
          <t>ГОСТ 21345-2005</t>
        </is>
      </c>
      <c r="D281" s="222" t="n">
        <v>100</v>
      </c>
      <c r="E281" s="222" t="inlineStr">
        <is>
          <t>стандарт</t>
        </is>
      </c>
      <c r="F281" s="222" t="n">
        <v>1.6</v>
      </c>
      <c r="G281" s="222" t="inlineStr">
        <is>
          <t>до +200</t>
        </is>
      </c>
      <c r="H281" s="222" t="inlineStr">
        <is>
          <t>вода, природный газ, нефтепродукты, инертные газы</t>
        </is>
      </c>
      <c r="I281" s="222" t="inlineStr">
        <is>
          <t>сталь 20</t>
        </is>
      </c>
      <c r="J281" s="222" t="inlineStr">
        <is>
          <t>У1</t>
        </is>
      </c>
      <c r="K281" s="222" t="inlineStr">
        <is>
          <t>фланцевый</t>
        </is>
      </c>
      <c r="L281" s="222" t="inlineStr">
        <is>
          <t>ручной (рукоятка)</t>
        </is>
      </c>
      <c r="M281" s="253" t="inlineStr">
        <is>
          <t>-</t>
        </is>
      </c>
      <c r="N281" s="222" t="inlineStr">
        <is>
          <t>любое</t>
        </is>
      </c>
      <c r="O281" s="222"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281" s="222" t="inlineStr">
        <is>
          <t>-</t>
        </is>
      </c>
      <c r="Q281" s="222" t="inlineStr">
        <is>
          <t>-</t>
        </is>
      </c>
      <c r="R281" s="198">
        <f>A281</f>
        <v/>
      </c>
      <c r="S281" s="205" t="n"/>
      <c r="T281" s="205" t="n"/>
      <c r="U281" s="205" t="n"/>
      <c r="V281" s="205" t="n"/>
      <c r="W281" s="205" t="n"/>
      <c r="X281" s="205" t="n"/>
      <c r="Y281" s="205" t="n"/>
      <c r="Z281" s="205" t="n"/>
      <c r="AA281" s="205" t="n"/>
      <c r="AB281" s="205" t="n"/>
      <c r="AC281" s="205" t="n"/>
      <c r="AD281" s="205" t="n"/>
      <c r="AE281" s="205" t="n"/>
      <c r="AF281" s="205" t="n"/>
      <c r="AG281" s="205" t="n"/>
      <c r="AH281" s="205" t="n"/>
      <c r="AI281" s="202" t="n"/>
    </row>
    <row r="282" ht="114.75" customHeight="1" s="169">
      <c r="A282" s="192" t="n">
        <v>61</v>
      </c>
      <c r="B282" s="193" t="inlineStr">
        <is>
          <t>Кран шаровой 11с22п Ду 150 Ру 16</t>
        </is>
      </c>
      <c r="C282" s="222" t="inlineStr">
        <is>
          <t>ГОСТ 21345-2005</t>
        </is>
      </c>
      <c r="D282" s="222" t="n">
        <v>150</v>
      </c>
      <c r="E282" s="222" t="inlineStr">
        <is>
          <t>стандарт</t>
        </is>
      </c>
      <c r="F282" s="222" t="n">
        <v>1.6</v>
      </c>
      <c r="G282" s="222" t="inlineStr">
        <is>
          <t>до +200</t>
        </is>
      </c>
      <c r="H282" s="222" t="inlineStr">
        <is>
          <t>вода, природный газ, нефтепродукты, инертные газы</t>
        </is>
      </c>
      <c r="I282" s="222" t="inlineStr">
        <is>
          <t>сталь 20</t>
        </is>
      </c>
      <c r="J282" s="222" t="inlineStr">
        <is>
          <t>У1</t>
        </is>
      </c>
      <c r="K282" s="222" t="inlineStr">
        <is>
          <t>фланцевый</t>
        </is>
      </c>
      <c r="L282" s="222" t="inlineStr">
        <is>
          <t>ручной (рукоятка)</t>
        </is>
      </c>
      <c r="M282" s="253" t="inlineStr">
        <is>
          <t>-</t>
        </is>
      </c>
      <c r="N282" s="222" t="inlineStr">
        <is>
          <t>любое</t>
        </is>
      </c>
      <c r="O282" s="222"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282" s="222" t="inlineStr">
        <is>
          <t>-</t>
        </is>
      </c>
      <c r="Q282" s="222" t="inlineStr">
        <is>
          <t>-</t>
        </is>
      </c>
      <c r="R282" s="198">
        <f>A282</f>
        <v/>
      </c>
      <c r="S282" s="205" t="n"/>
      <c r="T282" s="205" t="n"/>
      <c r="U282" s="205" t="n"/>
      <c r="V282" s="205" t="n"/>
      <c r="W282" s="205" t="n"/>
      <c r="X282" s="205" t="n"/>
      <c r="Y282" s="205" t="n"/>
      <c r="Z282" s="205" t="n"/>
      <c r="AA282" s="205" t="n"/>
      <c r="AB282" s="205" t="n"/>
      <c r="AC282" s="205" t="n"/>
      <c r="AD282" s="205" t="n"/>
      <c r="AE282" s="205" t="n"/>
      <c r="AF282" s="205" t="n"/>
      <c r="AG282" s="205" t="n"/>
      <c r="AH282" s="205" t="n"/>
      <c r="AI282" s="202" t="n"/>
    </row>
    <row r="283" ht="114.75" customHeight="1" s="169">
      <c r="A283" s="192" t="n">
        <v>62</v>
      </c>
      <c r="B283" s="193" t="inlineStr">
        <is>
          <t>Кран шаровой 11с22п Ду 200 Ру 16</t>
        </is>
      </c>
      <c r="C283" s="222" t="inlineStr">
        <is>
          <t>ГОСТ 21345-2005</t>
        </is>
      </c>
      <c r="D283" s="222" t="n">
        <v>200</v>
      </c>
      <c r="E283" s="222" t="inlineStr">
        <is>
          <t>стандарт</t>
        </is>
      </c>
      <c r="F283" s="222" t="n">
        <v>1.6</v>
      </c>
      <c r="G283" s="222" t="inlineStr">
        <is>
          <t>до +200</t>
        </is>
      </c>
      <c r="H283" s="222" t="inlineStr">
        <is>
          <t>вода, природный газ, нефтепродукты, инертные газы</t>
        </is>
      </c>
      <c r="I283" s="222" t="inlineStr">
        <is>
          <t>сталь 20</t>
        </is>
      </c>
      <c r="J283" s="222" t="inlineStr">
        <is>
          <t>У1</t>
        </is>
      </c>
      <c r="K283" s="222" t="inlineStr">
        <is>
          <t>фланцевый</t>
        </is>
      </c>
      <c r="L283" s="222" t="inlineStr">
        <is>
          <t>ручной (рукоятка)</t>
        </is>
      </c>
      <c r="M283" s="253" t="inlineStr">
        <is>
          <t>-</t>
        </is>
      </c>
      <c r="N283" s="222" t="inlineStr">
        <is>
          <t>любое</t>
        </is>
      </c>
      <c r="O283" s="222"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283" s="222" t="inlineStr">
        <is>
          <t>-</t>
        </is>
      </c>
      <c r="Q283" s="222" t="inlineStr">
        <is>
          <t>-</t>
        </is>
      </c>
      <c r="R283" s="198">
        <f>A283</f>
        <v/>
      </c>
      <c r="S283" s="205" t="n"/>
      <c r="T283" s="205" t="n"/>
      <c r="U283" s="205" t="n"/>
      <c r="V283" s="205" t="n"/>
      <c r="W283" s="205" t="n"/>
      <c r="X283" s="205" t="n"/>
      <c r="Y283" s="205" t="n"/>
      <c r="Z283" s="205" t="n"/>
      <c r="AA283" s="205" t="n"/>
      <c r="AB283" s="205" t="n"/>
      <c r="AC283" s="205" t="n"/>
      <c r="AD283" s="205" t="n"/>
      <c r="AE283" s="205" t="n"/>
      <c r="AF283" s="205" t="n"/>
      <c r="AG283" s="205" t="n"/>
      <c r="AH283" s="205" t="n"/>
      <c r="AI283" s="202" t="n"/>
    </row>
    <row r="284" ht="76.5" customHeight="1" s="169">
      <c r="A284" s="192" t="n">
        <v>63</v>
      </c>
      <c r="B284" s="193" t="inlineStr">
        <is>
          <t xml:space="preserve">Кран запорный шаровой 11С67П Ду 100 Ру 16 </t>
        </is>
      </c>
      <c r="C284" s="222" t="inlineStr">
        <is>
          <t>ТУ У 04671406-003-1999</t>
        </is>
      </c>
      <c r="D284" s="222" t="n">
        <v>100</v>
      </c>
      <c r="E284" s="222" t="inlineStr">
        <is>
          <t>стандарт</t>
        </is>
      </c>
      <c r="F284" s="222" t="n">
        <v>1.6</v>
      </c>
      <c r="G284" s="222" t="inlineStr">
        <is>
          <t>от -30 до +200</t>
        </is>
      </c>
      <c r="H284" s="222" t="inlineStr">
        <is>
          <t>вода, холодная и горячая, газ, нефтепродукты и прочие слабоагрессивные среды</t>
        </is>
      </c>
      <c r="I284" s="222" t="inlineStr">
        <is>
          <t>сталь 20</t>
        </is>
      </c>
      <c r="J284" s="222" t="inlineStr">
        <is>
          <t>У1</t>
        </is>
      </c>
      <c r="K284" s="222" t="inlineStr">
        <is>
          <t>фланцевый</t>
        </is>
      </c>
      <c r="L284" s="222" t="inlineStr">
        <is>
          <t>ручной (рукоятка)</t>
        </is>
      </c>
      <c r="M284" s="253" t="inlineStr">
        <is>
          <t>-</t>
        </is>
      </c>
      <c r="N284" s="222" t="inlineStr">
        <is>
          <t>любое</t>
        </is>
      </c>
      <c r="O284" s="222" t="inlineStr">
        <is>
          <t>уплотнение шпинделя: резина ИРП-1287;
шар: нержавеющая сталь 12Х18Н10Т;
уплотнение затвора: фторопласт-4</t>
        </is>
      </c>
      <c r="P284" s="222" t="inlineStr">
        <is>
          <t>-</t>
        </is>
      </c>
      <c r="Q284" s="222" t="inlineStr">
        <is>
          <t>-</t>
        </is>
      </c>
      <c r="R284" s="198">
        <f>A284</f>
        <v/>
      </c>
      <c r="S284" s="205" t="n"/>
      <c r="T284" s="205" t="n"/>
      <c r="U284" s="205" t="n"/>
      <c r="V284" s="205" t="n"/>
      <c r="W284" s="205" t="n"/>
      <c r="X284" s="205" t="n"/>
      <c r="Y284" s="205" t="n"/>
      <c r="Z284" s="205" t="n"/>
      <c r="AA284" s="205" t="n"/>
      <c r="AB284" s="205" t="n"/>
      <c r="AC284" s="205" t="n"/>
      <c r="AD284" s="205" t="n"/>
      <c r="AE284" s="205" t="n"/>
      <c r="AF284" s="205" t="n"/>
      <c r="AG284" s="205" t="n"/>
      <c r="AH284" s="205" t="n"/>
      <c r="AI284" s="202" t="n"/>
    </row>
    <row r="285" ht="76.5" customHeight="1" s="169">
      <c r="A285" s="192" t="n">
        <v>64</v>
      </c>
      <c r="B285" s="193" t="inlineStr">
        <is>
          <t>Кран запорный шаровой 11С67П Ду 150 Ру 16</t>
        </is>
      </c>
      <c r="C285" s="222" t="inlineStr">
        <is>
          <t>ТУ У 04671406-003-1999</t>
        </is>
      </c>
      <c r="D285" s="222" t="n">
        <v>150</v>
      </c>
      <c r="E285" s="222" t="inlineStr">
        <is>
          <t>стандарт</t>
        </is>
      </c>
      <c r="F285" s="222" t="n">
        <v>1.6</v>
      </c>
      <c r="G285" s="222" t="inlineStr">
        <is>
          <t>от -30 до +200</t>
        </is>
      </c>
      <c r="H285" s="222" t="inlineStr">
        <is>
          <t>вода, холодная и горячая, газ, нефтепродукты и прочие слабоагрессивные среды</t>
        </is>
      </c>
      <c r="I285" s="222" t="inlineStr">
        <is>
          <t>сталь 20</t>
        </is>
      </c>
      <c r="J285" s="222" t="inlineStr">
        <is>
          <t>У1</t>
        </is>
      </c>
      <c r="K285" s="222" t="inlineStr">
        <is>
          <t>фланцевый</t>
        </is>
      </c>
      <c r="L285" s="222" t="inlineStr">
        <is>
          <t>ручной (рукоятка)</t>
        </is>
      </c>
      <c r="M285" s="253" t="inlineStr">
        <is>
          <t>-</t>
        </is>
      </c>
      <c r="N285" s="222" t="inlineStr">
        <is>
          <t>любое</t>
        </is>
      </c>
      <c r="O285" s="222" t="inlineStr">
        <is>
          <t>уплотнение шпинделя: резина ИРП-1287;
шар: нержавеющая сталь 12Х18Н10Т;
уплотнение затвора: фторопласт-4</t>
        </is>
      </c>
      <c r="P285" s="222" t="inlineStr">
        <is>
          <t>-</t>
        </is>
      </c>
      <c r="Q285" s="222" t="inlineStr">
        <is>
          <t>-</t>
        </is>
      </c>
      <c r="R285" s="198">
        <f>A285</f>
        <v/>
      </c>
      <c r="S285" s="205" t="n"/>
      <c r="T285" s="205" t="n"/>
      <c r="U285" s="205" t="n"/>
      <c r="V285" s="205" t="n"/>
      <c r="W285" s="205" t="n"/>
      <c r="X285" s="205" t="n"/>
      <c r="Y285" s="205" t="n"/>
      <c r="Z285" s="205" t="n"/>
      <c r="AA285" s="205" t="n"/>
      <c r="AB285" s="205" t="n"/>
      <c r="AC285" s="205" t="n"/>
      <c r="AD285" s="205" t="n"/>
      <c r="AE285" s="205" t="n"/>
      <c r="AF285" s="205" t="n"/>
      <c r="AG285" s="205" t="n"/>
      <c r="AH285" s="205" t="n"/>
      <c r="AI285" s="202" t="n"/>
    </row>
    <row r="286" ht="76.5" customHeight="1" s="169">
      <c r="A286" s="192" t="n">
        <v>65</v>
      </c>
      <c r="B286" s="193" t="inlineStr">
        <is>
          <t>Кран запорный шаровой 11С67П Ду 200 Ру 16</t>
        </is>
      </c>
      <c r="C286" s="222" t="inlineStr">
        <is>
          <t>ТУ У 04671406-003-1999</t>
        </is>
      </c>
      <c r="D286" s="222" t="n">
        <v>200</v>
      </c>
      <c r="E286" s="222" t="inlineStr">
        <is>
          <t>стандарт</t>
        </is>
      </c>
      <c r="F286" s="222" t="n">
        <v>1.6</v>
      </c>
      <c r="G286" s="222" t="inlineStr">
        <is>
          <t>от -30 до +200</t>
        </is>
      </c>
      <c r="H286" s="222" t="inlineStr">
        <is>
          <t>вода, холодная и горячая, газ, нефтепродукты и прочие слабоагрессивные среды</t>
        </is>
      </c>
      <c r="I286" s="222" t="inlineStr">
        <is>
          <t>сталь 20</t>
        </is>
      </c>
      <c r="J286" s="222" t="inlineStr">
        <is>
          <t>У1</t>
        </is>
      </c>
      <c r="K286" s="222" t="inlineStr">
        <is>
          <t>фланцевый</t>
        </is>
      </c>
      <c r="L286" s="222" t="inlineStr">
        <is>
          <t>ручной (рукоятка)</t>
        </is>
      </c>
      <c r="M286" s="253" t="inlineStr">
        <is>
          <t>-</t>
        </is>
      </c>
      <c r="N286" s="222" t="inlineStr">
        <is>
          <t>любое</t>
        </is>
      </c>
      <c r="O286" s="222" t="inlineStr">
        <is>
          <t>уплотнение шпинделя: резина ИРП-1287;
шар: нержавеющая сталь 12Х18Н10Т;
уплотнение затвора: фторопласт-4</t>
        </is>
      </c>
      <c r="P286" s="253" t="inlineStr">
        <is>
          <t>-</t>
        </is>
      </c>
      <c r="Q286" s="253" t="inlineStr">
        <is>
          <t>-</t>
        </is>
      </c>
      <c r="R286" s="198">
        <f>A286</f>
        <v/>
      </c>
      <c r="S286" s="205" t="n"/>
      <c r="T286" s="205" t="n"/>
      <c r="U286" s="205" t="n"/>
      <c r="V286" s="205" t="n"/>
      <c r="W286" s="205" t="n"/>
      <c r="X286" s="205" t="n"/>
      <c r="Y286" s="205" t="n"/>
      <c r="Z286" s="205" t="n"/>
      <c r="AA286" s="205" t="n"/>
      <c r="AB286" s="205" t="n"/>
      <c r="AC286" s="205" t="n"/>
      <c r="AD286" s="205" t="n"/>
      <c r="AE286" s="205" t="n"/>
      <c r="AF286" s="205" t="n"/>
      <c r="AG286" s="205" t="n"/>
      <c r="AH286" s="205" t="n"/>
      <c r="AI286" s="202" t="n"/>
    </row>
    <row r="287" ht="76.5" customHeight="1" s="169">
      <c r="A287" s="192" t="n">
        <v>66</v>
      </c>
      <c r="B287" s="193" t="inlineStr">
        <is>
          <t>Кран запорный шаровой 11С67П Ду 50 Ру 16</t>
        </is>
      </c>
      <c r="C287" s="222" t="inlineStr">
        <is>
          <t>ТУ У 04671406-003-1999</t>
        </is>
      </c>
      <c r="D287" s="222" t="n">
        <v>50</v>
      </c>
      <c r="E287" s="222" t="inlineStr">
        <is>
          <t>стандарт</t>
        </is>
      </c>
      <c r="F287" s="222" t="n">
        <v>1.6</v>
      </c>
      <c r="G287" s="222" t="inlineStr">
        <is>
          <t>от -30 до +200</t>
        </is>
      </c>
      <c r="H287" s="222" t="inlineStr">
        <is>
          <t>вода, холодная и горячая, газ, нефтепродукты и прочие слабоагрессивные среды</t>
        </is>
      </c>
      <c r="I287" s="222" t="inlineStr">
        <is>
          <t>сталь 20</t>
        </is>
      </c>
      <c r="J287" s="222" t="inlineStr">
        <is>
          <t>У1</t>
        </is>
      </c>
      <c r="K287" s="222" t="inlineStr">
        <is>
          <t>фланцевый</t>
        </is>
      </c>
      <c r="L287" s="222" t="inlineStr">
        <is>
          <t>ручной (рукоятка)</t>
        </is>
      </c>
      <c r="M287" s="253" t="inlineStr">
        <is>
          <t>-</t>
        </is>
      </c>
      <c r="N287" s="222" t="inlineStr">
        <is>
          <t>любое</t>
        </is>
      </c>
      <c r="O287" s="222" t="inlineStr">
        <is>
          <t>уплотнение шпинделя: резина ИРП-1287;
шар: нержавеющая сталь 12Х18Н10Т;
уплотнение затвора: фторопласт-4</t>
        </is>
      </c>
      <c r="P287" s="222" t="inlineStr">
        <is>
          <t>-</t>
        </is>
      </c>
      <c r="Q287" s="222" t="inlineStr">
        <is>
          <t>-</t>
        </is>
      </c>
      <c r="R287" s="198">
        <f>A287</f>
        <v/>
      </c>
      <c r="S287" s="205" t="n"/>
      <c r="T287" s="205" t="n"/>
      <c r="U287" s="205" t="n"/>
      <c r="V287" s="205" t="n"/>
      <c r="W287" s="205" t="n"/>
      <c r="X287" s="205" t="n"/>
      <c r="Y287" s="205" t="n"/>
      <c r="Z287" s="205" t="n"/>
      <c r="AA287" s="205" t="n"/>
      <c r="AB287" s="205" t="n"/>
      <c r="AC287" s="205" t="n"/>
      <c r="AD287" s="205" t="n"/>
      <c r="AE287" s="205" t="n"/>
      <c r="AF287" s="205" t="n"/>
      <c r="AG287" s="205" t="n"/>
      <c r="AH287" s="205" t="n"/>
      <c r="AI287" s="202" t="n"/>
    </row>
    <row r="288" ht="76.5" customHeight="1" s="169">
      <c r="A288" s="192" t="n">
        <v>67</v>
      </c>
      <c r="B288" s="193" t="inlineStr">
        <is>
          <t>Кран запорный шаровой 11С67П Ду 80 Ру 16</t>
        </is>
      </c>
      <c r="C288" s="222" t="inlineStr">
        <is>
          <t>ТУ У 04671406-003-1999</t>
        </is>
      </c>
      <c r="D288" s="222" t="n">
        <v>80</v>
      </c>
      <c r="E288" s="222" t="inlineStr">
        <is>
          <t>стандарт</t>
        </is>
      </c>
      <c r="F288" s="222" t="n">
        <v>1.6</v>
      </c>
      <c r="G288" s="222" t="inlineStr">
        <is>
          <t>от -30 до +200</t>
        </is>
      </c>
      <c r="H288" s="222" t="inlineStr">
        <is>
          <t>вода, холодная и горячая, газ, нефтепродукты и прочие слабоагрессивные среды</t>
        </is>
      </c>
      <c r="I288" s="222" t="inlineStr">
        <is>
          <t>сталь 20</t>
        </is>
      </c>
      <c r="J288" s="222" t="inlineStr">
        <is>
          <t>У1</t>
        </is>
      </c>
      <c r="K288" s="222" t="inlineStr">
        <is>
          <t>фланцевый</t>
        </is>
      </c>
      <c r="L288" s="222" t="inlineStr">
        <is>
          <t>ручной (рукоятка)</t>
        </is>
      </c>
      <c r="M288" s="253" t="inlineStr">
        <is>
          <t>-</t>
        </is>
      </c>
      <c r="N288" s="222" t="inlineStr">
        <is>
          <t>любое</t>
        </is>
      </c>
      <c r="O288" s="222" t="inlineStr">
        <is>
          <t>уплотнение шпинделя: резина ИРП-1287;
шар: нержавеющая сталь 12Х18Н10Т;
уплотнение затвора: фторопласт-4</t>
        </is>
      </c>
      <c r="P288" s="222" t="inlineStr">
        <is>
          <t>-</t>
        </is>
      </c>
      <c r="Q288" s="222" t="inlineStr">
        <is>
          <t>-</t>
        </is>
      </c>
      <c r="R288" s="198">
        <f>A288</f>
        <v/>
      </c>
      <c r="S288" s="205" t="n"/>
      <c r="T288" s="205" t="n"/>
      <c r="U288" s="205" t="n"/>
      <c r="V288" s="205" t="n"/>
      <c r="W288" s="205" t="n"/>
      <c r="X288" s="205" t="n"/>
      <c r="Y288" s="205" t="n"/>
      <c r="Z288" s="205" t="n"/>
      <c r="AA288" s="205" t="n"/>
      <c r="AB288" s="205" t="n"/>
      <c r="AC288" s="205" t="n"/>
      <c r="AD288" s="205" t="n"/>
      <c r="AE288" s="205" t="n"/>
      <c r="AF288" s="205" t="n"/>
      <c r="AG288" s="205" t="n"/>
      <c r="AH288" s="205" t="n"/>
      <c r="AI288" s="202" t="n"/>
    </row>
    <row r="289" ht="76.5" customHeight="1" s="169">
      <c r="A289" s="192" t="n">
        <v>68</v>
      </c>
      <c r="B289" s="193" t="inlineStr">
        <is>
          <t>Кран шаровой 11с67п Ду 25 Ру 25 цельносварной под приварку</t>
        </is>
      </c>
      <c r="C289" s="222" t="inlineStr">
        <is>
          <t>ТУ У 04671406-003-1999; ГОСТ 21345-2005</t>
        </is>
      </c>
      <c r="D289" s="222" t="n">
        <v>25</v>
      </c>
      <c r="E289" s="222" t="inlineStr">
        <is>
          <t>стандарт</t>
        </is>
      </c>
      <c r="F289" s="222" t="n">
        <v>2.5</v>
      </c>
      <c r="G289" s="222" t="inlineStr">
        <is>
          <t>от -30 до +180</t>
        </is>
      </c>
      <c r="H289" s="222" t="inlineStr">
        <is>
          <t>природный газ, вода, нефтепродукты, сжиженный  газ и прочие среды</t>
        </is>
      </c>
      <c r="I289" s="222" t="inlineStr">
        <is>
          <t>сталь 20</t>
        </is>
      </c>
      <c r="J289" s="222" t="inlineStr">
        <is>
          <t>У1</t>
        </is>
      </c>
      <c r="K289" s="222" t="inlineStr">
        <is>
          <t>приварной</t>
        </is>
      </c>
      <c r="L289" s="222" t="inlineStr">
        <is>
          <t>ручной (рукоятка)</t>
        </is>
      </c>
      <c r="M289" s="253" t="inlineStr">
        <is>
          <t>-</t>
        </is>
      </c>
      <c r="N289" s="222" t="inlineStr">
        <is>
          <t>любое</t>
        </is>
      </c>
      <c r="O289" s="222"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P289" s="222" t="inlineStr">
        <is>
          <t>-</t>
        </is>
      </c>
      <c r="Q289" s="222" t="inlineStr">
        <is>
          <t>-</t>
        </is>
      </c>
      <c r="R289" s="198">
        <f>A289</f>
        <v/>
      </c>
      <c r="S289" s="205" t="n"/>
      <c r="T289" s="205" t="n"/>
      <c r="U289" s="205" t="n"/>
      <c r="V289" s="205" t="n"/>
      <c r="W289" s="205" t="n"/>
      <c r="X289" s="205" t="n"/>
      <c r="Y289" s="205" t="n"/>
      <c r="Z289" s="205" t="n"/>
      <c r="AA289" s="205" t="n"/>
      <c r="AB289" s="205" t="n"/>
      <c r="AC289" s="205" t="n"/>
      <c r="AD289" s="205" t="n"/>
      <c r="AE289" s="205" t="n"/>
      <c r="AF289" s="205" t="n"/>
      <c r="AG289" s="205" t="n"/>
      <c r="AH289" s="205" t="n"/>
      <c r="AI289" s="202" t="n"/>
    </row>
    <row r="290" ht="76.5" customHeight="1" s="169">
      <c r="A290" s="192" t="n">
        <v>69</v>
      </c>
      <c r="B290" s="193" t="inlineStr">
        <is>
          <t>Кран шаровой 11с67п Ду 32 Ру 25 цельносварной под приварку</t>
        </is>
      </c>
      <c r="C290" s="222" t="inlineStr">
        <is>
          <t>ТУ У 04671406-003-1999; ГОСТ 21345-2005</t>
        </is>
      </c>
      <c r="D290" s="222" t="n">
        <v>32</v>
      </c>
      <c r="E290" s="222" t="inlineStr">
        <is>
          <t>стандарт</t>
        </is>
      </c>
      <c r="F290" s="222" t="n">
        <v>2.5</v>
      </c>
      <c r="G290" s="222" t="inlineStr">
        <is>
          <t>от -30 до +180</t>
        </is>
      </c>
      <c r="H290" s="222" t="inlineStr">
        <is>
          <t>природный газ, вода, нефтепродукты, сжиженный  газ и прочие среды</t>
        </is>
      </c>
      <c r="I290" s="222" t="inlineStr">
        <is>
          <t>сталь 20</t>
        </is>
      </c>
      <c r="J290" s="222" t="inlineStr">
        <is>
          <t>У1</t>
        </is>
      </c>
      <c r="K290" s="222" t="inlineStr">
        <is>
          <t>приварной</t>
        </is>
      </c>
      <c r="L290" s="222" t="inlineStr">
        <is>
          <t>ручной (рукоятка)</t>
        </is>
      </c>
      <c r="M290" s="253" t="inlineStr">
        <is>
          <t>-</t>
        </is>
      </c>
      <c r="N290" s="222" t="inlineStr">
        <is>
          <t>любое</t>
        </is>
      </c>
      <c r="O290" s="222"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P290" s="222" t="inlineStr">
        <is>
          <t>-</t>
        </is>
      </c>
      <c r="Q290" s="222" t="inlineStr">
        <is>
          <t>-</t>
        </is>
      </c>
      <c r="R290" s="198">
        <f>A290</f>
        <v/>
      </c>
      <c r="S290" s="205" t="n"/>
      <c r="T290" s="205" t="n"/>
      <c r="U290" s="205" t="n"/>
      <c r="V290" s="205" t="n"/>
      <c r="W290" s="205" t="n"/>
      <c r="X290" s="205" t="n"/>
      <c r="Y290" s="205" t="n"/>
      <c r="Z290" s="205" t="n"/>
      <c r="AA290" s="205" t="n"/>
      <c r="AB290" s="205" t="n"/>
      <c r="AC290" s="205" t="n"/>
      <c r="AD290" s="205" t="n"/>
      <c r="AE290" s="205" t="n"/>
      <c r="AF290" s="205" t="n"/>
      <c r="AG290" s="205" t="n"/>
      <c r="AH290" s="205" t="n"/>
      <c r="AI290" s="202" t="n"/>
    </row>
    <row r="291" ht="76.5" customHeight="1" s="169">
      <c r="A291" s="192" t="n">
        <v>70</v>
      </c>
      <c r="B291" s="193" t="inlineStr">
        <is>
          <t>Кран шаровой 11с67п Ду 40 Ру 25 цельносварной под приварку</t>
        </is>
      </c>
      <c r="C291" s="222" t="inlineStr">
        <is>
          <t>ТУ У 04671406-003-1999; ГОСТ 21345-2005</t>
        </is>
      </c>
      <c r="D291" s="222" t="n">
        <v>40</v>
      </c>
      <c r="E291" s="222" t="inlineStr">
        <is>
          <t>стандарт</t>
        </is>
      </c>
      <c r="F291" s="222" t="n">
        <v>2.5</v>
      </c>
      <c r="G291" s="222" t="inlineStr">
        <is>
          <t>от -30 до +180</t>
        </is>
      </c>
      <c r="H291" s="222" t="inlineStr">
        <is>
          <t>природный газ, вода, нефтепродукты, сжиженный  газ и прочие среды</t>
        </is>
      </c>
      <c r="I291" s="222" t="inlineStr">
        <is>
          <t>сталь 20</t>
        </is>
      </c>
      <c r="J291" s="222" t="inlineStr">
        <is>
          <t>У1</t>
        </is>
      </c>
      <c r="K291" s="222" t="inlineStr">
        <is>
          <t>приварной</t>
        </is>
      </c>
      <c r="L291" s="222" t="inlineStr">
        <is>
          <t>ручной (рукоятка)</t>
        </is>
      </c>
      <c r="M291" s="253" t="inlineStr">
        <is>
          <t>-</t>
        </is>
      </c>
      <c r="N291" s="222" t="inlineStr">
        <is>
          <t>любое</t>
        </is>
      </c>
      <c r="O291" s="222"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P291" s="222" t="inlineStr">
        <is>
          <t>-</t>
        </is>
      </c>
      <c r="Q291" s="222" t="inlineStr">
        <is>
          <t>-</t>
        </is>
      </c>
      <c r="R291" s="198">
        <f>A291</f>
        <v/>
      </c>
      <c r="S291" s="205" t="n"/>
      <c r="T291" s="205" t="n"/>
      <c r="U291" s="205" t="n"/>
      <c r="V291" s="205" t="n"/>
      <c r="W291" s="205" t="n"/>
      <c r="X291" s="205" t="n"/>
      <c r="Y291" s="205" t="n"/>
      <c r="Z291" s="205" t="n"/>
      <c r="AA291" s="205" t="n"/>
      <c r="AB291" s="205" t="n"/>
      <c r="AC291" s="205" t="n"/>
      <c r="AD291" s="205" t="n"/>
      <c r="AE291" s="205" t="n"/>
      <c r="AF291" s="205" t="n"/>
      <c r="AG291" s="205" t="n"/>
      <c r="AH291" s="205" t="n"/>
      <c r="AI291" s="202" t="n"/>
    </row>
    <row r="292" ht="76.5" customHeight="1" s="169">
      <c r="A292" s="192" t="n">
        <v>71</v>
      </c>
      <c r="B292" s="193" t="inlineStr">
        <is>
          <t>Кран шаровой 11с67п Ду 20 Ру 25 полнопрох. с КОФ (КЗШС41нж)</t>
        </is>
      </c>
      <c r="C292" s="222" t="inlineStr">
        <is>
          <t>ТУ У 04671406-003-1999 (ТУ У 04671406-02-96)</t>
        </is>
      </c>
      <c r="D292" s="222" t="n">
        <v>20</v>
      </c>
      <c r="E292" s="222" t="inlineStr">
        <is>
          <t>полный</t>
        </is>
      </c>
      <c r="F292" s="222" t="n">
        <v>2.5</v>
      </c>
      <c r="G292" s="222" t="inlineStr">
        <is>
          <t>от -40 до +250</t>
        </is>
      </c>
      <c r="H292" s="222" t="inlineStr">
        <is>
          <t>пар, вода, газ, нефтепродукты и другие нетоксичные и неагрессивные среды,</t>
        </is>
      </c>
      <c r="I292" s="222" t="inlineStr">
        <is>
          <t>сталь 20</t>
        </is>
      </c>
      <c r="J292" s="222" t="inlineStr">
        <is>
          <t>У1</t>
        </is>
      </c>
      <c r="K292" s="222" t="inlineStr">
        <is>
          <t>фланцевый</t>
        </is>
      </c>
      <c r="L292" s="222" t="inlineStr">
        <is>
          <t>ручной (рукоятка)</t>
        </is>
      </c>
      <c r="M292" s="253" t="inlineStr">
        <is>
          <t>-</t>
        </is>
      </c>
      <c r="N292" s="222" t="inlineStr">
        <is>
          <t>любое</t>
        </is>
      </c>
      <c r="O292" s="222"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P292" s="222" t="inlineStr">
        <is>
          <t>-</t>
        </is>
      </c>
      <c r="Q292" s="222" t="inlineStr">
        <is>
          <t>с комплектом ответных фланцев</t>
        </is>
      </c>
      <c r="R292" s="198">
        <f>A292</f>
        <v/>
      </c>
      <c r="S292" s="205" t="n"/>
      <c r="T292" s="205" t="n"/>
      <c r="U292" s="205" t="n"/>
      <c r="V292" s="205" t="n"/>
      <c r="W292" s="205" t="n"/>
      <c r="X292" s="205" t="n"/>
      <c r="Y292" s="205" t="n"/>
      <c r="Z292" s="205" t="n"/>
      <c r="AA292" s="205" t="n"/>
      <c r="AB292" s="205" t="n"/>
      <c r="AC292" s="205" t="n"/>
      <c r="AD292" s="205" t="n"/>
      <c r="AE292" s="205" t="n"/>
      <c r="AF292" s="205" t="n"/>
      <c r="AG292" s="205" t="n"/>
      <c r="AH292" s="205" t="n"/>
      <c r="AI292" s="202" t="n"/>
    </row>
    <row r="293" ht="76.5" customHeight="1" s="169">
      <c r="A293" s="192" t="n">
        <v>72</v>
      </c>
      <c r="B293" s="193" t="inlineStr">
        <is>
          <t>Кран шаровой 11с67п Ду 25 Ру 25 полнопрох. с КОФ (КЗШС41нж)</t>
        </is>
      </c>
      <c r="C293" s="222" t="inlineStr">
        <is>
          <t>ТУ У 04671406-003-1999 (ТУ У 04671406-02-96)</t>
        </is>
      </c>
      <c r="D293" s="222" t="n">
        <v>25</v>
      </c>
      <c r="E293" s="222" t="inlineStr">
        <is>
          <t>полный</t>
        </is>
      </c>
      <c r="F293" s="222" t="n">
        <v>2.5</v>
      </c>
      <c r="G293" s="222" t="inlineStr">
        <is>
          <t>от -40 до +250</t>
        </is>
      </c>
      <c r="H293" s="222" t="inlineStr">
        <is>
          <t>пар, вода, газ, нефтепродукты и другие нетоксичные и неагрессивные среды,</t>
        </is>
      </c>
      <c r="I293" s="222" t="inlineStr">
        <is>
          <t>сталь 20</t>
        </is>
      </c>
      <c r="J293" s="222" t="inlineStr">
        <is>
          <t>У1</t>
        </is>
      </c>
      <c r="K293" s="222" t="inlineStr">
        <is>
          <t>фланцевый</t>
        </is>
      </c>
      <c r="L293" s="222" t="inlineStr">
        <is>
          <t>ручной (рукоятка)</t>
        </is>
      </c>
      <c r="M293" s="253" t="inlineStr">
        <is>
          <t>-</t>
        </is>
      </c>
      <c r="N293" s="222" t="inlineStr">
        <is>
          <t>любое</t>
        </is>
      </c>
      <c r="O293" s="222"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P293" s="222" t="inlineStr">
        <is>
          <t>-</t>
        </is>
      </c>
      <c r="Q293" s="222" t="inlineStr">
        <is>
          <t>с комплектом ответных фланцев</t>
        </is>
      </c>
      <c r="R293" s="198">
        <f>A293</f>
        <v/>
      </c>
      <c r="S293" s="205" t="n"/>
      <c r="T293" s="205" t="n"/>
      <c r="U293" s="205" t="n"/>
      <c r="V293" s="205" t="n"/>
      <c r="W293" s="205" t="n"/>
      <c r="X293" s="205" t="n"/>
      <c r="Y293" s="205" t="n"/>
      <c r="Z293" s="205" t="n"/>
      <c r="AA293" s="205" t="n"/>
      <c r="AB293" s="205" t="n"/>
      <c r="AC293" s="205" t="n"/>
      <c r="AD293" s="205" t="n"/>
      <c r="AE293" s="205" t="n"/>
      <c r="AF293" s="205" t="n"/>
      <c r="AG293" s="205" t="n"/>
      <c r="AH293" s="205" t="n"/>
      <c r="AI293" s="202" t="n"/>
    </row>
    <row r="294" ht="76.5" customHeight="1" s="169">
      <c r="A294" s="192" t="n">
        <v>73</v>
      </c>
      <c r="B294" s="193" t="inlineStr">
        <is>
          <t>Кран шаровой 11с67п Ду 32 Ру 25 полнопрох. с КОФ (КЗШС41нж)</t>
        </is>
      </c>
      <c r="C294" s="222" t="inlineStr">
        <is>
          <t>ТУ У 04671406-003-1999 (ТУ У 04671406-02-96)</t>
        </is>
      </c>
      <c r="D294" s="222" t="n">
        <v>32</v>
      </c>
      <c r="E294" s="222" t="inlineStr">
        <is>
          <t>полный</t>
        </is>
      </c>
      <c r="F294" s="222" t="n">
        <v>2.5</v>
      </c>
      <c r="G294" s="222" t="inlineStr">
        <is>
          <t>от -40 до +250</t>
        </is>
      </c>
      <c r="H294" s="222" t="inlineStr">
        <is>
          <t>пар, вода, газ, нефтепродукты и другие нетоксичные и неагрессивные среды,</t>
        </is>
      </c>
      <c r="I294" s="222" t="inlineStr">
        <is>
          <t>сталь 20</t>
        </is>
      </c>
      <c r="J294" s="222" t="inlineStr">
        <is>
          <t>У1</t>
        </is>
      </c>
      <c r="K294" s="222" t="inlineStr">
        <is>
          <t>фланцевый</t>
        </is>
      </c>
      <c r="L294" s="222" t="inlineStr">
        <is>
          <t>ручной (рукоятка)</t>
        </is>
      </c>
      <c r="M294" s="253" t="inlineStr">
        <is>
          <t>-</t>
        </is>
      </c>
      <c r="N294" s="222" t="inlineStr">
        <is>
          <t>любое</t>
        </is>
      </c>
      <c r="O294" s="222"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P294" s="222" t="inlineStr">
        <is>
          <t>-</t>
        </is>
      </c>
      <c r="Q294" s="222" t="inlineStr">
        <is>
          <t>с комплектом ответных фланцев</t>
        </is>
      </c>
      <c r="R294" s="198">
        <f>A294</f>
        <v/>
      </c>
      <c r="S294" s="205" t="n"/>
      <c r="T294" s="205" t="n"/>
      <c r="U294" s="205" t="n"/>
      <c r="V294" s="205" t="n"/>
      <c r="W294" s="205" t="n"/>
      <c r="X294" s="205" t="n"/>
      <c r="Y294" s="205" t="n"/>
      <c r="Z294" s="205" t="n"/>
      <c r="AA294" s="205" t="n"/>
      <c r="AB294" s="205" t="n"/>
      <c r="AC294" s="205" t="n"/>
      <c r="AD294" s="205" t="n"/>
      <c r="AE294" s="205" t="n"/>
      <c r="AF294" s="205" t="n"/>
      <c r="AG294" s="205" t="n"/>
      <c r="AH294" s="205" t="n"/>
      <c r="AI294" s="202" t="n"/>
    </row>
    <row r="295" ht="76.5" customHeight="1" s="169">
      <c r="A295" s="192" t="n">
        <v>74</v>
      </c>
      <c r="B295" s="193" t="inlineStr">
        <is>
          <t>Кран шаровой 11с67п Ду 40 Ру 25 полнопрох. с КОФ (КЗШС41нж)</t>
        </is>
      </c>
      <c r="C295" s="222" t="inlineStr">
        <is>
          <t>ТУ У 04671406-003-1999 (ТУ У 04671406-02-96)</t>
        </is>
      </c>
      <c r="D295" s="222" t="n">
        <v>40</v>
      </c>
      <c r="E295" s="222" t="inlineStr">
        <is>
          <t>полный</t>
        </is>
      </c>
      <c r="F295" s="222" t="n">
        <v>2.5</v>
      </c>
      <c r="G295" s="222" t="inlineStr">
        <is>
          <t>от -40 до +250</t>
        </is>
      </c>
      <c r="H295" s="222" t="inlineStr">
        <is>
          <t>пар, вода, газ, нефтепродукты и другие нетоксичные и неагрессивные среды,</t>
        </is>
      </c>
      <c r="I295" s="222" t="inlineStr">
        <is>
          <t>сталь 20</t>
        </is>
      </c>
      <c r="J295" s="222" t="inlineStr">
        <is>
          <t>У1</t>
        </is>
      </c>
      <c r="K295" s="222" t="inlineStr">
        <is>
          <t>фланцевый</t>
        </is>
      </c>
      <c r="L295" s="222" t="inlineStr">
        <is>
          <t>ручной (рукоятка)</t>
        </is>
      </c>
      <c r="M295" s="253" t="inlineStr">
        <is>
          <t>-</t>
        </is>
      </c>
      <c r="N295" s="222" t="inlineStr">
        <is>
          <t>любое</t>
        </is>
      </c>
      <c r="O295" s="222"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P295" s="222" t="inlineStr">
        <is>
          <t>-</t>
        </is>
      </c>
      <c r="Q295" s="222" t="inlineStr">
        <is>
          <t>с комплектом ответных фланцев</t>
        </is>
      </c>
      <c r="R295" s="198">
        <f>A295</f>
        <v/>
      </c>
      <c r="S295" s="205" t="n"/>
      <c r="T295" s="205" t="n"/>
      <c r="U295" s="205" t="n"/>
      <c r="V295" s="205" t="n"/>
      <c r="W295" s="205" t="n"/>
      <c r="X295" s="205" t="n"/>
      <c r="Y295" s="205" t="n"/>
      <c r="Z295" s="205" t="n"/>
      <c r="AA295" s="205" t="n"/>
      <c r="AB295" s="205" t="n"/>
      <c r="AC295" s="205" t="n"/>
      <c r="AD295" s="205" t="n"/>
      <c r="AE295" s="205" t="n"/>
      <c r="AF295" s="205" t="n"/>
      <c r="AG295" s="205" t="n"/>
      <c r="AH295" s="205" t="n"/>
      <c r="AI295" s="202" t="n"/>
    </row>
    <row r="296" ht="76.5" customHeight="1" s="169">
      <c r="A296" s="192" t="n">
        <v>75</v>
      </c>
      <c r="B296" s="193" t="inlineStr">
        <is>
          <t>Кран шаровой 11с67п Ду 50 Ру 25 полнопрох. с КОФ (КЗШС41нж)</t>
        </is>
      </c>
      <c r="C296" s="222" t="inlineStr">
        <is>
          <t>ТУ У 04671406-003-1999 (ТУ У 04671406-02-96)</t>
        </is>
      </c>
      <c r="D296" s="222" t="n">
        <v>50</v>
      </c>
      <c r="E296" s="222" t="inlineStr">
        <is>
          <t>полный</t>
        </is>
      </c>
      <c r="F296" s="222" t="n">
        <v>2.5</v>
      </c>
      <c r="G296" s="222" t="inlineStr">
        <is>
          <t>от -40 до +250</t>
        </is>
      </c>
      <c r="H296" s="222" t="inlineStr">
        <is>
          <t>пар, вода, газ, нефтепродукты и другие нетоксичные и неагрессивные среды,</t>
        </is>
      </c>
      <c r="I296" s="222" t="inlineStr">
        <is>
          <t>сталь 20</t>
        </is>
      </c>
      <c r="J296" s="222" t="inlineStr">
        <is>
          <t>У1</t>
        </is>
      </c>
      <c r="K296" s="222" t="inlineStr">
        <is>
          <t>фланцевый</t>
        </is>
      </c>
      <c r="L296" s="222" t="inlineStr">
        <is>
          <t>ручной (рукоятка)</t>
        </is>
      </c>
      <c r="M296" s="253" t="inlineStr">
        <is>
          <t>-</t>
        </is>
      </c>
      <c r="N296" s="222" t="inlineStr">
        <is>
          <t>любое</t>
        </is>
      </c>
      <c r="O296" s="222"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P296" s="222" t="inlineStr">
        <is>
          <t>-</t>
        </is>
      </c>
      <c r="Q296" s="222" t="inlineStr">
        <is>
          <t>с комплектом ответных фланцев</t>
        </is>
      </c>
      <c r="R296" s="198">
        <f>A296</f>
        <v/>
      </c>
      <c r="S296" s="205" t="n"/>
      <c r="T296" s="205" t="n"/>
      <c r="U296" s="205" t="n"/>
      <c r="V296" s="205" t="n"/>
      <c r="W296" s="205" t="n"/>
      <c r="X296" s="205" t="n"/>
      <c r="Y296" s="205" t="n"/>
      <c r="Z296" s="205" t="n"/>
      <c r="AA296" s="205" t="n"/>
      <c r="AB296" s="205" t="n"/>
      <c r="AC296" s="205" t="n"/>
      <c r="AD296" s="205" t="n"/>
      <c r="AE296" s="205" t="n"/>
      <c r="AF296" s="205" t="n"/>
      <c r="AG296" s="205" t="n"/>
      <c r="AH296" s="205" t="n"/>
      <c r="AI296" s="202" t="n"/>
    </row>
    <row r="297" ht="76.5" customHeight="1" s="169">
      <c r="A297" s="192" t="n">
        <v>76</v>
      </c>
      <c r="B297" s="193" t="inlineStr">
        <is>
          <t>Кран шаровой 11с67п Ду 80 Ру 25 полнопрох. с КОФ (КЗШС41нж)</t>
        </is>
      </c>
      <c r="C297" s="222" t="inlineStr">
        <is>
          <t>ТУ У 04671406-003-1999 (ТУ У 04671406-02-96)</t>
        </is>
      </c>
      <c r="D297" s="222" t="n">
        <v>80</v>
      </c>
      <c r="E297" s="222" t="inlineStr">
        <is>
          <t>полный</t>
        </is>
      </c>
      <c r="F297" s="222" t="n">
        <v>2.5</v>
      </c>
      <c r="G297" s="222" t="inlineStr">
        <is>
          <t>от -40 до +250</t>
        </is>
      </c>
      <c r="H297" s="222" t="inlineStr">
        <is>
          <t>пар, вода, газ, нефтепродукты и другие нетоксичные и неагрессивные среды,</t>
        </is>
      </c>
      <c r="I297" s="222" t="inlineStr">
        <is>
          <t>сталь 20</t>
        </is>
      </c>
      <c r="J297" s="222" t="inlineStr">
        <is>
          <t>У1</t>
        </is>
      </c>
      <c r="K297" s="222" t="inlineStr">
        <is>
          <t>фланцевый</t>
        </is>
      </c>
      <c r="L297" s="222" t="inlineStr">
        <is>
          <t>ручной (рукоятка)</t>
        </is>
      </c>
      <c r="M297" s="253" t="inlineStr">
        <is>
          <t>-</t>
        </is>
      </c>
      <c r="N297" s="222" t="inlineStr">
        <is>
          <t>любое</t>
        </is>
      </c>
      <c r="O297" s="222" t="inlineStr">
        <is>
          <t>Шар — нержавеющая сталь 12Х18Н10Т;
Шпиндель — сталь 20Х13 (14Х17Н2);
Кольцо уплотнительное, уплотнение шпинделя — фторопласт Ф4К20БР20;
Шпилька, гайка — сталь 35;</t>
        </is>
      </c>
      <c r="P297" s="222" t="inlineStr">
        <is>
          <t>-</t>
        </is>
      </c>
      <c r="Q297" s="222" t="inlineStr">
        <is>
          <t>с комплектом ответных фланцев</t>
        </is>
      </c>
      <c r="R297" s="198">
        <f>A297</f>
        <v/>
      </c>
      <c r="S297" s="205" t="n"/>
      <c r="T297" s="205" t="n"/>
      <c r="U297" s="205" t="n"/>
      <c r="V297" s="205" t="n"/>
      <c r="W297" s="205" t="n"/>
      <c r="X297" s="205" t="n"/>
      <c r="Y297" s="205" t="n"/>
      <c r="Z297" s="205" t="n"/>
      <c r="AA297" s="205" t="n"/>
      <c r="AB297" s="205" t="n"/>
      <c r="AC297" s="205" t="n"/>
      <c r="AD297" s="205" t="n"/>
      <c r="AE297" s="205" t="n"/>
      <c r="AF297" s="205" t="n"/>
      <c r="AG297" s="205" t="n"/>
      <c r="AH297" s="205" t="n"/>
      <c r="AI297" s="202" t="n"/>
    </row>
    <row r="298" ht="102" customHeight="1" s="169">
      <c r="A298" s="192" t="n">
        <v>77</v>
      </c>
      <c r="B298" s="193" t="inlineStr">
        <is>
          <t>Кран шаровой 11с67п Ду 100 Ру 16 ЦУФ.001 КШ укороченный полнопроходной фланцевый с рукояткой</t>
        </is>
      </c>
      <c r="C298" s="253" t="inlineStr">
        <is>
          <t>ГОСТ 28343</t>
        </is>
      </c>
      <c r="D298" s="253" t="n">
        <v>100</v>
      </c>
      <c r="E298" s="222" t="inlineStr">
        <is>
          <t>полный</t>
        </is>
      </c>
      <c r="F298" s="253" t="n">
        <v>1.6</v>
      </c>
      <c r="G298" s="254" t="inlineStr">
        <is>
          <t>от -40 до +200</t>
        </is>
      </c>
      <c r="H298" s="254" t="inlineStr">
        <is>
          <t>вода техническая, неагрессивная среда, нефтепродукты, сжиженный газ</t>
        </is>
      </c>
      <c r="I298" s="222" t="inlineStr">
        <is>
          <t xml:space="preserve">сталь </t>
        </is>
      </c>
      <c r="J298" s="253" t="inlineStr">
        <is>
          <t>У1, ХЛ1</t>
        </is>
      </c>
      <c r="K298" s="222" t="inlineStr">
        <is>
          <t>фланцевый</t>
        </is>
      </c>
      <c r="L298" s="263" t="inlineStr">
        <is>
          <t>Ручка-рычаг</t>
        </is>
      </c>
      <c r="M298" s="253" t="inlineStr">
        <is>
          <t>-</t>
        </is>
      </c>
      <c r="N298" s="222" t="inlineStr">
        <is>
          <t>любое</t>
        </is>
      </c>
      <c r="O298" s="222"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P298" s="253" t="inlineStr">
        <is>
          <t>-</t>
        </is>
      </c>
      <c r="Q298" s="253" t="inlineStr">
        <is>
          <t>-</t>
        </is>
      </c>
      <c r="R298" s="198">
        <f>A298</f>
        <v/>
      </c>
      <c r="S298" s="205" t="n"/>
      <c r="T298" s="205" t="n"/>
      <c r="U298" s="205" t="n"/>
      <c r="V298" s="205" t="n"/>
      <c r="W298" s="205" t="n"/>
      <c r="X298" s="205" t="n"/>
      <c r="Y298" s="205" t="n"/>
      <c r="Z298" s="205" t="n"/>
      <c r="AA298" s="205" t="n"/>
      <c r="AB298" s="205" t="n"/>
      <c r="AC298" s="205" t="n"/>
      <c r="AD298" s="205" t="n"/>
      <c r="AE298" s="205" t="n"/>
      <c r="AF298" s="205" t="n"/>
      <c r="AG298" s="205" t="n"/>
      <c r="AH298" s="205" t="n"/>
      <c r="AI298" s="202" t="n"/>
    </row>
    <row r="299" ht="102" customHeight="1" s="169">
      <c r="A299" s="192" t="n">
        <v>78</v>
      </c>
      <c r="B299" s="193" t="inlineStr">
        <is>
          <t>Кран шаровой 11с67п Ду 32 Ру 16 ЦУФ.001 КШ укороченный полнопроходной фланцевый с рукояткой</t>
        </is>
      </c>
      <c r="C299" s="253" t="inlineStr">
        <is>
          <t>ГОСТ 28343</t>
        </is>
      </c>
      <c r="D299" s="253" t="n">
        <v>32</v>
      </c>
      <c r="E299" s="222" t="inlineStr">
        <is>
          <t>полный</t>
        </is>
      </c>
      <c r="F299" s="253" t="n">
        <v>1.6</v>
      </c>
      <c r="G299" s="254" t="inlineStr">
        <is>
          <t>от -40 до +200</t>
        </is>
      </c>
      <c r="H299" s="254" t="inlineStr">
        <is>
          <t>вода техническая, неагрессивная среда, нефтепродукты, сжиженный газ</t>
        </is>
      </c>
      <c r="I299" s="222" t="inlineStr">
        <is>
          <t xml:space="preserve">сталь </t>
        </is>
      </c>
      <c r="J299" s="253" t="inlineStr">
        <is>
          <t>У1, ХЛ1</t>
        </is>
      </c>
      <c r="K299" s="222" t="inlineStr">
        <is>
          <t>фланцевый</t>
        </is>
      </c>
      <c r="L299" s="263" t="inlineStr">
        <is>
          <t>Ручка-рычаг</t>
        </is>
      </c>
      <c r="M299" s="253" t="inlineStr">
        <is>
          <t>-</t>
        </is>
      </c>
      <c r="N299" s="222" t="inlineStr">
        <is>
          <t>любое</t>
        </is>
      </c>
      <c r="O299" s="222"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P299" s="253" t="inlineStr">
        <is>
          <t>-</t>
        </is>
      </c>
      <c r="Q299" s="253" t="inlineStr">
        <is>
          <t>-</t>
        </is>
      </c>
      <c r="R299" s="198">
        <f>A299</f>
        <v/>
      </c>
      <c r="S299" s="205" t="n"/>
      <c r="T299" s="205" t="n"/>
      <c r="U299" s="205" t="n"/>
      <c r="V299" s="205" t="n"/>
      <c r="W299" s="205" t="n"/>
      <c r="X299" s="205" t="n"/>
      <c r="Y299" s="205" t="n"/>
      <c r="Z299" s="205" t="n"/>
      <c r="AA299" s="205" t="n"/>
      <c r="AB299" s="205" t="n"/>
      <c r="AC299" s="205" t="n"/>
      <c r="AD299" s="205" t="n"/>
      <c r="AE299" s="205" t="n"/>
      <c r="AF299" s="205" t="n"/>
      <c r="AG299" s="205" t="n"/>
      <c r="AH299" s="205" t="n"/>
      <c r="AI299" s="202" t="n"/>
    </row>
    <row r="300" ht="102" customHeight="1" s="169">
      <c r="A300" s="192" t="n">
        <v>79</v>
      </c>
      <c r="B300" s="193" t="inlineStr">
        <is>
          <t>Кран шаровой 11с67п Ду 40 Ру 16 ЦУФ.001 КШ укороченный полнопроходной фланцевый с рукояткой</t>
        </is>
      </c>
      <c r="C300" s="253" t="inlineStr">
        <is>
          <t>ГОСТ 28343</t>
        </is>
      </c>
      <c r="D300" s="253" t="n">
        <v>40</v>
      </c>
      <c r="E300" s="222" t="inlineStr">
        <is>
          <t>полный</t>
        </is>
      </c>
      <c r="F300" s="253" t="n">
        <v>1.6</v>
      </c>
      <c r="G300" s="254" t="inlineStr">
        <is>
          <t>от -40 до +200</t>
        </is>
      </c>
      <c r="H300" s="254" t="inlineStr">
        <is>
          <t>вода техническая, неагрессивная среда, нефтепродукты, сжиженный газ</t>
        </is>
      </c>
      <c r="I300" s="222" t="inlineStr">
        <is>
          <t xml:space="preserve">сталь </t>
        </is>
      </c>
      <c r="J300" s="253" t="inlineStr">
        <is>
          <t>У1, ХЛ1</t>
        </is>
      </c>
      <c r="K300" s="222" t="inlineStr">
        <is>
          <t>фланцевый</t>
        </is>
      </c>
      <c r="L300" s="263" t="inlineStr">
        <is>
          <t>Ручка-рычаг</t>
        </is>
      </c>
      <c r="M300" s="253" t="inlineStr">
        <is>
          <t>-</t>
        </is>
      </c>
      <c r="N300" s="222" t="inlineStr">
        <is>
          <t>любое</t>
        </is>
      </c>
      <c r="O300" s="222"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P300" s="253" t="inlineStr">
        <is>
          <t>-</t>
        </is>
      </c>
      <c r="Q300" s="253" t="inlineStr">
        <is>
          <t>-</t>
        </is>
      </c>
      <c r="R300" s="198">
        <f>A300</f>
        <v/>
      </c>
      <c r="S300" s="205" t="n"/>
      <c r="T300" s="205" t="n"/>
      <c r="U300" s="205" t="n"/>
      <c r="V300" s="205" t="n"/>
      <c r="W300" s="205" t="n"/>
      <c r="X300" s="205" t="n"/>
      <c r="Y300" s="205" t="n"/>
      <c r="Z300" s="205" t="n"/>
      <c r="AA300" s="205" t="n"/>
      <c r="AB300" s="205" t="n"/>
      <c r="AC300" s="205" t="n"/>
      <c r="AD300" s="205" t="n"/>
      <c r="AE300" s="205" t="n"/>
      <c r="AF300" s="205" t="n"/>
      <c r="AG300" s="205" t="n"/>
      <c r="AH300" s="205" t="n"/>
      <c r="AI300" s="202" t="n"/>
    </row>
    <row r="301" ht="102" customHeight="1" s="169">
      <c r="A301" s="192" t="n">
        <v>80</v>
      </c>
      <c r="B301" s="193" t="inlineStr">
        <is>
          <t>Кран шаровой 11с67п Ду 50 Ру 16 ЦУФ.001 КШ укороченный полнопроходной фланцевый с рукояткой</t>
        </is>
      </c>
      <c r="C301" s="253" t="inlineStr">
        <is>
          <t>ГОСТ 28343</t>
        </is>
      </c>
      <c r="D301" s="253" t="n">
        <v>50</v>
      </c>
      <c r="E301" s="222" t="inlineStr">
        <is>
          <t>полный</t>
        </is>
      </c>
      <c r="F301" s="253" t="n">
        <v>1.6</v>
      </c>
      <c r="G301" s="254" t="inlineStr">
        <is>
          <t>от -40 до +200</t>
        </is>
      </c>
      <c r="H301" s="254" t="inlineStr">
        <is>
          <t>вода техническая, неагрессивная среда, нефтепродукты, сжиженный газ</t>
        </is>
      </c>
      <c r="I301" s="222" t="inlineStr">
        <is>
          <t xml:space="preserve">сталь </t>
        </is>
      </c>
      <c r="J301" s="253" t="inlineStr">
        <is>
          <t>У1, ХЛ1</t>
        </is>
      </c>
      <c r="K301" s="222" t="inlineStr">
        <is>
          <t>фланцевый</t>
        </is>
      </c>
      <c r="L301" s="263" t="inlineStr">
        <is>
          <t>Ручка-рычаг</t>
        </is>
      </c>
      <c r="M301" s="253" t="inlineStr">
        <is>
          <t>-</t>
        </is>
      </c>
      <c r="N301" s="222" t="inlineStr">
        <is>
          <t>любое</t>
        </is>
      </c>
      <c r="O301" s="222"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P301" s="253" t="inlineStr">
        <is>
          <t>-</t>
        </is>
      </c>
      <c r="Q301" s="253" t="inlineStr">
        <is>
          <t>-</t>
        </is>
      </c>
      <c r="R301" s="198">
        <f>A301</f>
        <v/>
      </c>
      <c r="S301" s="205" t="n"/>
      <c r="T301" s="205" t="n"/>
      <c r="U301" s="205" t="n"/>
      <c r="V301" s="205" t="n"/>
      <c r="W301" s="205" t="n"/>
      <c r="X301" s="205" t="n"/>
      <c r="Y301" s="205" t="n"/>
      <c r="Z301" s="205" t="n"/>
      <c r="AA301" s="205" t="n"/>
      <c r="AB301" s="205" t="n"/>
      <c r="AC301" s="205" t="n"/>
      <c r="AD301" s="205" t="n"/>
      <c r="AE301" s="205" t="n"/>
      <c r="AF301" s="205" t="n"/>
      <c r="AG301" s="205" t="n"/>
      <c r="AH301" s="205" t="n"/>
      <c r="AI301" s="202" t="n"/>
    </row>
    <row r="302" ht="102" customHeight="1" s="169">
      <c r="A302" s="192" t="n">
        <v>81</v>
      </c>
      <c r="B302" s="193" t="inlineStr">
        <is>
          <t>Кран шаровой 11с67п Ду 80 Ру 16 ЦУФ.001 КШ укороченный полнопроходной фланцевый с рукояткой</t>
        </is>
      </c>
      <c r="C302" s="253" t="inlineStr">
        <is>
          <t>ГОСТ 28343</t>
        </is>
      </c>
      <c r="D302" s="253" t="n">
        <v>80</v>
      </c>
      <c r="E302" s="222" t="inlineStr">
        <is>
          <t>полный</t>
        </is>
      </c>
      <c r="F302" s="253" t="n">
        <v>1.6</v>
      </c>
      <c r="G302" s="254" t="inlineStr">
        <is>
          <t>от -40 до +200</t>
        </is>
      </c>
      <c r="H302" s="254" t="inlineStr">
        <is>
          <t>вода техническая, неагрессивная среда, нефтепродукты, сжиженный газ</t>
        </is>
      </c>
      <c r="I302" s="222" t="inlineStr">
        <is>
          <t xml:space="preserve">сталь </t>
        </is>
      </c>
      <c r="J302" s="253" t="inlineStr">
        <is>
          <t>У1, ХЛ1</t>
        </is>
      </c>
      <c r="K302" s="222" t="inlineStr">
        <is>
          <t>фланцевый</t>
        </is>
      </c>
      <c r="L302" s="263" t="inlineStr">
        <is>
          <t>Ручка-рычаг</t>
        </is>
      </c>
      <c r="M302" s="253" t="inlineStr">
        <is>
          <t>-</t>
        </is>
      </c>
      <c r="N302" s="222" t="inlineStr">
        <is>
          <t>любое</t>
        </is>
      </c>
      <c r="O302" s="222" t="inlineStr">
        <is>
          <t>Корпус - сталь 20
Шар - сталь 08Х13 (AISI 409)
сталь 08Х18Н10 (AISI 304)
Шпиндель - сталь 20Х13
Кольцо уплотнительное - фторопласт Ф4Г3К6
Уплотнение шпинделя - фторопласт Ф4Г3К6
Втулка нажимная - сталь 20
Пружина тарельчатая - сталь 60С2А</t>
        </is>
      </c>
      <c r="P302" s="210" t="n"/>
      <c r="Q302" s="210" t="n"/>
      <c r="R302" s="198">
        <f>A302</f>
        <v/>
      </c>
      <c r="S302" s="205" t="n"/>
      <c r="T302" s="205" t="n"/>
      <c r="U302" s="205" t="n"/>
      <c r="V302" s="205" t="n"/>
      <c r="W302" s="205" t="n"/>
      <c r="X302" s="205" t="n"/>
      <c r="Y302" s="205" t="n"/>
      <c r="Z302" s="205" t="n"/>
      <c r="AA302" s="205" t="n"/>
      <c r="AB302" s="205" t="n"/>
      <c r="AC302" s="205" t="n"/>
      <c r="AD302" s="205" t="n"/>
      <c r="AE302" s="205" t="n"/>
      <c r="AF302" s="205" t="n"/>
      <c r="AG302" s="205" t="n"/>
      <c r="AH302" s="205" t="n"/>
      <c r="AI302" s="202" t="n"/>
    </row>
    <row r="303" ht="76.5" customHeight="1" s="169">
      <c r="A303" s="192" t="n">
        <v>82</v>
      </c>
      <c r="B303" s="193" t="inlineStr">
        <is>
          <t>Кран шаровой TEMPER 28020025 муфтовый, Ду 25, Ру 40</t>
        </is>
      </c>
      <c r="C303" s="222" t="inlineStr">
        <is>
          <t>ГОСТ Р54808-2011</t>
        </is>
      </c>
      <c r="D303" s="253" t="n">
        <v>25</v>
      </c>
      <c r="E303" s="222" t="inlineStr">
        <is>
          <t>полный</t>
        </is>
      </c>
      <c r="F303" s="253" t="n">
        <v>4</v>
      </c>
      <c r="G303" s="254" t="inlineStr">
        <is>
          <t>от - 40 °С до + 200 °С</t>
        </is>
      </c>
      <c r="H303" s="254" t="inlineStr">
        <is>
          <t xml:space="preserve">
вода, нейтральные среды, нефтепродукты</t>
        </is>
      </c>
      <c r="I303" s="223" t="inlineStr">
        <is>
          <t xml:space="preserve">сталь </t>
        </is>
      </c>
      <c r="J303" s="253" t="inlineStr">
        <is>
          <t>-</t>
        </is>
      </c>
      <c r="K303" s="222" t="inlineStr">
        <is>
          <t>внутренняя резьба</t>
        </is>
      </c>
      <c r="L303" s="223" t="inlineStr">
        <is>
          <t>ручной (рукоятка)</t>
        </is>
      </c>
      <c r="M303" s="253" t="inlineStr">
        <is>
          <t>-</t>
        </is>
      </c>
      <c r="N303" s="222" t="inlineStr">
        <is>
          <t>-</t>
        </is>
      </c>
      <c r="O303" s="222" t="inlineStr">
        <is>
          <t>Мах.температура (Т) град.: до +200 -  Мт.температура (Т) град.: до -40 -  Материал корпуса: Ст.20 -  Герметичность: Класс «А» ГОСТ Р54808-2011 - Ресурс: Не менее 10 000 циклов*- Полный срок службы: Не менее 25 лет*- Гарантийный срок: 3 года</t>
        </is>
      </c>
      <c r="P303" s="210" t="n"/>
      <c r="Q303" s="210" t="n"/>
      <c r="R303" s="198">
        <f>A303</f>
        <v/>
      </c>
      <c r="S303" s="205" t="n"/>
      <c r="T303" s="205" t="n"/>
      <c r="U303" s="205" t="n"/>
      <c r="V303" s="205" t="n"/>
      <c r="W303" s="205" t="n"/>
      <c r="X303" s="205" t="n"/>
      <c r="Y303" s="205" t="n"/>
      <c r="Z303" s="205" t="n"/>
      <c r="AA303" s="205" t="n"/>
      <c r="AB303" s="205" t="n"/>
      <c r="AC303" s="205" t="n"/>
      <c r="AD303" s="205" t="n"/>
      <c r="AE303" s="205" t="n"/>
      <c r="AF303" s="205" t="n"/>
      <c r="AG303" s="205" t="n"/>
      <c r="AH303" s="205" t="n"/>
      <c r="AI303" s="202" t="n"/>
    </row>
    <row r="304" ht="114.75" customHeight="1" s="169">
      <c r="A304" s="192" t="n">
        <v>83</v>
      </c>
      <c r="B304" s="193" t="inlineStr">
        <is>
          <t>Кран шаровый LD полнопроходной 11с67п КШРФ Ду 100 Ру 16 с КОФ</t>
        </is>
      </c>
      <c r="C304" s="254" t="inlineStr">
        <is>
          <t>ТУ 374-00145630744-2003</t>
        </is>
      </c>
      <c r="D304" s="263" t="n">
        <v>100</v>
      </c>
      <c r="E304" s="223" t="inlineStr">
        <is>
          <t>полный</t>
        </is>
      </c>
      <c r="F304" s="263" t="n">
        <v>1.6</v>
      </c>
      <c r="G304" s="254" t="inlineStr">
        <is>
          <t>от -40 до +200</t>
        </is>
      </c>
      <c r="H304" s="254" t="inlineStr">
        <is>
          <t>вода, газ, нефтепродукты и другие не
  токсичные и неагрессивные среды</t>
        </is>
      </c>
      <c r="I304" s="254" t="inlineStr">
        <is>
          <t xml:space="preserve">сталь </t>
        </is>
      </c>
      <c r="J304" s="263" t="inlineStr">
        <is>
          <t>У1</t>
        </is>
      </c>
      <c r="K304" s="254" t="inlineStr">
        <is>
          <t>фланцевый</t>
        </is>
      </c>
      <c r="L304" s="263" t="inlineStr">
        <is>
          <t>-</t>
        </is>
      </c>
      <c r="M304" s="263" t="inlineStr">
        <is>
          <t>-</t>
        </is>
      </c>
      <c r="N304" s="254" t="inlineStr">
        <is>
          <t>любое</t>
        </is>
      </c>
      <c r="O304" s="25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P304" s="210" t="n"/>
      <c r="Q304" s="210" t="n"/>
      <c r="R304" s="198">
        <f>A304</f>
        <v/>
      </c>
      <c r="S304" s="205" t="n"/>
      <c r="T304" s="205" t="n"/>
      <c r="U304" s="205" t="n"/>
      <c r="V304" s="205" t="n"/>
      <c r="W304" s="205" t="n"/>
      <c r="X304" s="205" t="n"/>
      <c r="Y304" s="205" t="n"/>
      <c r="Z304" s="205" t="n"/>
      <c r="AA304" s="205" t="n"/>
      <c r="AB304" s="205" t="n"/>
      <c r="AC304" s="205" t="n"/>
      <c r="AD304" s="205" t="n"/>
      <c r="AE304" s="205" t="n"/>
      <c r="AF304" s="205" t="n"/>
      <c r="AG304" s="205" t="n"/>
      <c r="AH304" s="205" t="n"/>
      <c r="AI304" s="202" t="n"/>
    </row>
    <row r="305" ht="114.75" customHeight="1" s="169">
      <c r="A305" s="192" t="n">
        <v>84</v>
      </c>
      <c r="B305" s="193" t="inlineStr">
        <is>
          <t>Кран шаровый LD полнопроходной 11с67п КШРФ Ду 150 Ру 16 с КОФ</t>
        </is>
      </c>
      <c r="C305" s="254" t="inlineStr">
        <is>
          <t>ТУ 374-00145630744-2003</t>
        </is>
      </c>
      <c r="D305" s="263" t="n">
        <v>150</v>
      </c>
      <c r="E305" s="222" t="inlineStr">
        <is>
          <t>полный</t>
        </is>
      </c>
      <c r="F305" s="263" t="n">
        <v>1.6</v>
      </c>
      <c r="G305" s="254" t="inlineStr">
        <is>
          <t>от -40 до +200</t>
        </is>
      </c>
      <c r="H305" s="254" t="inlineStr">
        <is>
          <t>вода, газ, нефтепродукты и другие не
  токсичные и неагрессивные среды</t>
        </is>
      </c>
      <c r="I305" s="254" t="inlineStr">
        <is>
          <t xml:space="preserve">сталь </t>
        </is>
      </c>
      <c r="J305" s="263" t="inlineStr">
        <is>
          <t>У1</t>
        </is>
      </c>
      <c r="K305" s="254" t="inlineStr">
        <is>
          <t>фланцевый</t>
        </is>
      </c>
      <c r="L305" s="263" t="inlineStr">
        <is>
          <t>-</t>
        </is>
      </c>
      <c r="M305" s="263" t="inlineStr">
        <is>
          <t>-</t>
        </is>
      </c>
      <c r="N305" s="254" t="inlineStr">
        <is>
          <t>любое</t>
        </is>
      </c>
      <c r="O305" s="25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P305" s="210" t="n"/>
      <c r="Q305" s="210" t="n"/>
      <c r="R305" s="198">
        <f>A305</f>
        <v/>
      </c>
      <c r="S305" s="205" t="n"/>
      <c r="T305" s="205" t="n"/>
      <c r="U305" s="205" t="n"/>
      <c r="V305" s="205" t="n"/>
      <c r="W305" s="205" t="n"/>
      <c r="X305" s="205" t="n"/>
      <c r="Y305" s="205" t="n"/>
      <c r="Z305" s="205" t="n"/>
      <c r="AA305" s="205" t="n"/>
      <c r="AB305" s="205" t="n"/>
      <c r="AC305" s="205" t="n"/>
      <c r="AD305" s="205" t="n"/>
      <c r="AE305" s="205" t="n"/>
      <c r="AF305" s="205" t="n"/>
      <c r="AG305" s="205" t="n"/>
      <c r="AH305" s="205" t="n"/>
      <c r="AI305" s="202" t="n"/>
    </row>
    <row r="306" ht="114.75" customHeight="1" s="169">
      <c r="A306" s="192" t="n">
        <v>85</v>
      </c>
      <c r="B306" s="193" t="inlineStr">
        <is>
          <t>Кран шаровый LD полнопроходной 11с67п КШРФ Ду 25 Ру 16 с КОФ</t>
        </is>
      </c>
      <c r="C306" s="254" t="inlineStr">
        <is>
          <t>ТУ 374-00145630744-2003</t>
        </is>
      </c>
      <c r="D306" s="263" t="n">
        <v>25</v>
      </c>
      <c r="E306" s="222" t="inlineStr">
        <is>
          <t>полный</t>
        </is>
      </c>
      <c r="F306" s="263" t="n">
        <v>1.6</v>
      </c>
      <c r="G306" s="254" t="inlineStr">
        <is>
          <t>от -40 до +200</t>
        </is>
      </c>
      <c r="H306" s="254" t="inlineStr">
        <is>
          <t>вода, газ, нефтепродукты и другие не
  токсичные и неагрессивные среды</t>
        </is>
      </c>
      <c r="I306" s="254" t="inlineStr">
        <is>
          <t xml:space="preserve">сталь </t>
        </is>
      </c>
      <c r="J306" s="263" t="inlineStr">
        <is>
          <t>У1</t>
        </is>
      </c>
      <c r="K306" s="254" t="inlineStr">
        <is>
          <t>фланцевый</t>
        </is>
      </c>
      <c r="L306" s="263" t="inlineStr">
        <is>
          <t>-</t>
        </is>
      </c>
      <c r="M306" s="263" t="inlineStr">
        <is>
          <t>-</t>
        </is>
      </c>
      <c r="N306" s="254" t="inlineStr">
        <is>
          <t>любое</t>
        </is>
      </c>
      <c r="O306" s="25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P306" s="212" t="n"/>
      <c r="Q306" s="212" t="n"/>
      <c r="R306" s="198">
        <f>A306</f>
        <v/>
      </c>
      <c r="S306" s="205" t="n"/>
      <c r="T306" s="205" t="n"/>
      <c r="U306" s="205" t="n"/>
      <c r="V306" s="205" t="n"/>
      <c r="W306" s="205" t="n"/>
      <c r="X306" s="205" t="n"/>
      <c r="Y306" s="205" t="n"/>
      <c r="Z306" s="205" t="n"/>
      <c r="AA306" s="205" t="n"/>
      <c r="AB306" s="205" t="n"/>
      <c r="AC306" s="205" t="n"/>
      <c r="AD306" s="205" t="n"/>
      <c r="AE306" s="205" t="n"/>
      <c r="AF306" s="205" t="n"/>
      <c r="AG306" s="205" t="n"/>
      <c r="AH306" s="205" t="n"/>
      <c r="AI306" s="202" t="n"/>
    </row>
    <row r="307" ht="114.75" customHeight="1" s="169">
      <c r="A307" s="192" t="n">
        <v>86</v>
      </c>
      <c r="B307" s="193" t="inlineStr">
        <is>
          <t>Кран шаровый LD полнопроходной 11с67п КШРФ Ду 40 Ру 16 с КОФ</t>
        </is>
      </c>
      <c r="C307" s="254" t="inlineStr">
        <is>
          <t>ТУ 374-00145630744-2003</t>
        </is>
      </c>
      <c r="D307" s="263" t="n">
        <v>40</v>
      </c>
      <c r="E307" s="222" t="inlineStr">
        <is>
          <t>полный</t>
        </is>
      </c>
      <c r="F307" s="263" t="n">
        <v>1.6</v>
      </c>
      <c r="G307" s="254" t="inlineStr">
        <is>
          <t>от -40 до +200</t>
        </is>
      </c>
      <c r="H307" s="254" t="inlineStr">
        <is>
          <t>вода, газ, нефтепродукты и другие не
  токсичные и неагрессивные среды</t>
        </is>
      </c>
      <c r="I307" s="254" t="inlineStr">
        <is>
          <t xml:space="preserve">сталь </t>
        </is>
      </c>
      <c r="J307" s="263" t="inlineStr">
        <is>
          <t>У1</t>
        </is>
      </c>
      <c r="K307" s="254" t="inlineStr">
        <is>
          <t>фланцевый</t>
        </is>
      </c>
      <c r="L307" s="263" t="inlineStr">
        <is>
          <t>-</t>
        </is>
      </c>
      <c r="M307" s="263" t="inlineStr">
        <is>
          <t>-</t>
        </is>
      </c>
      <c r="N307" s="254" t="inlineStr">
        <is>
          <t>любое</t>
        </is>
      </c>
      <c r="O307" s="25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P307" s="253" t="n"/>
      <c r="Q307" s="253" t="n"/>
      <c r="R307" s="198">
        <f>A307</f>
        <v/>
      </c>
      <c r="S307" s="205" t="n"/>
      <c r="T307" s="205" t="n"/>
      <c r="U307" s="205" t="n"/>
      <c r="V307" s="205" t="n"/>
      <c r="W307" s="205" t="n"/>
      <c r="X307" s="205" t="n"/>
      <c r="Y307" s="205" t="n"/>
      <c r="Z307" s="205" t="n"/>
      <c r="AA307" s="205" t="n"/>
      <c r="AB307" s="205" t="n"/>
      <c r="AC307" s="205" t="n"/>
      <c r="AD307" s="205" t="n"/>
      <c r="AE307" s="205" t="n"/>
      <c r="AF307" s="205" t="n"/>
      <c r="AG307" s="205" t="n"/>
      <c r="AH307" s="205" t="n"/>
      <c r="AI307" s="202" t="n"/>
    </row>
    <row r="308" ht="114.75" customHeight="1" s="169">
      <c r="A308" s="192" t="n">
        <v>87</v>
      </c>
      <c r="B308" s="193" t="inlineStr">
        <is>
          <t>Кран шаровый LD полнопроходной 11с67п КШРФ Ду 50 Ру 16 с КОФ</t>
        </is>
      </c>
      <c r="C308" s="254" t="inlineStr">
        <is>
          <t>ТУ 374-00145630744-2003</t>
        </is>
      </c>
      <c r="D308" s="263" t="n">
        <v>50</v>
      </c>
      <c r="E308" s="222" t="inlineStr">
        <is>
          <t>полный</t>
        </is>
      </c>
      <c r="F308" s="263" t="n">
        <v>1.6</v>
      </c>
      <c r="G308" s="254" t="inlineStr">
        <is>
          <t>от -40 до +200</t>
        </is>
      </c>
      <c r="H308" s="254" t="inlineStr">
        <is>
          <t>вода, газ, нефтепродукты и другие не
  токсичные и неагрессивные среды</t>
        </is>
      </c>
      <c r="I308" s="254" t="inlineStr">
        <is>
          <t xml:space="preserve">сталь </t>
        </is>
      </c>
      <c r="J308" s="263" t="inlineStr">
        <is>
          <t>У1</t>
        </is>
      </c>
      <c r="K308" s="254" t="inlineStr">
        <is>
          <t>фланцевый</t>
        </is>
      </c>
      <c r="L308" s="263" t="inlineStr">
        <is>
          <t>-</t>
        </is>
      </c>
      <c r="M308" s="263" t="inlineStr">
        <is>
          <t>-</t>
        </is>
      </c>
      <c r="N308" s="254" t="inlineStr">
        <is>
          <t>любое</t>
        </is>
      </c>
      <c r="O308" s="25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P308" s="253" t="n"/>
      <c r="Q308" s="253" t="n"/>
      <c r="R308" s="198">
        <f>A308</f>
        <v/>
      </c>
      <c r="S308" s="205" t="n"/>
      <c r="T308" s="205" t="n"/>
      <c r="U308" s="205" t="n"/>
      <c r="V308" s="205" t="n"/>
      <c r="W308" s="205" t="n"/>
      <c r="X308" s="205" t="n"/>
      <c r="Y308" s="205" t="n"/>
      <c r="Z308" s="205" t="n"/>
      <c r="AA308" s="205" t="n"/>
      <c r="AB308" s="205" t="n"/>
      <c r="AC308" s="205" t="n"/>
      <c r="AD308" s="205" t="n"/>
      <c r="AE308" s="205" t="n"/>
      <c r="AF308" s="205" t="n"/>
      <c r="AG308" s="205" t="n"/>
      <c r="AH308" s="205" t="n"/>
      <c r="AI308" s="202" t="n"/>
    </row>
    <row r="309" ht="114.75" customHeight="1" s="169">
      <c r="A309" s="192" t="n">
        <v>88</v>
      </c>
      <c r="B309" s="193" t="inlineStr">
        <is>
          <t>Кран шаровый LD полнопроходной 11с67п КШРФ Ду 80 Ру 16 с КОФ</t>
        </is>
      </c>
      <c r="C309" s="254" t="inlineStr">
        <is>
          <t>ТУ 374-00145630744-2003</t>
        </is>
      </c>
      <c r="D309" s="263" t="n">
        <v>80</v>
      </c>
      <c r="E309" s="222" t="inlineStr">
        <is>
          <t>полный</t>
        </is>
      </c>
      <c r="F309" s="263" t="n">
        <v>1.6</v>
      </c>
      <c r="G309" s="254" t="inlineStr">
        <is>
          <t>от -40 до +200</t>
        </is>
      </c>
      <c r="H309" s="254" t="inlineStr">
        <is>
          <t>вода, газ, нефтепродукты и другие не
  токсичные и неагрессивные среды</t>
        </is>
      </c>
      <c r="I309" s="254" t="inlineStr">
        <is>
          <t xml:space="preserve">сталь </t>
        </is>
      </c>
      <c r="J309" s="263" t="inlineStr">
        <is>
          <t>У1</t>
        </is>
      </c>
      <c r="K309" s="254" t="inlineStr">
        <is>
          <t>фланцевый</t>
        </is>
      </c>
      <c r="L309" s="263" t="inlineStr">
        <is>
          <t>-</t>
        </is>
      </c>
      <c r="M309" s="263" t="inlineStr">
        <is>
          <t>-</t>
        </is>
      </c>
      <c r="N309" s="254" t="inlineStr">
        <is>
          <t>любое</t>
        </is>
      </c>
      <c r="O309" s="254" t="inlineStr">
        <is>
          <t>Корпус - Ст.20
Патрубок для фланцевых кранов - Ст.20; Горловина - Ст.20;
Шток - 20Х13; Шайба ограничительная - Ст.20; Шаровая пробка - 20Х13, AISI 409, AISI 304; Седло - Ф-4К20; Кольцо опорное - Ст.20; Пружина тарельчатая - 65Г; Уплотнение узла горловины - Фторсилоксановый эластомер; Уплотнительное кольцо - Ф-4К20</t>
        </is>
      </c>
      <c r="P309" s="253" t="n"/>
      <c r="Q309" s="253" t="n"/>
      <c r="R309" s="198">
        <f>A309</f>
        <v/>
      </c>
      <c r="S309" s="205" t="n"/>
      <c r="T309" s="205" t="n"/>
      <c r="U309" s="205" t="n"/>
      <c r="V309" s="205" t="n"/>
      <c r="W309" s="205" t="n"/>
      <c r="X309" s="205" t="n"/>
      <c r="Y309" s="205" t="n"/>
      <c r="Z309" s="205" t="n"/>
      <c r="AA309" s="205" t="n"/>
      <c r="AB309" s="205" t="n"/>
      <c r="AC309" s="205" t="n"/>
      <c r="AD309" s="205" t="n"/>
      <c r="AE309" s="205" t="n"/>
      <c r="AF309" s="205" t="n"/>
      <c r="AG309" s="205" t="n"/>
      <c r="AH309" s="205" t="n"/>
      <c r="AI309" s="202" t="n"/>
    </row>
    <row r="310" ht="89.25" customHeight="1" s="169">
      <c r="A310" s="192" t="n">
        <v>89</v>
      </c>
      <c r="B310" s="193" t="inlineStr">
        <is>
          <t>Затвор дисковый поворотный(ГРЭНВЭЛ) ЗП ТЛ Ду 100, Ру 16</t>
        </is>
      </c>
      <c r="C310" s="222" t="inlineStr">
        <is>
          <t>-</t>
        </is>
      </c>
      <c r="D310" s="222" t="n">
        <v>100</v>
      </c>
      <c r="E310" s="222" t="inlineStr">
        <is>
          <t>стандарт</t>
        </is>
      </c>
      <c r="F310" s="223" t="n">
        <v>1.6</v>
      </c>
      <c r="G310" s="222" t="inlineStr">
        <is>
          <t>до + 110 °С</t>
        </is>
      </c>
      <c r="H310" s="222" t="inlineStr">
        <is>
          <t>теплоснабжение, горячий воздух (до 12 бар), питьевая горячая вода.</t>
        </is>
      </c>
      <c r="I310" s="222" t="inlineStr">
        <is>
          <t>серый чугун GG25</t>
        </is>
      </c>
      <c r="J310" s="222" t="inlineStr">
        <is>
          <t>У</t>
        </is>
      </c>
      <c r="K310" s="222" t="inlineStr">
        <is>
          <t>межфланцевый</t>
        </is>
      </c>
      <c r="L310" s="222" t="inlineStr">
        <is>
          <t>-</t>
        </is>
      </c>
      <c r="M310" s="253" t="inlineStr">
        <is>
          <t>-</t>
        </is>
      </c>
      <c r="N310" s="223" t="inlineStr">
        <is>
          <t>любое</t>
        </is>
      </c>
      <c r="O310" s="222"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BD01M40469</t>
        </is>
      </c>
      <c r="P310" s="222" t="n"/>
      <c r="Q310" s="222" t="n"/>
      <c r="R310" s="198">
        <f>A310</f>
        <v/>
      </c>
      <c r="S310" s="205" t="n"/>
      <c r="T310" s="205" t="n"/>
      <c r="U310" s="205" t="n"/>
      <c r="V310" s="205" t="n"/>
      <c r="W310" s="205" t="n"/>
      <c r="X310" s="205" t="n"/>
      <c r="Y310" s="205" t="n"/>
      <c r="Z310" s="205" t="n"/>
      <c r="AA310" s="205" t="n"/>
      <c r="AB310" s="205" t="n"/>
      <c r="AC310" s="205" t="n"/>
      <c r="AD310" s="205" t="n"/>
      <c r="AE310" s="205" t="n"/>
      <c r="AF310" s="205" t="n"/>
      <c r="AG310" s="205" t="n"/>
      <c r="AH310" s="205" t="n"/>
      <c r="AI310" s="202" t="n"/>
    </row>
    <row r="311" ht="89.25" customHeight="1" s="169">
      <c r="A311" s="192" t="n">
        <v>90</v>
      </c>
      <c r="B311" s="193" t="inlineStr">
        <is>
          <t>Затвор дисковый поворотный(ГРЭНВЭЛ) ЗП ТЛ Ду 80 Ру 16</t>
        </is>
      </c>
      <c r="C311" s="222" t="inlineStr">
        <is>
          <t>-</t>
        </is>
      </c>
      <c r="D311" s="222" t="n">
        <v>80</v>
      </c>
      <c r="E311" s="223" t="inlineStr">
        <is>
          <t>стандарт</t>
        </is>
      </c>
      <c r="F311" s="222" t="n">
        <v>1.6</v>
      </c>
      <c r="G311" s="223" t="inlineStr">
        <is>
          <t>до + 110 °С</t>
        </is>
      </c>
      <c r="H311" s="222" t="inlineStr">
        <is>
          <t>теплоснабжение, горячий воздух (до 12 бар), питьевая горячая вода.</t>
        </is>
      </c>
      <c r="I311" s="223" t="inlineStr">
        <is>
          <t>серый чугун GG25</t>
        </is>
      </c>
      <c r="J311" s="222" t="inlineStr">
        <is>
          <t>У</t>
        </is>
      </c>
      <c r="K311" s="222" t="inlineStr">
        <is>
          <t>межфланцевый</t>
        </is>
      </c>
      <c r="L311" s="222" t="inlineStr">
        <is>
          <t>-</t>
        </is>
      </c>
      <c r="M311" s="253" t="inlineStr">
        <is>
          <t>-</t>
        </is>
      </c>
      <c r="N311" s="222" t="inlineStr">
        <is>
          <t>любое</t>
        </is>
      </c>
      <c r="O311" s="222" t="inlineStr">
        <is>
          <t>Номинальное давление: 16 кгс/см2.Корпус: - Серый чугун GG25 • Высокопрочный чугун GGG40, Седло- EPDM HT; Диск - Нержавеющая сталь CF8M; PN 1,6; DN25–300; tраб. перекач. ср.: +60…+115°С; tмакс.: +130°С в кратковр. режиме tмин.: +40°С в кратковр. Режиме; каталожный номер BD01M389</t>
        </is>
      </c>
      <c r="P311" s="222" t="n"/>
      <c r="Q311" s="222" t="n"/>
      <c r="R311" s="198">
        <f>A311</f>
        <v/>
      </c>
      <c r="S311" s="205" t="n"/>
      <c r="T311" s="205" t="n"/>
      <c r="U311" s="205" t="n"/>
      <c r="V311" s="205" t="n"/>
      <c r="W311" s="205" t="n"/>
      <c r="X311" s="205" t="n"/>
      <c r="Y311" s="205" t="n"/>
      <c r="Z311" s="205" t="n"/>
      <c r="AA311" s="205" t="n"/>
      <c r="AB311" s="205" t="n"/>
      <c r="AC311" s="205" t="n"/>
      <c r="AD311" s="205" t="n"/>
      <c r="AE311" s="205" t="n"/>
      <c r="AF311" s="205" t="n"/>
      <c r="AG311" s="205" t="n"/>
      <c r="AH311" s="205" t="n"/>
      <c r="AI311" s="202" t="n"/>
    </row>
    <row r="312" ht="60" customHeight="1" s="169">
      <c r="A312" s="192" t="n">
        <v>91</v>
      </c>
      <c r="B312" s="193" t="inlineStr">
        <is>
          <t>Затвор дисковый поворотный(ГРЭНВЭЛ) Тип /серия FL(w)-3-MR-E Ду 80 Ру 16</t>
        </is>
      </c>
      <c r="C312" s="222" t="inlineStr">
        <is>
          <t>ГОСТ Р 52720-2007</t>
        </is>
      </c>
      <c r="D312" s="222" t="n">
        <v>80</v>
      </c>
      <c r="E312" s="222" t="inlineStr">
        <is>
          <t>стандарт</t>
        </is>
      </c>
      <c r="F312" s="222" t="n">
        <v>1.6</v>
      </c>
      <c r="G312" s="222" t="inlineStr">
        <is>
          <t>от -20 до +110</t>
        </is>
      </c>
      <c r="H312" s="222" t="inlineStr">
        <is>
          <t>вода, воздух</t>
        </is>
      </c>
      <c r="I312" s="222" t="inlineStr">
        <is>
          <t>серый чугун GG25</t>
        </is>
      </c>
      <c r="J312" s="222" t="inlineStr">
        <is>
          <t>У</t>
        </is>
      </c>
      <c r="K312" s="222" t="inlineStr">
        <is>
          <t>межфланцевый</t>
        </is>
      </c>
      <c r="L312" s="222" t="inlineStr">
        <is>
          <t>ручной (рукоятка)</t>
        </is>
      </c>
      <c r="M312" s="253" t="inlineStr">
        <is>
          <t>-</t>
        </is>
      </c>
      <c r="N312" s="222" t="inlineStr">
        <is>
          <t>любое</t>
        </is>
      </c>
      <c r="O312" s="222" t="inlineStr">
        <is>
          <t>Материал диска: высокопрочный чугун с эпоксидным покрытием; Уплотнение : резина EPDM</t>
        </is>
      </c>
      <c r="P312" s="222" t="inlineStr">
        <is>
          <t>-</t>
        </is>
      </c>
      <c r="Q312" s="222" t="inlineStr">
        <is>
          <t>-</t>
        </is>
      </c>
      <c r="R312" s="198">
        <f>A312</f>
        <v/>
      </c>
      <c r="S312" s="205" t="n"/>
      <c r="T312" s="205" t="n"/>
      <c r="U312" s="205" t="n"/>
      <c r="V312" s="205" t="n"/>
      <c r="W312" s="205" t="n"/>
      <c r="X312" s="205" t="n"/>
      <c r="Y312" s="205" t="n"/>
      <c r="Z312" s="205" t="n"/>
      <c r="AA312" s="205" t="n"/>
      <c r="AB312" s="205" t="n"/>
      <c r="AC312" s="205" t="n"/>
      <c r="AD312" s="205" t="n"/>
      <c r="AE312" s="205" t="n"/>
      <c r="AF312" s="205" t="n"/>
      <c r="AG312" s="205" t="n"/>
      <c r="AH312" s="205" t="n"/>
      <c r="AI312" s="202" t="n"/>
    </row>
    <row r="313" ht="178.5" customHeight="1" s="169">
      <c r="A313" s="192" t="n">
        <v>92</v>
      </c>
      <c r="B313" s="193" t="inlineStr">
        <is>
          <t>Газовый клапан Dungs LGV 507/5 230 V, 119271</t>
        </is>
      </c>
      <c r="C313" s="264" t="inlineStr">
        <is>
          <t>-</t>
        </is>
      </c>
      <c r="D313" s="264" t="inlineStr">
        <is>
          <t>-</t>
        </is>
      </c>
      <c r="E313" s="264" t="inlineStr">
        <is>
          <t>-</t>
        </is>
      </c>
      <c r="F313" s="264" t="inlineStr">
        <is>
          <t>-</t>
        </is>
      </c>
      <c r="G313" s="265" t="inlineStr">
        <is>
          <t>от -15°C до +60°C.</t>
        </is>
      </c>
      <c r="H313" s="264" t="inlineStr">
        <is>
          <t>газ</t>
        </is>
      </c>
      <c r="I313" s="262" t="inlineStr">
        <is>
          <t xml:space="preserve">
корпус: алюминий, сталь;</t>
        </is>
      </c>
      <c r="J313" s="264" t="inlineStr">
        <is>
          <t>-</t>
        </is>
      </c>
      <c r="K313" s="262" t="inlineStr">
        <is>
          <t>резьбовые фланцы Rp 3/4".</t>
        </is>
      </c>
      <c r="L313" s="264" t="inlineStr">
        <is>
          <t>-</t>
        </is>
      </c>
      <c r="M313" s="264" t="inlineStr">
        <is>
          <t>-</t>
        </is>
      </c>
      <c r="N313" s="262" t="inlineStr">
        <is>
          <t>любое</t>
        </is>
      </c>
      <c r="O313" s="262" t="inlineStr">
        <is>
          <t>Предназначен:для газовых горелок
Максимальное избыточное давление:500 мбар
Соединение на входе:Rp 3/4"
Соединение на выходе:Rp 3/4"
Электропитание:230 В
Рабочая температура окр. среды:от -15 до +60 °C
Потребляемая мощность:15 ВА
Электромагнитные клапаны V1 и V2:Класса А
Класс пылевлагозащиты:IP 54
Вид подключения: винтовые зажимы
Материал уплотнения клапана: NBR
Вес: 1.3 кг
Габариты:15.2x10.5x12.4 см</t>
        </is>
      </c>
      <c r="P313" s="262" t="inlineStr">
        <is>
          <t>Габариты:15.2x10.5x12.4 см</t>
        </is>
      </c>
      <c r="Q313" s="264" t="inlineStr">
        <is>
          <t>-</t>
        </is>
      </c>
      <c r="R313" s="198">
        <f>A313</f>
        <v/>
      </c>
      <c r="S313" s="205" t="n"/>
      <c r="T313" s="205" t="n"/>
      <c r="U313" s="205" t="n"/>
      <c r="V313" s="205" t="n"/>
      <c r="W313" s="205" t="n"/>
      <c r="X313" s="205" t="n"/>
      <c r="Y313" s="205" t="n"/>
      <c r="Z313" s="205" t="n"/>
      <c r="AA313" s="205" t="n"/>
      <c r="AB313" s="205" t="n"/>
      <c r="AC313" s="205" t="n"/>
      <c r="AD313" s="205" t="n"/>
      <c r="AE313" s="205" t="n"/>
      <c r="AF313" s="205" t="n"/>
      <c r="AG313" s="205" t="n"/>
      <c r="AH313" s="205" t="n"/>
      <c r="AI313" s="202" t="n"/>
    </row>
    <row r="314" ht="216.75" customHeight="1" s="169">
      <c r="A314" s="192" t="n">
        <v>93</v>
      </c>
      <c r="B314" s="193" t="inlineStr">
        <is>
          <t>Электропривод Esbe 95 - 12051900</t>
        </is>
      </c>
      <c r="C314" s="262" t="inlineStr">
        <is>
          <t>-</t>
        </is>
      </c>
      <c r="D314" s="262" t="inlineStr">
        <is>
          <t>-</t>
        </is>
      </c>
      <c r="E314" s="262" t="inlineStr">
        <is>
          <t>-</t>
        </is>
      </c>
      <c r="F314" s="262" t="inlineStr">
        <is>
          <t>-</t>
        </is>
      </c>
      <c r="G314" s="262" t="inlineStr">
        <is>
          <t>-5...+55</t>
        </is>
      </c>
      <c r="H314" s="262" t="inlineStr">
        <is>
          <t>-</t>
        </is>
      </c>
      <c r="I314" s="262" t="inlineStr">
        <is>
          <t>-</t>
        </is>
      </c>
      <c r="J314" s="262" t="inlineStr">
        <is>
          <t>-</t>
        </is>
      </c>
      <c r="K314" s="262" t="inlineStr">
        <is>
          <t>-</t>
        </is>
      </c>
      <c r="L314" s="264" t="inlineStr">
        <is>
          <t>-</t>
        </is>
      </c>
      <c r="M314" s="264" t="inlineStr">
        <is>
          <t>-</t>
        </is>
      </c>
      <c r="N314" s="262" t="inlineStr">
        <is>
          <t>-</t>
        </is>
      </c>
      <c r="O314" s="262" t="inlineStr">
        <is>
          <t>Сервопривод ESBE 95 для моторизованных ротационных трехходовых клапанов ESBE Ду 15-150.
Рабочий диапазон действия регулируется от 30° до 180° при помощи кулачковых дисков. Кулачковые диски также приводят в действие ограничительные выключатели.
Клапан может иметь как автоматический, так и ручной режим управления. Отключение ручного управления легко производится при помощи рычага.
Позиция клапана отражается на специальном индикаторе, расположенном на передней части привода. Приводы Esbe серии 90 эффективно работают с клапанами серий:
VRG100*, VRG200*, VRG300*, VRB100*, F, MG, G, BIV, H и HG.</t>
        </is>
      </c>
      <c r="P314" s="262" t="n"/>
      <c r="Q314" s="262" t="n"/>
      <c r="R314" s="198">
        <f>A314</f>
        <v/>
      </c>
      <c r="S314" s="186" t="n"/>
      <c r="T314" s="186" t="n"/>
      <c r="U314" s="186" t="n"/>
      <c r="V314" s="186" t="n"/>
      <c r="W314" s="186" t="n"/>
      <c r="X314" s="186" t="n"/>
      <c r="Y314" s="186" t="n"/>
      <c r="Z314" s="186" t="n"/>
      <c r="AA314" s="186" t="n"/>
      <c r="AB314" s="186" t="n"/>
      <c r="AC314" s="186" t="n"/>
      <c r="AD314" s="186" t="n"/>
      <c r="AE314" s="186" t="n"/>
      <c r="AF314" s="186" t="n"/>
      <c r="AG314" s="186" t="n"/>
      <c r="AH314" s="186" t="n"/>
      <c r="AI314" s="202" t="n"/>
    </row>
    <row r="315" ht="17.1" customHeight="1" s="169">
      <c r="A315" s="249" t="inlineStr">
        <is>
          <t>Спецификация №3 Грузополучатель №3 Таблица 1.7 (филиал Коммунальная энергетика) — Техническое обслуживание</t>
        </is>
      </c>
      <c r="B315" s="182" t="n"/>
      <c r="C315" s="182" t="n"/>
      <c r="D315" s="182" t="n"/>
      <c r="E315" s="182" t="n"/>
      <c r="F315" s="182" t="n"/>
      <c r="G315" s="182" t="n"/>
      <c r="H315" s="182" t="n"/>
      <c r="I315" s="182" t="n"/>
      <c r="J315" s="182" t="n"/>
      <c r="K315" s="182" t="n"/>
      <c r="L315" s="182" t="n"/>
      <c r="M315" s="182" t="n"/>
      <c r="N315" s="182" t="n"/>
      <c r="O315" s="182" t="n"/>
      <c r="P315" s="182" t="n"/>
      <c r="Q315" s="180" t="n"/>
      <c r="R315" s="198">
        <f>A315</f>
        <v/>
      </c>
      <c r="S315" s="182" t="n"/>
      <c r="T315" s="182" t="n"/>
      <c r="U315" s="182" t="n"/>
      <c r="V315" s="182" t="n"/>
      <c r="W315" s="182" t="n"/>
      <c r="X315" s="182" t="n"/>
      <c r="Y315" s="182" t="n"/>
      <c r="Z315" s="182" t="n"/>
      <c r="AA315" s="182" t="n"/>
      <c r="AB315" s="182" t="n"/>
      <c r="AC315" s="182" t="n"/>
      <c r="AD315" s="182" t="n"/>
      <c r="AE315" s="182" t="n"/>
      <c r="AF315" s="182" t="n"/>
      <c r="AG315" s="182" t="n"/>
      <c r="AH315" s="182" t="n"/>
      <c r="AI315" s="180" t="n"/>
    </row>
    <row r="316" ht="216" customHeight="1" s="169">
      <c r="A316" s="192" t="n">
        <v>1</v>
      </c>
      <c r="B316" s="193" t="inlineStr">
        <is>
          <t>АРТ-85 Ду 50 Ру 16 "после себя"</t>
        </is>
      </c>
      <c r="C316" s="222" t="inlineStr">
        <is>
          <t>-</t>
        </is>
      </c>
      <c r="D316" s="222" t="n">
        <v>50</v>
      </c>
      <c r="E316" s="222" t="inlineStr">
        <is>
          <t>-</t>
        </is>
      </c>
      <c r="F316" s="222" t="n">
        <v>1.6</v>
      </c>
      <c r="G316" s="222" t="inlineStr">
        <is>
          <t>для воды до +150°С, для газов до +80°С</t>
        </is>
      </c>
      <c r="H316" s="222" t="inlineStr">
        <is>
          <t>жидкая и газообразная, не агрессивная к применяемым материалам</t>
        </is>
      </c>
      <c r="I316" s="222" t="inlineStr">
        <is>
          <t>-</t>
        </is>
      </c>
      <c r="J316" s="222" t="inlineStr">
        <is>
          <t>-</t>
        </is>
      </c>
      <c r="K316" s="266" t="inlineStr">
        <is>
          <t>фланцевый</t>
        </is>
      </c>
      <c r="L316" s="222" t="inlineStr">
        <is>
          <t>-</t>
        </is>
      </c>
      <c r="M316" s="222" t="inlineStr">
        <is>
          <t>-</t>
        </is>
      </c>
      <c r="N316" s="222" t="inlineStr">
        <is>
          <t>"после себя"</t>
        </is>
      </c>
      <c r="O316" s="222" t="inlineStr">
        <is>
          <t>Условный диаметр Ду, мМ 50
Диапазон настройки давления на выходе регулятора, МПа (кгс/см2)	0,05…1,2 (0,5…12)
Коэффициент условной пропускной способности, Кvy, м3/ч	20	32
Зона пропорциональности, в % от верхнего предела настройки	0,05…1,2 (0,5…12)
Зона нечувствительности, в % от верхнего предела настройки	не более 4
Постоянная времени, с	не более 16
Минимальный перепад давления на клапанной тарели, МПа*	0,05 (0,5)
Рабочая среда	теплоноситель тепловых сетей, вода, воздух, газообразные среды, нейтральные к материалам контактирующих деталей
Условное давление рабочей среды Ру, МПа	1,6 (2,5; 4,0 — под заказ)
Температура рабочей среды, °С	+2…150 — вода, -10…+80 — газы</t>
        </is>
      </c>
      <c r="P316" s="222" t="inlineStr">
        <is>
          <t>-</t>
        </is>
      </c>
      <c r="Q316" s="222" t="inlineStr">
        <is>
          <t>-</t>
        </is>
      </c>
      <c r="R316" s="198" t="n">
        <v>1</v>
      </c>
      <c r="S316" s="199" t="inlineStr">
        <is>
          <t>АРТ-85 (у Ридан — регуляторы AFD/VFG, параметры не сверены)</t>
        </is>
      </c>
      <c r="T316" s="267" t="n"/>
      <c r="U316" s="267" t="n"/>
      <c r="V316" s="267" t="n"/>
      <c r="W316" s="267" t="n"/>
      <c r="X316" s="267" t="n"/>
      <c r="Y316" s="267" t="n"/>
      <c r="Z316" s="267" t="n"/>
      <c r="AA316" s="267" t="n"/>
      <c r="AB316" s="267" t="n"/>
      <c r="AC316" s="267" t="n"/>
      <c r="AD316" s="267" t="n"/>
      <c r="AE316" s="267" t="n"/>
      <c r="AF316" s="267" t="n"/>
      <c r="AG316" s="267" t="n"/>
      <c r="AH316" s="268" t="n"/>
      <c r="AI316" s="202" t="n"/>
    </row>
    <row r="317" ht="76.5" customHeight="1" s="169">
      <c r="A317" s="192" t="n">
        <v>2</v>
      </c>
      <c r="B317" s="193" t="inlineStr">
        <is>
          <t>Кран шаровой 11с67п Ду 25 Ру 25 цельносварной под приварку</t>
        </is>
      </c>
      <c r="C317" s="222" t="inlineStr">
        <is>
          <t>ТУ У 04671406-003-1999; ГОСТ 21345-2005</t>
        </is>
      </c>
      <c r="D317" s="223" t="n">
        <v>25</v>
      </c>
      <c r="E317" s="222" t="inlineStr">
        <is>
          <t>стандарт</t>
        </is>
      </c>
      <c r="F317" s="223" t="n">
        <v>2.5</v>
      </c>
      <c r="G317" s="222" t="inlineStr">
        <is>
          <t>от -30 до +180</t>
        </is>
      </c>
      <c r="H317" s="223" t="inlineStr">
        <is>
          <t>природный газ, вода, нефтепродукты, сжиженный  газ и прочие среды</t>
        </is>
      </c>
      <c r="I317" s="222" t="inlineStr">
        <is>
          <t>сталь 20</t>
        </is>
      </c>
      <c r="J317" s="223" t="inlineStr">
        <is>
          <t>У1</t>
        </is>
      </c>
      <c r="K317" s="222" t="inlineStr">
        <is>
          <t>приварной</t>
        </is>
      </c>
      <c r="L317" s="223" t="inlineStr">
        <is>
          <t>ручной (рукоятка)</t>
        </is>
      </c>
      <c r="M317" s="222" t="inlineStr">
        <is>
          <t>-</t>
        </is>
      </c>
      <c r="N317" s="223" t="inlineStr">
        <is>
          <t>любое</t>
        </is>
      </c>
      <c r="O317" s="222"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P317" s="223" t="inlineStr">
        <is>
          <t>-</t>
        </is>
      </c>
      <c r="Q317" s="222" t="inlineStr">
        <is>
          <t>-</t>
        </is>
      </c>
      <c r="R317" s="198" t="n">
        <v>2</v>
      </c>
      <c r="S317" s="205" t="n"/>
      <c r="T317" s="205" t="n"/>
      <c r="U317" s="205" t="n"/>
      <c r="V317" s="205" t="n"/>
      <c r="W317" s="205" t="n"/>
      <c r="X317" s="205" t="n"/>
      <c r="Y317" s="205" t="n"/>
      <c r="Z317" s="205" t="n"/>
      <c r="AA317" s="205" t="n"/>
      <c r="AB317" s="205" t="n"/>
      <c r="AC317" s="205" t="n"/>
      <c r="AD317" s="205" t="n"/>
      <c r="AE317" s="205" t="n"/>
      <c r="AF317" s="205" t="n"/>
      <c r="AG317" s="205" t="n"/>
      <c r="AH317" s="205" t="n"/>
      <c r="AI317" s="202" t="n"/>
    </row>
    <row r="318" ht="76.5" customHeight="1" s="169">
      <c r="A318" s="192" t="n">
        <v>3</v>
      </c>
      <c r="B318" s="193" t="inlineStr">
        <is>
          <t>Кран шаровой 11с67п Ду 32 Ру 25 цельносварной под приварку</t>
        </is>
      </c>
      <c r="C318" s="223" t="inlineStr">
        <is>
          <t>ТУ У 04671406-003-1999; ГОСТ 21345-2005</t>
        </is>
      </c>
      <c r="D318" s="222" t="n">
        <v>32</v>
      </c>
      <c r="E318" s="223" t="inlineStr">
        <is>
          <t>стандарт</t>
        </is>
      </c>
      <c r="F318" s="222" t="n">
        <v>2.5</v>
      </c>
      <c r="G318" s="223" t="inlineStr">
        <is>
          <t>от -30 до +180</t>
        </is>
      </c>
      <c r="H318" s="222" t="inlineStr">
        <is>
          <t>природный газ, вода, нефтепродукты, сжиженный  газ и прочие среды</t>
        </is>
      </c>
      <c r="I318" s="223" t="inlineStr">
        <is>
          <t>сталь 20</t>
        </is>
      </c>
      <c r="J318" s="222" t="inlineStr">
        <is>
          <t>У1</t>
        </is>
      </c>
      <c r="K318" s="223" t="inlineStr">
        <is>
          <t>приварной</t>
        </is>
      </c>
      <c r="L318" s="222" t="inlineStr">
        <is>
          <t>ручной (рукоятка)</t>
        </is>
      </c>
      <c r="M318" s="223" t="inlineStr">
        <is>
          <t>-</t>
        </is>
      </c>
      <c r="N318" s="222" t="inlineStr">
        <is>
          <t>любое</t>
        </is>
      </c>
      <c r="O318" s="223"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P318" s="222" t="inlineStr">
        <is>
          <t>-</t>
        </is>
      </c>
      <c r="Q318" s="222" t="inlineStr">
        <is>
          <t>-</t>
        </is>
      </c>
      <c r="R318" s="198" t="n">
        <v>3</v>
      </c>
      <c r="S318" s="205" t="n"/>
      <c r="T318" s="205" t="n"/>
      <c r="U318" s="205" t="n"/>
      <c r="V318" s="205" t="n"/>
      <c r="W318" s="205" t="n"/>
      <c r="X318" s="205" t="n"/>
      <c r="Y318" s="205" t="n"/>
      <c r="Z318" s="205" t="n"/>
      <c r="AA318" s="205" t="n"/>
      <c r="AB318" s="205" t="n"/>
      <c r="AC318" s="205" t="n"/>
      <c r="AD318" s="205" t="n"/>
      <c r="AE318" s="205" t="n"/>
      <c r="AF318" s="205" t="n"/>
      <c r="AG318" s="205" t="n"/>
      <c r="AH318" s="205" t="n"/>
      <c r="AI318" s="202" t="n"/>
    </row>
    <row r="319" ht="76.5" customHeight="1" s="169">
      <c r="A319" s="192" t="n">
        <v>4</v>
      </c>
      <c r="B319" s="193" t="inlineStr">
        <is>
          <t>Кран шаровой 11с67п Ду 40 Ру 25 цельносварной под приварку</t>
        </is>
      </c>
      <c r="C319" s="222" t="inlineStr">
        <is>
          <t>ТУ У 04671406-003-1999; ГОСТ 21345-2005</t>
        </is>
      </c>
      <c r="D319" s="223" t="n">
        <v>40</v>
      </c>
      <c r="E319" s="222" t="inlineStr">
        <is>
          <t>стандарт</t>
        </is>
      </c>
      <c r="F319" s="223" t="n">
        <v>2.5</v>
      </c>
      <c r="G319" s="222" t="inlineStr">
        <is>
          <t>от -30 до +180</t>
        </is>
      </c>
      <c r="H319" s="223" t="inlineStr">
        <is>
          <t>природный газ, вода, нефтепродукты, сжиженный  газ и прочие среды</t>
        </is>
      </c>
      <c r="I319" s="222" t="inlineStr">
        <is>
          <t>сталь 20</t>
        </is>
      </c>
      <c r="J319" s="223" t="inlineStr">
        <is>
          <t>У1</t>
        </is>
      </c>
      <c r="K319" s="222" t="inlineStr">
        <is>
          <t>приварной</t>
        </is>
      </c>
      <c r="L319" s="223" t="inlineStr">
        <is>
          <t>ручной (рукоятка)</t>
        </is>
      </c>
      <c r="M319" s="222" t="inlineStr">
        <is>
          <t>-</t>
        </is>
      </c>
      <c r="N319" s="223" t="inlineStr">
        <is>
          <t>любое</t>
        </is>
      </c>
      <c r="O319" s="222" t="inlineStr">
        <is>
          <t>рукоятка - В Ст3сп2, корпус, патрубок, втулка нажимная - сталь 20, шар - сталь 12Х18Н10Т; шток - сталь 20X13; кольца уплотнительные и прокладка - фторопласт; кольцо уплотнительное  – резина ИРП-1287; пружина тарельчатая - сталь 60С2А</t>
        </is>
      </c>
      <c r="P319" s="223" t="inlineStr">
        <is>
          <t>-</t>
        </is>
      </c>
      <c r="Q319" s="222" t="inlineStr">
        <is>
          <t>-</t>
        </is>
      </c>
      <c r="R319" s="198" t="n">
        <v>4</v>
      </c>
      <c r="S319" s="186" t="n"/>
      <c r="T319" s="186" t="n"/>
      <c r="U319" s="186" t="n"/>
      <c r="V319" s="186" t="n"/>
      <c r="W319" s="186" t="n"/>
      <c r="X319" s="186" t="n"/>
      <c r="Y319" s="186" t="n"/>
      <c r="Z319" s="186" t="n"/>
      <c r="AA319" s="186" t="n"/>
      <c r="AB319" s="186" t="n"/>
      <c r="AC319" s="186" t="n"/>
      <c r="AD319" s="186" t="n"/>
      <c r="AE319" s="186" t="n"/>
      <c r="AF319" s="186" t="n"/>
      <c r="AG319" s="186" t="n"/>
      <c r="AH319" s="186" t="n"/>
      <c r="AI319" s="202" t="n"/>
    </row>
    <row r="320" ht="15" customHeight="1" s="169">
      <c r="A320" s="269" t="inlineStr">
        <is>
          <t>Спецификация №4 Грузополучатель №4 Таблица 1.8 (филиал ЦЭС) — Ремонт</t>
        </is>
      </c>
      <c r="B320" s="182" t="n"/>
      <c r="C320" s="182" t="n"/>
      <c r="D320" s="182" t="n"/>
      <c r="E320" s="182" t="n"/>
      <c r="F320" s="182" t="n"/>
      <c r="G320" s="182" t="n"/>
      <c r="H320" s="182" t="n"/>
      <c r="I320" s="182" t="n"/>
      <c r="J320" s="182" t="n"/>
      <c r="K320" s="182" t="n"/>
      <c r="L320" s="182" t="n"/>
      <c r="M320" s="182" t="n"/>
      <c r="N320" s="182" t="n"/>
      <c r="O320" s="182" t="n"/>
      <c r="P320" s="182" t="n"/>
      <c r="Q320" s="180" t="n"/>
      <c r="R320" s="250">
        <f>A320</f>
        <v/>
      </c>
      <c r="S320" s="182" t="n"/>
      <c r="T320" s="182" t="n"/>
      <c r="U320" s="182" t="n"/>
      <c r="V320" s="182" t="n"/>
      <c r="W320" s="182" t="n"/>
      <c r="X320" s="182" t="n"/>
      <c r="Y320" s="182" t="n"/>
      <c r="Z320" s="182" t="n"/>
      <c r="AA320" s="182" t="n"/>
      <c r="AB320" s="182" t="n"/>
      <c r="AC320" s="182" t="n"/>
      <c r="AD320" s="182" t="n"/>
      <c r="AE320" s="182" t="n"/>
      <c r="AF320" s="182" t="n"/>
      <c r="AG320" s="182" t="n"/>
      <c r="AH320" s="182" t="n"/>
      <c r="AI320" s="180" t="n"/>
    </row>
    <row r="321" ht="51" customHeight="1" s="169">
      <c r="A321" s="192" t="n">
        <v>1</v>
      </c>
      <c r="B321" s="193" t="inlineStr">
        <is>
          <t>Задвижка 30нж41нж Ду 80 Ру 16 1исп. САЗ</t>
        </is>
      </c>
      <c r="C321" s="270" t="inlineStr">
        <is>
          <t xml:space="preserve"> ТУ 3741-001-22294686-2008</t>
        </is>
      </c>
      <c r="D321" s="270" t="n">
        <v>80</v>
      </c>
      <c r="E321" s="270" t="inlineStr">
        <is>
          <t>стандарт</t>
        </is>
      </c>
      <c r="F321" s="270" t="n">
        <v>1.6</v>
      </c>
      <c r="G321" s="270" t="inlineStr">
        <is>
          <t>до +200°С</t>
        </is>
      </c>
      <c r="H321" s="270" t="inlineStr">
        <is>
          <t>Вода, пар</t>
        </is>
      </c>
      <c r="I321" s="217" t="inlineStr">
        <is>
          <t>углеродистая сталь</t>
        </is>
      </c>
      <c r="J321" s="270" t="inlineStr">
        <is>
          <t>УХЛ1</t>
        </is>
      </c>
      <c r="K321" s="270" t="inlineStr">
        <is>
          <t>Фланец-фланец  по ГОСТ 33259-2015</t>
        </is>
      </c>
      <c r="L321" s="270" t="inlineStr">
        <is>
          <t xml:space="preserve">Ручное </t>
        </is>
      </c>
      <c r="M321" s="270" t="inlineStr">
        <is>
          <t>Рукоятка</t>
        </is>
      </c>
      <c r="N321" s="270" t="inlineStr">
        <is>
          <t>любое</t>
        </is>
      </c>
      <c r="O321" s="217" t="inlineStr">
        <is>
          <t>1) Диски-12Х18Н9ТЛ; 2) Шпиндель-12Х18Н9Т; 3) Прокладка-Паронит ПМБ; 4) Крышка-12Х18Н9ТЛ; 5) Гайка-12Х18Н9Т; 6) Шпилька 45Х14Н14В2М; 7) Набивка сальника-ТРГ; 8)Сальник-12Х18Н9ТЛ; 9) Болт откидной-45Х14Н14В2М; 10) Втулка резьбовая-Лц 40С; 11)Маховик-20ГЛ; 12) Контргайка-35Х; 13)Шпонка-40Х; 14) Ось-2Х18Н9</t>
        </is>
      </c>
      <c r="P321" s="197" t="n"/>
      <c r="Q321" s="197" t="n"/>
      <c r="R321" s="198">
        <f>A321</f>
        <v/>
      </c>
      <c r="S321" s="271" t="inlineStr">
        <is>
          <t>30нж41нж Ду80 PN16 (ПТЗ)</t>
        </is>
      </c>
      <c r="T321" s="271" t="inlineStr">
        <is>
          <t>ТУ 3740-035-83272983-2013, ГОСТ 5762-2002</t>
        </is>
      </c>
      <c r="U321" s="272" t="inlineStr">
        <is>
          <t>80</t>
        </is>
      </c>
      <c r="V321" s="272" t="inlineStr">
        <is>
          <t>стандарт</t>
        </is>
      </c>
      <c r="W321" s="272" t="inlineStr">
        <is>
          <t>1.6</t>
        </is>
      </c>
      <c r="X321" s="272" t="inlineStr">
        <is>
          <t>до +200°С</t>
        </is>
      </c>
      <c r="Y321" s="272" t="inlineStr">
        <is>
          <t>Вода, пар</t>
        </is>
      </c>
      <c r="Z321" s="273" t="inlineStr">
        <is>
          <t>нержавеющая вместо углеродистой — улучшение</t>
        </is>
      </c>
      <c r="AA321" s="272" t="inlineStr">
        <is>
          <t>УХЛ1</t>
        </is>
      </c>
      <c r="AB321" s="272" t="inlineStr">
        <is>
          <t>Фланец-фланец  по ГОСТ 33259-2015</t>
        </is>
      </c>
      <c r="AC321" s="273" t="inlineStr">
        <is>
          <t>маховик (ТЗ: рукоятка)</t>
        </is>
      </c>
      <c r="AD321" s="273" t="inlineStr">
        <is>
          <t>маховик (ТЗ: рукоятка)</t>
        </is>
      </c>
      <c r="AE321" s="272" t="inlineStr">
        <is>
          <t>любое</t>
        </is>
      </c>
      <c r="AF321" s="273" t="inlineStr">
        <is>
          <t>нержавеющая вместо углеродистой — улучшение</t>
        </is>
      </c>
      <c r="AG321" s="272" t="n"/>
      <c r="AH321" s="271" t="inlineStr">
        <is>
          <t>Производитель: ООО «Пермский трубопроводный завод» (ИНН 5904173655); страна происхождения: Россия; № реестровой записи (ПП 719): 10698940, действует до 17.02.2031</t>
        </is>
      </c>
      <c r="AI321" s="202" t="n"/>
    </row>
    <row r="322" ht="114.75" customFormat="1" customHeight="1" s="171">
      <c r="A322" s="192" t="n">
        <v>2</v>
      </c>
      <c r="B322" s="193" t="inlineStr">
        <is>
          <t>Кран шаровой 10нж45фт 2ЦФ Ду 20 Ру 16</t>
        </is>
      </c>
      <c r="C322" s="270" t="inlineStr">
        <is>
          <t>ТУ У 29.1-04671406-005:2008 ГОСТ 28343 (ИСО7121)</t>
        </is>
      </c>
      <c r="D322" s="270" t="n">
        <v>20</v>
      </c>
      <c r="E322" s="270" t="inlineStr">
        <is>
          <t>стандарт</t>
        </is>
      </c>
      <c r="F322" s="270" t="n">
        <v>1.6</v>
      </c>
      <c r="G322" s="270" t="inlineStr">
        <is>
          <t>от -60 до +200</t>
        </is>
      </c>
      <c r="H322" s="270" t="inlineStr">
        <is>
          <t>Вода, пар, трансформаторное масло</t>
        </is>
      </c>
      <c r="I322" s="217" t="inlineStr">
        <is>
          <t>нержавеющая сталь 12Х18Н10Т</t>
        </is>
      </c>
      <c r="J322" s="270" t="inlineStr">
        <is>
          <t>УХЛ1</t>
        </is>
      </c>
      <c r="K322" s="270" t="inlineStr">
        <is>
          <t>фланец-фланец</t>
        </is>
      </c>
      <c r="L322" s="270" t="inlineStr">
        <is>
          <t xml:space="preserve">Ручное </t>
        </is>
      </c>
      <c r="M322" s="270" t="inlineStr">
        <is>
          <t>рукоятка</t>
        </is>
      </c>
      <c r="N322" s="270" t="inlineStr">
        <is>
          <t>любое</t>
        </is>
      </c>
      <c r="O322" s="217" t="inlineStr">
        <is>
          <t>Шар — Сталь 08Х18Н10; Шпиндель — Сталь 12Х18Н10Т; Втулка нажимная — Сталь 12Х18Н10Т; Уплотнение шпинделя — Фторопласт Ф4Г3К6; Седло — Фторопласт Ф4Г3К6; Кольцо уплотнительное — Резина РТС-002 мчп; Кольцо опорное — Сталь 12Х18Н10Т; Пружина тарельчатая — Сталь AISI 301 EN10151; Прокладка — Фторопласт Ф4Г3К6; Шпилька — Сталь 12Х18Н10Т; Рукоятка — Сталь СтЗ;</t>
        </is>
      </c>
      <c r="P322" s="197" t="n"/>
      <c r="Q322" s="197" t="n"/>
      <c r="R322" s="198">
        <f>A322</f>
        <v/>
      </c>
      <c r="S322" s="205" t="n"/>
      <c r="T322" s="205" t="n"/>
      <c r="U322" s="205" t="n"/>
      <c r="V322" s="205" t="n"/>
      <c r="W322" s="205" t="n"/>
      <c r="X322" s="205" t="n"/>
      <c r="Y322" s="205" t="n"/>
      <c r="Z322" s="205" t="n"/>
      <c r="AA322" s="205" t="n"/>
      <c r="AB322" s="205" t="n"/>
      <c r="AC322" s="205" t="n"/>
      <c r="AD322" s="205" t="n"/>
      <c r="AE322" s="205" t="n"/>
      <c r="AF322" s="205" t="n"/>
      <c r="AG322" s="205" t="n"/>
      <c r="AH322" s="205" t="n"/>
      <c r="AI322" s="202" t="n"/>
    </row>
    <row r="323" ht="114.75" customFormat="1" customHeight="1" s="171">
      <c r="A323" s="192" t="n">
        <v>3</v>
      </c>
      <c r="B323" s="193" t="inlineStr">
        <is>
          <t>Кран шаровой 10нж45фт 2ЦФ Ду 25 Ру 16</t>
        </is>
      </c>
      <c r="C323" s="270" t="inlineStr">
        <is>
          <t>ТУ У 29.1-04671406-005:2008 ГОСТ 28343 (ИСО7121)</t>
        </is>
      </c>
      <c r="D323" s="270" t="n">
        <v>25</v>
      </c>
      <c r="E323" s="270" t="inlineStr">
        <is>
          <t>стандарт</t>
        </is>
      </c>
      <c r="F323" s="270" t="n">
        <v>1.6</v>
      </c>
      <c r="G323" s="270" t="inlineStr">
        <is>
          <t>от -60 до +200</t>
        </is>
      </c>
      <c r="H323" s="210" t="inlineStr">
        <is>
          <t>Вода, пар, трансформаторное масло</t>
        </is>
      </c>
      <c r="I323" s="217" t="inlineStr">
        <is>
          <t>нержавеющая сталь 12Х18Н10Т</t>
        </is>
      </c>
      <c r="J323" s="270" t="inlineStr">
        <is>
          <t>УХЛ1</t>
        </is>
      </c>
      <c r="K323" s="270" t="inlineStr">
        <is>
          <t>фланец-фланец</t>
        </is>
      </c>
      <c r="L323" s="270" t="inlineStr">
        <is>
          <t xml:space="preserve">Ручное </t>
        </is>
      </c>
      <c r="M323" s="270" t="inlineStr">
        <is>
          <t>рукоятка</t>
        </is>
      </c>
      <c r="N323" s="270" t="inlineStr">
        <is>
          <t>любое</t>
        </is>
      </c>
      <c r="O323" s="217" t="inlineStr">
        <is>
          <t>Шар — Сталь 08Х18Н10; Шпиндель — Сталь 12Х18Н10Т; Втулка нажимная — Сталь 12Х18Н10Т; Уплотнение шпинделя — Фторопласт Ф4Г3К6; Седло — Фторопласт Ф4Г3К6; Кольцо уплотнительное — Резина РТС-002 мчп; Кольцо опорное — Сталь 12Х18Н10Т; Пружина тарельчатая — Сталь AISI 301 EN10151; Прокладка — Фторопласт Ф4Г3К6; Шпилька — Сталь 12Х18Н10Т; Рукоятка — Сталь СтЗ;</t>
        </is>
      </c>
      <c r="P323" s="197" t="n"/>
      <c r="Q323" s="197" t="n"/>
      <c r="R323" s="198">
        <f>A323</f>
        <v/>
      </c>
      <c r="S323" s="205" t="n"/>
      <c r="T323" s="205" t="n"/>
      <c r="U323" s="205" t="n"/>
      <c r="V323" s="205" t="n"/>
      <c r="W323" s="205" t="n"/>
      <c r="X323" s="205" t="n"/>
      <c r="Y323" s="205" t="n"/>
      <c r="Z323" s="205" t="n"/>
      <c r="AA323" s="205" t="n"/>
      <c r="AB323" s="205" t="n"/>
      <c r="AC323" s="205" t="n"/>
      <c r="AD323" s="205" t="n"/>
      <c r="AE323" s="205" t="n"/>
      <c r="AF323" s="205" t="n"/>
      <c r="AG323" s="205" t="n"/>
      <c r="AH323" s="205" t="n"/>
      <c r="AI323" s="202" t="n"/>
    </row>
    <row r="324" ht="114.75" customFormat="1" customHeight="1" s="171">
      <c r="A324" s="192" t="n">
        <v>4</v>
      </c>
      <c r="B324" s="193" t="inlineStr">
        <is>
          <t>Кран шаровой 10нж45фт 2ЦФ Ду 32 Ру 16</t>
        </is>
      </c>
      <c r="C324" s="270" t="inlineStr">
        <is>
          <t>ТУ У 29.1-04671406-005:2008 ГОСТ 28343 (ИСО7121)</t>
        </is>
      </c>
      <c r="D324" s="270" t="n">
        <v>32</v>
      </c>
      <c r="E324" s="270" t="inlineStr">
        <is>
          <t>стандарт</t>
        </is>
      </c>
      <c r="F324" s="270" t="n">
        <v>1.6</v>
      </c>
      <c r="G324" s="270" t="inlineStr">
        <is>
          <t>от -60 до +200</t>
        </is>
      </c>
      <c r="H324" s="210" t="inlineStr">
        <is>
          <t>Вода, пар, трансформаторное масло</t>
        </is>
      </c>
      <c r="I324" s="217" t="inlineStr">
        <is>
          <t>нержавеющая сталь 12Х18Н10Т</t>
        </is>
      </c>
      <c r="J324" s="270" t="inlineStr">
        <is>
          <t>УХЛ1</t>
        </is>
      </c>
      <c r="K324" s="270" t="inlineStr">
        <is>
          <t>фланец-фланец</t>
        </is>
      </c>
      <c r="L324" s="270" t="inlineStr">
        <is>
          <t xml:space="preserve">Ручное </t>
        </is>
      </c>
      <c r="M324" s="270" t="inlineStr">
        <is>
          <t>рукоятка</t>
        </is>
      </c>
      <c r="N324" s="270" t="inlineStr">
        <is>
          <t>любое</t>
        </is>
      </c>
      <c r="O324" s="217" t="inlineStr">
        <is>
          <t>Шар — Сталь 08Х18Н10; Шпиндель — Сталь 12Х18Н10Т; Втулка нажимная — Сталь 12Х18Н10Т; Уплотнение шпинделя — Фторопласт Ф4Г3К6; Седло — Фторопласт Ф4Г3К6; Кольцо уплотнительное — Резина РТС-002 мчп; Кольцо опорное — Сталь 12Х18Н10Т; Пружина тарельчатая — Сталь AISI 301 EN10151; Прокладка — Фторопласт Ф4Г3К6; Шпилька — Сталь 12Х18Н10Т; Рукоятка — Сталь СтЗ;</t>
        </is>
      </c>
      <c r="P324" s="197" t="n"/>
      <c r="Q324" s="197" t="n"/>
      <c r="R324" s="198">
        <f>A324</f>
        <v/>
      </c>
      <c r="S324" s="205" t="n"/>
      <c r="T324" s="205" t="n"/>
      <c r="U324" s="205" t="n"/>
      <c r="V324" s="205" t="n"/>
      <c r="W324" s="205" t="n"/>
      <c r="X324" s="205" t="n"/>
      <c r="Y324" s="205" t="n"/>
      <c r="Z324" s="205" t="n"/>
      <c r="AA324" s="205" t="n"/>
      <c r="AB324" s="205" t="n"/>
      <c r="AC324" s="205" t="n"/>
      <c r="AD324" s="205" t="n"/>
      <c r="AE324" s="205" t="n"/>
      <c r="AF324" s="205" t="n"/>
      <c r="AG324" s="205" t="n"/>
      <c r="AH324" s="205" t="n"/>
      <c r="AI324" s="202" t="n"/>
    </row>
    <row r="325" ht="102" customHeight="1" s="169">
      <c r="A325" s="192" t="n">
        <v>5</v>
      </c>
      <c r="B325" s="193" t="inlineStr">
        <is>
          <t>Кран шаровой 11с22п Ду 80 Ру 16</t>
        </is>
      </c>
      <c r="C325" s="270" t="inlineStr">
        <is>
          <t>ГОСТ 21345-2005</t>
        </is>
      </c>
      <c r="D325" s="270" t="n">
        <v>80</v>
      </c>
      <c r="E325" s="270" t="inlineStr">
        <is>
          <t>стандартный</t>
        </is>
      </c>
      <c r="F325" s="270" t="n">
        <v>1.6</v>
      </c>
      <c r="G325" s="270" t="inlineStr">
        <is>
          <t>до +200</t>
        </is>
      </c>
      <c r="H325" s="270" t="inlineStr">
        <is>
          <t>Вода, пар</t>
        </is>
      </c>
      <c r="I325" s="217" t="inlineStr">
        <is>
          <t>сталь 20</t>
        </is>
      </c>
      <c r="J325" s="270" t="inlineStr">
        <is>
          <t>У1</t>
        </is>
      </c>
      <c r="K325" s="270" t="inlineStr">
        <is>
          <t>фланцевое</t>
        </is>
      </c>
      <c r="L325" s="270" t="inlineStr">
        <is>
          <t>ручной (рукоятка)</t>
        </is>
      </c>
      <c r="M325" s="270" t="inlineStr">
        <is>
          <t>-</t>
        </is>
      </c>
      <c r="N325" s="270" t="inlineStr">
        <is>
          <t>Любое</t>
        </is>
      </c>
      <c r="O325" s="217"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325" s="197" t="n"/>
      <c r="Q325" s="197" t="n"/>
      <c r="R325" s="198">
        <f>A325</f>
        <v/>
      </c>
      <c r="S325" s="205" t="n"/>
      <c r="T325" s="205" t="n"/>
      <c r="U325" s="205" t="n"/>
      <c r="V325" s="205" t="n"/>
      <c r="W325" s="205" t="n"/>
      <c r="X325" s="205" t="n"/>
      <c r="Y325" s="205" t="n"/>
      <c r="Z325" s="205" t="n"/>
      <c r="AA325" s="205" t="n"/>
      <c r="AB325" s="205" t="n"/>
      <c r="AC325" s="205" t="n"/>
      <c r="AD325" s="205" t="n"/>
      <c r="AE325" s="205" t="n"/>
      <c r="AF325" s="205" t="n"/>
      <c r="AG325" s="205" t="n"/>
      <c r="AH325" s="205" t="n"/>
      <c r="AI325" s="202" t="n"/>
    </row>
    <row r="326" ht="102" customHeight="1" s="169">
      <c r="A326" s="192" t="n">
        <v>6</v>
      </c>
      <c r="B326" s="193" t="inlineStr">
        <is>
          <t>Кран шаровой 11с22п Ду 100 Ру 16</t>
        </is>
      </c>
      <c r="C326" s="270" t="inlineStr">
        <is>
          <t>ГОСТ 21345-2005</t>
        </is>
      </c>
      <c r="D326" s="270" t="n">
        <v>100</v>
      </c>
      <c r="E326" s="270" t="inlineStr">
        <is>
          <t>стандартный</t>
        </is>
      </c>
      <c r="F326" s="270" t="n">
        <v>1.6</v>
      </c>
      <c r="G326" s="270" t="inlineStr">
        <is>
          <t>до +200</t>
        </is>
      </c>
      <c r="H326" s="270" t="inlineStr">
        <is>
          <t>Вода, пар</t>
        </is>
      </c>
      <c r="I326" s="217" t="inlineStr">
        <is>
          <t>сталь 20</t>
        </is>
      </c>
      <c r="J326" s="270" t="inlineStr">
        <is>
          <t>У1</t>
        </is>
      </c>
      <c r="K326" s="270" t="inlineStr">
        <is>
          <t>фланцевое</t>
        </is>
      </c>
      <c r="L326" s="270" t="inlineStr">
        <is>
          <t>ручной (рукоятка)</t>
        </is>
      </c>
      <c r="M326" s="270" t="inlineStr">
        <is>
          <t>-</t>
        </is>
      </c>
      <c r="N326" s="270" t="inlineStr">
        <is>
          <t>Любое</t>
        </is>
      </c>
      <c r="O326" s="217" t="inlineStr">
        <is>
          <t>Пробка шаровая - Сталь 08Х17; Шток - Сталь 20Х13; Патрубок - Сталь 20; Кольцо уплотнительное шара- Фторопласт-Ф4К20; Втулка крепежная - Сталь 08Х13; Пружина тарельчатая - Сталь 65Г; Шайба упорная - Сталь 3; Прокладка штока - Фторопласт-Ф4; Кольцо уплотнительное штока - Фторсилоксан; Штифт - Сталь 45Х; Фланец - Сталь 3сп; Рукоятка - Сталь 3;</t>
        </is>
      </c>
      <c r="P326" s="197" t="n"/>
      <c r="Q326" s="197" t="n"/>
      <c r="R326" s="198">
        <f>A326</f>
        <v/>
      </c>
      <c r="S326" s="205" t="n"/>
      <c r="T326" s="205" t="n"/>
      <c r="U326" s="205" t="n"/>
      <c r="V326" s="205" t="n"/>
      <c r="W326" s="205" t="n"/>
      <c r="X326" s="205" t="n"/>
      <c r="Y326" s="205" t="n"/>
      <c r="Z326" s="205" t="n"/>
      <c r="AA326" s="205" t="n"/>
      <c r="AB326" s="205" t="n"/>
      <c r="AC326" s="205" t="n"/>
      <c r="AD326" s="205" t="n"/>
      <c r="AE326" s="205" t="n"/>
      <c r="AF326" s="205" t="n"/>
      <c r="AG326" s="205" t="n"/>
      <c r="AH326" s="205" t="n"/>
      <c r="AI326" s="202" t="n"/>
    </row>
    <row r="327" ht="63.75" customHeight="1" s="169">
      <c r="A327" s="192" t="n">
        <v>7</v>
      </c>
      <c r="B327" s="274" t="inlineStr">
        <is>
          <t>Кран шаровой 11с67п Ду 50 Ру 25 полнопрох. с КОФ (КЗШС41нж)</t>
        </is>
      </c>
      <c r="C327" s="270" t="inlineStr">
        <is>
          <t xml:space="preserve">ГОСТ 9544-2015 ГОСТ 28343 ГОСТ 21345 </t>
        </is>
      </c>
      <c r="D327" s="270" t="n">
        <v>20</v>
      </c>
      <c r="E327" s="270" t="inlineStr">
        <is>
          <t>полный</t>
        </is>
      </c>
      <c r="F327" s="270" t="n">
        <v>2.5</v>
      </c>
      <c r="G327" s="270" t="inlineStr">
        <is>
          <t>до +200°С</t>
        </is>
      </c>
      <c r="H327" s="270" t="inlineStr">
        <is>
          <t>Вода, пар</t>
        </is>
      </c>
      <c r="I327" s="217" t="inlineStr">
        <is>
          <t>Сталь 20</t>
        </is>
      </c>
      <c r="J327" s="270" t="inlineStr">
        <is>
          <t>У1</t>
        </is>
      </c>
      <c r="K327" s="270" t="inlineStr">
        <is>
          <t>фланцевое</t>
        </is>
      </c>
      <c r="L327" s="270" t="inlineStr">
        <is>
          <t xml:space="preserve">Ручное </t>
        </is>
      </c>
      <c r="M327" s="270" t="inlineStr">
        <is>
          <t>Ручка-рычаг</t>
        </is>
      </c>
      <c r="N327" s="270" t="inlineStr">
        <is>
          <t>любое</t>
        </is>
      </c>
      <c r="O327" s="217" t="inlineStr">
        <is>
          <t>материал корпуса: сталь 20, ручка сталь 3, гайка оцинкованная сталь, кольцо уплотнительное силикон, EPDM70, кольцо PTFE + 20% C, шток 20Х13, шар 20Х13, патрубок сталь 20, пружина сталь 65Г, кольцо опорное сталь 08ПС, седко PTFE +20%C</t>
        </is>
      </c>
      <c r="P327" s="197" t="n"/>
      <c r="Q327" s="197" t="n"/>
      <c r="R327" s="198">
        <f>A327</f>
        <v/>
      </c>
      <c r="S327" s="186" t="n"/>
      <c r="T327" s="186" t="n"/>
      <c r="U327" s="186" t="n"/>
      <c r="V327" s="186" t="n"/>
      <c r="W327" s="186" t="n"/>
      <c r="X327" s="186" t="n"/>
      <c r="Y327" s="186" t="n"/>
      <c r="Z327" s="186" t="n"/>
      <c r="AA327" s="186" t="n"/>
      <c r="AB327" s="186" t="n"/>
      <c r="AC327" s="186" t="n"/>
      <c r="AD327" s="186" t="n"/>
      <c r="AE327" s="186" t="n"/>
      <c r="AF327" s="186" t="n"/>
      <c r="AG327" s="186" t="n"/>
      <c r="AH327" s="186" t="n"/>
      <c r="AI327" s="202" t="n"/>
    </row>
  </sheetData>
  <mergeCells count="156">
    <mergeCell ref="L2:M2"/>
    <mergeCell ref="U321:U327"/>
    <mergeCell ref="R320:AI320"/>
    <mergeCell ref="W321:W327"/>
    <mergeCell ref="R30:AI30"/>
    <mergeCell ref="U2:U3"/>
    <mergeCell ref="S316:S319"/>
    <mergeCell ref="AA31:AA35"/>
    <mergeCell ref="A36:Q36"/>
    <mergeCell ref="U316:U319"/>
    <mergeCell ref="AC31:AC35"/>
    <mergeCell ref="W316:W319"/>
    <mergeCell ref="R315:AI315"/>
    <mergeCell ref="S222:S314"/>
    <mergeCell ref="AC222:AC314"/>
    <mergeCell ref="A2:A3"/>
    <mergeCell ref="AE222:AE314"/>
    <mergeCell ref="C2:C3"/>
    <mergeCell ref="Y37:Y199"/>
    <mergeCell ref="E2:E3"/>
    <mergeCell ref="S6:S29"/>
    <mergeCell ref="W2:W3"/>
    <mergeCell ref="R200:AI200"/>
    <mergeCell ref="AE6:AE29"/>
    <mergeCell ref="AA203:AA220"/>
    <mergeCell ref="AC203:AC220"/>
    <mergeCell ref="R202:AI202"/>
    <mergeCell ref="AA2:AA3"/>
    <mergeCell ref="AB37:AB199"/>
    <mergeCell ref="AD37:AD199"/>
    <mergeCell ref="A5:Q5"/>
    <mergeCell ref="AG203:AG220"/>
    <mergeCell ref="Z321:Z327"/>
    <mergeCell ref="AB321:AB327"/>
    <mergeCell ref="A200:Q200"/>
    <mergeCell ref="AC2:AD2"/>
    <mergeCell ref="V2:V3"/>
    <mergeCell ref="X2:X3"/>
    <mergeCell ref="V31:V35"/>
    <mergeCell ref="A202:Q202"/>
    <mergeCell ref="AF316:AF319"/>
    <mergeCell ref="X316:X319"/>
    <mergeCell ref="R5:AH5"/>
    <mergeCell ref="AH31:AH35"/>
    <mergeCell ref="Z316:Z319"/>
    <mergeCell ref="T222:T314"/>
    <mergeCell ref="V222:V314"/>
    <mergeCell ref="AH222:AH314"/>
    <mergeCell ref="F2:F3"/>
    <mergeCell ref="H2:H3"/>
    <mergeCell ref="V6:V29"/>
    <mergeCell ref="X6:X29"/>
    <mergeCell ref="T203:T220"/>
    <mergeCell ref="A315:Q315"/>
    <mergeCell ref="AD203:AD220"/>
    <mergeCell ref="AF203:AF220"/>
    <mergeCell ref="AH203:AH220"/>
    <mergeCell ref="S37:S199"/>
    <mergeCell ref="U37:U199"/>
    <mergeCell ref="A221:Q221"/>
    <mergeCell ref="AE37:AE199"/>
    <mergeCell ref="K2:K3"/>
    <mergeCell ref="Y6:Y29"/>
    <mergeCell ref="AG37:AG199"/>
    <mergeCell ref="S321:S327"/>
    <mergeCell ref="S31:S35"/>
    <mergeCell ref="AH316:AH319"/>
    <mergeCell ref="AH6:AH29"/>
    <mergeCell ref="U31:U35"/>
    <mergeCell ref="AC321:AC327"/>
    <mergeCell ref="AE321:AE327"/>
    <mergeCell ref="N2:Q2"/>
    <mergeCell ref="U222:U314"/>
    <mergeCell ref="AC316:AC319"/>
    <mergeCell ref="AE316:AE319"/>
    <mergeCell ref="Y222:Y314"/>
    <mergeCell ref="AA222:AA314"/>
    <mergeCell ref="S2:S3"/>
    <mergeCell ref="AB31:AB35"/>
    <mergeCell ref="AA6:AA29"/>
    <mergeCell ref="AD31:AD35"/>
    <mergeCell ref="O1:Q1"/>
    <mergeCell ref="W203:W220"/>
    <mergeCell ref="Y203:Y220"/>
    <mergeCell ref="A320:Q320"/>
    <mergeCell ref="A30:Q30"/>
    <mergeCell ref="B2:B3"/>
    <mergeCell ref="X37:X199"/>
    <mergeCell ref="D2:D3"/>
    <mergeCell ref="Z37:Z199"/>
    <mergeCell ref="R36:AI36"/>
    <mergeCell ref="AD6:AD29"/>
    <mergeCell ref="Z203:Z220"/>
    <mergeCell ref="R221:AH221"/>
    <mergeCell ref="AF6:AF29"/>
    <mergeCell ref="V321:V327"/>
    <mergeCell ref="S1:AH1"/>
    <mergeCell ref="X321:X327"/>
    <mergeCell ref="AH321:AH327"/>
    <mergeCell ref="Z2:Z3"/>
    <mergeCell ref="AB2:AB3"/>
    <mergeCell ref="T2:T3"/>
    <mergeCell ref="AD316:AD319"/>
    <mergeCell ref="Y321:Y327"/>
    <mergeCell ref="V316:V319"/>
    <mergeCell ref="AD222:AD314"/>
    <mergeCell ref="AF222:AF314"/>
    <mergeCell ref="AE31:AE35"/>
    <mergeCell ref="Y316:Y319"/>
    <mergeCell ref="AG31:AG35"/>
    <mergeCell ref="AB203:AB220"/>
    <mergeCell ref="AG222:AG314"/>
    <mergeCell ref="AA37:AA199"/>
    <mergeCell ref="U6:U29"/>
    <mergeCell ref="AC37:AC199"/>
    <mergeCell ref="G2:G3"/>
    <mergeCell ref="W6:W29"/>
    <mergeCell ref="I2:I3"/>
    <mergeCell ref="S203:S220"/>
    <mergeCell ref="W31:W35"/>
    <mergeCell ref="AG6:AG29"/>
    <mergeCell ref="AG321:AG327"/>
    <mergeCell ref="Y31:Y35"/>
    <mergeCell ref="AE203:AE220"/>
    <mergeCell ref="AA321:AA327"/>
    <mergeCell ref="Y2:Y3"/>
    <mergeCell ref="T321:T327"/>
    <mergeCell ref="AG316:AG319"/>
    <mergeCell ref="T31:T35"/>
    <mergeCell ref="AD321:AD327"/>
    <mergeCell ref="AA316:AA319"/>
    <mergeCell ref="AF321:AF327"/>
    <mergeCell ref="W222:W314"/>
    <mergeCell ref="AF31:AF35"/>
    <mergeCell ref="X31:X35"/>
    <mergeCell ref="Z31:Z35"/>
    <mergeCell ref="U203:U220"/>
    <mergeCell ref="T6:T29"/>
    <mergeCell ref="AB316:AB319"/>
    <mergeCell ref="X222:X314"/>
    <mergeCell ref="AC6:AC29"/>
    <mergeCell ref="T37:T199"/>
    <mergeCell ref="Z222:Z314"/>
    <mergeCell ref="AB222:AB314"/>
    <mergeCell ref="V37:V199"/>
    <mergeCell ref="AE2:AH2"/>
    <mergeCell ref="R2:R3"/>
    <mergeCell ref="J2:J3"/>
    <mergeCell ref="AF37:AF199"/>
    <mergeCell ref="Z6:Z29"/>
    <mergeCell ref="AH37:AH199"/>
    <mergeCell ref="V203:V220"/>
    <mergeCell ref="AB6:AB29"/>
    <mergeCell ref="X203:X220"/>
    <mergeCell ref="T316:T319"/>
    <mergeCell ref="W37:W19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L3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style="169" min="1" max="1"/>
    <col width="36" customWidth="1" style="169" min="2" max="2"/>
    <col width="7" customWidth="1" style="169" min="3" max="3"/>
    <col width="18" customWidth="1" style="169" min="4" max="4"/>
    <col width="30" customWidth="1" style="169" min="5" max="5"/>
    <col width="26" customWidth="1" style="169" min="6" max="6"/>
    <col width="36" customWidth="1" style="169" min="7" max="7"/>
    <col width="30" customWidth="1" style="169" min="8" max="8"/>
    <col width="12" customWidth="1" style="169" min="9" max="9"/>
    <col width="11" customWidth="1" style="169" min="10" max="10"/>
    <col width="24" customWidth="1" style="169" min="11" max="11"/>
    <col width="40" customWidth="1" style="169" min="12" max="12"/>
  </cols>
  <sheetData>
    <row r="1">
      <c r="A1" s="275" t="inlineStr">
        <is>
          <t>Табл./№</t>
        </is>
      </c>
      <c r="B1" s="275" t="inlineStr">
        <is>
          <t>Позиция ТЗ</t>
        </is>
      </c>
      <c r="C1" s="275" t="inlineStr">
        <is>
          <t>Кол-во</t>
        </is>
      </c>
      <c r="D1" s="275" t="inlineStr">
        <is>
          <t>Источник</t>
        </is>
      </c>
      <c r="E1" s="275" t="inlineStr">
        <is>
          <t>Поставщик / завод</t>
        </is>
      </c>
      <c r="F1" s="275" t="inlineStr">
        <is>
          <t>Контакт</t>
        </is>
      </c>
      <c r="G1" s="275" t="inlineStr">
        <is>
          <t>Изделие</t>
        </is>
      </c>
      <c r="H1" s="275" t="inlineStr">
        <is>
          <t>Изготовитель (как в реестре)</t>
        </is>
      </c>
      <c r="I1" s="275" t="inlineStr">
        <is>
          <t>№ записи ПП 719</t>
        </is>
      </c>
      <c r="J1" s="275" t="inlineStr">
        <is>
          <t>Действует до</t>
        </is>
      </c>
      <c r="K1" s="275" t="inlineStr">
        <is>
          <t>Проверка ТЗ</t>
        </is>
      </c>
      <c r="L1" s="275" t="inlineStr">
        <is>
          <t>Что запросить / согласовать</t>
        </is>
      </c>
    </row>
    <row r="2">
      <c r="A2" s="276" t="inlineStr">
        <is>
          <t>1.1/1</t>
        </is>
      </c>
      <c r="B2" s="276" t="inlineStr">
        <is>
          <t>Клапан предохранительный 17лс17нж Ду 200-300  Ру 16-6 полноподъемный пружинный фланцевый</t>
        </is>
      </c>
      <c r="C2" s="276" t="n">
        <v>1</v>
      </c>
      <c r="D2" s="276" t="inlineStr">
        <is>
          <t>завод вместо ДН.РУ</t>
        </is>
      </c>
      <c r="E2" s="276" t="inlineStr">
        <is>
          <t>АО «Благовещенский арматурный завод» (АО «БАЗ»)</t>
        </is>
      </c>
      <c r="F2" s="276" t="inlineStr">
        <is>
          <t>+7 (34766) 2-99-10, 2-99-11 baz@bazrb.ru</t>
        </is>
      </c>
      <c r="G2" s="276" t="inlineStr">
        <is>
          <t>СППК4Р 200-16 лс (17лс17нж), корпус 20ГЛ</t>
        </is>
      </c>
      <c r="H2" s="276" t="inlineStr">
        <is>
          <t>АО «Благовещенский арматурный завод» (ИНН 0258001489)</t>
        </is>
      </c>
      <c r="I2" s="276" t="inlineStr">
        <is>
          <t>10329690</t>
        </is>
      </c>
      <c r="J2" s="276" t="inlineStr">
        <is>
          <t>16.09.2030</t>
        </is>
      </c>
      <c r="K2" s="276" t="inlineStr">
        <is>
          <t>соответствует</t>
        </is>
      </c>
      <c r="L2" s="276" t="inlineStr">
        <is>
          <t>Подтвердить материалы седла/золотника/штока/пружины (20Х13/30Х13/20Х13/50ХФА), крышка ст.20.</t>
        </is>
      </c>
    </row>
    <row r="3">
      <c r="A3" s="276" t="inlineStr">
        <is>
          <t>1.1/2</t>
        </is>
      </c>
      <c r="B3" s="276" t="inlineStr">
        <is>
          <t>Клапан запорный 15нж65нж Ду 200 Ру 16</t>
        </is>
      </c>
      <c r="C3" s="276" t="n">
        <v>4</v>
      </c>
      <c r="D3" s="276" t="inlineStr">
        <is>
          <t>завод вместо ДН.РУ</t>
        </is>
      </c>
      <c r="E3" s="276" t="inlineStr">
        <is>
          <t>ООО «Восточная арматурная компания»</t>
        </is>
      </c>
      <c r="F3" s="276" t="inlineStr">
        <is>
          <t>+7 (347) 226-00-00 kontakt@vark.ru</t>
        </is>
      </c>
      <c r="G3" s="276" t="inlineStr">
        <is>
          <t>Клапаны запорные DN 10-400 мм, PN 0,6-50,0 МПа</t>
        </is>
      </c>
      <c r="H3" s="276" t="inlineStr">
        <is>
          <t>ООО «Восточная арматурная компания»</t>
        </is>
      </c>
      <c r="I3" s="276" t="inlineStr">
        <is>
          <t>10811565</t>
        </is>
      </c>
      <c r="J3" s="276" t="inlineStr">
        <is>
          <t>31.05.2031</t>
        </is>
      </c>
      <c r="K3" s="276" t="inlineStr">
        <is>
          <t>не проверено построчно</t>
        </is>
      </c>
      <c r="L3" s="276" t="inlineStr"/>
    </row>
    <row r="4">
      <c r="A4" s="276" t="inlineStr">
        <is>
          <t>1.1/3</t>
        </is>
      </c>
      <c r="B4" s="276" t="inlineStr">
        <is>
          <t>Клапан запорный15нж65нж Ду 50 Ру 16</t>
        </is>
      </c>
      <c r="C4" s="276" t="n">
        <v>3</v>
      </c>
      <c r="D4" s="276" t="inlineStr">
        <is>
          <t>завод вместо ДН.РУ</t>
        </is>
      </c>
      <c r="E4" s="276" t="inlineStr">
        <is>
          <t>ООО «Восточная арматурная компания»</t>
        </is>
      </c>
      <c r="F4" s="276" t="inlineStr">
        <is>
          <t>+7 (347) 226-00-00 kontakt@vark.ru</t>
        </is>
      </c>
      <c r="G4" s="276" t="inlineStr">
        <is>
          <t>Клапаны запорные DN 10-400 мм, PN 0,6-50,0 МПа</t>
        </is>
      </c>
      <c r="H4" s="276" t="inlineStr">
        <is>
          <t>ООО «Восточная арматурная компания»</t>
        </is>
      </c>
      <c r="I4" s="276" t="inlineStr">
        <is>
          <t>10811565</t>
        </is>
      </c>
      <c r="J4" s="276" t="inlineStr">
        <is>
          <t>31.05.2031</t>
        </is>
      </c>
      <c r="K4" s="276" t="inlineStr">
        <is>
          <t>не проверено построчно</t>
        </is>
      </c>
      <c r="L4" s="276" t="inlineStr"/>
    </row>
    <row r="5">
      <c r="A5" s="276" t="inlineStr">
        <is>
          <t>1.1/4</t>
        </is>
      </c>
      <c r="B5" s="276" t="inlineStr">
        <is>
          <t>Клапан запорный15с52нж11 Ду 32 Ру 63 под приварку</t>
        </is>
      </c>
      <c r="C5" s="276" t="n">
        <v>12</v>
      </c>
      <c r="D5" s="276" t="inlineStr">
        <is>
          <t>завод вместо ДН.РУ</t>
        </is>
      </c>
      <c r="E5" s="276" t="inlineStr">
        <is>
          <t>ООО «Восточная арматурная компания»</t>
        </is>
      </c>
      <c r="F5" s="276" t="inlineStr">
        <is>
          <t>+7 (347) 226-00-00 kontakt@vark.ru</t>
        </is>
      </c>
      <c r="G5" s="276" t="inlineStr">
        <is>
          <t>Клапаны запорные DN 10-400 мм, PN 0,6-50,0 МПа</t>
        </is>
      </c>
      <c r="H5" s="276" t="inlineStr">
        <is>
          <t>ООО «Восточная арматурная компания»</t>
        </is>
      </c>
      <c r="I5" s="276" t="inlineStr">
        <is>
          <t>10811565</t>
        </is>
      </c>
      <c r="J5" s="276" t="inlineStr">
        <is>
          <t>31.05.2031</t>
        </is>
      </c>
      <c r="K5" s="276" t="inlineStr">
        <is>
          <t>не проверено построчно</t>
        </is>
      </c>
      <c r="L5" s="276" t="inlineStr"/>
    </row>
    <row r="6">
      <c r="A6" s="276" t="inlineStr">
        <is>
          <t>1.1/5</t>
        </is>
      </c>
      <c r="B6" s="276" t="inlineStr">
        <is>
          <t>Задвижка 30нж41нж Ду 150 Ру 16 1исп. САЗ</t>
        </is>
      </c>
      <c r="C6" s="276" t="n">
        <v>1</v>
      </c>
      <c r="D6" s="276" t="inlineStr">
        <is>
          <t>завод вместо ДН.РУ</t>
        </is>
      </c>
      <c r="E6" s="276" t="inlineStr">
        <is>
          <t>ООО «Пермский трубопроводный завод» (ООО «ПТЗ»)</t>
        </is>
      </c>
      <c r="F6" s="276" t="inlineStr">
        <is>
          <t>+7 (342) 270-07-34 sales@ptza.ru</t>
        </is>
      </c>
      <c r="G6" s="276" t="inlineStr">
        <is>
          <t>30нж41нж Ду150 PN16 (ПТЗ)</t>
        </is>
      </c>
      <c r="H6" s="276" t="inlineStr">
        <is>
          <t>ООО «Пермский трубопроводный завод» (ИНН 5904173655)</t>
        </is>
      </c>
      <c r="I6" s="276" t="inlineStr">
        <is>
          <t>10698940</t>
        </is>
      </c>
      <c r="J6" s="276" t="inlineStr">
        <is>
          <t>17.02.2031</t>
        </is>
      </c>
      <c r="K6" s="276" t="inlineStr">
        <is>
          <t>соответствует</t>
        </is>
      </c>
      <c r="L6" s="276" t="inlineStr">
        <is>
          <t>Подтвердить комплектацию материалов по ТЗ (шпиндель 12Х18Н9Т, шпильки 45Х14Н14В2М, ТРГ, паронит ПМБ); «1 исп. САЗ» — ПТЗ не САЗ, конструкция-аналог.</t>
        </is>
      </c>
    </row>
    <row r="7">
      <c r="A7" s="276" t="inlineStr">
        <is>
          <t>1.1/6</t>
        </is>
      </c>
      <c r="B7" s="276" t="inlineStr">
        <is>
          <t>Задвижка 30нж947нж Ду 1000 Ру 4</t>
        </is>
      </c>
      <c r="C7" s="276" t="n">
        <v>1</v>
      </c>
      <c r="D7" s="276" t="inlineStr">
        <is>
          <t>завод (новый запрос КП)</t>
        </is>
      </c>
      <c r="E7" s="276" t="inlineStr">
        <is>
          <t>ООО «Челябинский завод трубопроводной арматуры» (ООО «ЧЗТА», бренд «ЧЗТА АРМАКОМ»)</t>
        </is>
      </c>
      <c r="F7" s="276" t="inlineStr">
        <is>
          <t>+7 (351) 215-53-33 zakaz@chzta.ru</t>
        </is>
      </c>
      <c r="G7" s="276" t="inlineStr"/>
      <c r="H7" s="276" t="inlineStr">
        <is>
          <t>ООО «Челябинский завод трубопроводной арматуры»</t>
        </is>
      </c>
      <c r="I7" s="276" t="inlineStr"/>
      <c r="J7" s="276" t="inlineStr"/>
      <c r="K7" s="276" t="inlineStr">
        <is>
          <t>не проверено построчно</t>
        </is>
      </c>
      <c r="L7" s="276" t="inlineStr">
        <is>
          <t>№ реестровой записи</t>
        </is>
      </c>
    </row>
    <row r="8">
      <c r="A8" s="276" t="inlineStr">
        <is>
          <t>1.1/7</t>
        </is>
      </c>
      <c r="B8" s="276" t="inlineStr">
        <is>
          <t>Задвижка 30с41нж Ду 50 Ру 16</t>
        </is>
      </c>
      <c r="C8" s="276" t="n">
        <v>10</v>
      </c>
      <c r="D8" s="276" t="inlineStr">
        <is>
          <t>завод вместо ДН.РУ</t>
        </is>
      </c>
      <c r="E8" s="276" t="inlineStr">
        <is>
          <t>ООО «Пермский трубопроводный завод» (ООО «ПТЗ»)</t>
        </is>
      </c>
      <c r="F8" s="276" t="inlineStr">
        <is>
          <t>+7 (342) 270-07-34 sales@ptza.ru</t>
        </is>
      </c>
      <c r="G8" s="276" t="inlineStr">
        <is>
          <t>30с41нж Ду50 PN16 (ПТЗ)</t>
        </is>
      </c>
      <c r="H8" s="276" t="inlineStr">
        <is>
          <t>ООО «Пермский трубопроводный завод» (ИНН 5904173655)</t>
        </is>
      </c>
      <c r="I8" s="276" t="inlineStr">
        <is>
          <t>10698940</t>
        </is>
      </c>
      <c r="J8" s="276" t="inlineStr">
        <is>
          <t>17.02.2031</t>
        </is>
      </c>
      <c r="K8" s="276" t="inlineStr">
        <is>
          <t>эквивалент — согласовать</t>
        </is>
      </c>
      <c r="L8" s="276" t="inlineStr">
        <is>
          <t>Подтвердить: шпиндель 20Х13, наплавка 20Х13 (или 07Х25Н13 где указано), ТРГ.</t>
        </is>
      </c>
    </row>
    <row r="9">
      <c r="A9" s="276" t="inlineStr">
        <is>
          <t>1.1/8</t>
        </is>
      </c>
      <c r="B9" s="276" t="inlineStr">
        <is>
          <t>Задвижка 30с41нж Ду 100 Ру 16</t>
        </is>
      </c>
      <c r="C9" s="276" t="n">
        <v>7</v>
      </c>
      <c r="D9" s="276" t="inlineStr">
        <is>
          <t>завод вместо ДН.РУ</t>
        </is>
      </c>
      <c r="E9" s="276" t="inlineStr">
        <is>
          <t>ООО «Пермский трубопроводный завод» (ООО «ПТЗ»)</t>
        </is>
      </c>
      <c r="F9" s="276" t="inlineStr">
        <is>
          <t>+7 (342) 270-07-34 sales@ptza.ru</t>
        </is>
      </c>
      <c r="G9" s="276" t="inlineStr">
        <is>
          <t>30с41нж Ду100 PN16 (ПТЗ)</t>
        </is>
      </c>
      <c r="H9" s="276" t="inlineStr">
        <is>
          <t>ООО «Пермский трубопроводный завод» (ИНН 5904173655)</t>
        </is>
      </c>
      <c r="I9" s="276" t="inlineStr">
        <is>
          <t>10698940</t>
        </is>
      </c>
      <c r="J9" s="276" t="inlineStr">
        <is>
          <t>17.02.2031</t>
        </is>
      </c>
      <c r="K9" s="276" t="inlineStr">
        <is>
          <t>соответствует</t>
        </is>
      </c>
      <c r="L9" s="276" t="inlineStr">
        <is>
          <t>Подтвердить: шпиндель 20Х13, наплавка 20Х13 (или 07Х25Н13 где указано), ТРГ.</t>
        </is>
      </c>
    </row>
    <row r="10">
      <c r="A10" s="276" t="inlineStr">
        <is>
          <t>1.1/9</t>
        </is>
      </c>
      <c r="B10" s="276" t="inlineStr">
        <is>
          <t>Задвижка 30с41нж Ду 150 Ру 16</t>
        </is>
      </c>
      <c r="C10" s="276" t="n">
        <v>10</v>
      </c>
      <c r="D10" s="276" t="inlineStr">
        <is>
          <t>завод вместо ДН.РУ</t>
        </is>
      </c>
      <c r="E10" s="276" t="inlineStr">
        <is>
          <t>ООО «Пермский трубопроводный завод» (ООО «ПТЗ»)</t>
        </is>
      </c>
      <c r="F10" s="276" t="inlineStr">
        <is>
          <t>+7 (342) 270-07-34 sales@ptza.ru</t>
        </is>
      </c>
      <c r="G10" s="276" t="inlineStr">
        <is>
          <t>30с41нж Ду150 PN16 (ПТЗ)</t>
        </is>
      </c>
      <c r="H10" s="276" t="inlineStr">
        <is>
          <t>ООО «Пермский трубопроводный завод» (ИНН 5904173655)</t>
        </is>
      </c>
      <c r="I10" s="276" t="inlineStr">
        <is>
          <t>10698940</t>
        </is>
      </c>
      <c r="J10" s="276" t="inlineStr">
        <is>
          <t>17.02.2031</t>
        </is>
      </c>
      <c r="K10" s="276" t="inlineStr">
        <is>
          <t>соответствует</t>
        </is>
      </c>
      <c r="L10" s="276" t="inlineStr">
        <is>
          <t>Подтвердить: шпиндель 20Х13, наплавка 20Х13 (или 07Х25Н13 где указано), ТРГ.</t>
        </is>
      </c>
    </row>
    <row r="11">
      <c r="A11" s="276" t="inlineStr">
        <is>
          <t>1.1/10</t>
        </is>
      </c>
      <c r="B11" s="276" t="inlineStr">
        <is>
          <t>Задвижка клиновая фланцевая 30с41нж Ду 300 Ру 16 с КОФ</t>
        </is>
      </c>
      <c r="C11" s="276" t="n">
        <v>2</v>
      </c>
      <c r="D11" s="276" t="inlineStr">
        <is>
          <t>завод вместо ДН.РУ</t>
        </is>
      </c>
      <c r="E11" s="276" t="inlineStr">
        <is>
          <t>ООО «Пермский трубопроводный завод» (ООО «ПТЗ»)</t>
        </is>
      </c>
      <c r="F11" s="276" t="inlineStr">
        <is>
          <t>+7 (342) 270-07-34 sales@ptza.ru</t>
        </is>
      </c>
      <c r="G11" s="276" t="inlineStr">
        <is>
          <t>30с41нж Ду300 PN16 (ПТЗ)</t>
        </is>
      </c>
      <c r="H11" s="276" t="inlineStr">
        <is>
          <t>ООО «Пермский трубопроводный завод» (ИНН 5904173655)</t>
        </is>
      </c>
      <c r="I11" s="276" t="inlineStr">
        <is>
          <t>10698940</t>
        </is>
      </c>
      <c r="J11" s="276" t="inlineStr">
        <is>
          <t>17.02.2031</t>
        </is>
      </c>
      <c r="K11" s="276" t="inlineStr">
        <is>
          <t>соответствует</t>
        </is>
      </c>
      <c r="L11" s="276" t="inlineStr">
        <is>
          <t>Подтвердить: шпиндель 20Х13, наплавка 20Х13 (или 07Х25Н13 где указано), ТРГ.</t>
        </is>
      </c>
    </row>
    <row r="12">
      <c r="A12" s="276" t="inlineStr">
        <is>
          <t>1.1/11</t>
        </is>
      </c>
      <c r="B12" s="276" t="inlineStr">
        <is>
          <t>Задвижка 30С576НЖ Ду 300 Ру 63 с редуктором РК-Г-1М, в комплекте с крепежом и ответными фланцами.</t>
        </is>
      </c>
      <c r="C12" s="276" t="n">
        <v>2</v>
      </c>
      <c r="D12" s="276" t="inlineStr">
        <is>
          <t>завод вместо ДН.РУ</t>
        </is>
      </c>
      <c r="E12" s="276" t="inlineStr">
        <is>
          <t>АО «Благовещенский арматурный завод» (АО «БАЗ»)</t>
        </is>
      </c>
      <c r="F12" s="276" t="inlineStr">
        <is>
          <t>+7 (34766) 2-99-10, 2-99-11 baz@bazrb.ru</t>
        </is>
      </c>
      <c r="G12" s="276" t="inlineStr">
        <is>
          <t>Задвижки клиновые ЗК DN 50-800 PN 1,6-32,0 МПа</t>
        </is>
      </c>
      <c r="H12" s="276" t="inlineStr">
        <is>
          <t>АО «Благовещенский арматурный завод»</t>
        </is>
      </c>
      <c r="I12" s="276" t="inlineStr">
        <is>
          <t>10306806</t>
        </is>
      </c>
      <c r="J12" s="276" t="inlineStr">
        <is>
          <t>31.08.2028</t>
        </is>
      </c>
      <c r="K12" s="276" t="inlineStr">
        <is>
          <t>не проверено построчно</t>
        </is>
      </c>
      <c r="L12" s="276" t="inlineStr"/>
    </row>
    <row r="13">
      <c r="A13" s="276" t="inlineStr">
        <is>
          <t>1.1/12</t>
        </is>
      </c>
      <c r="B13" s="276" t="inlineStr">
        <is>
          <t>Задвижка клиновая фланцевая 30с941нж Ду 500 Ру 16 с КОФ под электропривод Bernard ST-30</t>
        </is>
      </c>
      <c r="C13" s="276" t="n">
        <v>1</v>
      </c>
      <c r="D13" s="276" t="inlineStr">
        <is>
          <t>завод вместо ДН.РУ</t>
        </is>
      </c>
      <c r="E13" s="276" t="inlineStr">
        <is>
          <t>ООО «Пермский трубопроводный завод» (ООО «ПТЗ»)</t>
        </is>
      </c>
      <c r="F13" s="276" t="inlineStr">
        <is>
          <t>+7 (342) 270-07-34 sales@ptza.ru</t>
        </is>
      </c>
      <c r="G13" s="276" t="inlineStr">
        <is>
          <t>30с941нж Ду500 PN16 под электропривод (ПТЗ)</t>
        </is>
      </c>
      <c r="H13" s="276" t="inlineStr">
        <is>
          <t>ООО «Пермский трубопроводный завод» (ИНН 5904173655)</t>
        </is>
      </c>
      <c r="I13" s="276" t="inlineStr">
        <is>
          <t>10698940</t>
        </is>
      </c>
      <c r="J13" s="276" t="inlineStr">
        <is>
          <t>17.02.2031</t>
        </is>
      </c>
      <c r="K13" s="276" t="inlineStr">
        <is>
          <t>не подтверждено</t>
        </is>
      </c>
      <c r="L13" s="276" t="inlineStr">
        <is>
          <t>Подтвердить поставку без привода с фланцем F16 под Bernard ST-30, КОФ, материалы (шпиндель 20Х13, гайка ЛС59-1).</t>
        </is>
      </c>
    </row>
    <row r="14">
      <c r="A14" s="276" t="inlineStr">
        <is>
          <t>1.1/13</t>
        </is>
      </c>
      <c r="B14" s="276" t="inlineStr">
        <is>
          <t>Задвижка 30с964нж Ду 300 Ру 25</t>
        </is>
      </c>
      <c r="C14" s="276" t="n">
        <v>1</v>
      </c>
      <c r="D14" s="276" t="inlineStr">
        <is>
          <t>завод вместо ДН.РУ</t>
        </is>
      </c>
      <c r="E14" s="276" t="inlineStr">
        <is>
          <t>ООО «Пермский трубопроводный завод» (ООО «ПТЗ»)</t>
        </is>
      </c>
      <c r="F14" s="276" t="inlineStr">
        <is>
          <t>+7 (342) 270-07-34 sales@ptza.ru</t>
        </is>
      </c>
      <c r="G14" s="276" t="inlineStr">
        <is>
          <t>30с964нж Ду300 PN25 (ПТЗ)</t>
        </is>
      </c>
      <c r="H14" s="276" t="inlineStr">
        <is>
          <t>ООО «Пермский трубопроводный завод» (ИНН 5904173655)</t>
        </is>
      </c>
      <c r="I14" s="276" t="inlineStr">
        <is>
          <t>10698940</t>
        </is>
      </c>
      <c r="J14" s="276" t="inlineStr">
        <is>
          <t>17.02.2031</t>
        </is>
      </c>
      <c r="K14" s="276" t="inlineStr">
        <is>
          <t>не подтверждено</t>
        </is>
      </c>
      <c r="L14" s="276" t="inlineStr">
        <is>
          <t>Запросить исполнение с концами под приварку и фланцем тип В под Н-В-02; класс А.</t>
        </is>
      </c>
    </row>
    <row r="15">
      <c r="A15" s="276" t="inlineStr">
        <is>
          <t>1.1/14</t>
        </is>
      </c>
      <c r="B15" s="276" t="inlineStr">
        <is>
          <t>Кран шаровой 11б27п1 Ду 15 Ру 16</t>
        </is>
      </c>
      <c r="C15" s="276" t="n">
        <v>35</v>
      </c>
      <c r="D15" s="276" t="inlineStr">
        <is>
          <t>завод (новый запрос КП)</t>
        </is>
      </c>
      <c r="E15" s="276" t="inlineStr">
        <is>
          <t>ООО «ЧелябинскСпецГражданСтрой» / ЛД Прайд (Группа компаний «ЛД», ТМ LD, LD Pride); продажи — ООО «ТД «ЛД»</t>
        </is>
      </c>
      <c r="F15" s="276" t="inlineStr">
        <is>
          <t>+7 (351) 730-47-47 office@chsgs.ru</t>
        </is>
      </c>
      <c r="G15" s="276" t="inlineStr">
        <is>
          <t>LD Pride 47 Ду15 ВР-ВР рычаг (латунь ЛС59-1)</t>
        </is>
      </c>
      <c r="H15" s="276" t="inlineStr">
        <is>
          <t>ООО «ЛД Прайд» (ИНН 7449114775)</t>
        </is>
      </c>
      <c r="I15" s="276" t="inlineStr">
        <is>
          <t>10826766</t>
        </is>
      </c>
      <c r="J15" s="276" t="inlineStr">
        <is>
          <t>04.05.2031</t>
        </is>
      </c>
      <c r="K15" s="276" t="inlineStr">
        <is>
          <t>не подтверждено</t>
        </is>
      </c>
      <c r="L15" s="276" t="inlineStr">
        <is>
          <t>Подтвердить полный проход, исполнение У1 (для улицы), применимость на пар (где указан).</t>
        </is>
      </c>
    </row>
    <row r="16">
      <c r="A16" s="276" t="inlineStr">
        <is>
          <t>1.1/15</t>
        </is>
      </c>
      <c r="B16" s="276" t="inlineStr">
        <is>
          <t>Кран шаровой 11б27п1 Ду 20 Ру 16</t>
        </is>
      </c>
      <c r="C16" s="276" t="n">
        <v>35</v>
      </c>
      <c r="D16" s="276" t="inlineStr">
        <is>
          <t>завод (новый запрос КП)</t>
        </is>
      </c>
      <c r="E16" s="276" t="inlineStr">
        <is>
          <t>ООО «ЧелябинскСпецГражданСтрой» / ЛД Прайд (Группа компаний «ЛД», ТМ LD, LD Pride); продажи — ООО «ТД «ЛД»</t>
        </is>
      </c>
      <c r="F16" s="276" t="inlineStr">
        <is>
          <t>+7 (351) 730-47-47 office@chsgs.ru</t>
        </is>
      </c>
      <c r="G16" s="276" t="inlineStr">
        <is>
          <t>LD Pride 47 Ду20 ВР-ВР рычаг (латунь ЛС59-1)</t>
        </is>
      </c>
      <c r="H16" s="276" t="inlineStr">
        <is>
          <t>ООО «ЛД Прайд» (ИНН 7449114775)</t>
        </is>
      </c>
      <c r="I16" s="276" t="inlineStr">
        <is>
          <t>10826766</t>
        </is>
      </c>
      <c r="J16" s="276" t="inlineStr">
        <is>
          <t>04.05.2031</t>
        </is>
      </c>
      <c r="K16" s="276" t="inlineStr">
        <is>
          <t>не подтверждено</t>
        </is>
      </c>
      <c r="L16" s="276" t="inlineStr">
        <is>
          <t>Подтвердить полный проход, исполнение У1 (для улицы), применимость на пар (где указан).</t>
        </is>
      </c>
    </row>
    <row r="17">
      <c r="A17" s="276" t="inlineStr">
        <is>
          <t>1.1/16</t>
        </is>
      </c>
      <c r="B17" s="276" t="inlineStr">
        <is>
          <t>Кран шаровой 11б27п1 Ду 25 Ру 16</t>
        </is>
      </c>
      <c r="C17" s="276" t="n">
        <v>20</v>
      </c>
      <c r="D17" s="276" t="inlineStr">
        <is>
          <t>завод (новый запрос КП)</t>
        </is>
      </c>
      <c r="E17" s="276" t="inlineStr">
        <is>
          <t>ООО «ЧелябинскСпецГражданСтрой» / ЛД Прайд (Группа компаний «ЛД», ТМ LD, LD Pride); продажи — ООО «ТД «ЛД»</t>
        </is>
      </c>
      <c r="F17" s="276" t="inlineStr">
        <is>
          <t>+7 (351) 730-47-47 office@chsgs.ru</t>
        </is>
      </c>
      <c r="G17" s="276" t="inlineStr">
        <is>
          <t>LD Pride 47 Ду25 ВР-ВР рычаг (латунь ЛС59-1)</t>
        </is>
      </c>
      <c r="H17" s="276" t="inlineStr">
        <is>
          <t>ООО «ЛД Прайд» (ИНН 7449114775)</t>
        </is>
      </c>
      <c r="I17" s="276" t="inlineStr">
        <is>
          <t>10826766</t>
        </is>
      </c>
      <c r="J17" s="276" t="inlineStr">
        <is>
          <t>04.05.2031</t>
        </is>
      </c>
      <c r="K17" s="276" t="inlineStr">
        <is>
          <t>не подтверждено</t>
        </is>
      </c>
      <c r="L17" s="276" t="inlineStr">
        <is>
          <t>Подтвердить полный проход, исполнение У1 (для улицы), применимость на пар (где указан).</t>
        </is>
      </c>
    </row>
    <row r="18">
      <c r="A18" s="276" t="inlineStr">
        <is>
          <t>1.1/17</t>
        </is>
      </c>
      <c r="B18" s="276" t="inlineStr">
        <is>
          <t>Кран шаровой 11б27п1 Ду 32 Ру 16</t>
        </is>
      </c>
      <c r="C18" s="276" t="n">
        <v>25</v>
      </c>
      <c r="D18" s="276" t="inlineStr">
        <is>
          <t>завод (новый запрос КП)</t>
        </is>
      </c>
      <c r="E18" s="276" t="inlineStr">
        <is>
          <t>ООО «ЧелябинскСпецГражданСтрой» / ЛД Прайд (Группа компаний «ЛД», ТМ LD, LD Pride); продажи — ООО «ТД «ЛД»</t>
        </is>
      </c>
      <c r="F18" s="276" t="inlineStr">
        <is>
          <t>+7 (351) 730-47-47 office@chsgs.ru</t>
        </is>
      </c>
      <c r="G18" s="276" t="inlineStr">
        <is>
          <t>LD Pride 47 Ду32 ВР-ВР рычаг (латунь ЛС59-1)</t>
        </is>
      </c>
      <c r="H18" s="276" t="inlineStr">
        <is>
          <t>ООО «ЛД Прайд» (ИНН 7449114775)</t>
        </is>
      </c>
      <c r="I18" s="276" t="inlineStr">
        <is>
          <t>10826766</t>
        </is>
      </c>
      <c r="J18" s="276" t="inlineStr">
        <is>
          <t>04.05.2031</t>
        </is>
      </c>
      <c r="K18" s="276" t="inlineStr">
        <is>
          <t>не подтверждено</t>
        </is>
      </c>
      <c r="L18" s="276" t="inlineStr">
        <is>
          <t>Подтвердить полный проход, исполнение У1 (для улицы), применимость на пар (где указан).</t>
        </is>
      </c>
    </row>
    <row r="19">
      <c r="A19" s="276" t="inlineStr">
        <is>
          <t>1.1/18</t>
        </is>
      </c>
      <c r="B19" s="276" t="inlineStr">
        <is>
          <t>Кран шаровой 11б27п1 Ду 40 Ру 16</t>
        </is>
      </c>
      <c r="C19" s="276" t="n">
        <v>8</v>
      </c>
      <c r="D19" s="276" t="inlineStr">
        <is>
          <t>завод (новый запрос КП)</t>
        </is>
      </c>
      <c r="E19" s="276" t="inlineStr">
        <is>
          <t>ООО «ЧелябинскСпецГражданСтрой» / ЛД Прайд (Группа компаний «ЛД», ТМ LD, LD Pride); продажи — ООО «ТД «ЛД»</t>
        </is>
      </c>
      <c r="F19" s="276" t="inlineStr">
        <is>
          <t>+7 (351) 730-47-47 office@chsgs.ru</t>
        </is>
      </c>
      <c r="G19" s="276" t="inlineStr">
        <is>
          <t>LD Pride 47 Ду40 ВР-ВР рычаг (латунь ЛС59-1)</t>
        </is>
      </c>
      <c r="H19" s="276" t="inlineStr">
        <is>
          <t>ООО «ЛД Прайд» (ИНН 7449114775)</t>
        </is>
      </c>
      <c r="I19" s="276" t="inlineStr">
        <is>
          <t>10826766</t>
        </is>
      </c>
      <c r="J19" s="276" t="inlineStr">
        <is>
          <t>04.05.2031</t>
        </is>
      </c>
      <c r="K19" s="276" t="inlineStr">
        <is>
          <t>не подтверждено</t>
        </is>
      </c>
      <c r="L19" s="276" t="inlineStr">
        <is>
          <t>Подтвердить полный проход, исполнение У1 (для улицы), применимость на пар (где указан).</t>
        </is>
      </c>
    </row>
    <row r="20">
      <c r="A20" s="276" t="inlineStr">
        <is>
          <t>1.1/19</t>
        </is>
      </c>
      <c r="B20" s="276" t="inlineStr">
        <is>
          <t>Кран шаровой 11б27п1 Ду 50 Ру 16</t>
        </is>
      </c>
      <c r="C20" s="276" t="n">
        <v>8</v>
      </c>
      <c r="D20" s="276" t="inlineStr">
        <is>
          <t>завод (новый запрос КП)</t>
        </is>
      </c>
      <c r="E20" s="276" t="inlineStr">
        <is>
          <t>ООО «ЧелябинскСпецГражданСтрой» / ЛД Прайд (Группа компаний «ЛД», ТМ LD, LD Pride); продажи — ООО «ТД «ЛД»</t>
        </is>
      </c>
      <c r="F20" s="276" t="inlineStr">
        <is>
          <t>+7 (351) 730-47-47 office@chsgs.ru</t>
        </is>
      </c>
      <c r="G20" s="276" t="inlineStr">
        <is>
          <t>LD Pride 47 Ду50 ВР-ВР рычаг (латунь ЛС59-1)</t>
        </is>
      </c>
      <c r="H20" s="276" t="inlineStr">
        <is>
          <t>ООО «ЛД Прайд» (ИНН 7449114775)</t>
        </is>
      </c>
      <c r="I20" s="276" t="inlineStr">
        <is>
          <t>10826766</t>
        </is>
      </c>
      <c r="J20" s="276" t="inlineStr">
        <is>
          <t>04.05.2031</t>
        </is>
      </c>
      <c r="K20" s="276" t="inlineStr">
        <is>
          <t>не подтверждено</t>
        </is>
      </c>
      <c r="L20" s="276" t="inlineStr">
        <is>
          <t>Подтвердить полный проход, исполнение У1 (для улицы), применимость на пар (где указан).</t>
        </is>
      </c>
    </row>
    <row r="21">
      <c r="A21" s="276" t="inlineStr">
        <is>
          <t>1.1/20</t>
        </is>
      </c>
      <c r="B21" s="276" t="inlineStr">
        <is>
          <t>Кран шаровой 11с67п Ду 150 Ру 25 цельносварной под приварку</t>
        </is>
      </c>
      <c r="C21" s="276" t="n">
        <v>2</v>
      </c>
      <c r="D21" s="276" t="inlineStr">
        <is>
          <t>завод (новый запрос КП)</t>
        </is>
      </c>
      <c r="E21" s="276" t="inlineStr">
        <is>
          <t>ООО «ЧелябинскСпецГражданСтрой» / ЛД Прайд (Группа компаний «ЛД», ТМ LD, LD Pride); продажи — ООО «ТД «ЛД»</t>
        </is>
      </c>
      <c r="F21" s="276" t="inlineStr">
        <is>
          <t>+7 (351) 730-47-47 office@chsgs.ru</t>
        </is>
      </c>
      <c r="G21" s="276" t="inlineStr">
        <is>
          <t>LD КШЦП (КШ.Ц.П) ст.20 Ду150 П/П PN2,5</t>
        </is>
      </c>
      <c r="H21" s="276" t="inlineStr">
        <is>
          <t>ООО «ЧелябинскСпецГражданСтрой» (ИНН 7451211335)</t>
        </is>
      </c>
      <c r="I21" s="276" t="inlineStr">
        <is>
          <t>10655491</t>
        </is>
      </c>
      <c r="J21" s="276" t="inlineStr">
        <is>
          <t>30.06.2028</t>
        </is>
      </c>
      <c r="K21" s="276" t="inlineStr">
        <is>
          <t>не подтверждено</t>
        </is>
      </c>
      <c r="L21" s="276" t="inlineStr">
        <is>
          <t>Подтвердить письменно применимость на газ/пар при Т по ТЗ.</t>
        </is>
      </c>
    </row>
    <row r="22">
      <c r="A22" s="276" t="inlineStr">
        <is>
          <t>1.1/21</t>
        </is>
      </c>
      <c r="B22" s="276" t="inlineStr">
        <is>
          <t>Кран шаровой 11с67п Ду 200 Ру 16 ЦУФ.001 КШ укороченный полнопроходной фланцевый с рукояткой</t>
        </is>
      </c>
      <c r="C22" s="276" t="n">
        <v>2</v>
      </c>
      <c r="D22" s="276" t="inlineStr">
        <is>
          <t>НЕ ЗАКРЫТО</t>
        </is>
      </c>
      <c r="E22" s="276" t="inlineStr"/>
      <c r="F22" s="276" t="inlineStr"/>
      <c r="G22" s="276" t="inlineStr"/>
      <c r="H22" s="276" t="inlineStr"/>
      <c r="I22" s="276" t="inlineStr"/>
      <c r="J22" s="276" t="inlineStr"/>
      <c r="K22" s="276" t="inlineStr">
        <is>
          <t>нет поставщика с записью ПП 719 и соответствием ТЗ</t>
        </is>
      </c>
      <c r="L22" s="276" t="inlineStr"/>
    </row>
    <row r="23">
      <c r="A23" s="276" t="inlineStr">
        <is>
          <t>1.1/22</t>
        </is>
      </c>
      <c r="B23" s="276" t="inlineStr">
        <is>
          <t>Затвор дисковый поворотный межфланцевый Stensel 31070-01 Ду 200 Ру 25</t>
        </is>
      </c>
      <c r="C23" s="276" t="n">
        <v>3</v>
      </c>
      <c r="D23" s="276" t="inlineStr">
        <is>
          <t>НЕ ЗАКРЫТО</t>
        </is>
      </c>
      <c r="E23" s="276" t="inlineStr"/>
      <c r="F23" s="276" t="inlineStr"/>
      <c r="G23" s="276" t="inlineStr"/>
      <c r="H23" s="276" t="inlineStr"/>
      <c r="I23" s="276" t="inlineStr"/>
      <c r="J23" s="276" t="inlineStr"/>
      <c r="K23" s="276" t="inlineStr">
        <is>
          <t>нет поставщика с записью ПП 719 и соответствием ТЗ</t>
        </is>
      </c>
      <c r="L23" s="276" t="inlineStr"/>
    </row>
    <row r="24">
      <c r="A24" s="276" t="inlineStr">
        <is>
          <t>1.1/23</t>
        </is>
      </c>
      <c r="B24" s="276" t="inlineStr">
        <is>
          <t>Затвор дисковый поворотный межфланцевый ПА954.450.10-05 Ду 450 Ру 10</t>
        </is>
      </c>
      <c r="C24" s="276" t="n">
        <v>1</v>
      </c>
      <c r="D24" s="276" t="inlineStr">
        <is>
          <t>НЕ ЗАКРЫТО</t>
        </is>
      </c>
      <c r="E24" s="276" t="inlineStr"/>
      <c r="F24" s="276" t="inlineStr"/>
      <c r="G24" s="276" t="inlineStr"/>
      <c r="H24" s="276" t="inlineStr"/>
      <c r="I24" s="276" t="inlineStr"/>
      <c r="J24" s="276" t="inlineStr"/>
      <c r="K24" s="276" t="inlineStr">
        <is>
          <t>нет поставщика с записью ПП 719 и соответствием ТЗ</t>
        </is>
      </c>
      <c r="L24" s="276" t="inlineStr"/>
    </row>
    <row r="25">
      <c r="A25" s="276" t="inlineStr">
        <is>
          <t>1.1/24</t>
        </is>
      </c>
      <c r="B25" s="276" t="inlineStr">
        <is>
          <t>Электропривод общепромышленный Н-В-02 У2</t>
        </is>
      </c>
      <c r="C25" s="276" t="n">
        <v>2</v>
      </c>
      <c r="D25" s="276" t="inlineStr">
        <is>
          <t>завод (новый запрос КП)</t>
        </is>
      </c>
      <c r="E25" s="276" t="inlineStr">
        <is>
          <t>АО «Тулаэлектропривод»</t>
        </is>
      </c>
      <c r="F25" s="276" t="inlineStr">
        <is>
          <t>+7 (4872) 72-47-16 td@tulaprivod.ru</t>
        </is>
      </c>
      <c r="G25" s="276" t="inlineStr"/>
      <c r="H25" s="276" t="inlineStr">
        <is>
          <t>АО «ПО «Тулаэлектропривод» (ИНН 7130025182)</t>
        </is>
      </c>
      <c r="I25" s="276" t="inlineStr">
        <is>
          <t>10612591</t>
        </is>
      </c>
      <c r="J25" s="276" t="inlineStr">
        <is>
          <t>12.02.2028</t>
        </is>
      </c>
      <c r="K25" s="276" t="inlineStr">
        <is>
          <t>не проверено построчно</t>
        </is>
      </c>
      <c r="L25" s="276" t="inlineStr"/>
    </row>
    <row r="26">
      <c r="A26" s="276" t="inlineStr">
        <is>
          <t>1.2/1</t>
        </is>
      </c>
      <c r="B26" s="276" t="inlineStr">
        <is>
          <t>Кран шаровой 11с67п Ду 32 Ру 25 цельносварной под приварку</t>
        </is>
      </c>
      <c r="C26" s="276" t="n">
        <v>2</v>
      </c>
      <c r="D26" s="276" t="inlineStr">
        <is>
          <t>завод (новый запрос КП)</t>
        </is>
      </c>
      <c r="E26" s="276" t="inlineStr">
        <is>
          <t>ООО «ЧелябинскСпецГражданСтрой» / ЛД Прайд (Группа компаний «ЛД», ТМ LD, LD Pride); продажи — ООО «ТД «ЛД»</t>
        </is>
      </c>
      <c r="F26" s="276" t="inlineStr">
        <is>
          <t>+7 (351) 730-47-47 office@chsgs.ru</t>
        </is>
      </c>
      <c r="G26" s="276" t="inlineStr">
        <is>
          <t>LD КШЦП (КШ.Ц.П) ст.20 Ду32 Н/П PN4,0</t>
        </is>
      </c>
      <c r="H26" s="276" t="inlineStr">
        <is>
          <t>ООО «ЧелябинскСпецГражданСтрой» (ИНН 7451211335)</t>
        </is>
      </c>
      <c r="I26" s="276" t="inlineStr">
        <is>
          <t>10655491</t>
        </is>
      </c>
      <c r="J26" s="276" t="inlineStr">
        <is>
          <t>30.06.2028</t>
        </is>
      </c>
      <c r="K26" s="276" t="inlineStr">
        <is>
          <t>не подтверждено</t>
        </is>
      </c>
      <c r="L26" s="276" t="inlineStr">
        <is>
          <t>Подтвердить письменно применимость на газ/пар при Т по ТЗ.</t>
        </is>
      </c>
    </row>
    <row r="27">
      <c r="A27" s="276" t="inlineStr">
        <is>
          <t>1.2/2</t>
        </is>
      </c>
      <c r="B27" s="276" t="inlineStr">
        <is>
          <t>Кран шаровой 11с67п Ду 100 Ру 25 цельносварной под приварку</t>
        </is>
      </c>
      <c r="C27" s="276" t="n">
        <v>4</v>
      </c>
      <c r="D27" s="276" t="inlineStr">
        <is>
          <t>НЕ ЗАКРЫТО</t>
        </is>
      </c>
      <c r="E27" s="276" t="inlineStr"/>
      <c r="F27" s="276" t="inlineStr"/>
      <c r="G27" s="276" t="inlineStr"/>
      <c r="H27" s="276" t="inlineStr"/>
      <c r="I27" s="276" t="inlineStr"/>
      <c r="J27" s="276" t="inlineStr"/>
      <c r="K27" s="276" t="inlineStr">
        <is>
          <t>нет поставщика с записью ПП 719 и соответствием ТЗ</t>
        </is>
      </c>
      <c r="L27" s="276" t="inlineStr"/>
    </row>
    <row r="28">
      <c r="A28" s="276" t="inlineStr">
        <is>
          <t>1.2/3</t>
        </is>
      </c>
      <c r="B28" s="276" t="inlineStr">
        <is>
          <t>Кран шаровой 11с67п Ду 50 Ру 25 полнопрох. с КОФ (КЗШС41нж)</t>
        </is>
      </c>
      <c r="C28" s="276" t="n">
        <v>18</v>
      </c>
      <c r="D28" s="276" t="inlineStr">
        <is>
          <t>завод (новый запрос КП)</t>
        </is>
      </c>
      <c r="E28" s="276" t="inlineStr">
        <is>
          <t>ООО «ЧелябинскСпецГражданСтрой» / ЛД Прайд (Группа компаний «ЛД», ТМ LD, LD Pride); продажи — ООО «ТД «ЛД»</t>
        </is>
      </c>
      <c r="F28" s="276" t="inlineStr">
        <is>
          <t>+7 (351) 730-47-47 office@chsgs.ru</t>
        </is>
      </c>
      <c r="G28" s="276" t="inlineStr">
        <is>
          <t>LD КШЦФ ст.20 Ду50 П/П PN4,0 с КОФ</t>
        </is>
      </c>
      <c r="H28" s="276" t="inlineStr">
        <is>
          <t>ООО «ЧелябинскСпецГражданСтрой» (ИНН 7451211335)</t>
        </is>
      </c>
      <c r="I28" s="276" t="inlineStr">
        <is>
          <t>10655491</t>
        </is>
      </c>
      <c r="J28" s="276" t="inlineStr">
        <is>
          <t>30.06.2028</t>
        </is>
      </c>
      <c r="K28" s="276" t="inlineStr">
        <is>
          <t>соответствует</t>
        </is>
      </c>
      <c r="L28" s="276" t="inlineStr">
        <is>
          <t>Подтвердить поставку с КОФ.</t>
        </is>
      </c>
    </row>
    <row r="29">
      <c r="A29" s="276" t="inlineStr">
        <is>
          <t>1.2/4</t>
        </is>
      </c>
      <c r="B29" s="276" t="inlineStr">
        <is>
          <t>Кран шаровой 11с67п Ду 80 Ру 25 полнопрох. с КОФ (КЗШС41нж)</t>
        </is>
      </c>
      <c r="C29" s="276" t="n">
        <v>4</v>
      </c>
      <c r="D29" s="276" t="inlineStr">
        <is>
          <t>завод (новый запрос КП)</t>
        </is>
      </c>
      <c r="E29" s="276" t="inlineStr">
        <is>
          <t>ООО «ЧелябинскСпецГражданСтрой» / ЛД Прайд (Группа компаний «ЛД», ТМ LD, LD Pride); продажи — ООО «ТД «ЛД»</t>
        </is>
      </c>
      <c r="F29" s="276" t="inlineStr">
        <is>
          <t>+7 (351) 730-47-47 office@chsgs.ru</t>
        </is>
      </c>
      <c r="G29" s="276" t="inlineStr">
        <is>
          <t>LD КШЦФ ст.20 Ду80 П/П PN2,5 с КОФ</t>
        </is>
      </c>
      <c r="H29" s="276" t="inlineStr">
        <is>
          <t>ООО «ЧелябинскСпецГражданСтрой» (ИНН 7451211335)</t>
        </is>
      </c>
      <c r="I29" s="276" t="inlineStr">
        <is>
          <t>10655491</t>
        </is>
      </c>
      <c r="J29" s="276" t="inlineStr">
        <is>
          <t>30.06.2028</t>
        </is>
      </c>
      <c r="K29" s="276" t="inlineStr">
        <is>
          <t>соответствует</t>
        </is>
      </c>
      <c r="L29" s="276" t="inlineStr">
        <is>
          <t>Подтвердить поставку с КОФ.</t>
        </is>
      </c>
    </row>
    <row r="30">
      <c r="A30" s="276" t="inlineStr">
        <is>
          <t>1.2/5</t>
        </is>
      </c>
      <c r="B30" s="276" t="inlineStr">
        <is>
          <t>Кран шаровой 11с67п Ду 100 Ру 16 ЦУФ.001 КШ укороченный полнопроходной фланцевый с рукояткой</t>
        </is>
      </c>
      <c r="C30" s="276" t="n">
        <v>2</v>
      </c>
      <c r="D30" s="276" t="inlineStr">
        <is>
          <t>завод (новый запрос КП)</t>
        </is>
      </c>
      <c r="E30" s="276" t="inlineStr">
        <is>
          <t>ООО «ЧелябинскСпецГражданСтрой» / ЛД Прайд (Группа компаний «ЛД», ТМ LD, LD Pride); продажи — ООО «ТД «ЛД»</t>
        </is>
      </c>
      <c r="F30" s="276" t="inlineStr">
        <is>
          <t>+7 (351) 730-47-47 office@chsgs.ru</t>
        </is>
      </c>
      <c r="G30" s="276" t="inlineStr">
        <is>
          <t>LD 11с67п КШРФ Ду100 П/П PN16</t>
        </is>
      </c>
      <c r="H30" s="276" t="inlineStr">
        <is>
          <t>ООО «ЧелябинскСпецГражданСтрой» (ИНН 7451211335)</t>
        </is>
      </c>
      <c r="I30" s="276" t="inlineStr">
        <is>
          <t>10655491</t>
        </is>
      </c>
      <c r="J30" s="276" t="inlineStr">
        <is>
          <t>30.06.2028</t>
        </is>
      </c>
      <c r="K30" s="276" t="inlineStr">
        <is>
          <t>эквивалент — согласовать</t>
        </is>
      </c>
      <c r="L30" s="276" t="inlineStr"/>
    </row>
    <row r="31">
      <c r="A31" s="276" t="inlineStr">
        <is>
          <t>1.3/1</t>
        </is>
      </c>
      <c r="B31" s="276" t="inlineStr">
        <is>
          <t>Клапан регулирующий 25с947нж Ду 50 Ру 25 с ЭИМ</t>
        </is>
      </c>
      <c r="C31" s="276" t="n">
        <v>1</v>
      </c>
      <c r="D31" s="276" t="inlineStr">
        <is>
          <t>текущий поставщик (номера записи нет)</t>
        </is>
      </c>
      <c r="E31" s="276" t="inlineStr">
        <is>
          <t>ДН.РУ</t>
        </is>
      </c>
      <c r="F31" s="276" t="inlineStr">
        <is>
          <t>менеджер по счетам 819892/819896</t>
        </is>
      </c>
      <c r="G31" s="276" t="inlineStr">
        <is>
          <t>Клапан регулирующий Авангард КР 25с947нж Ду50 Ру25 односедельный неразгруженный, присоединение фланцевое, корпус - сталь 25Л, 1 шт уплотнение - металл</t>
        </is>
      </c>
      <c r="H31" s="276" t="inlineStr"/>
      <c r="I31" s="276" t="inlineStr"/>
      <c r="J31" s="276" t="inlineStr"/>
      <c r="K31" s="276" t="inlineStr">
        <is>
          <t>нет записи ПП 719 — не проходит нацрежим</t>
        </is>
      </c>
      <c r="L31" s="276" t="inlineStr">
        <is>
          <t>изготовитель и № записи ПП 719 или российская замена</t>
        </is>
      </c>
    </row>
    <row r="32">
      <c r="A32" s="276" t="inlineStr">
        <is>
          <t>1.3/2</t>
        </is>
      </c>
      <c r="B32" s="276" t="inlineStr">
        <is>
          <t>Клапан регулирующий 25ч945п Ду 15 Ру 16 с ЭИМ</t>
        </is>
      </c>
      <c r="C32" s="276" t="n">
        <v>2</v>
      </c>
      <c r="D32" s="276" t="inlineStr">
        <is>
          <t>завод (новый запрос КП)</t>
        </is>
      </c>
      <c r="E32" s="276" t="inlineStr">
        <is>
          <t>ООО «Арма-Пром» (Старооскольский арматурный завод, ГК «Авангард», ТМ САЗ)</t>
        </is>
      </c>
      <c r="F32" s="276" t="inlineStr">
        <is>
          <t>+7 (4725) 469-470 (завод) zavod@saz-avangard.ru</t>
        </is>
      </c>
      <c r="G32" s="276" t="inlineStr">
        <is>
          <t>25ч945п Ду15 PN16 с ЭИМ ПЭП-САЗ</t>
        </is>
      </c>
      <c r="H32" s="276" t="inlineStr">
        <is>
          <t>ООО «Арма-Пром»</t>
        </is>
      </c>
      <c r="I32" s="276" t="inlineStr"/>
      <c r="J32" s="276" t="inlineStr"/>
      <c r="K32" s="276" t="inlineStr">
        <is>
          <t>не подтверждено</t>
        </is>
      </c>
      <c r="L32" s="276" t="inlineStr">
        <is>
          <t>Запросить L, Kv по ТЗ (в ТЗ для Ду25/Ду80 стоит Kv 4 и L160 — вероятно опечатка ТЗ), подтвердить min −20 °С для 1.3/4.</t>
        </is>
      </c>
    </row>
    <row r="33">
      <c r="A33" s="276" t="inlineStr">
        <is>
          <t>1.3/3</t>
        </is>
      </c>
      <c r="B33" s="276" t="inlineStr">
        <is>
          <t>Клапан регулирующий 25ч945п Ду 25 Ру 16 с ЭИМ</t>
        </is>
      </c>
      <c r="C33" s="276" t="n">
        <v>1</v>
      </c>
      <c r="D33" s="276" t="inlineStr">
        <is>
          <t>завод (новый запрос КП)</t>
        </is>
      </c>
      <c r="E33" s="276" t="inlineStr">
        <is>
          <t>ООО «Арма-Пром» (Старооскольский арматурный завод, ГК «Авангард», ТМ САЗ)</t>
        </is>
      </c>
      <c r="F33" s="276" t="inlineStr">
        <is>
          <t>+7 (4725) 469-470 (завод) zavod@saz-avangard.ru</t>
        </is>
      </c>
      <c r="G33" s="276" t="inlineStr">
        <is>
          <t>25ч945п Ду25 PN16 с ЭИМ ПЭП-САЗ</t>
        </is>
      </c>
      <c r="H33" s="276" t="inlineStr">
        <is>
          <t>ООО «Арма-Пром»</t>
        </is>
      </c>
      <c r="I33" s="276" t="inlineStr"/>
      <c r="J33" s="276" t="inlineStr"/>
      <c r="K33" s="276" t="inlineStr">
        <is>
          <t>не подтверждено</t>
        </is>
      </c>
      <c r="L33" s="276" t="inlineStr">
        <is>
          <t>Запросить L, Kv по ТЗ (в ТЗ для Ду25/Ду80 стоит Kv 4 и L160 — вероятно опечатка ТЗ), подтвердить min −20 °С для 1.3/4.</t>
        </is>
      </c>
    </row>
    <row r="34">
      <c r="A34" s="276" t="inlineStr">
        <is>
          <t>1.3/4</t>
        </is>
      </c>
      <c r="B34" s="276" t="inlineStr">
        <is>
          <t>Клапан регулирующий 25ч945п Ду 50 Ру 16 KV100 с ЭИМ</t>
        </is>
      </c>
      <c r="C34" s="276" t="n">
        <v>2</v>
      </c>
      <c r="D34" s="276" t="inlineStr">
        <is>
          <t>НЕ ЗАКРЫТО</t>
        </is>
      </c>
      <c r="E34" s="276" t="inlineStr"/>
      <c r="F34" s="276" t="inlineStr"/>
      <c r="G34" s="276" t="inlineStr"/>
      <c r="H34" s="276" t="inlineStr"/>
      <c r="I34" s="276" t="inlineStr"/>
      <c r="J34" s="276" t="inlineStr"/>
      <c r="K34" s="276" t="inlineStr">
        <is>
          <t>нет поставщика с записью ПП 719 и соответствием ТЗ</t>
        </is>
      </c>
      <c r="L34" s="276" t="inlineStr"/>
    </row>
    <row r="35">
      <c r="A35" s="276" t="inlineStr">
        <is>
          <t>1.3/5</t>
        </is>
      </c>
      <c r="B35" s="276" t="inlineStr">
        <is>
          <t>Клапан регулирующий 25ч945п Ду 80 Ру 16 с ЭИМ</t>
        </is>
      </c>
      <c r="C35" s="276" t="n">
        <v>8</v>
      </c>
      <c r="D35" s="276" t="inlineStr">
        <is>
          <t>завод (новый запрос КП)</t>
        </is>
      </c>
      <c r="E35" s="276" t="inlineStr">
        <is>
          <t>ООО «Арма-Пром» (Старооскольский арматурный завод, ГК «Авангард», ТМ САЗ)</t>
        </is>
      </c>
      <c r="F35" s="276" t="inlineStr">
        <is>
          <t>+7 (4725) 469-470 (завод) zavod@saz-avangard.ru</t>
        </is>
      </c>
      <c r="G35" s="276" t="inlineStr">
        <is>
          <t>25ч945п Ду80 PN16 с ЭИМ ПЭП-САЗ</t>
        </is>
      </c>
      <c r="H35" s="276" t="inlineStr">
        <is>
          <t>ООО «Арма-Пром»</t>
        </is>
      </c>
      <c r="I35" s="276" t="inlineStr"/>
      <c r="J35" s="276" t="inlineStr"/>
      <c r="K35" s="276" t="inlineStr">
        <is>
          <t>не подтверждено</t>
        </is>
      </c>
      <c r="L35" s="276" t="inlineStr">
        <is>
          <t>Запросить L, Kv по ТЗ (в ТЗ для Ду25/Ду80 стоит Kv 4 и L160 — вероятно опечатка ТЗ), подтвердить min −20 °С для 1.3/4.</t>
        </is>
      </c>
    </row>
    <row r="36">
      <c r="A36" s="276" t="inlineStr">
        <is>
          <t>1.3/6</t>
        </is>
      </c>
      <c r="B36" s="276" t="inlineStr">
        <is>
          <t>Регулирующий клапан Ридан VFG-2R Ду 100, Kvs 125, Ру 16</t>
        </is>
      </c>
      <c r="C36" s="276" t="n">
        <v>2</v>
      </c>
      <c r="D36" s="276" t="inlineStr">
        <is>
          <t>текущий поставщик (номера записи нет)</t>
        </is>
      </c>
      <c r="E36" s="276" t="inlineStr">
        <is>
          <t>ДН.РУ</t>
        </is>
      </c>
      <c r="F36" s="276" t="inlineStr">
        <is>
          <t>менеджер по счетам 819892/819896</t>
        </is>
      </c>
      <c r="G36" s="276" t="inlineStr">
        <is>
          <t>Клапан регулирующий двухходовой Ридан VFG-2R Ду100 Ру25 универсальный, фланцевый, Kv=125м3/ 101 ч, корпус - углеродистая сталь 20Л, Tmax до 150°C</t>
        </is>
      </c>
      <c r="H36" s="276" t="inlineStr"/>
      <c r="I36" s="276" t="inlineStr"/>
      <c r="J36" s="276" t="inlineStr"/>
      <c r="K36" s="276" t="inlineStr">
        <is>
          <t>нет записи ПП 719 — не проходит нацрежим</t>
        </is>
      </c>
      <c r="L36" s="276" t="inlineStr">
        <is>
          <t>изготовитель и № записи ПП 719 или российская замена</t>
        </is>
      </c>
    </row>
    <row r="37">
      <c r="A37" s="276" t="inlineStr">
        <is>
          <t>1.3/7</t>
        </is>
      </c>
      <c r="B37" s="276" t="inlineStr">
        <is>
          <t>Регулирующий клапан Ридан VFG-2R Ду 32, Kvs 16,  Ру 16</t>
        </is>
      </c>
      <c r="C37" s="276" t="n">
        <v>4</v>
      </c>
      <c r="D37" s="276" t="inlineStr">
        <is>
          <t>завод вместо ДН.РУ</t>
        </is>
      </c>
      <c r="E37" s="276" t="inlineStr">
        <is>
          <t>АО «Энерготехномаш»</t>
        </is>
      </c>
      <c r="F37" s="276" t="inlineStr">
        <is>
          <t>+7 (3012) 55-32-29 osb@etmu.ru</t>
        </is>
      </c>
      <c r="G37" s="276" t="inlineStr">
        <is>
          <t>УРРД Ду32 PN16 (Энерготехномаш) вместо VFG-2R</t>
        </is>
      </c>
      <c r="H37" s="276" t="inlineStr">
        <is>
          <t>АО «Энерготехномаш» (ИНН 0323085570)</t>
        </is>
      </c>
      <c r="I37" s="276" t="inlineStr">
        <is>
          <t>10789125</t>
        </is>
      </c>
      <c r="J37" s="276" t="inlineStr">
        <is>
          <t>30.06.2031</t>
        </is>
      </c>
      <c r="K37" s="276" t="inlineStr">
        <is>
          <t>эквивалент — согласовать</t>
        </is>
      </c>
      <c r="L37" s="276" t="inlineStr">
        <is>
          <t>Kvs и строительную длину (L по ТЗ) запросить; согласовать замену клапана VFG-2R комплектным регулятором.</t>
        </is>
      </c>
    </row>
    <row r="38">
      <c r="A38" s="276" t="inlineStr">
        <is>
          <t>1.3/8</t>
        </is>
      </c>
      <c r="B38" s="276" t="inlineStr">
        <is>
          <t>регулирующий клапан Ридан VFG-2R Ду 80, Kvs 80,  Ру 16</t>
        </is>
      </c>
      <c r="C38" s="276" t="n">
        <v>2</v>
      </c>
      <c r="D38" s="276" t="inlineStr">
        <is>
          <t>текущий поставщик (номера записи нет)</t>
        </is>
      </c>
      <c r="E38" s="276" t="inlineStr">
        <is>
          <t>ДН.РУ</t>
        </is>
      </c>
      <c r="F38" s="276" t="inlineStr">
        <is>
          <t>менеджер по счетам 819892/819896</t>
        </is>
      </c>
      <c r="G38" s="276" t="inlineStr">
        <is>
          <t>Клапан регулирующий двухходовой Ридан VFG-2R Ду80 Ру16 универсальный, фланцевый, Kv=80м3/ч, 103 корпус - углеродистая сталь 20Л, Tmax до 150°C</t>
        </is>
      </c>
      <c r="H38" s="276" t="inlineStr"/>
      <c r="I38" s="276" t="inlineStr"/>
      <c r="J38" s="276" t="inlineStr"/>
      <c r="K38" s="276" t="inlineStr">
        <is>
          <t>нет записи ПП 719 — не проходит нацрежим</t>
        </is>
      </c>
      <c r="L38" s="276" t="inlineStr">
        <is>
          <t>изготовитель и № записи ПП 719 или российская замена</t>
        </is>
      </c>
    </row>
    <row r="39">
      <c r="A39" s="276" t="inlineStr">
        <is>
          <t>1.3/9</t>
        </is>
      </c>
      <c r="B39" s="276" t="inlineStr">
        <is>
          <t>Регулятор давления РД-НО (Нормально открытый) Ду 25 Ру 16</t>
        </is>
      </c>
      <c r="C39" s="276" t="n">
        <v>2</v>
      </c>
      <c r="D39" s="276" t="inlineStr">
        <is>
          <t>текущий поставщик</t>
        </is>
      </c>
      <c r="E39" s="276" t="inlineStr">
        <is>
          <t>ДН.РУ</t>
        </is>
      </c>
      <c r="F39" s="276" t="inlineStr">
        <is>
          <t>менеджер по счетам 819892/819896</t>
        </is>
      </c>
      <c r="G39" s="276" t="inlineStr">
        <is>
          <t>Регулятор давления после себя Энерготехномаш УРРД-НО-РД Ду25 Ру16 фланцевый, Kvy - 3.2м3/ч, Tmax 150°С, уплотнение - EPDM, корпус - чугун СЧ25, 1 шт с</t>
        </is>
      </c>
      <c r="H39" s="276" t="inlineStr">
        <is>
          <t>АО «Энерготехномаш» (ИНН 0323085570)</t>
        </is>
      </c>
      <c r="I39" s="276" t="inlineStr">
        <is>
          <t>10789125</t>
        </is>
      </c>
      <c r="J39" s="276" t="inlineStr">
        <is>
          <t>30.06.2031</t>
        </is>
      </c>
      <c r="K39" s="276" t="inlineStr">
        <is>
          <t>подтвердить: дороже на +26%</t>
        </is>
      </c>
      <c r="L39" s="276" t="inlineStr">
        <is>
          <t>дороже на +26%</t>
        </is>
      </c>
    </row>
    <row r="40">
      <c r="A40" s="276" t="inlineStr">
        <is>
          <t>1.3/10</t>
        </is>
      </c>
      <c r="B40" s="276" t="inlineStr">
        <is>
          <t>Регулятор давления РД-НО (Нормально открытый) Ду 32 Ру 16</t>
        </is>
      </c>
      <c r="C40" s="276" t="n">
        <v>1</v>
      </c>
      <c r="D40" s="276" t="inlineStr">
        <is>
          <t>завод вместо ДН.РУ</t>
        </is>
      </c>
      <c r="E40" s="276" t="inlineStr">
        <is>
          <t>АО «Энерготехномаш»</t>
        </is>
      </c>
      <c r="F40" s="276" t="inlineStr">
        <is>
          <t>+7 (3012) 55-32-29 osb@etmu.ru</t>
        </is>
      </c>
      <c r="G40" s="276" t="inlineStr">
        <is>
          <t>УРРД-НО-РД Ду32 PN16 (Энерготехномаш)</t>
        </is>
      </c>
      <c r="H40" s="276" t="inlineStr">
        <is>
          <t>АО «Энерготехномаш» (ИНН 0323085570)</t>
        </is>
      </c>
      <c r="I40" s="276" t="inlineStr">
        <is>
          <t>10789125</t>
        </is>
      </c>
      <c r="J40" s="276" t="inlineStr">
        <is>
          <t>30.06.2031</t>
        </is>
      </c>
      <c r="K40" s="276" t="inlineStr">
        <is>
          <t>не подтверждено</t>
        </is>
      </c>
      <c r="L40" s="276" t="inlineStr">
        <is>
          <t>Сверить Kv (ТЗ 6/16/20/40 м³/ч), L и H; для +180 °С нужно исполнение до 220 °С (у РК для пара есть) — запросить.</t>
        </is>
      </c>
    </row>
    <row r="41">
      <c r="A41" s="276" t="inlineStr">
        <is>
          <t>1.3/11</t>
        </is>
      </c>
      <c r="B41" s="276" t="inlineStr">
        <is>
          <t>Регулятор давления РД-НО (Нормально открытый) Ду 50 Ру 16</t>
        </is>
      </c>
      <c r="C41" s="276" t="n">
        <v>3</v>
      </c>
      <c r="D41" s="276" t="inlineStr">
        <is>
          <t>текущий поставщик</t>
        </is>
      </c>
      <c r="E41" s="276" t="inlineStr">
        <is>
          <t>ДН.РУ</t>
        </is>
      </c>
      <c r="F41" s="276" t="inlineStr">
        <is>
          <t>менеджер по счетам 819892/819896</t>
        </is>
      </c>
      <c r="G41" s="276" t="inlineStr">
        <is>
          <t xml:space="preserve">Регулятор давления после себя Энерготехномаш УРРД-НО-РД Ду50 Ру16 фланцевый, Kvy - 32м3/ч, Tmax 150°С, уплотнение - EPDM, корпус - чугун СЧ25, 1 шт с </t>
        </is>
      </c>
      <c r="H41" s="276" t="inlineStr">
        <is>
          <t>АО «Энерготехномаш» (ИНН 0323085570)</t>
        </is>
      </c>
      <c r="I41" s="276" t="inlineStr">
        <is>
          <t>10789125</t>
        </is>
      </c>
      <c r="J41" s="276" t="inlineStr">
        <is>
          <t>30.06.2031</t>
        </is>
      </c>
      <c r="K41" s="276" t="inlineStr">
        <is>
          <t>подтвердить: дороже на +13%</t>
        </is>
      </c>
      <c r="L41" s="276" t="inlineStr">
        <is>
          <t>дороже на +13%</t>
        </is>
      </c>
    </row>
    <row r="42">
      <c r="A42" s="276" t="inlineStr">
        <is>
          <t>1.3/12</t>
        </is>
      </c>
      <c r="B42" s="276" t="inlineStr">
        <is>
          <t>Регулятор давления РД-НО (Нормально открытый) Ду 80 Ру 16</t>
        </is>
      </c>
      <c r="C42" s="276" t="n">
        <v>3</v>
      </c>
      <c r="D42" s="276" t="inlineStr">
        <is>
          <t>текущий поставщик</t>
        </is>
      </c>
      <c r="E42" s="276" t="inlineStr">
        <is>
          <t>ДН.РУ</t>
        </is>
      </c>
      <c r="F42" s="276" t="inlineStr">
        <is>
          <t>менеджер по счетам 819892/819896</t>
        </is>
      </c>
      <c r="G42" s="276" t="inlineStr">
        <is>
          <t>Регулятор давления после себя Энерготехномаш УРРД-НО-РД Ду80 Ру25 фланцевый, Kvy - 25м3/ч, Tmax 220°С, уплотнение - PTFE, корпус - сталь 25Л, с 1 шт м</t>
        </is>
      </c>
      <c r="H42" s="276" t="inlineStr">
        <is>
          <t>АО «Энерготехномаш» (ИНН 0323085570)</t>
        </is>
      </c>
      <c r="I42" s="276" t="inlineStr">
        <is>
          <t>10789125</t>
        </is>
      </c>
      <c r="J42" s="276" t="inlineStr">
        <is>
          <t>30.06.2031</t>
        </is>
      </c>
      <c r="K42" s="276" t="inlineStr">
        <is>
          <t>соответствует (по КП)</t>
        </is>
      </c>
      <c r="L42" s="276" t="inlineStr"/>
    </row>
    <row r="43">
      <c r="A43" s="276" t="inlineStr">
        <is>
          <t>1.3/13</t>
        </is>
      </c>
      <c r="B43" s="276" t="inlineStr">
        <is>
          <t>Регулирующий блок после себя AFD Ду 15-250 с диапазоном настройки Ру 25</t>
        </is>
      </c>
      <c r="C43" s="276" t="n">
        <v>2</v>
      </c>
      <c r="D43" s="276" t="inlineStr">
        <is>
          <t>текущий поставщик (номера записи нет)</t>
        </is>
      </c>
      <c r="E43" s="276" t="inlineStr">
        <is>
          <t>ДН.РУ</t>
        </is>
      </c>
      <c r="F43" s="276" t="inlineStr">
        <is>
          <t>менеджер по счетам 819892/819896</t>
        </is>
      </c>
      <c r="G43" s="276" t="inlineStr">
        <is>
          <t xml:space="preserve">Регулирующий блок после себя Ридан AFD-R Ру25 с диапазоном настройки 0.15-1.5бар, площадь регулирующей 12-15 108 диафрагмы 250см2, корпус диафрагмы - </t>
        </is>
      </c>
      <c r="H43" s="276" t="inlineStr"/>
      <c r="I43" s="276" t="inlineStr"/>
      <c r="J43" s="276" t="inlineStr"/>
      <c r="K43" s="276" t="inlineStr">
        <is>
          <t>нет записи ПП 719 — не проходит нацрежим</t>
        </is>
      </c>
      <c r="L43" s="276" t="inlineStr">
        <is>
          <t>изготовитель и № записи ПП 719 или российская замена</t>
        </is>
      </c>
    </row>
    <row r="44">
      <c r="A44" s="276" t="inlineStr">
        <is>
          <t>1.3/14</t>
        </is>
      </c>
      <c r="B44" s="276" t="inlineStr">
        <is>
          <t>Клапан обратный 19с53нж Ду 80 Ру 40</t>
        </is>
      </c>
      <c r="C44" s="276" t="n">
        <v>2</v>
      </c>
      <c r="D44" s="276" t="inlineStr">
        <is>
          <t>завод вместо ДН.РУ</t>
        </is>
      </c>
      <c r="E44" s="276" t="inlineStr">
        <is>
          <t>АО «Пензенский завод трубопроводной арматуры» (АО «ПЗТА»)</t>
        </is>
      </c>
      <c r="F44" s="276" t="inlineStr">
        <is>
          <t>+7 (8412) 351-000 sale@pzta.ru</t>
        </is>
      </c>
      <c r="G44" s="276" t="inlineStr">
        <is>
          <t>Клапан (затвор) обратный поворотный ПЗТА.ЗО</t>
        </is>
      </c>
      <c r="H44" s="276" t="inlineStr">
        <is>
          <t>АО «Пензенский завод трубопроводной арматуры»</t>
        </is>
      </c>
      <c r="I44" s="276" t="inlineStr">
        <is>
          <t>10706185</t>
        </is>
      </c>
      <c r="J44" s="276" t="inlineStr">
        <is>
          <t>03.09.2028</t>
        </is>
      </c>
      <c r="K44" s="276" t="inlineStr">
        <is>
          <t>не проверено построчно</t>
        </is>
      </c>
      <c r="L44" s="276" t="inlineStr"/>
    </row>
    <row r="45">
      <c r="A45" s="276" t="inlineStr">
        <is>
          <t>1.3/15</t>
        </is>
      </c>
      <c r="B45" s="276" t="inlineStr">
        <is>
          <t>Клапан обратный 19с53нж Ду 150 Ру 40</t>
        </is>
      </c>
      <c r="C45" s="276" t="n">
        <v>2</v>
      </c>
      <c r="D45" s="276" t="inlineStr">
        <is>
          <t>завод вместо ДН.РУ</t>
        </is>
      </c>
      <c r="E45" s="276" t="inlineStr">
        <is>
          <t>АО «Пензенский завод трубопроводной арматуры» (АО «ПЗТА»)</t>
        </is>
      </c>
      <c r="F45" s="276" t="inlineStr">
        <is>
          <t>+7 (8412) 351-000 sale@pzta.ru</t>
        </is>
      </c>
      <c r="G45" s="276" t="inlineStr">
        <is>
          <t>Клапан (затвор) обратный поворотный ПЗТА.ЗО</t>
        </is>
      </c>
      <c r="H45" s="276" t="inlineStr">
        <is>
          <t>АО «Пензенский завод трубопроводной арматуры»</t>
        </is>
      </c>
      <c r="I45" s="276" t="inlineStr">
        <is>
          <t>10706185</t>
        </is>
      </c>
      <c r="J45" s="276" t="inlineStr">
        <is>
          <t>03.09.2028</t>
        </is>
      </c>
      <c r="K45" s="276" t="inlineStr">
        <is>
          <t>не проверено построчно</t>
        </is>
      </c>
      <c r="L45" s="276" t="inlineStr"/>
    </row>
    <row r="46">
      <c r="A46" s="276" t="inlineStr">
        <is>
          <t>1.3/16</t>
        </is>
      </c>
      <c r="B46" s="276" t="inlineStr">
        <is>
          <t>Клапан обратный межфланцевый 19ч21бр Ду 100 Ру 16</t>
        </is>
      </c>
      <c r="C46" s="276" t="n">
        <v>4</v>
      </c>
      <c r="D46" s="276" t="inlineStr">
        <is>
          <t>завод вместо ДН.РУ</t>
        </is>
      </c>
      <c r="E46" s="276" t="inlineStr">
        <is>
          <t>АО «Энергия» (производитель арматуры ДЕНДОР/DENDOR)</t>
        </is>
      </c>
      <c r="F46" s="276" t="inlineStr">
        <is>
          <t>8-800-333-40-30 zakaz@dendor.ru</t>
        </is>
      </c>
      <c r="G46" s="276" t="inlineStr">
        <is>
          <t>Клапан обратный двухстворчатый межфланцевый тип 010C</t>
        </is>
      </c>
      <c r="H46" s="276" t="inlineStr">
        <is>
          <t>АО «Энергия»</t>
        </is>
      </c>
      <c r="I46" s="276" t="inlineStr">
        <is>
          <t>10743786</t>
        </is>
      </c>
      <c r="J46" s="276" t="inlineStr">
        <is>
          <t>08.12.2030</t>
        </is>
      </c>
      <c r="K46" s="276" t="inlineStr">
        <is>
          <t>не проверено построчно</t>
        </is>
      </c>
      <c r="L46" s="276" t="inlineStr"/>
    </row>
    <row r="47">
      <c r="A47" s="276" t="inlineStr">
        <is>
          <t>1.3/17</t>
        </is>
      </c>
      <c r="B47" s="276" t="inlineStr">
        <is>
          <t>Клапан обратный межфланцевый 19ч21бр Ду 50 Ру 16</t>
        </is>
      </c>
      <c r="C47" s="276" t="n">
        <v>6</v>
      </c>
      <c r="D47" s="276" t="inlineStr">
        <is>
          <t>завод вместо ДН.РУ</t>
        </is>
      </c>
      <c r="E47" s="276" t="inlineStr">
        <is>
          <t>АО «Энергия» (производитель арматуры ДЕНДОР/DENDOR)</t>
        </is>
      </c>
      <c r="F47" s="276" t="inlineStr">
        <is>
          <t>8-800-333-40-30 zakaz@dendor.ru</t>
        </is>
      </c>
      <c r="G47" s="276" t="inlineStr">
        <is>
          <t>Клапан обратный двухстворчатый межфланцевый тип 010C</t>
        </is>
      </c>
      <c r="H47" s="276" t="inlineStr">
        <is>
          <t>АО «Энергия»</t>
        </is>
      </c>
      <c r="I47" s="276" t="inlineStr">
        <is>
          <t>10743786</t>
        </is>
      </c>
      <c r="J47" s="276" t="inlineStr">
        <is>
          <t>08.12.2030</t>
        </is>
      </c>
      <c r="K47" s="276" t="inlineStr">
        <is>
          <t>не проверено построчно</t>
        </is>
      </c>
      <c r="L47" s="276" t="inlineStr"/>
    </row>
    <row r="48">
      <c r="A48" s="276" t="inlineStr">
        <is>
          <t>1.3/18</t>
        </is>
      </c>
      <c r="B48" s="276" t="inlineStr">
        <is>
          <t>Клапан обратный межфланцевый 19ч21бр Ду 80 Ру 16</t>
        </is>
      </c>
      <c r="C48" s="276" t="n">
        <v>7</v>
      </c>
      <c r="D48" s="276" t="inlineStr">
        <is>
          <t>завод вместо ДН.РУ</t>
        </is>
      </c>
      <c r="E48" s="276" t="inlineStr">
        <is>
          <t>АО «Энергия» (производитель арматуры ДЕНДОР/DENDOR)</t>
        </is>
      </c>
      <c r="F48" s="276" t="inlineStr">
        <is>
          <t>8-800-333-40-30 zakaz@dendor.ru</t>
        </is>
      </c>
      <c r="G48" s="276" t="inlineStr">
        <is>
          <t>Клапан обратный двухстворчатый межфланцевый тип 010C</t>
        </is>
      </c>
      <c r="H48" s="276" t="inlineStr">
        <is>
          <t>АО «Энергия»</t>
        </is>
      </c>
      <c r="I48" s="276" t="inlineStr">
        <is>
          <t>10743786</t>
        </is>
      </c>
      <c r="J48" s="276" t="inlineStr">
        <is>
          <t>08.12.2030</t>
        </is>
      </c>
      <c r="K48" s="276" t="inlineStr">
        <is>
          <t>не проверено построчно</t>
        </is>
      </c>
      <c r="L48" s="276" t="inlineStr"/>
    </row>
    <row r="49">
      <c r="A49" s="276" t="inlineStr">
        <is>
          <t>1.3/19</t>
        </is>
      </c>
      <c r="B49" s="276" t="inlineStr">
        <is>
          <t>Клапан обратный двухстворчатый DENDOR 010C Ду 100 Ру 16</t>
        </is>
      </c>
      <c r="C49" s="276" t="n">
        <v>5</v>
      </c>
      <c r="D49" s="276" t="inlineStr">
        <is>
          <t>завод вместо ДН.РУ</t>
        </is>
      </c>
      <c r="E49" s="276" t="inlineStr">
        <is>
          <t>АО «Энергия» (производитель арматуры ДЕНДОР/DENDOR)</t>
        </is>
      </c>
      <c r="F49" s="276" t="inlineStr">
        <is>
          <t>8-800-333-40-30 zakaz@dendor.ru</t>
        </is>
      </c>
      <c r="G49" s="276" t="inlineStr">
        <is>
          <t>ДЕНДОР 010C(.Y) Ду100 PN16, высокотемпературное исполнение</t>
        </is>
      </c>
      <c r="H49" s="276" t="inlineStr">
        <is>
          <t>АО «Энергия» (ИНН 7805499441)</t>
        </is>
      </c>
      <c r="I49" s="276" t="inlineStr">
        <is>
          <t>10743786</t>
        </is>
      </c>
      <c r="J49" s="276" t="inlineStr">
        <is>
          <t>08.12.2030</t>
        </is>
      </c>
      <c r="K49" s="276" t="inlineStr">
        <is>
          <t>эквивалент — согласовать</t>
        </is>
      </c>
      <c r="L49" s="276" t="inlineStr">
        <is>
          <t>Заказать высокотемпературное исполнение (до +150 °С, уплотнение силикон) — стандартное EPDM только до +90 °С (ТЗ +130 °С).</t>
        </is>
      </c>
    </row>
    <row r="50">
      <c r="A50" s="276" t="inlineStr">
        <is>
          <t>1.3/20</t>
        </is>
      </c>
      <c r="B50" s="276" t="inlineStr">
        <is>
          <t>Клапан обратный двухстворчатый DENDOR 010C Ду 200 Ру 16</t>
        </is>
      </c>
      <c r="C50" s="276" t="n">
        <v>5</v>
      </c>
      <c r="D50" s="276" t="inlineStr">
        <is>
          <t>текущий поставщик</t>
        </is>
      </c>
      <c r="E50" s="276" t="inlineStr">
        <is>
          <t>ДН.РУ</t>
        </is>
      </c>
      <c r="F50" s="276" t="inlineStr">
        <is>
          <t>менеджер по счетам 819892/819896</t>
        </is>
      </c>
      <c r="G50" s="276" t="inlineStr">
        <is>
          <t>Клапан обратный Dendor 010C Ду200 Ру16 межфланцевый, двухстворчатый, корпус - чугун, диск - чугун, уплотнение - 1 шт EPDM</t>
        </is>
      </c>
      <c r="H50" s="276" t="inlineStr">
        <is>
          <t>АО «Энергия» (ИНН 7805499441)</t>
        </is>
      </c>
      <c r="I50" s="276" t="inlineStr">
        <is>
          <t>10743786</t>
        </is>
      </c>
      <c r="J50" s="276" t="inlineStr">
        <is>
          <t>08.12.2030</t>
        </is>
      </c>
      <c r="K50" s="276" t="inlineStr">
        <is>
          <t>подтвердить: КНР/импорт — номер в реестре Минпромторга</t>
        </is>
      </c>
      <c r="L50" s="276" t="inlineStr">
        <is>
          <t>КНР/импорт — номер в реестре Минпромторга</t>
        </is>
      </c>
    </row>
    <row r="51">
      <c r="A51" s="276" t="inlineStr">
        <is>
          <t>1.3/21</t>
        </is>
      </c>
      <c r="B51" s="276" t="inlineStr">
        <is>
          <t>Клапан обратный фланцевый Ду 50 Ру 40</t>
        </is>
      </c>
      <c r="C51" s="276" t="n">
        <v>1</v>
      </c>
      <c r="D51" s="276" t="inlineStr">
        <is>
          <t>завод вместо ДН.РУ</t>
        </is>
      </c>
      <c r="E51" s="276" t="inlineStr">
        <is>
          <t>АО «Пензенский завод трубопроводной арматуры» (АО «ПЗТА»)</t>
        </is>
      </c>
      <c r="F51" s="276" t="inlineStr">
        <is>
          <t>+7 (8412) 351-000 sale@pzta.ru</t>
        </is>
      </c>
      <c r="G51" s="276" t="inlineStr">
        <is>
          <t>Клапан (затвор) обратный поворотный ПЗТА.ЗО</t>
        </is>
      </c>
      <c r="H51" s="276" t="inlineStr">
        <is>
          <t>АО «Пензенский завод трубопроводной арматуры»</t>
        </is>
      </c>
      <c r="I51" s="276" t="inlineStr">
        <is>
          <t>10706185</t>
        </is>
      </c>
      <c r="J51" s="276" t="inlineStr">
        <is>
          <t>03.09.2028</t>
        </is>
      </c>
      <c r="K51" s="276" t="inlineStr">
        <is>
          <t>не проверено построчно</t>
        </is>
      </c>
      <c r="L51" s="276" t="inlineStr"/>
    </row>
    <row r="52">
      <c r="A52" s="276" t="inlineStr">
        <is>
          <t>1.3/22</t>
        </is>
      </c>
      <c r="B52" s="276" t="inlineStr">
        <is>
          <t>Обратный клапан «Гранлок» серии CV16 Ду 150 Ру 16</t>
        </is>
      </c>
      <c r="C52" s="276" t="n">
        <v>4</v>
      </c>
      <c r="D52" s="276" t="inlineStr">
        <is>
          <t>текущий поставщик</t>
        </is>
      </c>
      <c r="E52" s="276" t="inlineStr">
        <is>
          <t>ДН.РУ</t>
        </is>
      </c>
      <c r="F52" s="276" t="inlineStr">
        <is>
          <t>менеджер по счетам 819892/819896</t>
        </is>
      </c>
      <c r="G52" s="276" t="inlineStr">
        <is>
          <t>Клапан обратный АДЛ Гранлок CV16 Ду150 Ру16 межфланцевый, двухстворчатый, корпус - чугун, диск - нержавеющая сталь, уплотнение - EPDM</t>
        </is>
      </c>
      <c r="H52" s="276" t="inlineStr">
        <is>
          <t>ООО «Торговый Дом АДЛ» (ИНН 7718625072)</t>
        </is>
      </c>
      <c r="I52" s="276" t="inlineStr">
        <is>
          <t>10618660</t>
        </is>
      </c>
      <c r="J52" s="276" t="inlineStr">
        <is>
          <t>17.03.2028</t>
        </is>
      </c>
      <c r="K52" s="276" t="inlineStr">
        <is>
          <t>соответствует (по КП)</t>
        </is>
      </c>
      <c r="L52" s="276" t="inlineStr"/>
    </row>
    <row r="53">
      <c r="A53" s="276" t="inlineStr">
        <is>
          <t>1.3/23</t>
        </is>
      </c>
      <c r="B53" s="276" t="inlineStr">
        <is>
          <t>Клапан обратный 16нж10нж Ду 50 Ру 16</t>
        </is>
      </c>
      <c r="C53" s="276" t="n">
        <v>2</v>
      </c>
      <c r="D53" s="276" t="inlineStr">
        <is>
          <t>завод (новый запрос КП)</t>
        </is>
      </c>
      <c r="E53" s="276" t="inlineStr">
        <is>
          <t>ООО «Пермский трубопроводный завод» (ООО «ПТЗ»)</t>
        </is>
      </c>
      <c r="F53" s="276" t="inlineStr">
        <is>
          <t>+7 (342) 270-07-34 sales@ptza.ru</t>
        </is>
      </c>
      <c r="G53" s="276" t="inlineStr">
        <is>
          <t>16нж10нж Ду50 PN16 (ПТЗ)</t>
        </is>
      </c>
      <c r="H53" s="276" t="inlineStr">
        <is>
          <t>ООО «ПТЗ» (Пермь)</t>
        </is>
      </c>
      <c r="I53" s="276" t="inlineStr">
        <is>
          <t>10746921</t>
        </is>
      </c>
      <c r="J53" s="276" t="inlineStr">
        <is>
          <t>23.11.2028</t>
        </is>
      </c>
      <c r="K53" s="276" t="inlineStr">
        <is>
          <t>соответствует</t>
        </is>
      </c>
      <c r="L53" s="276" t="inlineStr">
        <is>
          <t>Запросить паспорт; в ТЗ формулировки дословно совпадают с сайтом ПТЗ.</t>
        </is>
      </c>
    </row>
    <row r="54">
      <c r="A54" s="276" t="inlineStr">
        <is>
          <t>1.3/24</t>
        </is>
      </c>
      <c r="B54" s="276" t="inlineStr">
        <is>
          <t>Клапан обратный 16нж10нж Ду 32 Ру16</t>
        </is>
      </c>
      <c r="C54" s="276" t="n">
        <v>5</v>
      </c>
      <c r="D54" s="276" t="inlineStr">
        <is>
          <t>завод (новый запрос КП)</t>
        </is>
      </c>
      <c r="E54" s="276" t="inlineStr">
        <is>
          <t>ООО «Пермский трубопроводный завод» (ООО «ПТЗ»)</t>
        </is>
      </c>
      <c r="F54" s="276" t="inlineStr">
        <is>
          <t>+7 (342) 270-07-34 sales@ptza.ru</t>
        </is>
      </c>
      <c r="G54" s="276" t="inlineStr">
        <is>
          <t>16нж10нж Ду32 PN16 (ПТЗ)</t>
        </is>
      </c>
      <c r="H54" s="276" t="inlineStr">
        <is>
          <t>ООО «ПТЗ» (Пермь)</t>
        </is>
      </c>
      <c r="I54" s="276" t="inlineStr">
        <is>
          <t>10746921</t>
        </is>
      </c>
      <c r="J54" s="276" t="inlineStr">
        <is>
          <t>23.11.2028</t>
        </is>
      </c>
      <c r="K54" s="276" t="inlineStr">
        <is>
          <t>соответствует</t>
        </is>
      </c>
      <c r="L54" s="276" t="inlineStr">
        <is>
          <t>Запросить паспорт; в ТЗ формулировки дословно совпадают с сайтом ПТЗ.</t>
        </is>
      </c>
    </row>
    <row r="55">
      <c r="A55" s="276" t="inlineStr">
        <is>
          <t>1.3/25</t>
        </is>
      </c>
      <c r="B55" s="276" t="inlineStr">
        <is>
          <t>Клапан обратный 16ч42р Ду 100 Ру 2,5</t>
        </is>
      </c>
      <c r="C55" s="276" t="n">
        <v>3</v>
      </c>
      <c r="D55" s="276" t="inlineStr">
        <is>
          <t>текущий поставщик (номера записи нет)</t>
        </is>
      </c>
      <c r="E55" s="276" t="inlineStr">
        <is>
          <t>ДН.РУ</t>
        </is>
      </c>
      <c r="F55" s="276" t="inlineStr">
        <is>
          <t>менеджер по счетам 819892/819896</t>
        </is>
      </c>
      <c r="G55" s="276" t="inlineStr">
        <is>
          <t>Клапан обратный Луидор 16ч42р Ду100 Ру2.5 фланцевый, приемный, с приемной сеткой, корпус - чугун, диск - 1 шт чугун, уплотнение - резина</t>
        </is>
      </c>
      <c r="H55" s="276" t="inlineStr"/>
      <c r="I55" s="276" t="inlineStr"/>
      <c r="J55" s="276" t="inlineStr"/>
      <c r="K55" s="276" t="inlineStr">
        <is>
          <t>нет записи ПП 719 — не проходит нацрежим</t>
        </is>
      </c>
      <c r="L55" s="276" t="inlineStr">
        <is>
          <t>изготовитель и № записи ПП 719 или российская замена</t>
        </is>
      </c>
    </row>
    <row r="56">
      <c r="A56" s="276" t="inlineStr">
        <is>
          <t>1.3/26</t>
        </is>
      </c>
      <c r="B56" s="276" t="inlineStr">
        <is>
          <t>Клапан обратный 19нж76нж Ду 100 Ру 16</t>
        </is>
      </c>
      <c r="C56" s="276" t="n">
        <v>2</v>
      </c>
      <c r="D56" s="276" t="inlineStr">
        <is>
          <t>завод вместо ДН.РУ</t>
        </is>
      </c>
      <c r="E56" s="276" t="inlineStr">
        <is>
          <t>АО «Пензенский завод трубопроводной арматуры» (АО «ПЗТА»)</t>
        </is>
      </c>
      <c r="F56" s="276" t="inlineStr">
        <is>
          <t>+7 (8412) 351-000 sale@pzta.ru</t>
        </is>
      </c>
      <c r="G56" s="276" t="inlineStr">
        <is>
          <t>Клапан (затвор) обратный поворотный ПЗТА.ЗО</t>
        </is>
      </c>
      <c r="H56" s="276" t="inlineStr">
        <is>
          <t>АО «Пензенский завод трубопроводной арматуры»</t>
        </is>
      </c>
      <c r="I56" s="276" t="inlineStr">
        <is>
          <t>10706185</t>
        </is>
      </c>
      <c r="J56" s="276" t="inlineStr">
        <is>
          <t>03.09.2028</t>
        </is>
      </c>
      <c r="K56" s="276" t="inlineStr">
        <is>
          <t>не проверено построчно</t>
        </is>
      </c>
      <c r="L56" s="276" t="inlineStr"/>
    </row>
    <row r="57">
      <c r="A57" s="276" t="inlineStr">
        <is>
          <t>1.3/27</t>
        </is>
      </c>
      <c r="B57" s="276" t="inlineStr">
        <is>
          <t>Клапан обратный 19с76нж Ду 80 Ру 16</t>
        </is>
      </c>
      <c r="C57" s="276" t="n">
        <v>1</v>
      </c>
      <c r="D57" s="276" t="inlineStr">
        <is>
          <t>завод вместо ДН.РУ</t>
        </is>
      </c>
      <c r="E57" s="276" t="inlineStr">
        <is>
          <t>АО «Благовещенский арматурный завод» (АО «БАЗ»)</t>
        </is>
      </c>
      <c r="F57" s="276" t="inlineStr">
        <is>
          <t>+7 (34766) 2-99-10, 2-99-11 baz@bazrb.ru</t>
        </is>
      </c>
      <c r="G57" s="276" t="inlineStr">
        <is>
          <t>КОП 80-16 (19с76нж), 20Л</t>
        </is>
      </c>
      <c r="H57" s="276" t="inlineStr">
        <is>
          <t>АО «Благовещенский арматурный завод» (ИНН 0258001489)</t>
        </is>
      </c>
      <c r="I57" s="276" t="inlineStr">
        <is>
          <t>10329682</t>
        </is>
      </c>
      <c r="J57" s="276" t="inlineStr">
        <is>
          <t>16.09.2030</t>
        </is>
      </c>
      <c r="K57" s="276" t="inlineStr">
        <is>
          <t>эквивалент — согласовать</t>
        </is>
      </c>
      <c r="L57" s="276" t="inlineStr">
        <is>
          <t>Подтвердить материалы деталей по ТЗ; согласовать 20Л вместо 25Л.</t>
        </is>
      </c>
    </row>
    <row r="58">
      <c r="A58" s="276" t="inlineStr">
        <is>
          <t>1.3/28</t>
        </is>
      </c>
      <c r="B58" s="276" t="inlineStr">
        <is>
          <t>Клапан обратный 19с76нж Ду 100 Ру 16</t>
        </is>
      </c>
      <c r="C58" s="276" t="n">
        <v>2</v>
      </c>
      <c r="D58" s="276" t="inlineStr">
        <is>
          <t>завод вместо ДН.РУ</t>
        </is>
      </c>
      <c r="E58" s="276" t="inlineStr">
        <is>
          <t>АО «Благовещенский арматурный завод» (АО «БАЗ»)</t>
        </is>
      </c>
      <c r="F58" s="276" t="inlineStr">
        <is>
          <t>+7 (34766) 2-99-10, 2-99-11 baz@bazrb.ru</t>
        </is>
      </c>
      <c r="G58" s="276" t="inlineStr">
        <is>
          <t>КОП 100-16 (19с76нж), 20Л</t>
        </is>
      </c>
      <c r="H58" s="276" t="inlineStr">
        <is>
          <t>АО «Благовещенский арматурный завод» (ИНН 0258001489)</t>
        </is>
      </c>
      <c r="I58" s="276" t="inlineStr">
        <is>
          <t>10329682</t>
        </is>
      </c>
      <c r="J58" s="276" t="inlineStr">
        <is>
          <t>16.09.2030</t>
        </is>
      </c>
      <c r="K58" s="276" t="inlineStr">
        <is>
          <t>эквивалент — согласовать</t>
        </is>
      </c>
      <c r="L58" s="276" t="inlineStr">
        <is>
          <t>Подтвердить материалы деталей по ТЗ; согласовать 20Л вместо 25Л.</t>
        </is>
      </c>
    </row>
    <row r="59">
      <c r="A59" s="276" t="inlineStr">
        <is>
          <t>1.3/29</t>
        </is>
      </c>
      <c r="B59" s="276" t="inlineStr">
        <is>
          <t>Клапан обратный 19с76нж Ду 50 Ру 16</t>
        </is>
      </c>
      <c r="C59" s="276" t="n">
        <v>2</v>
      </c>
      <c r="D59" s="276" t="inlineStr">
        <is>
          <t>завод вместо ДН.РУ</t>
        </is>
      </c>
      <c r="E59" s="276" t="inlineStr">
        <is>
          <t>АО «Благовещенский арматурный завод» (АО «БАЗ»)</t>
        </is>
      </c>
      <c r="F59" s="276" t="inlineStr">
        <is>
          <t>+7 (34766) 2-99-10, 2-99-11 baz@bazrb.ru</t>
        </is>
      </c>
      <c r="G59" s="276" t="inlineStr">
        <is>
          <t>КОП 50-16 (19с76нж), 20Л</t>
        </is>
      </c>
      <c r="H59" s="276" t="inlineStr">
        <is>
          <t>АО «Благовещенский арматурный завод» (ИНН 0258001489)</t>
        </is>
      </c>
      <c r="I59" s="276" t="inlineStr">
        <is>
          <t>10329682</t>
        </is>
      </c>
      <c r="J59" s="276" t="inlineStr">
        <is>
          <t>16.09.2030</t>
        </is>
      </c>
      <c r="K59" s="276" t="inlineStr">
        <is>
          <t>эквивалент — согласовать</t>
        </is>
      </c>
      <c r="L59" s="276" t="inlineStr">
        <is>
          <t>Подтвердить материалы деталей по ТЗ; согласовать 20Л вместо 25Л.</t>
        </is>
      </c>
    </row>
    <row r="60">
      <c r="A60" s="276" t="inlineStr">
        <is>
          <t>1.3/30</t>
        </is>
      </c>
      <c r="B60" s="276" t="inlineStr">
        <is>
          <t>Клапан обратный межфланцевый пружинный тарельчатый NVD-802R Ду 125 Ру 16</t>
        </is>
      </c>
      <c r="C60" s="276" t="n">
        <v>2</v>
      </c>
      <c r="D60" s="276" t="inlineStr">
        <is>
          <t>завод вместо ДН.РУ</t>
        </is>
      </c>
      <c r="E60" s="276" t="inlineStr">
        <is>
          <t>АО «Энергия» (производитель арматуры ДЕНДОР/DENDOR)</t>
        </is>
      </c>
      <c r="F60" s="276" t="inlineStr">
        <is>
          <t>8-800-333-40-30 zakaz@dendor.ru</t>
        </is>
      </c>
      <c r="G60" s="276" t="inlineStr">
        <is>
          <t>Клапан обратный двухстворчатый межфланцевый тип 010C</t>
        </is>
      </c>
      <c r="H60" s="276" t="inlineStr">
        <is>
          <t>АО «Энергия»</t>
        </is>
      </c>
      <c r="I60" s="276" t="inlineStr">
        <is>
          <t>10743786</t>
        </is>
      </c>
      <c r="J60" s="276" t="inlineStr">
        <is>
          <t>08.12.2030</t>
        </is>
      </c>
      <c r="K60" s="276" t="inlineStr">
        <is>
          <t>не проверено построчно</t>
        </is>
      </c>
      <c r="L60" s="276" t="inlineStr"/>
    </row>
    <row r="61">
      <c r="A61" s="276" t="inlineStr">
        <is>
          <t>1.3/31</t>
        </is>
      </c>
      <c r="B61" s="276" t="inlineStr">
        <is>
          <t>Клапан обратный межфланцевый пружинный тарельчатый NVD-802R Ду 150 Ру 16</t>
        </is>
      </c>
      <c r="C61" s="276" t="n">
        <v>10</v>
      </c>
      <c r="D61" s="276" t="inlineStr">
        <is>
          <t>завод вместо ДН.РУ</t>
        </is>
      </c>
      <c r="E61" s="276" t="inlineStr">
        <is>
          <t>АО «Энергия» (производитель арматуры ДЕНДОР/DENDOR)</t>
        </is>
      </c>
      <c r="F61" s="276" t="inlineStr">
        <is>
          <t>8-800-333-40-30 zakaz@dendor.ru</t>
        </is>
      </c>
      <c r="G61" s="276" t="inlineStr">
        <is>
          <t>Клапан обратный двухстворчатый межфланцевый тип 010C</t>
        </is>
      </c>
      <c r="H61" s="276" t="inlineStr">
        <is>
          <t>АО «Энергия»</t>
        </is>
      </c>
      <c r="I61" s="276" t="inlineStr">
        <is>
          <t>10743786</t>
        </is>
      </c>
      <c r="J61" s="276" t="inlineStr">
        <is>
          <t>08.12.2030</t>
        </is>
      </c>
      <c r="K61" s="276" t="inlineStr">
        <is>
          <t>не проверено построчно</t>
        </is>
      </c>
      <c r="L61" s="276" t="inlineStr"/>
    </row>
    <row r="62">
      <c r="A62" s="276" t="inlineStr">
        <is>
          <t>1.3/32</t>
        </is>
      </c>
      <c r="B62" s="276" t="inlineStr">
        <is>
          <t>Клапан обратный фланцевый пружинный с аксиальным затвором NVD-402R Ду 100 Ру 16</t>
        </is>
      </c>
      <c r="C62" s="276" t="n">
        <v>2</v>
      </c>
      <c r="D62" s="276" t="inlineStr">
        <is>
          <t>завод (новый запрос КП)</t>
        </is>
      </c>
      <c r="E62" s="276" t="inlineStr">
        <is>
          <t>ООО «Ридан»</t>
        </is>
      </c>
      <c r="F62" s="276" t="inlineStr">
        <is>
          <t>+7 (495) 792-57-57 call@ridan.ru</t>
        </is>
      </c>
      <c r="G62" s="276" t="inlineStr">
        <is>
          <t>NVD-402R Ду100 PN16</t>
        </is>
      </c>
      <c r="H62" s="276" t="inlineStr">
        <is>
          <t>ООО «Ридан»</t>
        </is>
      </c>
      <c r="I62" s="276" t="inlineStr"/>
      <c r="J62" s="276" t="inlineStr"/>
      <c r="K62" s="276" t="inlineStr">
        <is>
          <t>не подтверждено</t>
        </is>
      </c>
      <c r="L62" s="276" t="inlineStr">
        <is>
          <t>Запросить страну происхождения и запись РПП (иначе ПП 1875 не выполняется), строит. длину, материал корпуса DN100.</t>
        </is>
      </c>
    </row>
    <row r="63">
      <c r="A63" s="276" t="inlineStr">
        <is>
          <t>1.3/33</t>
        </is>
      </c>
      <c r="B63" s="276" t="inlineStr">
        <is>
          <t>Клапан обратный фланцевый пружинный с аксиальным затвором NVD-402R Ду 150 Ру 16</t>
        </is>
      </c>
      <c r="C63" s="276" t="n">
        <v>5</v>
      </c>
      <c r="D63" s="276" t="inlineStr">
        <is>
          <t>НЕ ЗАКРЫТО</t>
        </is>
      </c>
      <c r="E63" s="276" t="inlineStr"/>
      <c r="F63" s="276" t="inlineStr"/>
      <c r="G63" s="276" t="inlineStr"/>
      <c r="H63" s="276" t="inlineStr"/>
      <c r="I63" s="276" t="inlineStr"/>
      <c r="J63" s="276" t="inlineStr"/>
      <c r="K63" s="276" t="inlineStr">
        <is>
          <t>нет поставщика с записью ПП 719 и соответствием ТЗ</t>
        </is>
      </c>
      <c r="L63" s="276" t="inlineStr"/>
    </row>
    <row r="64">
      <c r="A64" s="276" t="inlineStr">
        <is>
          <t>1.3/34</t>
        </is>
      </c>
      <c r="B64" s="276" t="inlineStr">
        <is>
          <t>Клапан обратный фланцевый пружинный с аксиальным затвором NVD-402R Ду 200 Ру 16</t>
        </is>
      </c>
      <c r="C64" s="276" t="n">
        <v>4</v>
      </c>
      <c r="D64" s="276" t="inlineStr">
        <is>
          <t>завод (новый запрос КП)</t>
        </is>
      </c>
      <c r="E64" s="276" t="inlineStr">
        <is>
          <t>ООО «Ридан»</t>
        </is>
      </c>
      <c r="F64" s="276" t="inlineStr">
        <is>
          <t>+7 (495) 792-57-57 call@ridan.ru</t>
        </is>
      </c>
      <c r="G64" s="276" t="inlineStr">
        <is>
          <t>NVD-402R Ду200 PN16</t>
        </is>
      </c>
      <c r="H64" s="276" t="inlineStr">
        <is>
          <t>ООО «Ридан»</t>
        </is>
      </c>
      <c r="I64" s="276" t="inlineStr"/>
      <c r="J64" s="276" t="inlineStr"/>
      <c r="K64" s="276" t="inlineStr">
        <is>
          <t>не подтверждено</t>
        </is>
      </c>
      <c r="L64" s="276" t="inlineStr">
        <is>
          <t>Запросить страну происхождения и запись РПП (иначе ПП 1875 не выполняется), строит. длину, материал корпуса DN100.</t>
        </is>
      </c>
    </row>
    <row r="65">
      <c r="A65" s="276" t="inlineStr">
        <is>
          <t>1.3/35</t>
        </is>
      </c>
      <c r="B65" s="276" t="inlineStr">
        <is>
          <t>Обратный клапан пружинный NVD-812R Ду 150 Ру 40</t>
        </is>
      </c>
      <c r="C65" s="276" t="n">
        <v>1</v>
      </c>
      <c r="D65" s="276" t="inlineStr">
        <is>
          <t>завод (новый запрос КП)</t>
        </is>
      </c>
      <c r="E65" s="276" t="inlineStr">
        <is>
          <t>ООО «Ридан»</t>
        </is>
      </c>
      <c r="F65" s="276" t="inlineStr">
        <is>
          <t>+7 (495) 792-57-57 call@ridan.ru</t>
        </is>
      </c>
      <c r="G65" s="276" t="inlineStr">
        <is>
          <t>NVD-812R Ду150 PN40 (082X8540R)</t>
        </is>
      </c>
      <c r="H65" s="276" t="inlineStr">
        <is>
          <t>ООО «Ридан»</t>
        </is>
      </c>
      <c r="I65" s="276" t="inlineStr"/>
      <c r="J65" s="276" t="inlineStr"/>
      <c r="K65" s="276" t="inlineStr">
        <is>
          <t>не подтверждено</t>
        </is>
      </c>
      <c r="L65" s="276" t="inlineStr">
        <is>
          <t>Запросить страну происхождения/РПП, L=106 мм.</t>
        </is>
      </c>
    </row>
    <row r="66">
      <c r="A66" s="276" t="inlineStr">
        <is>
          <t>1.3/36</t>
        </is>
      </c>
      <c r="B66" s="276" t="inlineStr">
        <is>
          <t>Предохранительный клапан ARI-SAFE 12.903 Ду 32/50 Ру 16</t>
        </is>
      </c>
      <c r="C66" s="276" t="n">
        <v>2</v>
      </c>
      <c r="D66" s="276" t="inlineStr">
        <is>
          <t>завод вместо ДН.РУ</t>
        </is>
      </c>
      <c r="E66" s="276" t="inlineStr">
        <is>
          <t>ООО «Торговый Дом АДЛ» (ТМ «Гранлок», «Прегран»)</t>
        </is>
      </c>
      <c r="F66" s="276" t="inlineStr">
        <is>
          <t>+7 (495) 937-89-68 info@adl.ru</t>
        </is>
      </c>
      <c r="G66" s="276" t="inlineStr">
        <is>
          <t>Прегран КПП 496-01(ОН) DN32×50 PN16, чугун GG-25</t>
        </is>
      </c>
      <c r="H66" s="276" t="inlineStr">
        <is>
          <t>ООО «Торговый Дом АДЛ» (ИНН 7718625072)</t>
        </is>
      </c>
      <c r="I66" s="276" t="inlineStr">
        <is>
          <t>10535129</t>
        </is>
      </c>
      <c r="J66" s="276" t="inlineStr">
        <is>
          <t>18.04.2027</t>
        </is>
      </c>
      <c r="K66" s="276" t="inlineStr">
        <is>
          <t>не подтверждено</t>
        </is>
      </c>
      <c r="L66" s="276" t="inlineStr">
        <is>
          <t>Запросить L/L1 для DN25×40 и 32×50 и подтвердить взаимозаменяемость с ARI-SAFE 12.903.</t>
        </is>
      </c>
    </row>
    <row r="67">
      <c r="A67" s="276" t="inlineStr">
        <is>
          <t>1.3/37</t>
        </is>
      </c>
      <c r="B67" s="276" t="inlineStr">
        <is>
          <t>Предохранительный клапан ARI-SAFE 12.903 Ду 25/40 Ру 16</t>
        </is>
      </c>
      <c r="C67" s="276" t="n">
        <v>2</v>
      </c>
      <c r="D67" s="276" t="inlineStr">
        <is>
          <t>завод вместо ДН.РУ</t>
        </is>
      </c>
      <c r="E67" s="276" t="inlineStr">
        <is>
          <t>ООО «Торговый Дом АДЛ» (ТМ «Гранлок», «Прегран»)</t>
        </is>
      </c>
      <c r="F67" s="276" t="inlineStr">
        <is>
          <t>+7 (495) 937-89-68 info@adl.ru</t>
        </is>
      </c>
      <c r="G67" s="276" t="inlineStr">
        <is>
          <t>Прегран КПП 496-01(ОН) DN25×40 PN16, чугун GG-25</t>
        </is>
      </c>
      <c r="H67" s="276" t="inlineStr">
        <is>
          <t>ООО «Торговый Дом АДЛ» (ИНН 7718625072)</t>
        </is>
      </c>
      <c r="I67" s="276" t="inlineStr">
        <is>
          <t>10535148</t>
        </is>
      </c>
      <c r="J67" s="276" t="inlineStr">
        <is>
          <t>18.04.2027</t>
        </is>
      </c>
      <c r="K67" s="276" t="inlineStr">
        <is>
          <t>не подтверждено</t>
        </is>
      </c>
      <c r="L67" s="276" t="inlineStr">
        <is>
          <t>Запросить L/L1 для DN25×40 и 32×50 и подтвердить взаимозаменяемость с ARI-SAFE 12.903.</t>
        </is>
      </c>
    </row>
    <row r="68">
      <c r="A68" s="276" t="inlineStr">
        <is>
          <t>1.3/38</t>
        </is>
      </c>
      <c r="B68" s="276" t="inlineStr">
        <is>
          <t>Предохранительный клапан ARI-SAFE 12.903 Ду 25/40 Ру 16</t>
        </is>
      </c>
      <c r="C68" s="276" t="n">
        <v>2</v>
      </c>
      <c r="D68" s="276" t="inlineStr">
        <is>
          <t>завод вместо ДН.РУ</t>
        </is>
      </c>
      <c r="E68" s="276" t="inlineStr">
        <is>
          <t>ООО «Торговый Дом АДЛ» (ТМ «Гранлок», «Прегран»)</t>
        </is>
      </c>
      <c r="F68" s="276" t="inlineStr">
        <is>
          <t>+7 (495) 937-89-68 info@adl.ru</t>
        </is>
      </c>
      <c r="G68" s="276" t="inlineStr">
        <is>
          <t>Прегран КПП 496-01(ОН) DN25×40 PN16, чугун GG-25</t>
        </is>
      </c>
      <c r="H68" s="276" t="inlineStr">
        <is>
          <t>ООО «Торговый Дом АДЛ» (ИНН 7718625072)</t>
        </is>
      </c>
      <c r="I68" s="276" t="inlineStr">
        <is>
          <t>10535148</t>
        </is>
      </c>
      <c r="J68" s="276" t="inlineStr">
        <is>
          <t>18.04.2027</t>
        </is>
      </c>
      <c r="K68" s="276" t="inlineStr">
        <is>
          <t>не подтверждено</t>
        </is>
      </c>
      <c r="L68" s="276" t="inlineStr">
        <is>
          <t>Запросить L/L1 для DN25×40 и 32×50 и подтвердить взаимозаменяемость с ARI-SAFE 12.903.</t>
        </is>
      </c>
    </row>
    <row r="69">
      <c r="A69" s="276" t="inlineStr">
        <is>
          <t>1.3/39</t>
        </is>
      </c>
      <c r="B69" s="276" t="inlineStr">
        <is>
          <t>Кран для манометра трехходовой Ду 15 Ру 16</t>
        </is>
      </c>
      <c r="C69" s="276" t="n">
        <v>34</v>
      </c>
      <c r="D69" s="276" t="inlineStr">
        <is>
          <t>текущий поставщик (номера записи нет)</t>
        </is>
      </c>
      <c r="E69" s="276" t="inlineStr">
        <is>
          <t>КИПИКА (прайс 01.10)</t>
        </is>
      </c>
      <c r="F69" s="276" t="inlineStr">
        <is>
          <t>+7 (8412) 909-200 b18bk@11b18bk.ru</t>
        </is>
      </c>
      <c r="G69" s="276" t="inlineStr">
        <is>
          <t>Кран трёхходовой для манометра с контр. фланцем 11б18бк(ф)1 Ру16 Ду15 G1/2×M20×1,5 с рукояткой (арт. 013011211)</t>
        </is>
      </c>
      <c r="H69" s="276" t="inlineStr"/>
      <c r="I69" s="276" t="inlineStr"/>
      <c r="J69" s="276" t="inlineStr"/>
      <c r="K69" s="276" t="inlineStr">
        <is>
          <t>нет записи ПП 719 — не проходит нацрежим</t>
        </is>
      </c>
      <c r="L69" s="276" t="inlineStr">
        <is>
          <t>изготовитель и № записи ПП 719 или российская замена</t>
        </is>
      </c>
    </row>
    <row r="70">
      <c r="A70" s="276" t="inlineStr">
        <is>
          <t>1.3/40</t>
        </is>
      </c>
      <c r="B70" s="276" t="inlineStr">
        <is>
          <t>Клапан 22б16п (15б34бк1) запорный вакуумный сильфонный Ду6 Ру16</t>
        </is>
      </c>
      <c r="C70" s="276" t="n">
        <v>2</v>
      </c>
      <c r="D70" s="276" t="inlineStr">
        <is>
          <t>завод (новый запрос КП)</t>
        </is>
      </c>
      <c r="E70" s="276" t="inlineStr">
        <is>
          <t>Компания «Арматон»</t>
        </is>
      </c>
      <c r="F70" s="276" t="inlineStr">
        <is>
          <t>+7 (963) 728-59-82 armaton@bk.ru</t>
        </is>
      </c>
      <c r="G70" s="276" t="inlineStr">
        <is>
          <t>22б16п — на сайте не найден</t>
        </is>
      </c>
      <c r="H70" s="276" t="inlineStr">
        <is>
          <t>Компания «Арматон»</t>
        </is>
      </c>
      <c r="I70" s="276" t="inlineStr"/>
      <c r="J70" s="276" t="inlineStr"/>
      <c r="K70" s="276" t="inlineStr">
        <is>
          <t>не подтверждено</t>
        </is>
      </c>
      <c r="L70" s="276" t="inlineStr">
        <is>
          <t>Запросить паспорт 22б16п (ТУ 3700-003-92853012-2012), изготовителя, ЛС59-1Л, цапка, −40…+120 °С.</t>
        </is>
      </c>
    </row>
    <row r="71">
      <c r="A71" s="276" t="inlineStr">
        <is>
          <t>1.3/41</t>
        </is>
      </c>
      <c r="B71" s="276" t="inlineStr">
        <is>
          <t>Клапан ВДХ Ду 80 Ру 10</t>
        </is>
      </c>
      <c r="C71" s="276" t="n">
        <v>2</v>
      </c>
      <c r="D71" s="276" t="inlineStr">
        <is>
          <t>завод (новый запрос КП)</t>
        </is>
      </c>
      <c r="E71" s="276" t="inlineStr">
        <is>
          <t>АО «Благовещенский арматурный завод» (БАЗ)</t>
        </is>
      </c>
      <c r="F71" s="276" t="inlineStr">
        <is>
          <t>+7 (347) 662-99-10 baz@bazrb.ru</t>
        </is>
      </c>
      <c r="G71" s="276" t="inlineStr">
        <is>
          <t>ВДХ — в каталоге БАЗ нет</t>
        </is>
      </c>
      <c r="H71" s="276" t="inlineStr">
        <is>
          <t>АО «Благовещенский арматурный завод»</t>
        </is>
      </c>
      <c r="I71" s="276" t="inlineStr"/>
      <c r="J71" s="276" t="inlineStr"/>
      <c r="K71" s="276" t="inlineStr">
        <is>
          <t>не подтверждено</t>
        </is>
      </c>
      <c r="L71" s="276" t="inlineStr">
        <is>
          <t>БАЗ не выпускает ВДХ по каталогу — запросить, будет ли изготовление; иначе снять назначение (см. альтернативы).</t>
        </is>
      </c>
    </row>
    <row r="72">
      <c r="A72" s="276" t="inlineStr">
        <is>
          <t>1.3/42</t>
        </is>
      </c>
      <c r="B72" s="276" t="inlineStr">
        <is>
          <t>Клапан диафрагменный химический ВДХ Ду 150 Ру 16</t>
        </is>
      </c>
      <c r="C72" s="276" t="n">
        <v>1</v>
      </c>
      <c r="D72" s="276" t="inlineStr">
        <is>
          <t>завод (новый запрос КП)</t>
        </is>
      </c>
      <c r="E72" s="276" t="inlineStr">
        <is>
          <t>АО «Благовещенский арматурный завод» (БАЗ)</t>
        </is>
      </c>
      <c r="F72" s="276" t="inlineStr">
        <is>
          <t>+7 (347) 662-99-10 baz@bazrb.ru</t>
        </is>
      </c>
      <c r="G72" s="276" t="inlineStr">
        <is>
          <t>ВДХ — в каталоге БАЗ нет</t>
        </is>
      </c>
      <c r="H72" s="276" t="inlineStr">
        <is>
          <t>АО «Благовещенский арматурный завод»</t>
        </is>
      </c>
      <c r="I72" s="276" t="inlineStr"/>
      <c r="J72" s="276" t="inlineStr"/>
      <c r="K72" s="276" t="inlineStr">
        <is>
          <t>не подтверждено</t>
        </is>
      </c>
      <c r="L72" s="276" t="inlineStr">
        <is>
          <t>БАЗ не выпускает ВДХ по каталогу — запросить, будет ли изготовление; иначе снять назначение (см. альтернативы).</t>
        </is>
      </c>
    </row>
    <row r="73">
      <c r="A73" s="276" t="inlineStr">
        <is>
          <t>1.3/43</t>
        </is>
      </c>
      <c r="B73" s="276" t="inlineStr">
        <is>
          <t>Клапан диафрагменный химический ВДХ Ду 50, Ру 16</t>
        </is>
      </c>
      <c r="C73" s="276" t="n">
        <v>1</v>
      </c>
      <c r="D73" s="276" t="inlineStr">
        <is>
          <t>завод (новый запрос КП)</t>
        </is>
      </c>
      <c r="E73" s="276" t="inlineStr">
        <is>
          <t>АО «Благовещенский арматурный завод» (БАЗ)</t>
        </is>
      </c>
      <c r="F73" s="276" t="inlineStr">
        <is>
          <t>+7 (347) 662-99-10 baz@bazrb.ru</t>
        </is>
      </c>
      <c r="G73" s="276" t="inlineStr">
        <is>
          <t>ВДХ — в каталоге БАЗ нет</t>
        </is>
      </c>
      <c r="H73" s="276" t="inlineStr">
        <is>
          <t>АО «Благовещенский арматурный завод»</t>
        </is>
      </c>
      <c r="I73" s="276" t="inlineStr"/>
      <c r="J73" s="276" t="inlineStr"/>
      <c r="K73" s="276" t="inlineStr">
        <is>
          <t>не подтверждено</t>
        </is>
      </c>
      <c r="L73" s="276" t="inlineStr">
        <is>
          <t>БАЗ не выпускает ВДХ по каталогу — запросить, будет ли изготовление; иначе снять назначение (см. альтернативы).</t>
        </is>
      </c>
    </row>
    <row r="74">
      <c r="A74" s="276" t="inlineStr">
        <is>
          <t>1.3/44</t>
        </is>
      </c>
      <c r="B74" s="276" t="inlineStr">
        <is>
          <t>Клапан диафрагменный химический ВДХ Ду 80 Ру 16</t>
        </is>
      </c>
      <c r="C74" s="276" t="n">
        <v>3</v>
      </c>
      <c r="D74" s="276" t="inlineStr">
        <is>
          <t>завод (новый запрос КП)</t>
        </is>
      </c>
      <c r="E74" s="276" t="inlineStr">
        <is>
          <t>АО «Благовещенский арматурный завод» (БАЗ)</t>
        </is>
      </c>
      <c r="F74" s="276" t="inlineStr">
        <is>
          <t>+7 (347) 662-99-10 baz@bazrb.ru</t>
        </is>
      </c>
      <c r="G74" s="276" t="inlineStr">
        <is>
          <t>ВДХ — в каталоге БАЗ нет</t>
        </is>
      </c>
      <c r="H74" s="276" t="inlineStr">
        <is>
          <t>АО «Благовещенский арматурный завод»</t>
        </is>
      </c>
      <c r="I74" s="276" t="inlineStr"/>
      <c r="J74" s="276" t="inlineStr"/>
      <c r="K74" s="276" t="inlineStr">
        <is>
          <t>не подтверждено</t>
        </is>
      </c>
      <c r="L74" s="276" t="inlineStr">
        <is>
          <t>БАЗ не выпускает ВДХ по каталогу — запросить, будет ли изготовление; иначе снять назначение (см. альтернативы).</t>
        </is>
      </c>
    </row>
    <row r="75">
      <c r="A75" s="276" t="inlineStr">
        <is>
          <t>1.3/45</t>
        </is>
      </c>
      <c r="B75" s="276" t="inlineStr">
        <is>
          <t>Клапан запорный 14нж17п Ду 15 Ру 10 цапковый</t>
        </is>
      </c>
      <c r="C75" s="276" t="n">
        <v>2</v>
      </c>
      <c r="D75" s="276" t="inlineStr">
        <is>
          <t>завод (новый запрос КП)</t>
        </is>
      </c>
      <c r="E75" s="276" t="inlineStr">
        <is>
          <t>ООО «Нижегородский завод «Старт»</t>
        </is>
      </c>
      <c r="F75" s="276" t="inlineStr">
        <is>
          <t>+7 (831) 253-83-11 start.nn@mail.ru</t>
        </is>
      </c>
      <c r="G75" s="276" t="inlineStr">
        <is>
          <t>14нж17п Ду15 PN10/25 (сильфонный)</t>
        </is>
      </c>
      <c r="H75" s="276" t="inlineStr">
        <is>
          <t>ООО «Нижегородский завод «Старт»</t>
        </is>
      </c>
      <c r="I75" s="276" t="inlineStr"/>
      <c r="J75" s="276" t="inlineStr"/>
      <c r="K75" s="276" t="inlineStr">
        <is>
          <t>не подтверждено</t>
        </is>
      </c>
      <c r="L75" s="276" t="inlineStr">
        <is>
          <t>Запросить цапковое исполнение, марку стали 12Х18Н9Т, уплотнение Ф-4.</t>
        </is>
      </c>
    </row>
    <row r="76">
      <c r="A76" s="276" t="inlineStr">
        <is>
          <t>1.3/46</t>
        </is>
      </c>
      <c r="B76" s="276" t="inlineStr">
        <is>
          <t>Клапан запорный 14нж17п Ду 25 Ру 10 цапковый</t>
        </is>
      </c>
      <c r="C76" s="276" t="n">
        <v>2</v>
      </c>
      <c r="D76" s="276" t="inlineStr">
        <is>
          <t>завод (новый запрос КП)</t>
        </is>
      </c>
      <c r="E76" s="276" t="inlineStr">
        <is>
          <t>ООО «Нижегородский завод «Старт»</t>
        </is>
      </c>
      <c r="F76" s="276" t="inlineStr">
        <is>
          <t>+7 (831) 253-83-11 start.nn@mail.ru</t>
        </is>
      </c>
      <c r="G76" s="276" t="inlineStr">
        <is>
          <t>14нж17п Ду25 PN10/25 (сильфонный)</t>
        </is>
      </c>
      <c r="H76" s="276" t="inlineStr">
        <is>
          <t>ООО «Нижегородский завод «Старт»</t>
        </is>
      </c>
      <c r="I76" s="276" t="inlineStr"/>
      <c r="J76" s="276" t="inlineStr"/>
      <c r="K76" s="276" t="inlineStr">
        <is>
          <t>не подтверждено</t>
        </is>
      </c>
      <c r="L76" s="276" t="inlineStr">
        <is>
          <t>Запросить цапковое исполнение, марку стали 12Х18Н9Т, уплотнение Ф-4.</t>
        </is>
      </c>
    </row>
    <row r="77">
      <c r="A77" s="276" t="inlineStr">
        <is>
          <t>1.3/47</t>
        </is>
      </c>
      <c r="B77" s="276" t="inlineStr">
        <is>
          <t>Клапан запорный 14нж17п Ду 32 Ру 10 цапковый</t>
        </is>
      </c>
      <c r="C77" s="276" t="n">
        <v>1</v>
      </c>
      <c r="D77" s="276" t="inlineStr">
        <is>
          <t>завод (новый запрос КП)</t>
        </is>
      </c>
      <c r="E77" s="276" t="inlineStr">
        <is>
          <t>ООО «Нижегородский завод «Старт»</t>
        </is>
      </c>
      <c r="F77" s="276" t="inlineStr">
        <is>
          <t>+7 (831) 253-83-11 start.nn@mail.ru</t>
        </is>
      </c>
      <c r="G77" s="276" t="inlineStr">
        <is>
          <t>14нж17п Ду32 PN10/25 (сильфонный)</t>
        </is>
      </c>
      <c r="H77" s="276" t="inlineStr">
        <is>
          <t>ООО «Нижегородский завод «Старт»</t>
        </is>
      </c>
      <c r="I77" s="276" t="inlineStr"/>
      <c r="J77" s="276" t="inlineStr"/>
      <c r="K77" s="276" t="inlineStr">
        <is>
          <t>не подтверждено</t>
        </is>
      </c>
      <c r="L77" s="276" t="inlineStr">
        <is>
          <t>Запросить цапковое исполнение, марку стали 12Х18Н9Т, уплотнение Ф-4.</t>
        </is>
      </c>
    </row>
    <row r="78">
      <c r="A78" s="276" t="inlineStr">
        <is>
          <t>1.3/48</t>
        </is>
      </c>
      <c r="B78" s="276" t="inlineStr">
        <is>
          <t>Клапан запорный 15б1п Ду 15 Ру16</t>
        </is>
      </c>
      <c r="C78" s="276" t="n">
        <v>45</v>
      </c>
      <c r="D78" s="276" t="inlineStr">
        <is>
          <t>завод вместо ДН.РУ</t>
        </is>
      </c>
      <c r="E78" s="276" t="inlineStr">
        <is>
          <t>ООО «Бологовский арматурный завод» (ТМ «БАЗ», латунная арматура)</t>
        </is>
      </c>
      <c r="F78" s="276" t="inlineStr">
        <is>
          <t>+7 (48238) 2-21-13 (завод, Бологое) sales@bolarm.com (продажи)</t>
        </is>
      </c>
      <c r="G78" s="276" t="inlineStr">
        <is>
          <t>15б1п Ду15 латунный муфтовый</t>
        </is>
      </c>
      <c r="H78" s="276" t="inlineStr">
        <is>
          <t>ООО «Бологовский арматурный завод» (ИНН 6908017634)</t>
        </is>
      </c>
      <c r="I78" s="276" t="inlineStr">
        <is>
          <t>10895023</t>
        </is>
      </c>
      <c r="J78" s="276" t="inlineStr">
        <is>
          <t>24.08.2031</t>
        </is>
      </c>
      <c r="K78" s="276" t="inlineStr">
        <is>
          <t>не подтверждено</t>
        </is>
      </c>
      <c r="L78" s="276" t="inlineStr">
        <is>
          <t>Запросить у завода действующий паспорт/декларацию ТР ТС, материал корпуса (ЛС59-1 / ЛЦ40Сд по позиции), уплотнение; контакты завода не подтверждены.</t>
        </is>
      </c>
    </row>
    <row r="79">
      <c r="A79" s="276" t="inlineStr">
        <is>
          <t>1.3/49</t>
        </is>
      </c>
      <c r="B79" s="276" t="inlineStr">
        <is>
          <t>Клапан запорный 15б1п Ду 20 Ру16</t>
        </is>
      </c>
      <c r="C79" s="276" t="n">
        <v>15</v>
      </c>
      <c r="D79" s="276" t="inlineStr">
        <is>
          <t>завод вместо ДН.РУ</t>
        </is>
      </c>
      <c r="E79" s="276" t="inlineStr">
        <is>
          <t>ООО «Бологовский арматурный завод» (ТМ «БАЗ», латунная арматура)</t>
        </is>
      </c>
      <c r="F79" s="276" t="inlineStr">
        <is>
          <t>+7 (48238) 2-21-13 (завод, Бологое) sales@bolarm.com (продажи)</t>
        </is>
      </c>
      <c r="G79" s="276" t="inlineStr">
        <is>
          <t>15б1п Ду20 латунный муфтовый</t>
        </is>
      </c>
      <c r="H79" s="276" t="inlineStr">
        <is>
          <t>ООО «Бологовский арматурный завод» (ИНН 6908017634)</t>
        </is>
      </c>
      <c r="I79" s="276" t="inlineStr">
        <is>
          <t>10895023</t>
        </is>
      </c>
      <c r="J79" s="276" t="inlineStr">
        <is>
          <t>24.08.2031</t>
        </is>
      </c>
      <c r="K79" s="276" t="inlineStr">
        <is>
          <t>не подтверждено</t>
        </is>
      </c>
      <c r="L79" s="276" t="inlineStr">
        <is>
          <t>Запросить у завода действующий паспорт/декларацию ТР ТС, материал корпуса (ЛС59-1 / ЛЦ40Сд по позиции), уплотнение; контакты завода не подтверждены.</t>
        </is>
      </c>
    </row>
    <row r="80">
      <c r="A80" s="276" t="inlineStr">
        <is>
          <t>1.3/50</t>
        </is>
      </c>
      <c r="B80" s="276" t="inlineStr">
        <is>
          <t>Клапан запорный 15б1п Ду 25 Ру16</t>
        </is>
      </c>
      <c r="C80" s="276" t="n">
        <v>10</v>
      </c>
      <c r="D80" s="276" t="inlineStr">
        <is>
          <t>завод вместо ДН.РУ</t>
        </is>
      </c>
      <c r="E80" s="276" t="inlineStr">
        <is>
          <t>ООО «Бологовский арматурный завод» (ТМ «БАЗ», латунная арматура)</t>
        </is>
      </c>
      <c r="F80" s="276" t="inlineStr">
        <is>
          <t>+7 (48238) 2-21-13 (завод, Бологое) sales@bolarm.com (продажи)</t>
        </is>
      </c>
      <c r="G80" s="276" t="inlineStr">
        <is>
          <t>15б1п Ду25 латунный муфтовый</t>
        </is>
      </c>
      <c r="H80" s="276" t="inlineStr">
        <is>
          <t>ООО «Бологовский арматурный завод» (ИНН 6908017634)</t>
        </is>
      </c>
      <c r="I80" s="276" t="inlineStr">
        <is>
          <t>10895023</t>
        </is>
      </c>
      <c r="J80" s="276" t="inlineStr">
        <is>
          <t>24.08.2031</t>
        </is>
      </c>
      <c r="K80" s="276" t="inlineStr">
        <is>
          <t>не подтверждено</t>
        </is>
      </c>
      <c r="L80" s="276" t="inlineStr">
        <is>
          <t>Запросить у завода действующий паспорт/декларацию ТР ТС, материал корпуса (ЛС59-1 / ЛЦ40Сд по позиции), уплотнение; контакты завода не подтверждены.</t>
        </is>
      </c>
    </row>
    <row r="81">
      <c r="A81" s="276" t="inlineStr">
        <is>
          <t>1.3/51</t>
        </is>
      </c>
      <c r="B81" s="276" t="inlineStr">
        <is>
          <t>Клапан запорный 15б1п Ду 32 Ру16</t>
        </is>
      </c>
      <c r="C81" s="276" t="n">
        <v>10</v>
      </c>
      <c r="D81" s="276" t="inlineStr">
        <is>
          <t>завод вместо ДН.РУ</t>
        </is>
      </c>
      <c r="E81" s="276" t="inlineStr">
        <is>
          <t>ООО «Бологовский арматурный завод» (ТМ «БАЗ», латунная арматура)</t>
        </is>
      </c>
      <c r="F81" s="276" t="inlineStr">
        <is>
          <t>+7 (48238) 2-21-13 (завод, Бологое) sales@bolarm.com (продажи)</t>
        </is>
      </c>
      <c r="G81" s="276" t="inlineStr">
        <is>
          <t>15б1п Ду32 латунный муфтовый</t>
        </is>
      </c>
      <c r="H81" s="276" t="inlineStr">
        <is>
          <t>ООО «Бологовский арматурный завод» (ИНН 6908017634)</t>
        </is>
      </c>
      <c r="I81" s="276" t="inlineStr">
        <is>
          <t>10895022</t>
        </is>
      </c>
      <c r="J81" s="276" t="inlineStr">
        <is>
          <t>24.08.2031</t>
        </is>
      </c>
      <c r="K81" s="276" t="inlineStr">
        <is>
          <t>не подтверждено</t>
        </is>
      </c>
      <c r="L81" s="276" t="inlineStr">
        <is>
          <t>Запросить у завода действующий паспорт/декларацию ТР ТС, материал корпуса (ЛС59-1 / ЛЦ40Сд по позиции), уплотнение; контакты завода не подтверждены.</t>
        </is>
      </c>
    </row>
    <row r="82">
      <c r="A82" s="276" t="inlineStr">
        <is>
          <t>1.3/52</t>
        </is>
      </c>
      <c r="B82" s="276" t="inlineStr">
        <is>
          <t>Клапан запорный 15б1п Ду 40 Ру16</t>
        </is>
      </c>
      <c r="C82" s="276" t="n">
        <v>5</v>
      </c>
      <c r="D82" s="276" t="inlineStr">
        <is>
          <t>завод вместо ДН.РУ</t>
        </is>
      </c>
      <c r="E82" s="276" t="inlineStr">
        <is>
          <t>ООО «Бологовский арматурный завод» (ТМ «БАЗ», латунная арматура)</t>
        </is>
      </c>
      <c r="F82" s="276" t="inlineStr">
        <is>
          <t>+7 (48238) 2-21-13 (завод, Бологое) sales@bolarm.com (продажи)</t>
        </is>
      </c>
      <c r="G82" s="276" t="inlineStr">
        <is>
          <t>15б1п Ду40 латунный муфтовый</t>
        </is>
      </c>
      <c r="H82" s="276" t="inlineStr">
        <is>
          <t>ООО «Бологовский арматурный завод» (ИНН 6908017634)</t>
        </is>
      </c>
      <c r="I82" s="276" t="inlineStr">
        <is>
          <t>10895022</t>
        </is>
      </c>
      <c r="J82" s="276" t="inlineStr">
        <is>
          <t>24.08.2031</t>
        </is>
      </c>
      <c r="K82" s="276" t="inlineStr">
        <is>
          <t>не подтверждено</t>
        </is>
      </c>
      <c r="L82" s="276" t="inlineStr">
        <is>
          <t>Запросить у завода действующий паспорт/декларацию ТР ТС, материал корпуса (ЛС59-1 / ЛЦ40Сд по позиции), уплотнение; контакты завода не подтверждены.</t>
        </is>
      </c>
    </row>
    <row r="83">
      <c r="A83" s="276" t="inlineStr">
        <is>
          <t>1.3/53</t>
        </is>
      </c>
      <c r="B83" s="276" t="inlineStr">
        <is>
          <t>Клапан запорный 15б1п Ду 50 Ру16</t>
        </is>
      </c>
      <c r="C83" s="276" t="n">
        <v>7</v>
      </c>
      <c r="D83" s="276" t="inlineStr">
        <is>
          <t>завод вместо ДН.РУ</t>
        </is>
      </c>
      <c r="E83" s="276" t="inlineStr">
        <is>
          <t>ООО «Бологовский арматурный завод» (ТМ «БАЗ», латунная арматура)</t>
        </is>
      </c>
      <c r="F83" s="276" t="inlineStr">
        <is>
          <t>+7 (48238) 2-21-13 (завод, Бологое) sales@bolarm.com (продажи)</t>
        </is>
      </c>
      <c r="G83" s="276" t="inlineStr">
        <is>
          <t>15б1п Ду50 латунный муфтовый</t>
        </is>
      </c>
      <c r="H83" s="276" t="inlineStr">
        <is>
          <t>ООО «Бологовский арматурный завод» (ИНН 6908017634)</t>
        </is>
      </c>
      <c r="I83" s="276" t="inlineStr">
        <is>
          <t>10895022</t>
        </is>
      </c>
      <c r="J83" s="276" t="inlineStr">
        <is>
          <t>24.08.2031</t>
        </is>
      </c>
      <c r="K83" s="276" t="inlineStr">
        <is>
          <t>не подтверждено</t>
        </is>
      </c>
      <c r="L83" s="276" t="inlineStr">
        <is>
          <t>Запросить у завода действующий паспорт/декларацию ТР ТС, материал корпуса (ЛС59-1 / ЛЦ40Сд по позиции), уплотнение; контакты завода не подтверждены.</t>
        </is>
      </c>
    </row>
    <row r="84">
      <c r="A84" s="276" t="inlineStr">
        <is>
          <t>1.3/54</t>
        </is>
      </c>
      <c r="B84" s="276" t="inlineStr">
        <is>
          <t>Клапан запорны 15нж65нж Ду 80 Ру 16 фланцевый</t>
        </is>
      </c>
      <c r="C84" s="276" t="n">
        <v>2</v>
      </c>
      <c r="D84" s="276" t="inlineStr">
        <is>
          <t>завод вместо ДН.РУ</t>
        </is>
      </c>
      <c r="E84" s="276" t="inlineStr">
        <is>
          <t>ООО «Восточная арматурная компания»</t>
        </is>
      </c>
      <c r="F84" s="276" t="inlineStr">
        <is>
          <t>+7 (347) 226-00-00 kontakt@vark.ru</t>
        </is>
      </c>
      <c r="G84" s="276" t="inlineStr">
        <is>
          <t>Клапаны запорные DN 10-400 мм, PN 0,6-50,0 МПа</t>
        </is>
      </c>
      <c r="H84" s="276" t="inlineStr">
        <is>
          <t>ООО «Восточная арматурная компания»</t>
        </is>
      </c>
      <c r="I84" s="276" t="inlineStr">
        <is>
          <t>10811565</t>
        </is>
      </c>
      <c r="J84" s="276" t="inlineStr">
        <is>
          <t>31.05.2031</t>
        </is>
      </c>
      <c r="K84" s="276" t="inlineStr">
        <is>
          <t>не проверено построчно</t>
        </is>
      </c>
      <c r="L84" s="276" t="inlineStr"/>
    </row>
    <row r="85">
      <c r="A85" s="276" t="inlineStr">
        <is>
          <t>1.3/55</t>
        </is>
      </c>
      <c r="B85" s="276" t="inlineStr">
        <is>
          <t>Клапан запорны 15нж65нж Ду 100 Ру 16 фланцевый</t>
        </is>
      </c>
      <c r="C85" s="276" t="n">
        <v>9</v>
      </c>
      <c r="D85" s="276" t="inlineStr">
        <is>
          <t>завод вместо ДН.РУ</t>
        </is>
      </c>
      <c r="E85" s="276" t="inlineStr">
        <is>
          <t>ООО «Восточная арматурная компания»</t>
        </is>
      </c>
      <c r="F85" s="276" t="inlineStr">
        <is>
          <t>+7 (347) 226-00-00 kontakt@vark.ru</t>
        </is>
      </c>
      <c r="G85" s="276" t="inlineStr">
        <is>
          <t>Клапаны запорные DN 10-400 мм, PN 0,6-50,0 МПа</t>
        </is>
      </c>
      <c r="H85" s="276" t="inlineStr">
        <is>
          <t>ООО «Восточная арматурная компания»</t>
        </is>
      </c>
      <c r="I85" s="276" t="inlineStr">
        <is>
          <t>10811565</t>
        </is>
      </c>
      <c r="J85" s="276" t="inlineStr">
        <is>
          <t>31.05.2031</t>
        </is>
      </c>
      <c r="K85" s="276" t="inlineStr">
        <is>
          <t>не проверено построчно</t>
        </is>
      </c>
      <c r="L85" s="276" t="inlineStr"/>
    </row>
    <row r="86">
      <c r="A86" s="276" t="inlineStr">
        <is>
          <t>1.3/56</t>
        </is>
      </c>
      <c r="B86" s="276" t="inlineStr">
        <is>
          <t>Клапан запорны 15нж65нж Ду 125 Ру 16 фланцевый</t>
        </is>
      </c>
      <c r="C86" s="276" t="n">
        <v>1</v>
      </c>
      <c r="D86" s="276" t="inlineStr">
        <is>
          <t>НЕ ЗАКРЫТО</t>
        </is>
      </c>
      <c r="E86" s="276" t="inlineStr"/>
      <c r="F86" s="276" t="inlineStr"/>
      <c r="G86" s="276" t="inlineStr"/>
      <c r="H86" s="276" t="inlineStr"/>
      <c r="I86" s="276" t="inlineStr"/>
      <c r="J86" s="276" t="inlineStr"/>
      <c r="K86" s="276" t="inlineStr">
        <is>
          <t>нет поставщика с записью ПП 719 и соответствием ТЗ</t>
        </is>
      </c>
      <c r="L86" s="276" t="inlineStr"/>
    </row>
    <row r="87">
      <c r="A87" s="276" t="inlineStr">
        <is>
          <t>1.3/57</t>
        </is>
      </c>
      <c r="B87" s="276" t="inlineStr">
        <is>
          <t>Клапан запорны 15нж65нж Ду 150 Ру 16 фланцевый</t>
        </is>
      </c>
      <c r="C87" s="276" t="n">
        <v>3</v>
      </c>
      <c r="D87" s="276" t="inlineStr">
        <is>
          <t>НЕ ЗАКРЫТО</t>
        </is>
      </c>
      <c r="E87" s="276" t="inlineStr"/>
      <c r="F87" s="276" t="inlineStr"/>
      <c r="G87" s="276" t="inlineStr"/>
      <c r="H87" s="276" t="inlineStr"/>
      <c r="I87" s="276" t="inlineStr"/>
      <c r="J87" s="276" t="inlineStr"/>
      <c r="K87" s="276" t="inlineStr">
        <is>
          <t>нет поставщика с записью ПП 719 и соответствием ТЗ</t>
        </is>
      </c>
      <c r="L87" s="276" t="inlineStr"/>
    </row>
    <row r="88">
      <c r="A88" s="276" t="inlineStr">
        <is>
          <t>1.3/58</t>
        </is>
      </c>
      <c r="B88" s="276" t="inlineStr">
        <is>
          <t>Клапан запорны 15нж65нж Ду 32 Ру 16 фланцевый</t>
        </is>
      </c>
      <c r="C88" s="276" t="n">
        <v>4</v>
      </c>
      <c r="D88" s="276" t="inlineStr">
        <is>
          <t>завод вместо ДН.РУ</t>
        </is>
      </c>
      <c r="E88" s="276" t="inlineStr">
        <is>
          <t>ООО «Восточная арматурная компания»</t>
        </is>
      </c>
      <c r="F88" s="276" t="inlineStr">
        <is>
          <t>+7 (347) 226-00-00 kontakt@vark.ru</t>
        </is>
      </c>
      <c r="G88" s="276" t="inlineStr">
        <is>
          <t>Клапаны запорные DN 10-400 мм, PN 0,6-50,0 МПа</t>
        </is>
      </c>
      <c r="H88" s="276" t="inlineStr">
        <is>
          <t>ООО «Восточная арматурная компания»</t>
        </is>
      </c>
      <c r="I88" s="276" t="inlineStr">
        <is>
          <t>10811565</t>
        </is>
      </c>
      <c r="J88" s="276" t="inlineStr">
        <is>
          <t>31.05.2031</t>
        </is>
      </c>
      <c r="K88" s="276" t="inlineStr">
        <is>
          <t>не проверено построчно</t>
        </is>
      </c>
      <c r="L88" s="276" t="inlineStr"/>
    </row>
    <row r="89">
      <c r="A89" s="276" t="inlineStr">
        <is>
          <t>1.3/59</t>
        </is>
      </c>
      <c r="B89" s="276" t="inlineStr">
        <is>
          <t>Клапан запорны 15нж65нж Ду 50 Ру 16 фланцевый</t>
        </is>
      </c>
      <c r="C89" s="276" t="n">
        <v>4</v>
      </c>
      <c r="D89" s="276" t="inlineStr">
        <is>
          <t>завод вместо ДН.РУ</t>
        </is>
      </c>
      <c r="E89" s="276" t="inlineStr">
        <is>
          <t>ООО «Восточная арматурная компания»</t>
        </is>
      </c>
      <c r="F89" s="276" t="inlineStr">
        <is>
          <t>+7 (347) 226-00-00 kontakt@vark.ru</t>
        </is>
      </c>
      <c r="G89" s="276" t="inlineStr">
        <is>
          <t>Клапаны запорные DN 10-400 мм, PN 0,6-50,0 МПа</t>
        </is>
      </c>
      <c r="H89" s="276" t="inlineStr">
        <is>
          <t>ООО «Восточная арматурная компания»</t>
        </is>
      </c>
      <c r="I89" s="276" t="inlineStr">
        <is>
          <t>10811565</t>
        </is>
      </c>
      <c r="J89" s="276" t="inlineStr">
        <is>
          <t>31.05.2031</t>
        </is>
      </c>
      <c r="K89" s="276" t="inlineStr">
        <is>
          <t>не проверено построчно</t>
        </is>
      </c>
      <c r="L89" s="276" t="inlineStr"/>
    </row>
    <row r="90">
      <c r="A90" s="276" t="inlineStr">
        <is>
          <t>1.3/60</t>
        </is>
      </c>
      <c r="B90" s="276" t="inlineStr">
        <is>
          <t>Клапан запорный 15с22нж Ду 32 Ру 40</t>
        </is>
      </c>
      <c r="C90" s="276" t="n">
        <v>2</v>
      </c>
      <c r="D90" s="276" t="inlineStr">
        <is>
          <t>завод вместо ДН.РУ</t>
        </is>
      </c>
      <c r="E90" s="276" t="inlineStr">
        <is>
          <t>ООО «Восточная арматурная компания»</t>
        </is>
      </c>
      <c r="F90" s="276" t="inlineStr">
        <is>
          <t>+7 (347) 226-00-00 kontakt@vark.ru</t>
        </is>
      </c>
      <c r="G90" s="276" t="inlineStr">
        <is>
          <t>Клапаны запорные DN 10-400 мм, PN 0,6-50,0 МПа</t>
        </is>
      </c>
      <c r="H90" s="276" t="inlineStr">
        <is>
          <t>ООО «Восточная арматурная компания»</t>
        </is>
      </c>
      <c r="I90" s="276" t="inlineStr">
        <is>
          <t>10811565</t>
        </is>
      </c>
      <c r="J90" s="276" t="inlineStr">
        <is>
          <t>31.05.2031</t>
        </is>
      </c>
      <c r="K90" s="276" t="inlineStr">
        <is>
          <t>не проверено построчно</t>
        </is>
      </c>
      <c r="L90" s="276" t="inlineStr"/>
    </row>
    <row r="91">
      <c r="A91" s="276" t="inlineStr">
        <is>
          <t>1.3/61</t>
        </is>
      </c>
      <c r="B91" s="276" t="inlineStr">
        <is>
          <t>Клапан запорный 15с22нж Ду 50 Ру 40</t>
        </is>
      </c>
      <c r="C91" s="276" t="n">
        <v>9</v>
      </c>
      <c r="D91" s="276" t="inlineStr">
        <is>
          <t>завод вместо ДН.РУ</t>
        </is>
      </c>
      <c r="E91" s="276" t="inlineStr">
        <is>
          <t>ООО «Восточная арматурная компания»</t>
        </is>
      </c>
      <c r="F91" s="276" t="inlineStr">
        <is>
          <t>+7 (347) 226-00-00 kontakt@vark.ru</t>
        </is>
      </c>
      <c r="G91" s="276" t="inlineStr">
        <is>
          <t>Клапаны запорные DN 10-400 мм, PN 0,6-50,0 МПа</t>
        </is>
      </c>
      <c r="H91" s="276" t="inlineStr">
        <is>
          <t>ООО «Восточная арматурная компания»</t>
        </is>
      </c>
      <c r="I91" s="276" t="inlineStr">
        <is>
          <t>10811565</t>
        </is>
      </c>
      <c r="J91" s="276" t="inlineStr">
        <is>
          <t>31.05.2031</t>
        </is>
      </c>
      <c r="K91" s="276" t="inlineStr">
        <is>
          <t>не проверено построчно</t>
        </is>
      </c>
      <c r="L91" s="276" t="inlineStr"/>
    </row>
    <row r="92">
      <c r="A92" s="276" t="inlineStr">
        <is>
          <t>1.3/62</t>
        </is>
      </c>
      <c r="B92" s="276" t="inlineStr">
        <is>
          <t>Клапан запорный 15с22нж Ду 80 Ру 40</t>
        </is>
      </c>
      <c r="C92" s="276" t="n">
        <v>6</v>
      </c>
      <c r="D92" s="276" t="inlineStr">
        <is>
          <t>завод вместо ДН.РУ</t>
        </is>
      </c>
      <c r="E92" s="276" t="inlineStr">
        <is>
          <t>ООО «Восточная арматурная компания»</t>
        </is>
      </c>
      <c r="F92" s="276" t="inlineStr">
        <is>
          <t>+7 (347) 226-00-00 kontakt@vark.ru</t>
        </is>
      </c>
      <c r="G92" s="276" t="inlineStr">
        <is>
          <t>Клапаны запорные DN 10-400 мм, PN 0,6-50,0 МПа</t>
        </is>
      </c>
      <c r="H92" s="276" t="inlineStr">
        <is>
          <t>ООО «Восточная арматурная компания»</t>
        </is>
      </c>
      <c r="I92" s="276" t="inlineStr">
        <is>
          <t>10811565</t>
        </is>
      </c>
      <c r="J92" s="276" t="inlineStr">
        <is>
          <t>31.05.2031</t>
        </is>
      </c>
      <c r="K92" s="276" t="inlineStr">
        <is>
          <t>не проверено построчно</t>
        </is>
      </c>
      <c r="L92" s="276" t="inlineStr"/>
    </row>
    <row r="93">
      <c r="A93" s="276" t="inlineStr">
        <is>
          <t>1.3/63</t>
        </is>
      </c>
      <c r="B93" s="276" t="inlineStr">
        <is>
          <t>Клапан запорный 15с52нж11 Ду 20 Ру 63 под приварку</t>
        </is>
      </c>
      <c r="C93" s="276" t="n">
        <v>6</v>
      </c>
      <c r="D93" s="276" t="inlineStr">
        <is>
          <t>завод вместо ДН.РУ</t>
        </is>
      </c>
      <c r="E93" s="276" t="inlineStr">
        <is>
          <t>ООО «Восточная арматурная компания»</t>
        </is>
      </c>
      <c r="F93" s="276" t="inlineStr">
        <is>
          <t>+7 (347) 226-00-00 kontakt@vark.ru</t>
        </is>
      </c>
      <c r="G93" s="276" t="inlineStr">
        <is>
          <t>Клапаны запорные DN 10-400 мм, PN 0,6-50,0 МПа</t>
        </is>
      </c>
      <c r="H93" s="276" t="inlineStr">
        <is>
          <t>ООО «Восточная арматурная компания»</t>
        </is>
      </c>
      <c r="I93" s="276" t="inlineStr">
        <is>
          <t>10811565</t>
        </is>
      </c>
      <c r="J93" s="276" t="inlineStr">
        <is>
          <t>31.05.2031</t>
        </is>
      </c>
      <c r="K93" s="276" t="inlineStr">
        <is>
          <t>не проверено построчно</t>
        </is>
      </c>
      <c r="L93" s="276" t="inlineStr"/>
    </row>
    <row r="94">
      <c r="A94" s="276" t="inlineStr">
        <is>
          <t>1.3/64</t>
        </is>
      </c>
      <c r="B94" s="276" t="inlineStr">
        <is>
          <t>Клапан запорный 15ч75п2 Ду 25 Ру10</t>
        </is>
      </c>
      <c r="C94" s="276" t="n">
        <v>3</v>
      </c>
      <c r="D94" s="276" t="inlineStr">
        <is>
          <t>текущий поставщик (номера записи нет)</t>
        </is>
      </c>
      <c r="E94" s="276" t="inlineStr">
        <is>
          <t>ДН.РУ</t>
        </is>
      </c>
      <c r="F94" s="276" t="inlineStr">
        <is>
          <t>менеджер по счетам 819892/819896</t>
        </is>
      </c>
      <c r="G94" s="276" t="inlineStr">
        <is>
          <t>Клапан запорный сальниковый DN.ru VSO1121M-F-S Ду25 Ру16, фланцевый, На складе в корпус - чугун GG25, уплотнение - 1 шт металл, управление - штурвал</t>
        </is>
      </c>
      <c r="H94" s="276" t="inlineStr"/>
      <c r="I94" s="276" t="inlineStr"/>
      <c r="J94" s="276" t="inlineStr"/>
      <c r="K94" s="276" t="inlineStr">
        <is>
          <t>нет записи ПП 719 — не проходит нацрежим</t>
        </is>
      </c>
      <c r="L94" s="276" t="inlineStr">
        <is>
          <t>изготовитель и № записи ПП 719 или российская замена</t>
        </is>
      </c>
    </row>
    <row r="95">
      <c r="A95" s="276" t="inlineStr">
        <is>
          <t>1.3/65</t>
        </is>
      </c>
      <c r="B95" s="276" t="inlineStr">
        <is>
          <t>Клапан запорный 15ч75п2 Ду 50 Ру10</t>
        </is>
      </c>
      <c r="C95" s="276" t="n">
        <v>9</v>
      </c>
      <c r="D95" s="276" t="inlineStr">
        <is>
          <t>текущий поставщик (номера записи нет)</t>
        </is>
      </c>
      <c r="E95" s="276" t="inlineStr">
        <is>
          <t>ДН.РУ</t>
        </is>
      </c>
      <c r="F95" s="276" t="inlineStr">
        <is>
          <t>менеджер по счетам 819892/819896</t>
        </is>
      </c>
      <c r="G95" s="276" t="inlineStr">
        <is>
          <t>Клапан запорный сальниковый DN.ru VSO1121M-F-S Ду50 Ру16, фланцевый, На складе в корпус - чугун GG25, уплотнение - 1 шт металл, управление - штурвал</t>
        </is>
      </c>
      <c r="H95" s="276" t="inlineStr"/>
      <c r="I95" s="276" t="inlineStr"/>
      <c r="J95" s="276" t="inlineStr"/>
      <c r="K95" s="276" t="inlineStr">
        <is>
          <t>нет записи ПП 719 — не проходит нацрежим</t>
        </is>
      </c>
      <c r="L95" s="276" t="inlineStr">
        <is>
          <t>изготовитель и № записи ПП 719 или российская замена</t>
        </is>
      </c>
    </row>
    <row r="96">
      <c r="A96" s="276" t="inlineStr">
        <is>
          <t>1.3/66</t>
        </is>
      </c>
      <c r="B96" s="276" t="inlineStr">
        <is>
          <t>Клапан запорный 15ч76п2 Ду 80 Ру 6,3</t>
        </is>
      </c>
      <c r="C96" s="276" t="n">
        <v>3</v>
      </c>
      <c r="D96" s="276" t="inlineStr">
        <is>
          <t>текущий поставщик (номера записи нет)</t>
        </is>
      </c>
      <c r="E96" s="276" t="inlineStr">
        <is>
          <t>ДН.РУ</t>
        </is>
      </c>
      <c r="F96" s="276" t="inlineStr">
        <is>
          <t>менеджер по счетам 819892/819896</t>
        </is>
      </c>
      <c r="G96" s="276" t="inlineStr">
        <is>
          <t>Клапан запорный сальниковый DN.ru VSO1121M-F-S Ду80 Ру16, фланцевый, На складе в корпус - чугун GG25, уплотнение - 1 шт металл, управление - штурвал</t>
        </is>
      </c>
      <c r="H96" s="276" t="inlineStr"/>
      <c r="I96" s="276" t="inlineStr"/>
      <c r="J96" s="276" t="inlineStr"/>
      <c r="K96" s="276" t="inlineStr">
        <is>
          <t>нет записи ПП 719 — не проходит нацрежим</t>
        </is>
      </c>
      <c r="L96" s="276" t="inlineStr">
        <is>
          <t>изготовитель и № записи ПП 719 или российская замена</t>
        </is>
      </c>
    </row>
    <row r="97">
      <c r="A97" s="276" t="inlineStr">
        <is>
          <t>1.3/67</t>
        </is>
      </c>
      <c r="B97" s="276" t="inlineStr">
        <is>
          <t>Клапан запорный 15ч93эм Ду 20 Ру 16</t>
        </is>
      </c>
      <c r="C97" s="276" t="n">
        <v>2</v>
      </c>
      <c r="D97" s="276" t="inlineStr">
        <is>
          <t>завод (новый запрос КП)</t>
        </is>
      </c>
      <c r="E97" s="276" t="inlineStr">
        <is>
          <t>АО «Благовещенский арматурный завод» (БАЗ)</t>
        </is>
      </c>
      <c r="F97" s="276" t="inlineStr">
        <is>
          <t>+7 (347) 662-99-10 baz@bazrb.ru</t>
        </is>
      </c>
      <c r="G97" s="276" t="inlineStr">
        <is>
          <t>15ч93эм — в каталоге БАЗ нет</t>
        </is>
      </c>
      <c r="H97" s="276" t="inlineStr">
        <is>
          <t>АО «Благовещенский арматурный завод»</t>
        </is>
      </c>
      <c r="I97" s="276" t="inlineStr"/>
      <c r="J97" s="276" t="inlineStr"/>
      <c r="K97" s="276" t="inlineStr">
        <is>
          <t>не подтверждено</t>
        </is>
      </c>
      <c r="L97" s="276" t="inlineStr">
        <is>
          <t>БАЗ не выпускает 15ч93эм по каталогу — запросить, будет ли изготовление; иначе снять назначение (см. альтернативы).</t>
        </is>
      </c>
    </row>
    <row r="98">
      <c r="A98" s="276" t="inlineStr">
        <is>
          <t>1.3/68</t>
        </is>
      </c>
      <c r="B98" s="276" t="inlineStr">
        <is>
          <t>Задвижка 30нж41нж DN 100 PN 16 1исп. САЗ</t>
        </is>
      </c>
      <c r="C98" s="276" t="n">
        <v>2</v>
      </c>
      <c r="D98" s="276" t="inlineStr">
        <is>
          <t>завод вместо ДН.РУ</t>
        </is>
      </c>
      <c r="E98" s="276" t="inlineStr">
        <is>
          <t>ООО «Пермский трубопроводный завод» (ООО «ПТЗ»)</t>
        </is>
      </c>
      <c r="F98" s="276" t="inlineStr">
        <is>
          <t>+7 (342) 270-07-34 sales@ptza.ru</t>
        </is>
      </c>
      <c r="G98" s="276" t="inlineStr">
        <is>
          <t>30нж41нж Ду100 PN16 (ПТЗ)</t>
        </is>
      </c>
      <c r="H98" s="276" t="inlineStr">
        <is>
          <t>ООО «Пермский трубопроводный завод» (ИНН 5904173655)</t>
        </is>
      </c>
      <c r="I98" s="276" t="inlineStr">
        <is>
          <t>10698940</t>
        </is>
      </c>
      <c r="J98" s="276" t="inlineStr">
        <is>
          <t>17.02.2031</t>
        </is>
      </c>
      <c r="K98" s="276" t="inlineStr">
        <is>
          <t>соответствует</t>
        </is>
      </c>
      <c r="L98" s="276" t="inlineStr">
        <is>
          <t>Подтвердить комплектацию материалов по ТЗ (шпиндель 12Х18Н9Т, шпильки 45Х14Н14В2М, ТРГ, паронит ПМБ); «1 исп. САЗ» — ПТЗ не САЗ, конструкция-аналог.</t>
        </is>
      </c>
    </row>
    <row r="99">
      <c r="A99" s="276" t="inlineStr">
        <is>
          <t>1.3/69</t>
        </is>
      </c>
      <c r="B99" s="276" t="inlineStr">
        <is>
          <t>Задвижка 30нж41нж DN 150 PN 16 1исп. САЗ</t>
        </is>
      </c>
      <c r="C99" s="276" t="n">
        <v>2</v>
      </c>
      <c r="D99" s="276" t="inlineStr">
        <is>
          <t>завод вместо ДН.РУ</t>
        </is>
      </c>
      <c r="E99" s="276" t="inlineStr">
        <is>
          <t>ООО «Пермский трубопроводный завод» (ООО «ПТЗ»)</t>
        </is>
      </c>
      <c r="F99" s="276" t="inlineStr">
        <is>
          <t>+7 (342) 270-07-34 sales@ptza.ru</t>
        </is>
      </c>
      <c r="G99" s="276" t="inlineStr">
        <is>
          <t>30нж41нж Ду150 PN16 (ПТЗ)</t>
        </is>
      </c>
      <c r="H99" s="276" t="inlineStr">
        <is>
          <t>ООО «Пермский трубопроводный завод» (ИНН 5904173655)</t>
        </is>
      </c>
      <c r="I99" s="276" t="inlineStr">
        <is>
          <t>10698940</t>
        </is>
      </c>
      <c r="J99" s="276" t="inlineStr">
        <is>
          <t>17.02.2031</t>
        </is>
      </c>
      <c r="K99" s="276" t="inlineStr">
        <is>
          <t>соответствует</t>
        </is>
      </c>
      <c r="L99" s="276" t="inlineStr">
        <is>
          <t>Подтвердить комплектацию материалов по ТЗ (шпиндель 12Х18Н9Т, шпильки 45Х14Н14В2М, ТРГ, паронит ПМБ); «1 исп. САЗ» — ПТЗ не САЗ, конструкция-аналог.</t>
        </is>
      </c>
    </row>
    <row r="100">
      <c r="A100" s="276" t="inlineStr">
        <is>
          <t>1.3/70</t>
        </is>
      </c>
      <c r="B100" s="276" t="inlineStr">
        <is>
          <t>Задвижка 30нж41нж DN 200 PN 16 1исп. САЗ</t>
        </is>
      </c>
      <c r="C100" s="276" t="n">
        <v>2</v>
      </c>
      <c r="D100" s="276" t="inlineStr">
        <is>
          <t>завод вместо ДН.РУ</t>
        </is>
      </c>
      <c r="E100" s="276" t="inlineStr">
        <is>
          <t>ООО «Пермский трубопроводный завод» (ООО «ПТЗ»)</t>
        </is>
      </c>
      <c r="F100" s="276" t="inlineStr">
        <is>
          <t>+7 (342) 270-07-34 sales@ptza.ru</t>
        </is>
      </c>
      <c r="G100" s="276" t="inlineStr">
        <is>
          <t>30нж41нж Ду200 PN16 (ПТЗ)</t>
        </is>
      </c>
      <c r="H100" s="276" t="inlineStr">
        <is>
          <t>ООО «Пермский трубопроводный завод» (ИНН 5904173655)</t>
        </is>
      </c>
      <c r="I100" s="276" t="inlineStr">
        <is>
          <t>10698940</t>
        </is>
      </c>
      <c r="J100" s="276" t="inlineStr">
        <is>
          <t>17.02.2031</t>
        </is>
      </c>
      <c r="K100" s="276" t="inlineStr">
        <is>
          <t>соответствует</t>
        </is>
      </c>
      <c r="L100" s="276" t="inlineStr">
        <is>
          <t>Подтвердить комплектацию материалов по ТЗ (шпиндель 12Х18Н9Т, шпильки 45Х14Н14В2М, ТРГ, паронит ПМБ); «1 исп. САЗ» — ПТЗ не САЗ, конструкция-аналог.</t>
        </is>
      </c>
    </row>
    <row r="101">
      <c r="A101" s="276" t="inlineStr">
        <is>
          <t>1.3/71</t>
        </is>
      </c>
      <c r="B101" s="276" t="inlineStr">
        <is>
          <t>Задвижка 30нж41нж DN 50 PN 16 1исп. САЗ</t>
        </is>
      </c>
      <c r="C101" s="276" t="n">
        <v>2</v>
      </c>
      <c r="D101" s="276" t="inlineStr">
        <is>
          <t>завод вместо ДН.РУ</t>
        </is>
      </c>
      <c r="E101" s="276" t="inlineStr">
        <is>
          <t>ООО «Пермский трубопроводный завод» (ООО «ПТЗ»)</t>
        </is>
      </c>
      <c r="F101" s="276" t="inlineStr">
        <is>
          <t>+7 (342) 270-07-34 sales@ptza.ru</t>
        </is>
      </c>
      <c r="G101" s="276" t="inlineStr">
        <is>
          <t>30нж41нж Ду50 PN16 (ПТЗ)</t>
        </is>
      </c>
      <c r="H101" s="276" t="inlineStr">
        <is>
          <t>ООО «Пермский трубопроводный завод» (ИНН 5904173655)</t>
        </is>
      </c>
      <c r="I101" s="276" t="inlineStr">
        <is>
          <t>10698940</t>
        </is>
      </c>
      <c r="J101" s="276" t="inlineStr">
        <is>
          <t>17.02.2031</t>
        </is>
      </c>
      <c r="K101" s="276" t="inlineStr">
        <is>
          <t>соответствует</t>
        </is>
      </c>
      <c r="L101" s="276" t="inlineStr">
        <is>
          <t>Подтвердить комплектацию материалов по ТЗ (шпиндель 12Х18Н9Т, шпильки 45Х14Н14В2М, ТРГ, паронит ПМБ); «1 исп. САЗ» — ПТЗ не САЗ, конструкция-аналог.</t>
        </is>
      </c>
    </row>
    <row r="102">
      <c r="A102" s="276" t="inlineStr">
        <is>
          <t>1.3/72</t>
        </is>
      </c>
      <c r="B102" s="276" t="inlineStr">
        <is>
          <t>Задвижка 30нж41нж DN 80 PN 16 1исп. САЗ</t>
        </is>
      </c>
      <c r="C102" s="276" t="n">
        <v>2</v>
      </c>
      <c r="D102" s="276" t="inlineStr">
        <is>
          <t>завод вместо ДН.РУ</t>
        </is>
      </c>
      <c r="E102" s="276" t="inlineStr">
        <is>
          <t>ООО «Пермский трубопроводный завод» (ООО «ПТЗ»)</t>
        </is>
      </c>
      <c r="F102" s="276" t="inlineStr">
        <is>
          <t>+7 (342) 270-07-34 sales@ptza.ru</t>
        </is>
      </c>
      <c r="G102" s="276" t="inlineStr">
        <is>
          <t>30нж41нж Ду80 PN16 (ПТЗ)</t>
        </is>
      </c>
      <c r="H102" s="276" t="inlineStr">
        <is>
          <t>ООО «Пермский трубопроводный завод» (ИНН 5904173655)</t>
        </is>
      </c>
      <c r="I102" s="276" t="inlineStr">
        <is>
          <t>10698940</t>
        </is>
      </c>
      <c r="J102" s="276" t="inlineStr">
        <is>
          <t>17.02.2031</t>
        </is>
      </c>
      <c r="K102" s="276" t="inlineStr">
        <is>
          <t>соответствует</t>
        </is>
      </c>
      <c r="L102" s="276" t="inlineStr">
        <is>
          <t>Подтвердить комплектацию материалов по ТЗ (шпиндель 12Х18Н9Т, шпильки 45Х14Н14В2М, ТРГ, паронит ПМБ); «1 исп. САЗ» — ПТЗ не САЗ, конструкция-аналог.</t>
        </is>
      </c>
    </row>
    <row r="103">
      <c r="A103" s="276" t="inlineStr">
        <is>
          <t>1.3/73</t>
        </is>
      </c>
      <c r="B103" s="276" t="inlineStr">
        <is>
          <t>Задвижка 30с41нж Ду 50 Ру 16</t>
        </is>
      </c>
      <c r="C103" s="276" t="n">
        <v>6</v>
      </c>
      <c r="D103" s="276" t="inlineStr">
        <is>
          <t>завод вместо ДН.РУ</t>
        </is>
      </c>
      <c r="E103" s="276" t="inlineStr">
        <is>
          <t>АО «Благовещенский арматурный завод» (АО «БАЗ»)</t>
        </is>
      </c>
      <c r="F103" s="276" t="inlineStr">
        <is>
          <t>+7 (34766) 2-99-10, 2-99-11 baz@bazrb.ru</t>
        </is>
      </c>
      <c r="G103" s="276" t="inlineStr">
        <is>
          <t>Задвижки клиновые литые ЗКЛ2, ЗКЛП DN50-1400 PN 1,6-25,0 МПа</t>
        </is>
      </c>
      <c r="H103" s="276" t="inlineStr">
        <is>
          <t>АО «Благовещенский арматурный завод»</t>
        </is>
      </c>
      <c r="I103" s="276" t="inlineStr">
        <is>
          <t>10306805</t>
        </is>
      </c>
      <c r="J103" s="276" t="inlineStr">
        <is>
          <t>31.08.2028</t>
        </is>
      </c>
      <c r="K103" s="276" t="inlineStr">
        <is>
          <t>не проверено построчно</t>
        </is>
      </c>
      <c r="L103" s="276" t="inlineStr"/>
    </row>
    <row r="104">
      <c r="A104" s="276" t="inlineStr">
        <is>
          <t>1.3/74</t>
        </is>
      </c>
      <c r="B104" s="276" t="inlineStr">
        <is>
          <t>Задвижка 30с41нж Ду 80 Ру 16</t>
        </is>
      </c>
      <c r="C104" s="276" t="n">
        <v>12</v>
      </c>
      <c r="D104" s="276" t="inlineStr">
        <is>
          <t>завод вместо ДН.РУ</t>
        </is>
      </c>
      <c r="E104" s="276" t="inlineStr">
        <is>
          <t>ООО «Пермский трубопроводный завод» (ООО «ПТЗ»)</t>
        </is>
      </c>
      <c r="F104" s="276" t="inlineStr">
        <is>
          <t>+7 (342) 270-07-34 sales@ptza.ru</t>
        </is>
      </c>
      <c r="G104" s="276" t="inlineStr">
        <is>
          <t>30с41нж Ду80 PN16 (ПТЗ)</t>
        </is>
      </c>
      <c r="H104" s="276" t="inlineStr">
        <is>
          <t>ООО «Пермский трубопроводный завод» (ИНН 5904173655)</t>
        </is>
      </c>
      <c r="I104" s="276" t="inlineStr">
        <is>
          <t>10698940</t>
        </is>
      </c>
      <c r="J104" s="276" t="inlineStr">
        <is>
          <t>17.02.2031</t>
        </is>
      </c>
      <c r="K104" s="276" t="inlineStr">
        <is>
          <t>не подтверждено</t>
        </is>
      </c>
      <c r="L104" s="276" t="inlineStr">
        <is>
          <t>Подтвердить: шпиндель 20Х13, наплавка 20Х13 (или 07Х25Н13 где указано), ТРГ.</t>
        </is>
      </c>
    </row>
    <row r="105">
      <c r="A105" s="276" t="inlineStr">
        <is>
          <t>1.3/75</t>
        </is>
      </c>
      <c r="B105" s="276" t="inlineStr">
        <is>
          <t>Задвижка 30с41нж Ду 100 Ру 16</t>
        </is>
      </c>
      <c r="C105" s="276" t="n">
        <v>2</v>
      </c>
      <c r="D105" s="276" t="inlineStr">
        <is>
          <t>завод вместо ДН.РУ</t>
        </is>
      </c>
      <c r="E105" s="276" t="inlineStr">
        <is>
          <t>АО «Благовещенский арматурный завод» (АО «БАЗ»)</t>
        </is>
      </c>
      <c r="F105" s="276" t="inlineStr">
        <is>
          <t>+7 (34766) 2-99-10, 2-99-11 baz@bazrb.ru</t>
        </is>
      </c>
      <c r="G105" s="276" t="inlineStr">
        <is>
          <t>Задвижки клиновые литые ЗКЛ2, ЗКЛП DN50-1400 PN 1,6-25,0 МПа</t>
        </is>
      </c>
      <c r="H105" s="276" t="inlineStr">
        <is>
          <t>АО «Благовещенский арматурный завод»</t>
        </is>
      </c>
      <c r="I105" s="276" t="inlineStr">
        <is>
          <t>10306805</t>
        </is>
      </c>
      <c r="J105" s="276" t="inlineStr">
        <is>
          <t>31.08.2028</t>
        </is>
      </c>
      <c r="K105" s="276" t="inlineStr">
        <is>
          <t>не проверено построчно</t>
        </is>
      </c>
      <c r="L105" s="276" t="inlineStr"/>
    </row>
    <row r="106">
      <c r="A106" s="276" t="inlineStr">
        <is>
          <t>1.3/76</t>
        </is>
      </c>
      <c r="B106" s="276" t="inlineStr">
        <is>
          <t>Задвижка 30с41нж Ду 150 Ру 16</t>
        </is>
      </c>
      <c r="C106" s="276" t="n">
        <v>5</v>
      </c>
      <c r="D106" s="276" t="inlineStr">
        <is>
          <t>завод вместо ДН.РУ</t>
        </is>
      </c>
      <c r="E106" s="276" t="inlineStr">
        <is>
          <t>АО «Благовещенский арматурный завод» (АО «БАЗ»)</t>
        </is>
      </c>
      <c r="F106" s="276" t="inlineStr">
        <is>
          <t>+7 (34766) 2-99-10, 2-99-11 baz@bazrb.ru</t>
        </is>
      </c>
      <c r="G106" s="276" t="inlineStr">
        <is>
          <t>Задвижки клиновые литые ЗКЛ2, ЗКЛП DN50-1400 PN 1,6-25,0 МПа</t>
        </is>
      </c>
      <c r="H106" s="276" t="inlineStr">
        <is>
          <t>АО «Благовещенский арматурный завод»</t>
        </is>
      </c>
      <c r="I106" s="276" t="inlineStr">
        <is>
          <t>10306805</t>
        </is>
      </c>
      <c r="J106" s="276" t="inlineStr">
        <is>
          <t>31.08.2028</t>
        </is>
      </c>
      <c r="K106" s="276" t="inlineStr">
        <is>
          <t>не проверено построчно</t>
        </is>
      </c>
      <c r="L106" s="276" t="inlineStr"/>
    </row>
    <row r="107">
      <c r="A107" s="276" t="inlineStr">
        <is>
          <t>1.3/77</t>
        </is>
      </c>
      <c r="B107" s="276" t="inlineStr">
        <is>
          <t>Задвижка 30с564нж Ду 400 Ру 25</t>
        </is>
      </c>
      <c r="C107" s="276" t="n">
        <v>3</v>
      </c>
      <c r="D107" s="276" t="inlineStr">
        <is>
          <t>завод вместо ДН.РУ</t>
        </is>
      </c>
      <c r="E107" s="276" t="inlineStr">
        <is>
          <t>ООО «Пермский трубопроводный завод» (ООО «ПТЗ»)</t>
        </is>
      </c>
      <c r="F107" s="276" t="inlineStr">
        <is>
          <t>+7 (342) 270-07-34 sales@ptza.ru</t>
        </is>
      </c>
      <c r="G107" s="276" t="inlineStr">
        <is>
          <t>30с564нж Ду400 PN25 с механическим приводом (ПТЗ)</t>
        </is>
      </c>
      <c r="H107" s="276" t="inlineStr">
        <is>
          <t>ООО «Пермский трубопроводный завод» (ИНН 5904173655)</t>
        </is>
      </c>
      <c r="I107" s="276" t="inlineStr">
        <is>
          <t>10698940</t>
        </is>
      </c>
      <c r="J107" s="276" t="inlineStr">
        <is>
          <t>17.02.2031</t>
        </is>
      </c>
      <c r="K107" s="276" t="inlineStr">
        <is>
          <t>эквивалент — согласовать</t>
        </is>
      </c>
      <c r="L107" s="276" t="inlineStr">
        <is>
          <t>30с64нж у ПТЗ только до Ду300 → Ду400 с редуктором (30с564нж). Согласовать редуктор вместо маховика.</t>
        </is>
      </c>
    </row>
    <row r="108">
      <c r="A108" s="276" t="inlineStr">
        <is>
          <t>1.3/78</t>
        </is>
      </c>
      <c r="B108" s="276" t="inlineStr">
        <is>
          <t>Задвижка 30с64нж Ду 50 Ру 25</t>
        </is>
      </c>
      <c r="C108" s="276" t="n">
        <v>5</v>
      </c>
      <c r="D108" s="276" t="inlineStr">
        <is>
          <t>завод вместо ДН.РУ</t>
        </is>
      </c>
      <c r="E108" s="276" t="inlineStr">
        <is>
          <t>ООО «Пермский трубопроводный завод» (ООО «ПТЗ»)</t>
        </is>
      </c>
      <c r="F108" s="276" t="inlineStr">
        <is>
          <t>+7 (342) 270-07-34 sales@ptza.ru</t>
        </is>
      </c>
      <c r="G108" s="276" t="inlineStr">
        <is>
          <t>30с64нж Ду50 PN25 (ПТЗ)</t>
        </is>
      </c>
      <c r="H108" s="276" t="inlineStr">
        <is>
          <t>ООО «Пермский трубопроводный завод» (ИНН 5904173655)</t>
        </is>
      </c>
      <c r="I108" s="276" t="inlineStr">
        <is>
          <t>10698940</t>
        </is>
      </c>
      <c r="J108" s="276" t="inlineStr">
        <is>
          <t>17.02.2031</t>
        </is>
      </c>
      <c r="K108" s="276" t="inlineStr">
        <is>
          <t>соответствует</t>
        </is>
      </c>
      <c r="L108" s="276" t="inlineStr">
        <is>
          <t>Запросить паспорт: шпиндель 20Х13, наплавка, ТРГ.</t>
        </is>
      </c>
    </row>
    <row r="109">
      <c r="A109" s="276" t="inlineStr">
        <is>
          <t>1.3/79</t>
        </is>
      </c>
      <c r="B109" s="276" t="inlineStr">
        <is>
          <t>Задвижка 30с64нж Ду 80 Ру 25</t>
        </is>
      </c>
      <c r="C109" s="276" t="n">
        <v>3</v>
      </c>
      <c r="D109" s="276" t="inlineStr">
        <is>
          <t>завод вместо ДН.РУ</t>
        </is>
      </c>
      <c r="E109" s="276" t="inlineStr">
        <is>
          <t>ООО «Пермский трубопроводный завод» (ООО «ПТЗ»)</t>
        </is>
      </c>
      <c r="F109" s="276" t="inlineStr">
        <is>
          <t>+7 (342) 270-07-34 sales@ptza.ru</t>
        </is>
      </c>
      <c r="G109" s="276" t="inlineStr">
        <is>
          <t>30с64нж Ду80 PN25 (ПТЗ)</t>
        </is>
      </c>
      <c r="H109" s="276" t="inlineStr">
        <is>
          <t>ООО «Пермский трубопроводный завод» (ИНН 5904173655)</t>
        </is>
      </c>
      <c r="I109" s="276" t="inlineStr">
        <is>
          <t>10698940</t>
        </is>
      </c>
      <c r="J109" s="276" t="inlineStr">
        <is>
          <t>17.02.2031</t>
        </is>
      </c>
      <c r="K109" s="276" t="inlineStr">
        <is>
          <t>соответствует</t>
        </is>
      </c>
      <c r="L109" s="276" t="inlineStr">
        <is>
          <t>Запросить паспорт: шпиндель 20Х13, наплавка, ТРГ.</t>
        </is>
      </c>
    </row>
    <row r="110">
      <c r="A110" s="276" t="inlineStr">
        <is>
          <t>1.3/80</t>
        </is>
      </c>
      <c r="B110" s="276" t="inlineStr">
        <is>
          <t>Задвижка 30с64нж Ду 100 Ру 25</t>
        </is>
      </c>
      <c r="C110" s="276" t="n">
        <v>20</v>
      </c>
      <c r="D110" s="276" t="inlineStr">
        <is>
          <t>завод вместо ДН.РУ</t>
        </is>
      </c>
      <c r="E110" s="276" t="inlineStr">
        <is>
          <t>ООО «Пермский трубопроводный завод» (ООО «ПТЗ»)</t>
        </is>
      </c>
      <c r="F110" s="276" t="inlineStr">
        <is>
          <t>+7 (342) 270-07-34 sales@ptza.ru</t>
        </is>
      </c>
      <c r="G110" s="276" t="inlineStr">
        <is>
          <t>30с64нж Ду100 PN25 (ПТЗ)</t>
        </is>
      </c>
      <c r="H110" s="276" t="inlineStr">
        <is>
          <t>ООО «Пермский трубопроводный завод» (ИНН 5904173655)</t>
        </is>
      </c>
      <c r="I110" s="276" t="inlineStr">
        <is>
          <t>10698940</t>
        </is>
      </c>
      <c r="J110" s="276" t="inlineStr">
        <is>
          <t>17.02.2031</t>
        </is>
      </c>
      <c r="K110" s="276" t="inlineStr">
        <is>
          <t>соответствует</t>
        </is>
      </c>
      <c r="L110" s="276" t="inlineStr">
        <is>
          <t>Запросить паспорт: шпиндель 20Х13, наплавка, ТРГ.</t>
        </is>
      </c>
    </row>
    <row r="111">
      <c r="A111" s="276" t="inlineStr">
        <is>
          <t>1.3/81</t>
        </is>
      </c>
      <c r="B111" s="276" t="inlineStr">
        <is>
          <t>Задвижка 30с64нж Ду 150 Ру 25</t>
        </is>
      </c>
      <c r="C111" s="276" t="n">
        <v>18</v>
      </c>
      <c r="D111" s="276" t="inlineStr">
        <is>
          <t>завод вместо ДН.РУ</t>
        </is>
      </c>
      <c r="E111" s="276" t="inlineStr">
        <is>
          <t>ООО «Пермский трубопроводный завод» (ООО «ПТЗ»)</t>
        </is>
      </c>
      <c r="F111" s="276" t="inlineStr">
        <is>
          <t>+7 (342) 270-07-34 sales@ptza.ru</t>
        </is>
      </c>
      <c r="G111" s="276" t="inlineStr">
        <is>
          <t>30с64нж Ду150 PN25 (ПТЗ)</t>
        </is>
      </c>
      <c r="H111" s="276" t="inlineStr">
        <is>
          <t>ООО «Пермский трубопроводный завод» (ИНН 5904173655)</t>
        </is>
      </c>
      <c r="I111" s="276" t="inlineStr">
        <is>
          <t>10698940</t>
        </is>
      </c>
      <c r="J111" s="276" t="inlineStr">
        <is>
          <t>17.02.2031</t>
        </is>
      </c>
      <c r="K111" s="276" t="inlineStr">
        <is>
          <t>соответствует</t>
        </is>
      </c>
      <c r="L111" s="276" t="inlineStr">
        <is>
          <t>Запросить паспорт: шпиндель 20Х13, наплавка, ТРГ.</t>
        </is>
      </c>
    </row>
    <row r="112">
      <c r="A112" s="276" t="inlineStr">
        <is>
          <t>1.3/82</t>
        </is>
      </c>
      <c r="B112" s="276" t="inlineStr">
        <is>
          <t>Задвижка 30с64нж Ду 200 Ру 25</t>
        </is>
      </c>
      <c r="C112" s="276" t="n">
        <v>9</v>
      </c>
      <c r="D112" s="276" t="inlineStr">
        <is>
          <t>завод вместо ДН.РУ</t>
        </is>
      </c>
      <c r="E112" s="276" t="inlineStr">
        <is>
          <t>ООО «Пермский трубопроводный завод» (ООО «ПТЗ»)</t>
        </is>
      </c>
      <c r="F112" s="276" t="inlineStr">
        <is>
          <t>+7 (342) 270-07-34 sales@ptza.ru</t>
        </is>
      </c>
      <c r="G112" s="276" t="inlineStr">
        <is>
          <t>30с64нж Ду200 PN25 (ПТЗ)</t>
        </is>
      </c>
      <c r="H112" s="276" t="inlineStr">
        <is>
          <t>ООО «Пермский трубопроводный завод» (ИНН 5904173655)</t>
        </is>
      </c>
      <c r="I112" s="276" t="inlineStr">
        <is>
          <t>10698940</t>
        </is>
      </c>
      <c r="J112" s="276" t="inlineStr">
        <is>
          <t>17.02.2031</t>
        </is>
      </c>
      <c r="K112" s="276" t="inlineStr">
        <is>
          <t>не подтверждено</t>
        </is>
      </c>
      <c r="L112" s="276" t="inlineStr">
        <is>
          <t>Запросить паспорт: шпиндель 20Х13, наплавка, ТРГ.</t>
        </is>
      </c>
    </row>
    <row r="113">
      <c r="A113" s="276" t="inlineStr">
        <is>
          <t>1.3/83</t>
        </is>
      </c>
      <c r="B113" s="276" t="inlineStr">
        <is>
          <t>Задвижка 30с64нж Ду 250 Ру 25</t>
        </is>
      </c>
      <c r="C113" s="276" t="n">
        <v>2</v>
      </c>
      <c r="D113" s="276" t="inlineStr">
        <is>
          <t>завод вместо ДН.РУ</t>
        </is>
      </c>
      <c r="E113" s="276" t="inlineStr">
        <is>
          <t>ООО «Пермский трубопроводный завод» (ООО «ПТЗ»)</t>
        </is>
      </c>
      <c r="F113" s="276" t="inlineStr">
        <is>
          <t>+7 (342) 270-07-34 sales@ptza.ru</t>
        </is>
      </c>
      <c r="G113" s="276" t="inlineStr">
        <is>
          <t>30с64нж Ду250 PN25 (ПТЗ)</t>
        </is>
      </c>
      <c r="H113" s="276" t="inlineStr">
        <is>
          <t>ООО «Пермский трубопроводный завод» (ИНН 5904173655)</t>
        </is>
      </c>
      <c r="I113" s="276" t="inlineStr">
        <is>
          <t>10698940</t>
        </is>
      </c>
      <c r="J113" s="276" t="inlineStr">
        <is>
          <t>17.02.2031</t>
        </is>
      </c>
      <c r="K113" s="276" t="inlineStr">
        <is>
          <t>соответствует</t>
        </is>
      </c>
      <c r="L113" s="276" t="inlineStr">
        <is>
          <t>Запросить паспорт: шпиндель 20Х13, наплавка, ТРГ.</t>
        </is>
      </c>
    </row>
    <row r="114">
      <c r="A114" s="276" t="inlineStr">
        <is>
          <t>1.3/84</t>
        </is>
      </c>
      <c r="B114" s="276" t="inlineStr">
        <is>
          <t>Задвижка 30с64нж Ду 300 Ру 25</t>
        </is>
      </c>
      <c r="C114" s="276" t="n">
        <v>3</v>
      </c>
      <c r="D114" s="276" t="inlineStr">
        <is>
          <t>завод вместо ДН.РУ</t>
        </is>
      </c>
      <c r="E114" s="276" t="inlineStr">
        <is>
          <t>ООО «Пермский трубопроводный завод» (ООО «ПТЗ»)</t>
        </is>
      </c>
      <c r="F114" s="276" t="inlineStr">
        <is>
          <t>+7 (342) 270-07-34 sales@ptza.ru</t>
        </is>
      </c>
      <c r="G114" s="276" t="inlineStr">
        <is>
          <t>30с64нж Ду300 PN25 (ПТЗ)</t>
        </is>
      </c>
      <c r="H114" s="276" t="inlineStr">
        <is>
          <t>ООО «Пермский трубопроводный завод» (ИНН 5904173655)</t>
        </is>
      </c>
      <c r="I114" s="276" t="inlineStr">
        <is>
          <t>10698940</t>
        </is>
      </c>
      <c r="J114" s="276" t="inlineStr">
        <is>
          <t>17.02.2031</t>
        </is>
      </c>
      <c r="K114" s="276" t="inlineStr">
        <is>
          <t>соответствует</t>
        </is>
      </c>
      <c r="L114" s="276" t="inlineStr">
        <is>
          <t>Запросить паспорт: шпиндель 20Х13, наплавка, ТРГ.</t>
        </is>
      </c>
    </row>
    <row r="115">
      <c r="A115" s="276" t="inlineStr">
        <is>
          <t>1.3/85</t>
        </is>
      </c>
      <c r="B115" s="276" t="inlineStr">
        <is>
          <t>Задвижка 30с76нж Ду 200 Ру 63</t>
        </is>
      </c>
      <c r="C115" s="276" t="n">
        <v>1</v>
      </c>
      <c r="D115" s="276" t="inlineStr">
        <is>
          <t>завод вместо ДН.РУ</t>
        </is>
      </c>
      <c r="E115" s="276" t="inlineStr">
        <is>
          <t>АО «Благовещенский арматурный завод» (АО «БАЗ»)</t>
        </is>
      </c>
      <c r="F115" s="276" t="inlineStr">
        <is>
          <t>+7 (34766) 2-99-10, 2-99-11 baz@bazrb.ru</t>
        </is>
      </c>
      <c r="G115" s="276" t="inlineStr">
        <is>
          <t>Задвижки клиновые ЗК DN 50-800 PN 1,6-32,0 МПа</t>
        </is>
      </c>
      <c r="H115" s="276" t="inlineStr">
        <is>
          <t>АО «Благовещенский арматурный завод»</t>
        </is>
      </c>
      <c r="I115" s="276" t="inlineStr">
        <is>
          <t>10306806</t>
        </is>
      </c>
      <c r="J115" s="276" t="inlineStr">
        <is>
          <t>31.08.2028</t>
        </is>
      </c>
      <c r="K115" s="276" t="inlineStr">
        <is>
          <t>не проверено построчно</t>
        </is>
      </c>
      <c r="L115" s="276" t="inlineStr"/>
    </row>
    <row r="116">
      <c r="A116" s="276" t="inlineStr">
        <is>
          <t>1.3/86</t>
        </is>
      </c>
      <c r="B116" s="276" t="inlineStr">
        <is>
          <t>Задвижка 30с927нж Ду 250 Ру 25 с электроприводом</t>
        </is>
      </c>
      <c r="C116" s="276" t="n">
        <v>2</v>
      </c>
      <c r="D116" s="276" t="inlineStr">
        <is>
          <t>завод вместо ДН.РУ</t>
        </is>
      </c>
      <c r="E116" s="276" t="inlineStr">
        <is>
          <t>АО «Благовещенский арматурный завод» (АО «БАЗ»)</t>
        </is>
      </c>
      <c r="F116" s="276" t="inlineStr">
        <is>
          <t>+7 (34766) 2-99-10, 2-99-11 baz@bazrb.ru</t>
        </is>
      </c>
      <c r="G116" s="276" t="inlineStr">
        <is>
          <t>Задвижки клиновые литые ЗКЛ2, ЗКЛП DN50-1400 PN 1,6-25,0 МПа</t>
        </is>
      </c>
      <c r="H116" s="276" t="inlineStr">
        <is>
          <t>АО «Благовещенский арматурный завод»</t>
        </is>
      </c>
      <c r="I116" s="276" t="inlineStr">
        <is>
          <t>10306805</t>
        </is>
      </c>
      <c r="J116" s="276" t="inlineStr">
        <is>
          <t>31.08.2028</t>
        </is>
      </c>
      <c r="K116" s="276" t="inlineStr">
        <is>
          <t>не проверено построчно</t>
        </is>
      </c>
      <c r="L116" s="276" t="inlineStr"/>
    </row>
    <row r="117">
      <c r="A117" s="276" t="inlineStr">
        <is>
          <t>1.3/87</t>
        </is>
      </c>
      <c r="B117" s="276" t="inlineStr">
        <is>
          <t>Задвижка 30с941нж Ду 150 Ру 16 с электроприводом</t>
        </is>
      </c>
      <c r="C117" s="276" t="n">
        <v>6</v>
      </c>
      <c r="D117" s="276" t="inlineStr">
        <is>
          <t>завод вместо ДН.РУ</t>
        </is>
      </c>
      <c r="E117" s="276" t="inlineStr">
        <is>
          <t>ООО «Пермский трубопроводный завод» (ООО «ПТЗ»)</t>
        </is>
      </c>
      <c r="F117" s="276" t="inlineStr">
        <is>
          <t>+7 (342) 270-07-34 sales@ptza.ru</t>
        </is>
      </c>
      <c r="G117" s="276" t="inlineStr">
        <is>
          <t>30с941нж Ду150 PN16 с электроприводом (ПТЗ)</t>
        </is>
      </c>
      <c r="H117" s="276" t="inlineStr">
        <is>
          <t>ООО «Пермский трубопроводный завод» (ИНН 5904173655)</t>
        </is>
      </c>
      <c r="I117" s="276" t="inlineStr">
        <is>
          <t>10698940</t>
        </is>
      </c>
      <c r="J117" s="276" t="inlineStr">
        <is>
          <t>17.02.2031</t>
        </is>
      </c>
      <c r="K117" s="276" t="inlineStr">
        <is>
          <t>не подтверждено</t>
        </is>
      </c>
      <c r="L117" s="276" t="inlineStr">
        <is>
          <t>Подтвердить комплектацию ГЗ-А.150 (или аналог, 150 Н·м, присоединение А); согласовать 25Л вместо 35Л; шпиндель ст.45.</t>
        </is>
      </c>
    </row>
    <row r="118">
      <c r="A118" s="276" t="inlineStr">
        <is>
          <t>1.3/88</t>
        </is>
      </c>
      <c r="B118" s="276" t="inlineStr">
        <is>
          <t>Задвижка 30с964нж Ду 150 Ру 25 с электроприводом</t>
        </is>
      </c>
      <c r="C118" s="276" t="n">
        <v>1</v>
      </c>
      <c r="D118" s="276" t="inlineStr">
        <is>
          <t>завод вместо ДН.РУ</t>
        </is>
      </c>
      <c r="E118" s="276" t="inlineStr">
        <is>
          <t>ООО «Пермский трубопроводный завод» (ООО «ПТЗ»)</t>
        </is>
      </c>
      <c r="F118" s="276" t="inlineStr">
        <is>
          <t>+7 (342) 270-07-34 sales@ptza.ru</t>
        </is>
      </c>
      <c r="G118" s="276" t="inlineStr">
        <is>
          <t>30с964нж Ду150 PN25 с электроприводом (ПТЗ)</t>
        </is>
      </c>
      <c r="H118" s="276" t="inlineStr">
        <is>
          <t>ООО «Пермский трубопроводный завод» (ИНН 5904173655)</t>
        </is>
      </c>
      <c r="I118" s="276" t="inlineStr">
        <is>
          <t>10698940</t>
        </is>
      </c>
      <c r="J118" s="276" t="inlineStr">
        <is>
          <t>17.02.2031</t>
        </is>
      </c>
      <c r="K118" s="276" t="inlineStr">
        <is>
          <t>не подтверждено</t>
        </is>
      </c>
      <c r="L118" s="276" t="inlineStr">
        <is>
          <t>Запросить электропривод 100 Н·м 220 В тип Б (российский, с записью РПП).</t>
        </is>
      </c>
    </row>
    <row r="119">
      <c r="A119" s="276" t="inlineStr">
        <is>
          <t>1.3/89</t>
        </is>
      </c>
      <c r="B119" s="276" t="inlineStr">
        <is>
          <t>Задвижка 30с964нж Ду 400 Ру 25</t>
        </is>
      </c>
      <c r="C119" s="276" t="n">
        <v>4</v>
      </c>
      <c r="D119" s="276" t="inlineStr">
        <is>
          <t>завод вместо ДН.РУ</t>
        </is>
      </c>
      <c r="E119" s="276" t="inlineStr">
        <is>
          <t>ООО «Пермский трубопроводный завод» (ООО «ПТЗ»)</t>
        </is>
      </c>
      <c r="F119" s="276" t="inlineStr">
        <is>
          <t>+7 (342) 270-07-34 sales@ptza.ru</t>
        </is>
      </c>
      <c r="G119" s="276" t="inlineStr">
        <is>
          <t>30с964нж Ду400 PN25 под электропривод (ПТЗ)</t>
        </is>
      </c>
      <c r="H119" s="276" t="inlineStr">
        <is>
          <t>ООО «Пермский трубопроводный завод» (ИНН 5904173655)</t>
        </is>
      </c>
      <c r="I119" s="276" t="inlineStr">
        <is>
          <t>10698940</t>
        </is>
      </c>
      <c r="J119" s="276" t="inlineStr">
        <is>
          <t>17.02.2031</t>
        </is>
      </c>
      <c r="K119" s="276" t="inlineStr">
        <is>
          <t>не подтверждено</t>
        </is>
      </c>
      <c r="L119" s="276" t="inlineStr">
        <is>
          <t>Подтвердить присоединение под SA 16.1 (F16/G3), КОФ, крепёж.</t>
        </is>
      </c>
    </row>
    <row r="120">
      <c r="A120" s="276" t="inlineStr">
        <is>
          <t>1.3/90</t>
        </is>
      </c>
      <c r="B120" s="276" t="inlineStr">
        <is>
          <t>Задвижка стальная 30с964нж Ду 100 Ру 25 с электроприводом  МТ-100-220, 220В</t>
        </is>
      </c>
      <c r="C120" s="276" t="n">
        <v>3</v>
      </c>
      <c r="D120" s="276" t="inlineStr">
        <is>
          <t>завод вместо ДН.РУ</t>
        </is>
      </c>
      <c r="E120" s="276" t="inlineStr">
        <is>
          <t>ООО «Пермский трубопроводный завод» (ООО «ПТЗ»)</t>
        </is>
      </c>
      <c r="F120" s="276" t="inlineStr">
        <is>
          <t>+7 (342) 270-07-34 sales@ptza.ru</t>
        </is>
      </c>
      <c r="G120" s="276" t="inlineStr">
        <is>
          <t>30с964нж Ду100 PN25 с электроприводом (ПТЗ)</t>
        </is>
      </c>
      <c r="H120" s="276" t="inlineStr">
        <is>
          <t>ООО «Пермский трубопроводный завод» (ИНН 5904173655)</t>
        </is>
      </c>
      <c r="I120" s="276" t="inlineStr">
        <is>
          <t>10698940</t>
        </is>
      </c>
      <c r="J120" s="276" t="inlineStr">
        <is>
          <t>17.02.2031</t>
        </is>
      </c>
      <c r="K120" s="276" t="inlineStr">
        <is>
          <t>не подтверждено</t>
        </is>
      </c>
      <c r="L120" s="276" t="inlineStr">
        <is>
          <t>Запросить электропривод 100 Н·м 220 В, тип А.</t>
        </is>
      </c>
    </row>
    <row r="121">
      <c r="A121" s="276" t="inlineStr">
        <is>
          <t>1.3/91</t>
        </is>
      </c>
      <c r="B121" s="276" t="inlineStr">
        <is>
          <t>Задвижка 30с99нж Ду 50 Ру 25</t>
        </is>
      </c>
      <c r="C121" s="276" t="n">
        <v>1</v>
      </c>
      <c r="D121" s="276" t="inlineStr">
        <is>
          <t>завод вместо ДН.РУ</t>
        </is>
      </c>
      <c r="E121" s="276" t="inlineStr">
        <is>
          <t>ООО «Пермский трубопроводный завод» (ООО «ПТЗ»)</t>
        </is>
      </c>
      <c r="F121" s="276" t="inlineStr">
        <is>
          <t>+7 (342) 270-07-34 sales@ptza.ru</t>
        </is>
      </c>
      <c r="G121" s="276" t="inlineStr">
        <is>
          <t>30с99нж Ду50 PN25 (ПТЗ)</t>
        </is>
      </c>
      <c r="H121" s="276" t="inlineStr">
        <is>
          <t>ООО «Пермский трубопроводный завод» (ИНН 5904173655)</t>
        </is>
      </c>
      <c r="I121" s="276" t="inlineStr">
        <is>
          <t>10698940</t>
        </is>
      </c>
      <c r="J121" s="276" t="inlineStr">
        <is>
          <t>17.02.2031</t>
        </is>
      </c>
      <c r="K121" s="276" t="inlineStr">
        <is>
          <t>соответствует</t>
        </is>
      </c>
      <c r="L121" s="276" t="inlineStr">
        <is>
          <t>Подтвердить наплавку 20Х13, ТРГ. ТУ ПТЗ 3740-035-83272983-2013 вместо ТУ 26-07-412-87 (инфо).</t>
        </is>
      </c>
    </row>
    <row r="122">
      <c r="A122" s="276" t="inlineStr">
        <is>
          <t>1.3/92</t>
        </is>
      </c>
      <c r="B122" s="276" t="inlineStr">
        <is>
          <t>Задвижка 30с99нж Ду 80 Ру 25</t>
        </is>
      </c>
      <c r="C122" s="276" t="n">
        <v>1</v>
      </c>
      <c r="D122" s="276" t="inlineStr">
        <is>
          <t>завод вместо ДН.РУ</t>
        </is>
      </c>
      <c r="E122" s="276" t="inlineStr">
        <is>
          <t>ООО «Пермский трубопроводный завод» (ООО «ПТЗ»)</t>
        </is>
      </c>
      <c r="F122" s="276" t="inlineStr">
        <is>
          <t>+7 (342) 270-07-34 sales@ptza.ru</t>
        </is>
      </c>
      <c r="G122" s="276" t="inlineStr">
        <is>
          <t>30с99нж Ду80 PN25 (ПТЗ)</t>
        </is>
      </c>
      <c r="H122" s="276" t="inlineStr">
        <is>
          <t>ООО «Пермский трубопроводный завод» (ИНН 5904173655)</t>
        </is>
      </c>
      <c r="I122" s="276" t="inlineStr">
        <is>
          <t>10698940</t>
        </is>
      </c>
      <c r="J122" s="276" t="inlineStr">
        <is>
          <t>17.02.2031</t>
        </is>
      </c>
      <c r="K122" s="276" t="inlineStr">
        <is>
          <t>соответствует</t>
        </is>
      </c>
      <c r="L122" s="276" t="inlineStr">
        <is>
          <t>Подтвердить наплавку 20Х13, ТРГ. ТУ ПТЗ 3740-035-83272983-2013 вместо ТУ 26-07-412-87 (инфо).</t>
        </is>
      </c>
    </row>
    <row r="123">
      <c r="A123" s="276" t="inlineStr">
        <is>
          <t>1.3/93</t>
        </is>
      </c>
      <c r="B123" s="276" t="inlineStr">
        <is>
          <t>Задвижка 30ч6бр Ду 50 Ру 10</t>
        </is>
      </c>
      <c r="C123" s="276" t="n">
        <v>8</v>
      </c>
      <c r="D123" s="276" t="inlineStr">
        <is>
          <t>завод вместо ДН.РУ</t>
        </is>
      </c>
      <c r="E123" s="276" t="inlineStr">
        <is>
          <t>ООО ПИК «АЛГРУПП»</t>
        </is>
      </c>
      <c r="F123" s="276" t="inlineStr">
        <is>
          <t>8-800-200-52-76 info@pik-algrupp.ru</t>
        </is>
      </c>
      <c r="G123" s="276" t="inlineStr">
        <is>
          <t>Задвижка чугунная параллельная литая PN 0,6-1,6 МПа DN 50-400 мм</t>
        </is>
      </c>
      <c r="H123" s="276" t="inlineStr">
        <is>
          <t>ООО ПИК «АЛГРУПП»</t>
        </is>
      </c>
      <c r="I123" s="276" t="inlineStr">
        <is>
          <t>10716626</t>
        </is>
      </c>
      <c r="J123" s="276" t="inlineStr">
        <is>
          <t>16.10.2030</t>
        </is>
      </c>
      <c r="K123" s="276" t="inlineStr">
        <is>
          <t>не проверено построчно</t>
        </is>
      </c>
      <c r="L123" s="276" t="inlineStr"/>
    </row>
    <row r="124">
      <c r="A124" s="276" t="inlineStr">
        <is>
          <t>1.3/94</t>
        </is>
      </c>
      <c r="B124" s="276" t="inlineStr">
        <is>
          <t>Задвижка 30ч6бр Ду 80 Ру 10</t>
        </is>
      </c>
      <c r="C124" s="276" t="n">
        <v>14</v>
      </c>
      <c r="D124" s="276" t="inlineStr">
        <is>
          <t>завод вместо ДН.РУ</t>
        </is>
      </c>
      <c r="E124" s="276" t="inlineStr">
        <is>
          <t>ООО ПИК «АЛГРУПП»</t>
        </is>
      </c>
      <c r="F124" s="276" t="inlineStr">
        <is>
          <t>8-800-200-52-76 info@pik-algrupp.ru</t>
        </is>
      </c>
      <c r="G124" s="276" t="inlineStr">
        <is>
          <t>Задвижка чугунная параллельная литая PN 0,6-1,6 МПа DN 50-400 мм</t>
        </is>
      </c>
      <c r="H124" s="276" t="inlineStr">
        <is>
          <t>ООО ПИК «АЛГРУПП»</t>
        </is>
      </c>
      <c r="I124" s="276" t="inlineStr">
        <is>
          <t>10716626</t>
        </is>
      </c>
      <c r="J124" s="276" t="inlineStr">
        <is>
          <t>16.10.2030</t>
        </is>
      </c>
      <c r="K124" s="276" t="inlineStr">
        <is>
          <t>не проверено построчно</t>
        </is>
      </c>
      <c r="L124" s="276" t="inlineStr"/>
    </row>
    <row r="125">
      <c r="A125" s="276" t="inlineStr">
        <is>
          <t>1.3/95</t>
        </is>
      </c>
      <c r="B125" s="276" t="inlineStr">
        <is>
          <t>Задвижка 30ч6бр Ду 100 Ру 10</t>
        </is>
      </c>
      <c r="C125" s="276" t="n">
        <v>19</v>
      </c>
      <c r="D125" s="276" t="inlineStr">
        <is>
          <t>завод вместо ДН.РУ</t>
        </is>
      </c>
      <c r="E125" s="276" t="inlineStr">
        <is>
          <t>ООО ПИК «АЛГРУПП»</t>
        </is>
      </c>
      <c r="F125" s="276" t="inlineStr">
        <is>
          <t>8-800-200-52-76 info@pik-algrupp.ru</t>
        </is>
      </c>
      <c r="G125" s="276" t="inlineStr">
        <is>
          <t>Задвижка чугунная параллельная литая PN 0,6-1,6 МПа DN 50-400 мм</t>
        </is>
      </c>
      <c r="H125" s="276" t="inlineStr">
        <is>
          <t>ООО ПИК «АЛГРУПП»</t>
        </is>
      </c>
      <c r="I125" s="276" t="inlineStr">
        <is>
          <t>10716626</t>
        </is>
      </c>
      <c r="J125" s="276" t="inlineStr">
        <is>
          <t>16.10.2030</t>
        </is>
      </c>
      <c r="K125" s="276" t="inlineStr">
        <is>
          <t>не проверено построчно</t>
        </is>
      </c>
      <c r="L125" s="276" t="inlineStr"/>
    </row>
    <row r="126">
      <c r="A126" s="276" t="inlineStr">
        <is>
          <t>1.3/96</t>
        </is>
      </c>
      <c r="B126" s="276" t="inlineStr">
        <is>
          <t>Задвижка 30ч6бр Ду 150 Ру 10</t>
        </is>
      </c>
      <c r="C126" s="276" t="n">
        <v>19</v>
      </c>
      <c r="D126" s="276" t="inlineStr">
        <is>
          <t>завод вместо ДН.РУ</t>
        </is>
      </c>
      <c r="E126" s="276" t="inlineStr">
        <is>
          <t>ООО ПИК «АЛГРУПП»</t>
        </is>
      </c>
      <c r="F126" s="276" t="inlineStr">
        <is>
          <t>8-800-200-52-76 info@pik-algrupp.ru</t>
        </is>
      </c>
      <c r="G126" s="276" t="inlineStr">
        <is>
          <t>Задвижка чугунная параллельная литая PN 0,6-1,6 МПа DN 50-400 мм</t>
        </is>
      </c>
      <c r="H126" s="276" t="inlineStr">
        <is>
          <t>ООО ПИК «АЛГРУПП»</t>
        </is>
      </c>
      <c r="I126" s="276" t="inlineStr">
        <is>
          <t>10716626</t>
        </is>
      </c>
      <c r="J126" s="276" t="inlineStr">
        <is>
          <t>16.10.2030</t>
        </is>
      </c>
      <c r="K126" s="276" t="inlineStr">
        <is>
          <t>не проверено построчно</t>
        </is>
      </c>
      <c r="L126" s="276" t="inlineStr"/>
    </row>
    <row r="127">
      <c r="A127" s="276" t="inlineStr">
        <is>
          <t>1.3/97</t>
        </is>
      </c>
      <c r="B127" s="276" t="inlineStr">
        <is>
          <t>Задвижка 30ч6бр Ду 200 Ру 10</t>
        </is>
      </c>
      <c r="C127" s="276" t="n">
        <v>13</v>
      </c>
      <c r="D127" s="276" t="inlineStr">
        <is>
          <t>завод вместо ДН.РУ</t>
        </is>
      </c>
      <c r="E127" s="276" t="inlineStr">
        <is>
          <t>ООО ПИК «АЛГРУПП»</t>
        </is>
      </c>
      <c r="F127" s="276" t="inlineStr">
        <is>
          <t>8-800-200-52-76 info@pik-algrupp.ru</t>
        </is>
      </c>
      <c r="G127" s="276" t="inlineStr">
        <is>
          <t>Задвижка чугунная параллельная литая PN 0,6-1,6 МПа DN 50-400 мм</t>
        </is>
      </c>
      <c r="H127" s="276" t="inlineStr">
        <is>
          <t>ООО ПИК «АЛГРУПП»</t>
        </is>
      </c>
      <c r="I127" s="276" t="inlineStr">
        <is>
          <t>10716626</t>
        </is>
      </c>
      <c r="J127" s="276" t="inlineStr">
        <is>
          <t>16.10.2030</t>
        </is>
      </c>
      <c r="K127" s="276" t="inlineStr">
        <is>
          <t>не проверено построчно</t>
        </is>
      </c>
      <c r="L127" s="276" t="inlineStr"/>
    </row>
    <row r="128">
      <c r="A128" s="276" t="inlineStr">
        <is>
          <t>1.3/98</t>
        </is>
      </c>
      <c r="B128" s="276" t="inlineStr">
        <is>
          <t>Задвижка 30ч6бр Ду 250 Ру 10</t>
        </is>
      </c>
      <c r="C128" s="276" t="n">
        <v>4</v>
      </c>
      <c r="D128" s="276" t="inlineStr">
        <is>
          <t>завод вместо ДН.РУ</t>
        </is>
      </c>
      <c r="E128" s="276" t="inlineStr">
        <is>
          <t>ООО ПИК «АЛГРУПП»</t>
        </is>
      </c>
      <c r="F128" s="276" t="inlineStr">
        <is>
          <t>8-800-200-52-76 info@pik-algrupp.ru</t>
        </is>
      </c>
      <c r="G128" s="276" t="inlineStr">
        <is>
          <t>Задвижка чугунная параллельная литая PN 0,6-1,6 МПа DN 50-400 мм</t>
        </is>
      </c>
      <c r="H128" s="276" t="inlineStr">
        <is>
          <t>ООО ПИК «АЛГРУПП»</t>
        </is>
      </c>
      <c r="I128" s="276" t="inlineStr">
        <is>
          <t>10716626</t>
        </is>
      </c>
      <c r="J128" s="276" t="inlineStr">
        <is>
          <t>16.10.2030</t>
        </is>
      </c>
      <c r="K128" s="276" t="inlineStr">
        <is>
          <t>не проверено построчно</t>
        </is>
      </c>
      <c r="L128" s="276" t="inlineStr"/>
    </row>
    <row r="129">
      <c r="A129" s="276" t="inlineStr">
        <is>
          <t>1.3/99</t>
        </is>
      </c>
      <c r="B129" s="276" t="inlineStr">
        <is>
          <t>Задвижка 30ч6бр Ду 300 Ру 10</t>
        </is>
      </c>
      <c r="C129" s="276" t="n">
        <v>4</v>
      </c>
      <c r="D129" s="276" t="inlineStr">
        <is>
          <t>завод вместо ДН.РУ</t>
        </is>
      </c>
      <c r="E129" s="276" t="inlineStr">
        <is>
          <t>ООО ПИК «АЛГРУПП»</t>
        </is>
      </c>
      <c r="F129" s="276" t="inlineStr">
        <is>
          <t>8-800-200-52-76 info@pik-algrupp.ru</t>
        </is>
      </c>
      <c r="G129" s="276" t="inlineStr">
        <is>
          <t>Задвижка чугунная параллельная литая PN 0,6-1,6 МПа DN 50-400 мм</t>
        </is>
      </c>
      <c r="H129" s="276" t="inlineStr">
        <is>
          <t>ООО ПИК «АЛГРУПП»</t>
        </is>
      </c>
      <c r="I129" s="276" t="inlineStr">
        <is>
          <t>10716626</t>
        </is>
      </c>
      <c r="J129" s="276" t="inlineStr">
        <is>
          <t>16.10.2030</t>
        </is>
      </c>
      <c r="K129" s="276" t="inlineStr">
        <is>
          <t>не проверено построчно</t>
        </is>
      </c>
      <c r="L129" s="276" t="inlineStr"/>
    </row>
    <row r="130">
      <c r="A130" s="276" t="inlineStr">
        <is>
          <t>1.3/100</t>
        </is>
      </c>
      <c r="B130" s="276" t="inlineStr">
        <is>
          <t>Кран 11б27п(м) Ду 15 Ру 16 3-х ходовой для манометров</t>
        </is>
      </c>
      <c r="C130" s="276" t="n">
        <v>4</v>
      </c>
      <c r="D130" s="276" t="inlineStr">
        <is>
          <t>текущий поставщик (номера записи нет)</t>
        </is>
      </c>
      <c r="E130" s="276" t="inlineStr">
        <is>
          <t>КИПИКА (прайс 01.10)</t>
        </is>
      </c>
      <c r="F130" s="276" t="inlineStr">
        <is>
          <t>+7 (8412) 909-200 b18bk@11b18bk.ru</t>
        </is>
      </c>
      <c r="G130" s="276" t="inlineStr">
        <is>
          <t>Кран шаровый трёхходовой для манометра 11б27пм.1 Ру16 Ду15 G1/2×M20×1,5 (арт. 021011011)</t>
        </is>
      </c>
      <c r="H130" s="276" t="inlineStr"/>
      <c r="I130" s="276" t="inlineStr"/>
      <c r="J130" s="276" t="inlineStr"/>
      <c r="K130" s="276" t="inlineStr">
        <is>
          <t>нет записи ПП 719 — не проходит нацрежим</t>
        </is>
      </c>
      <c r="L130" s="276" t="inlineStr">
        <is>
          <t>изготовитель и № записи ПП 719 или российская замена</t>
        </is>
      </c>
    </row>
    <row r="131">
      <c r="A131" s="276" t="inlineStr">
        <is>
          <t>1.3/101</t>
        </is>
      </c>
      <c r="B131" s="276" t="inlineStr">
        <is>
          <t>Кран шаровой 11б27п1 Ду 15 Ру 16</t>
        </is>
      </c>
      <c r="C131" s="276" t="n">
        <v>110</v>
      </c>
      <c r="D131" s="276" t="inlineStr">
        <is>
          <t>завод (новый запрос КП)</t>
        </is>
      </c>
      <c r="E131" s="276" t="inlineStr">
        <is>
          <t>ООО «ЧелябинскСпецГражданСтрой» / ЛД Прайд (Группа компаний «ЛД», ТМ LD, LD Pride); продажи — ООО «ТД «ЛД»</t>
        </is>
      </c>
      <c r="F131" s="276" t="inlineStr">
        <is>
          <t>+7 (351) 730-47-47 office@chsgs.ru</t>
        </is>
      </c>
      <c r="G131" s="276" t="inlineStr">
        <is>
          <t>LD Pride 47 Ду15 ВР-ВР рычаг (латунь ЛС59-1)</t>
        </is>
      </c>
      <c r="H131" s="276" t="inlineStr">
        <is>
          <t>ООО «ЛД Прайд» (ИНН 7449114775)</t>
        </is>
      </c>
      <c r="I131" s="276" t="inlineStr">
        <is>
          <t>10826766</t>
        </is>
      </c>
      <c r="J131" s="276" t="inlineStr">
        <is>
          <t>04.05.2031</t>
        </is>
      </c>
      <c r="K131" s="276" t="inlineStr">
        <is>
          <t>не подтверждено</t>
        </is>
      </c>
      <c r="L131" s="276" t="inlineStr">
        <is>
          <t>Подтвердить полный проход, исполнение У1 (для улицы), применимость на пар (где указан).</t>
        </is>
      </c>
    </row>
    <row r="132">
      <c r="A132" s="276" t="inlineStr">
        <is>
          <t>1.3/102</t>
        </is>
      </c>
      <c r="B132" s="276" t="inlineStr">
        <is>
          <t>Кран шаровой 11б27п1 Ду 20 Ру 16</t>
        </is>
      </c>
      <c r="C132" s="276" t="n">
        <v>57</v>
      </c>
      <c r="D132" s="276" t="inlineStr">
        <is>
          <t>завод (новый запрос КП)</t>
        </is>
      </c>
      <c r="E132" s="276" t="inlineStr">
        <is>
          <t>ООО «ЧелябинскСпецГражданСтрой» / ЛД Прайд (Группа компаний «ЛД», ТМ LD, LD Pride); продажи — ООО «ТД «ЛД»</t>
        </is>
      </c>
      <c r="F132" s="276" t="inlineStr">
        <is>
          <t>+7 (351) 730-47-47 office@chsgs.ru</t>
        </is>
      </c>
      <c r="G132" s="276" t="inlineStr">
        <is>
          <t>LD Pride 47 Ду20 ВР-ВР рычаг (латунь ЛС59-1)</t>
        </is>
      </c>
      <c r="H132" s="276" t="inlineStr">
        <is>
          <t>ООО «ЛД Прайд» (ИНН 7449114775)</t>
        </is>
      </c>
      <c r="I132" s="276" t="inlineStr">
        <is>
          <t>10826766</t>
        </is>
      </c>
      <c r="J132" s="276" t="inlineStr">
        <is>
          <t>04.05.2031</t>
        </is>
      </c>
      <c r="K132" s="276" t="inlineStr">
        <is>
          <t>не подтверждено</t>
        </is>
      </c>
      <c r="L132" s="276" t="inlineStr">
        <is>
          <t>Подтвердить полный проход, исполнение У1 (для улицы), применимость на пар (где указан).</t>
        </is>
      </c>
    </row>
    <row r="133">
      <c r="A133" s="276" t="inlineStr">
        <is>
          <t>1.3/103</t>
        </is>
      </c>
      <c r="B133" s="276" t="inlineStr">
        <is>
          <t>Кран шаровой 11б27п1 Ду 25 Ру 16</t>
        </is>
      </c>
      <c r="C133" s="276" t="n">
        <v>29</v>
      </c>
      <c r="D133" s="276" t="inlineStr">
        <is>
          <t>завод (новый запрос КП)</t>
        </is>
      </c>
      <c r="E133" s="276" t="inlineStr">
        <is>
          <t>ООО «ЧелябинскСпецГражданСтрой» / ЛД Прайд (Группа компаний «ЛД», ТМ LD, LD Pride); продажи — ООО «ТД «ЛД»</t>
        </is>
      </c>
      <c r="F133" s="276" t="inlineStr">
        <is>
          <t>+7 (351) 730-47-47 office@chsgs.ru</t>
        </is>
      </c>
      <c r="G133" s="276" t="inlineStr">
        <is>
          <t>LD Pride 47 Ду25 ВР-ВР рычаг (латунь ЛС59-1)</t>
        </is>
      </c>
      <c r="H133" s="276" t="inlineStr">
        <is>
          <t>ООО «ЛД Прайд» (ИНН 7449114775)</t>
        </is>
      </c>
      <c r="I133" s="276" t="inlineStr">
        <is>
          <t>10826766</t>
        </is>
      </c>
      <c r="J133" s="276" t="inlineStr">
        <is>
          <t>04.05.2031</t>
        </is>
      </c>
      <c r="K133" s="276" t="inlineStr">
        <is>
          <t>не подтверждено</t>
        </is>
      </c>
      <c r="L133" s="276" t="inlineStr">
        <is>
          <t>Подтвердить полный проход, исполнение У1 (для улицы), применимость на пар (где указан).</t>
        </is>
      </c>
    </row>
    <row r="134">
      <c r="A134" s="276" t="inlineStr">
        <is>
          <t>1.3/104</t>
        </is>
      </c>
      <c r="B134" s="276" t="inlineStr">
        <is>
          <t>Кран шаровой 11б27п1 Ду 32 Ру 16</t>
        </is>
      </c>
      <c r="C134" s="276" t="n">
        <v>47</v>
      </c>
      <c r="D134" s="276" t="inlineStr">
        <is>
          <t>завод (новый запрос КП)</t>
        </is>
      </c>
      <c r="E134" s="276" t="inlineStr">
        <is>
          <t>ООО «ЧелябинскСпецГражданСтрой» / ЛД Прайд (Группа компаний «ЛД», ТМ LD, LD Pride); продажи — ООО «ТД «ЛД»</t>
        </is>
      </c>
      <c r="F134" s="276" t="inlineStr">
        <is>
          <t>+7 (351) 730-47-47 office@chsgs.ru</t>
        </is>
      </c>
      <c r="G134" s="276" t="inlineStr">
        <is>
          <t>LD Pride 47 Ду32 ВР-ВР рычаг (латунь ЛС59-1)</t>
        </is>
      </c>
      <c r="H134" s="276" t="inlineStr">
        <is>
          <t>ООО «ЛД Прайд» (ИНН 7449114775)</t>
        </is>
      </c>
      <c r="I134" s="276" t="inlineStr">
        <is>
          <t>10826766</t>
        </is>
      </c>
      <c r="J134" s="276" t="inlineStr">
        <is>
          <t>04.05.2031</t>
        </is>
      </c>
      <c r="K134" s="276" t="inlineStr">
        <is>
          <t>не подтверждено</t>
        </is>
      </c>
      <c r="L134" s="276" t="inlineStr">
        <is>
          <t>Подтвердить полный проход, исполнение У1 (для улицы), применимость на пар (где указан).</t>
        </is>
      </c>
    </row>
    <row r="135">
      <c r="A135" s="276" t="inlineStr">
        <is>
          <t>1.3/105</t>
        </is>
      </c>
      <c r="B135" s="276" t="inlineStr">
        <is>
          <t>Кран шаровой 11б27п1 Ду 50 Ру 16</t>
        </is>
      </c>
      <c r="C135" s="276" t="n">
        <v>24</v>
      </c>
      <c r="D135" s="276" t="inlineStr">
        <is>
          <t>завод (новый запрос КП)</t>
        </is>
      </c>
      <c r="E135" s="276" t="inlineStr">
        <is>
          <t>ООО «ЧелябинскСпецГражданСтрой» / ЛД Прайд (Группа компаний «ЛД», ТМ LD, LD Pride); продажи — ООО «ТД «ЛД»</t>
        </is>
      </c>
      <c r="F135" s="276" t="inlineStr">
        <is>
          <t>+7 (351) 730-47-47 office@chsgs.ru</t>
        </is>
      </c>
      <c r="G135" s="276" t="inlineStr">
        <is>
          <t>LD Pride 47 Ду50 ВР-ВР рычаг (латунь ЛС59-1)</t>
        </is>
      </c>
      <c r="H135" s="276" t="inlineStr">
        <is>
          <t>ООО «ЛД Прайд» (ИНН 7449114775)</t>
        </is>
      </c>
      <c r="I135" s="276" t="inlineStr">
        <is>
          <t>10826766</t>
        </is>
      </c>
      <c r="J135" s="276" t="inlineStr">
        <is>
          <t>04.05.2031</t>
        </is>
      </c>
      <c r="K135" s="276" t="inlineStr">
        <is>
          <t>не подтверждено</t>
        </is>
      </c>
      <c r="L135" s="276" t="inlineStr">
        <is>
          <t>Подтвердить полный проход, исполнение У1 (для улицы), применимость на пар (где указан).</t>
        </is>
      </c>
    </row>
    <row r="136">
      <c r="A136" s="276" t="inlineStr">
        <is>
          <t>1.3/106</t>
        </is>
      </c>
      <c r="B136" s="276" t="inlineStr">
        <is>
          <t>Кран шаровой фланцевый 11с22п Ду 50 Ру 16</t>
        </is>
      </c>
      <c r="C136" s="276" t="n">
        <v>7</v>
      </c>
      <c r="D136" s="276" t="inlineStr">
        <is>
          <t>завод (новый запрос КП)</t>
        </is>
      </c>
      <c r="E136" s="276" t="inlineStr">
        <is>
          <t>ООО «ЧелябинскСпецГражданСтрой» / ЛД Прайд (Группа компаний «ЛД», ТМ LD, LD Pride); продажи — ООО «ТД «ЛД»</t>
        </is>
      </c>
      <c r="F136" s="276" t="inlineStr">
        <is>
          <t>+7 (351) 730-47-47 office@chsgs.ru</t>
        </is>
      </c>
      <c r="G136" s="276" t="inlineStr">
        <is>
          <t>LD КШЦФ ст.20 Ду50 Н/П PN16(40) (аналог 11с22п)</t>
        </is>
      </c>
      <c r="H136" s="276" t="inlineStr">
        <is>
          <t>ООО «ЧелябинскСпецГражданСтрой» (ИНН 7451211335)</t>
        </is>
      </c>
      <c r="I136" s="276" t="inlineStr">
        <is>
          <t>10655491</t>
        </is>
      </c>
      <c r="J136" s="276" t="inlineStr">
        <is>
          <t>30.06.2028</t>
        </is>
      </c>
      <c r="K136" s="276" t="inlineStr">
        <is>
          <t>эквивалент — согласовать</t>
        </is>
      </c>
      <c r="L136" s="276" t="inlineStr"/>
    </row>
    <row r="137">
      <c r="A137" s="276" t="inlineStr">
        <is>
          <t>1.3/107</t>
        </is>
      </c>
      <c r="B137" s="276" t="inlineStr">
        <is>
          <t>Кран шаровой фланцевый 11с22п Ду 80 Ру 16</t>
        </is>
      </c>
      <c r="C137" s="276" t="n">
        <v>8</v>
      </c>
      <c r="D137" s="276" t="inlineStr">
        <is>
          <t>завод (новый запрос КП)</t>
        </is>
      </c>
      <c r="E137" s="276" t="inlineStr">
        <is>
          <t>ООО «ЧелябинскСпецГражданСтрой» / ЛД Прайд (Группа компаний «ЛД», ТМ LD, LD Pride); продажи — ООО «ТД «ЛД»</t>
        </is>
      </c>
      <c r="F137" s="276" t="inlineStr">
        <is>
          <t>+7 (351) 730-47-47 office@chsgs.ru</t>
        </is>
      </c>
      <c r="G137" s="276" t="inlineStr">
        <is>
          <t>LD КШЦФ ст.20 Ду80 Н/П PN16(40) (аналог 11с22п)</t>
        </is>
      </c>
      <c r="H137" s="276" t="inlineStr">
        <is>
          <t>ООО «ЧелябинскСпецГражданСтрой» (ИНН 7451211335)</t>
        </is>
      </c>
      <c r="I137" s="276" t="inlineStr">
        <is>
          <t>10655491</t>
        </is>
      </c>
      <c r="J137" s="276" t="inlineStr">
        <is>
          <t>30.06.2028</t>
        </is>
      </c>
      <c r="K137" s="276" t="inlineStr">
        <is>
          <t>эквивалент — согласовать</t>
        </is>
      </c>
      <c r="L137" s="276" t="inlineStr"/>
    </row>
    <row r="138">
      <c r="A138" s="276" t="inlineStr">
        <is>
          <t>1.3/108</t>
        </is>
      </c>
      <c r="B138" s="276" t="inlineStr">
        <is>
          <t>Кран шаровой фланцевый 11с22п Ду 100 Ру 16</t>
        </is>
      </c>
      <c r="C138" s="276" t="n">
        <v>8</v>
      </c>
      <c r="D138" s="276" t="inlineStr">
        <is>
          <t>завод (новый запрос КП)</t>
        </is>
      </c>
      <c r="E138" s="276" t="inlineStr">
        <is>
          <t>ООО «ЧелябинскСпецГражданСтрой» / ЛД Прайд (Группа компаний «ЛД», ТМ LD, LD Pride); продажи — ООО «ТД «ЛД»</t>
        </is>
      </c>
      <c r="F138" s="276" t="inlineStr">
        <is>
          <t>+7 (351) 730-47-47 office@chsgs.ru</t>
        </is>
      </c>
      <c r="G138" s="276" t="inlineStr">
        <is>
          <t>LD КШЦФ ст.20 Ду100 Н/П PN16(40) (аналог 11с22п)</t>
        </is>
      </c>
      <c r="H138" s="276" t="inlineStr">
        <is>
          <t>ООО «ЧелябинскСпецГражданСтрой» (ИНН 7451211335)</t>
        </is>
      </c>
      <c r="I138" s="276" t="inlineStr">
        <is>
          <t>10655491</t>
        </is>
      </c>
      <c r="J138" s="276" t="inlineStr">
        <is>
          <t>30.06.2028</t>
        </is>
      </c>
      <c r="K138" s="276" t="inlineStr">
        <is>
          <t>эквивалент — согласовать</t>
        </is>
      </c>
      <c r="L138" s="276" t="inlineStr"/>
    </row>
    <row r="139">
      <c r="A139" s="276" t="inlineStr">
        <is>
          <t>1.3/109</t>
        </is>
      </c>
      <c r="B139" s="276" t="inlineStr">
        <is>
          <t>Кран шаровой 11С67П Ду 100 Ру 16</t>
        </is>
      </c>
      <c r="C139" s="276" t="n">
        <v>2</v>
      </c>
      <c r="D139" s="276" t="inlineStr">
        <is>
          <t>завод (новый запрос КП)</t>
        </is>
      </c>
      <c r="E139" s="276" t="inlineStr">
        <is>
          <t>ООО «ЧелябинскСпецГражданСтрой» / ЛД Прайд (Группа компаний «ЛД», ТМ LD, LD Pride); продажи — ООО «ТД «ЛД»</t>
        </is>
      </c>
      <c r="F139" s="276" t="inlineStr">
        <is>
          <t>+7 (351) 730-47-47 office@chsgs.ru</t>
        </is>
      </c>
      <c r="G139" s="276" t="inlineStr">
        <is>
          <t>LD 11с67п КШРФ Ду100 П/П PN16</t>
        </is>
      </c>
      <c r="H139" s="276" t="inlineStr">
        <is>
          <t>ООО «ЧелябинскСпецГражданСтрой» (ИНН 7451211335)</t>
        </is>
      </c>
      <c r="I139" s="276" t="inlineStr">
        <is>
          <t>10655491</t>
        </is>
      </c>
      <c r="J139" s="276" t="inlineStr">
        <is>
          <t>30.06.2028</t>
        </is>
      </c>
      <c r="K139" s="276" t="inlineStr">
        <is>
          <t>не подтверждено</t>
        </is>
      </c>
      <c r="L139" s="276" t="inlineStr">
        <is>
          <t>Подтвердить письменно применимость на газ/пар при Т по ТЗ.</t>
        </is>
      </c>
    </row>
    <row r="140">
      <c r="A140" s="276" t="inlineStr">
        <is>
          <t>1.3/110</t>
        </is>
      </c>
      <c r="B140" s="276" t="inlineStr">
        <is>
          <t>Кран шаровой 11С67П Ду 150 Ру 16</t>
        </is>
      </c>
      <c r="C140" s="276" t="n">
        <v>2</v>
      </c>
      <c r="D140" s="276" t="inlineStr">
        <is>
          <t>завод (новый запрос КП)</t>
        </is>
      </c>
      <c r="E140" s="276" t="inlineStr">
        <is>
          <t>ООО «ЧелябинскСпецГражданСтрой» / ЛД Прайд (Группа компаний «ЛД», ТМ LD, LD Pride); продажи — ООО «ТД «ЛД»</t>
        </is>
      </c>
      <c r="F140" s="276" t="inlineStr">
        <is>
          <t>+7 (351) 730-47-47 office@chsgs.ru</t>
        </is>
      </c>
      <c r="G140" s="276" t="inlineStr">
        <is>
          <t>LD 11с67п КШРФ Ду150 П/П PN16</t>
        </is>
      </c>
      <c r="H140" s="276" t="inlineStr">
        <is>
          <t>ООО «ЧелябинскСпецГражданСтрой» (ИНН 7451211335)</t>
        </is>
      </c>
      <c r="I140" s="276" t="inlineStr">
        <is>
          <t>10655491</t>
        </is>
      </c>
      <c r="J140" s="276" t="inlineStr">
        <is>
          <t>30.06.2028</t>
        </is>
      </c>
      <c r="K140" s="276" t="inlineStr">
        <is>
          <t>не подтверждено</t>
        </is>
      </c>
      <c r="L140" s="276" t="inlineStr">
        <is>
          <t>Подтвердить письменно применимость на газ/пар при Т по ТЗ.</t>
        </is>
      </c>
    </row>
    <row r="141">
      <c r="A141" s="276" t="inlineStr">
        <is>
          <t>1.3/111</t>
        </is>
      </c>
      <c r="B141" s="276" t="inlineStr">
        <is>
          <t>Кран шаровой 11С67П Ду 200 Ру 16</t>
        </is>
      </c>
      <c r="C141" s="276" t="n">
        <v>2</v>
      </c>
      <c r="D141" s="276" t="inlineStr">
        <is>
          <t>НЕ ЗАКРЫТО</t>
        </is>
      </c>
      <c r="E141" s="276" t="inlineStr"/>
      <c r="F141" s="276" t="inlineStr"/>
      <c r="G141" s="276" t="inlineStr"/>
      <c r="H141" s="276" t="inlineStr"/>
      <c r="I141" s="276" t="inlineStr"/>
      <c r="J141" s="276" t="inlineStr"/>
      <c r="K141" s="276" t="inlineStr">
        <is>
          <t>нет поставщика с записью ПП 719 и соответствием ТЗ</t>
        </is>
      </c>
      <c r="L141" s="276" t="inlineStr"/>
    </row>
    <row r="142">
      <c r="A142" s="276" t="inlineStr">
        <is>
          <t>1.3/112</t>
        </is>
      </c>
      <c r="B142" s="276" t="inlineStr">
        <is>
          <t>Кран шаровой 11С67П Ду 80 Ру 16</t>
        </is>
      </c>
      <c r="C142" s="276" t="n">
        <v>2</v>
      </c>
      <c r="D142" s="276" t="inlineStr">
        <is>
          <t>завод (новый запрос КП)</t>
        </is>
      </c>
      <c r="E142" s="276" t="inlineStr">
        <is>
          <t>ООО «ЧелябинскСпецГражданСтрой» / ЛД Прайд (Группа компаний «ЛД», ТМ LD, LD Pride); продажи — ООО «ТД «ЛД»</t>
        </is>
      </c>
      <c r="F142" s="276" t="inlineStr">
        <is>
          <t>+7 (351) 730-47-47 office@chsgs.ru</t>
        </is>
      </c>
      <c r="G142" s="276" t="inlineStr">
        <is>
          <t>LD 11с67п КШРФ Ду80 П/П PN16</t>
        </is>
      </c>
      <c r="H142" s="276" t="inlineStr">
        <is>
          <t>ООО «ЧелябинскСпецГражданСтрой» (ИНН 7451211335)</t>
        </is>
      </c>
      <c r="I142" s="276" t="inlineStr">
        <is>
          <t>10655491</t>
        </is>
      </c>
      <c r="J142" s="276" t="inlineStr">
        <is>
          <t>30.06.2028</t>
        </is>
      </c>
      <c r="K142" s="276" t="inlineStr">
        <is>
          <t>не подтверждено</t>
        </is>
      </c>
      <c r="L142" s="276" t="inlineStr">
        <is>
          <t>Подтвердить письменно применимость на газ/пар при Т по ТЗ.</t>
        </is>
      </c>
    </row>
    <row r="143">
      <c r="A143" s="276" t="inlineStr">
        <is>
          <t>1.3/113</t>
        </is>
      </c>
      <c r="B143" s="276" t="inlineStr">
        <is>
          <t>Кран шаровой 11с67п Ду 15 Ру 25 цельносварной под приварку</t>
        </is>
      </c>
      <c r="C143" s="276" t="n">
        <v>62</v>
      </c>
      <c r="D143" s="276" t="inlineStr">
        <is>
          <t>завод (новый запрос КП)</t>
        </is>
      </c>
      <c r="E143" s="276" t="inlineStr">
        <is>
          <t>ООО «ЧелябинскСпецГражданСтрой» / ЛД Прайд (Группа компаний «ЛД», ТМ LD, LD Pride); продажи — ООО «ТД «ЛД»</t>
        </is>
      </c>
      <c r="F143" s="276" t="inlineStr">
        <is>
          <t>+7 (351) 730-47-47 office@chsgs.ru</t>
        </is>
      </c>
      <c r="G143" s="276" t="inlineStr">
        <is>
          <t>LD КШЦП (КШ.Ц.П) ст.20 Ду15 П/П PN4,0</t>
        </is>
      </c>
      <c r="H143" s="276" t="inlineStr">
        <is>
          <t>ООО «ЧелябинскСпецГражданСтрой» (ИНН 7451211335)</t>
        </is>
      </c>
      <c r="I143" s="276" t="inlineStr">
        <is>
          <t>10655491</t>
        </is>
      </c>
      <c r="J143" s="276" t="inlineStr">
        <is>
          <t>30.06.2028</t>
        </is>
      </c>
      <c r="K143" s="276" t="inlineStr">
        <is>
          <t>соответствует</t>
        </is>
      </c>
      <c r="L143" s="276" t="inlineStr"/>
    </row>
    <row r="144">
      <c r="A144" s="276" t="inlineStr">
        <is>
          <t>1.3/114</t>
        </is>
      </c>
      <c r="B144" s="276" t="inlineStr">
        <is>
          <t>Кран шаровой 11с67п Ду 25 Ру 25 цельносварной под приварку</t>
        </is>
      </c>
      <c r="C144" s="276" t="n">
        <v>48</v>
      </c>
      <c r="D144" s="276" t="inlineStr">
        <is>
          <t>завод (новый запрос КП)</t>
        </is>
      </c>
      <c r="E144" s="276" t="inlineStr">
        <is>
          <t>ООО «ЧелябинскСпецГражданСтрой» / ЛД Прайд (Группа компаний «ЛД», ТМ LD, LD Pride); продажи — ООО «ТД «ЛД»</t>
        </is>
      </c>
      <c r="F144" s="276" t="inlineStr">
        <is>
          <t>+7 (351) 730-47-47 office@chsgs.ru</t>
        </is>
      </c>
      <c r="G144" s="276" t="inlineStr">
        <is>
          <t>LD КШЦП (КШ.Ц.П) ст.20 Ду25 П/П PN4,0</t>
        </is>
      </c>
      <c r="H144" s="276" t="inlineStr">
        <is>
          <t>ООО «ЧелябинскСпецГражданСтрой» (ИНН 7451211335)</t>
        </is>
      </c>
      <c r="I144" s="276" t="inlineStr">
        <is>
          <t>10655491</t>
        </is>
      </c>
      <c r="J144" s="276" t="inlineStr">
        <is>
          <t>30.06.2028</t>
        </is>
      </c>
      <c r="K144" s="276" t="inlineStr">
        <is>
          <t>не подтверждено</t>
        </is>
      </c>
      <c r="L144" s="276" t="inlineStr">
        <is>
          <t>Подтвердить письменно применимость на газ/пар при Т по ТЗ.</t>
        </is>
      </c>
    </row>
    <row r="145">
      <c r="A145" s="276" t="inlineStr">
        <is>
          <t>1.3/115</t>
        </is>
      </c>
      <c r="B145" s="276" t="inlineStr">
        <is>
          <t>Кран шаровой 11с67п Ду 32 Ру 25 цельносварной под приварку</t>
        </is>
      </c>
      <c r="C145" s="276" t="n">
        <v>40</v>
      </c>
      <c r="D145" s="276" t="inlineStr">
        <is>
          <t>НЕ ЗАКРЫТО</t>
        </is>
      </c>
      <c r="E145" s="276" t="inlineStr"/>
      <c r="F145" s="276" t="inlineStr"/>
      <c r="G145" s="276" t="inlineStr"/>
      <c r="H145" s="276" t="inlineStr"/>
      <c r="I145" s="276" t="inlineStr"/>
      <c r="J145" s="276" t="inlineStr"/>
      <c r="K145" s="276" t="inlineStr">
        <is>
          <t>нет поставщика с записью ПП 719 и соответствием ТЗ</t>
        </is>
      </c>
      <c r="L145" s="276" t="inlineStr"/>
    </row>
    <row r="146">
      <c r="A146" s="276" t="inlineStr">
        <is>
          <t>1.3/116</t>
        </is>
      </c>
      <c r="B146" s="276" t="inlineStr">
        <is>
          <t>Кран шаровой 11с67п Ду 40 Ру 25 цельносварной под приварку</t>
        </is>
      </c>
      <c r="C146" s="276" t="n">
        <v>38</v>
      </c>
      <c r="D146" s="276" t="inlineStr">
        <is>
          <t>завод (новый запрос КП)</t>
        </is>
      </c>
      <c r="E146" s="276" t="inlineStr">
        <is>
          <t>ООО «ЧелябинскСпецГражданСтрой» / ЛД Прайд (Группа компаний «ЛД», ТМ LD, LD Pride); продажи — ООО «ТД «ЛД»</t>
        </is>
      </c>
      <c r="F146" s="276" t="inlineStr">
        <is>
          <t>+7 (351) 730-47-47 office@chsgs.ru</t>
        </is>
      </c>
      <c r="G146" s="276" t="inlineStr">
        <is>
          <t>LD КШЦП (КШ.Ц.П) ст.20 Ду40 П/П PN4,0</t>
        </is>
      </c>
      <c r="H146" s="276" t="inlineStr">
        <is>
          <t>ООО «ЧелябинскСпецГражданСтрой» (ИНН 7451211335)</t>
        </is>
      </c>
      <c r="I146" s="276" t="inlineStr">
        <is>
          <t>10655491</t>
        </is>
      </c>
      <c r="J146" s="276" t="inlineStr">
        <is>
          <t>30.06.2028</t>
        </is>
      </c>
      <c r="K146" s="276" t="inlineStr">
        <is>
          <t>соответствует</t>
        </is>
      </c>
      <c r="L146" s="276" t="inlineStr"/>
    </row>
    <row r="147">
      <c r="A147" s="276" t="inlineStr">
        <is>
          <t>1.3/117</t>
        </is>
      </c>
      <c r="B147" s="276" t="inlineStr">
        <is>
          <t>Кран шаровой 11с67п Ду 50 Ру 25 цельносварной под приварку</t>
        </is>
      </c>
      <c r="C147" s="276" t="n">
        <v>44</v>
      </c>
      <c r="D147" s="276" t="inlineStr">
        <is>
          <t>НЕ ЗАКРЫТО</t>
        </is>
      </c>
      <c r="E147" s="276" t="inlineStr"/>
      <c r="F147" s="276" t="inlineStr"/>
      <c r="G147" s="276" t="inlineStr"/>
      <c r="H147" s="276" t="inlineStr"/>
      <c r="I147" s="276" t="inlineStr"/>
      <c r="J147" s="276" t="inlineStr"/>
      <c r="K147" s="276" t="inlineStr">
        <is>
          <t>нет поставщика с записью ПП 719 и соответствием ТЗ</t>
        </is>
      </c>
      <c r="L147" s="276" t="inlineStr"/>
    </row>
    <row r="148">
      <c r="A148" s="276" t="inlineStr">
        <is>
          <t>1.3/118</t>
        </is>
      </c>
      <c r="B148" s="276" t="inlineStr">
        <is>
          <t>Кран шаровой 11с67п Ду 80 Ру 25 цельносварной под приварку</t>
        </is>
      </c>
      <c r="C148" s="276" t="n">
        <v>26</v>
      </c>
      <c r="D148" s="276" t="inlineStr">
        <is>
          <t>НЕ ЗАКРЫТО</t>
        </is>
      </c>
      <c r="E148" s="276" t="inlineStr"/>
      <c r="F148" s="276" t="inlineStr"/>
      <c r="G148" s="276" t="inlineStr"/>
      <c r="H148" s="276" t="inlineStr"/>
      <c r="I148" s="276" t="inlineStr"/>
      <c r="J148" s="276" t="inlineStr"/>
      <c r="K148" s="276" t="inlineStr">
        <is>
          <t>нет поставщика с записью ПП 719 и соответствием ТЗ</t>
        </is>
      </c>
      <c r="L148" s="276" t="inlineStr"/>
    </row>
    <row r="149">
      <c r="A149" s="276" t="inlineStr">
        <is>
          <t>1.3/119</t>
        </is>
      </c>
      <c r="B149" s="276" t="inlineStr">
        <is>
          <t>Кран шаровой 11с67п Ду 100 Ру 25 цельносварной под приварку</t>
        </is>
      </c>
      <c r="C149" s="276" t="n">
        <v>24</v>
      </c>
      <c r="D149" s="276" t="inlineStr">
        <is>
          <t>НЕ ЗАКРЫТО</t>
        </is>
      </c>
      <c r="E149" s="276" t="inlineStr"/>
      <c r="F149" s="276" t="inlineStr"/>
      <c r="G149" s="276" t="inlineStr"/>
      <c r="H149" s="276" t="inlineStr"/>
      <c r="I149" s="276" t="inlineStr"/>
      <c r="J149" s="276" t="inlineStr"/>
      <c r="K149" s="276" t="inlineStr">
        <is>
          <t>нет поставщика с записью ПП 719 и соответствием ТЗ</t>
        </is>
      </c>
      <c r="L149" s="276" t="inlineStr"/>
    </row>
    <row r="150">
      <c r="A150" s="276" t="inlineStr">
        <is>
          <t>1.3/120</t>
        </is>
      </c>
      <c r="B150" s="276" t="inlineStr">
        <is>
          <t>Кран шаровой 11с67п Ду 150 Ру 25 цельносварной под приварку</t>
        </is>
      </c>
      <c r="C150" s="276" t="n">
        <v>22</v>
      </c>
      <c r="D150" s="276" t="inlineStr">
        <is>
          <t>завод (новый запрос КП)</t>
        </is>
      </c>
      <c r="E150" s="276" t="inlineStr">
        <is>
          <t>ООО «ЧелябинскСпецГражданСтрой» / ЛД Прайд (Группа компаний «ЛД», ТМ LD, LD Pride); продажи — ООО «ТД «ЛД»</t>
        </is>
      </c>
      <c r="F150" s="276" t="inlineStr">
        <is>
          <t>+7 (351) 730-47-47 office@chsgs.ru</t>
        </is>
      </c>
      <c r="G150" s="276" t="inlineStr">
        <is>
          <t>LD КШЦП (КШ.Ц.П) ст.20 Ду150 П/П PN2,5</t>
        </is>
      </c>
      <c r="H150" s="276" t="inlineStr">
        <is>
          <t>ООО «ЧелябинскСпецГражданСтрой» (ИНН 7451211335)</t>
        </is>
      </c>
      <c r="I150" s="276" t="inlineStr">
        <is>
          <t>10655491</t>
        </is>
      </c>
      <c r="J150" s="276" t="inlineStr">
        <is>
          <t>30.06.2028</t>
        </is>
      </c>
      <c r="K150" s="276" t="inlineStr">
        <is>
          <t>соответствует</t>
        </is>
      </c>
      <c r="L150" s="276" t="inlineStr"/>
    </row>
    <row r="151">
      <c r="A151" s="276" t="inlineStr">
        <is>
          <t>1.3/121</t>
        </is>
      </c>
      <c r="B151" s="276" t="inlineStr">
        <is>
          <t>Кран шаровой 11с67п Ду 200 Ру 25 цельносварной под приварку</t>
        </is>
      </c>
      <c r="C151" s="276" t="n">
        <v>10</v>
      </c>
      <c r="D151" s="276" t="inlineStr">
        <is>
          <t>НЕ ЗАКРЫТО</t>
        </is>
      </c>
      <c r="E151" s="276" t="inlineStr"/>
      <c r="F151" s="276" t="inlineStr"/>
      <c r="G151" s="276" t="inlineStr"/>
      <c r="H151" s="276" t="inlineStr"/>
      <c r="I151" s="276" t="inlineStr"/>
      <c r="J151" s="276" t="inlineStr"/>
      <c r="K151" s="276" t="inlineStr">
        <is>
          <t>нет поставщика с записью ПП 719 и соответствием ТЗ</t>
        </is>
      </c>
      <c r="L151" s="276" t="inlineStr"/>
    </row>
    <row r="152">
      <c r="A152" s="276" t="inlineStr">
        <is>
          <t>1.3/122</t>
        </is>
      </c>
      <c r="B152" s="276" t="inlineStr">
        <is>
          <t>Кран шаровой 11с67п Ду 15 Ру 25 полнопрох. с КОФ (КЗШС41нж)</t>
        </is>
      </c>
      <c r="C152" s="276" t="n">
        <v>3</v>
      </c>
      <c r="D152" s="276" t="inlineStr">
        <is>
          <t>завод (новый запрос КП)</t>
        </is>
      </c>
      <c r="E152" s="276" t="inlineStr">
        <is>
          <t>ООО «ЧелябинскСпецГражданСтрой» / ЛД Прайд (Группа компаний «ЛД», ТМ LD, LD Pride); продажи — ООО «ТД «ЛД»</t>
        </is>
      </c>
      <c r="F152" s="276" t="inlineStr">
        <is>
          <t>+7 (351) 730-47-47 office@chsgs.ru</t>
        </is>
      </c>
      <c r="G152" s="276" t="inlineStr">
        <is>
          <t>LD КШЦФ ст.20 Ду15 П/П PN4,0 с КОФ</t>
        </is>
      </c>
      <c r="H152" s="276" t="inlineStr">
        <is>
          <t>ООО «ЧелябинскСпецГражданСтрой» (ИНН 7451211335)</t>
        </is>
      </c>
      <c r="I152" s="276" t="inlineStr">
        <is>
          <t>10655491</t>
        </is>
      </c>
      <c r="J152" s="276" t="inlineStr">
        <is>
          <t>30.06.2028</t>
        </is>
      </c>
      <c r="K152" s="276" t="inlineStr">
        <is>
          <t>соответствует</t>
        </is>
      </c>
      <c r="L152" s="276" t="inlineStr">
        <is>
          <t>Подтвердить поставку с КОФ.</t>
        </is>
      </c>
    </row>
    <row r="153">
      <c r="A153" s="276" t="inlineStr">
        <is>
          <t>1.3/123</t>
        </is>
      </c>
      <c r="B153" s="276" t="inlineStr">
        <is>
          <t>Кран шаровой 11с67п Ду 25 Ру 25 полнопрох. с КОФ (КЗШС41нж)</t>
        </is>
      </c>
      <c r="C153" s="276" t="n">
        <v>6</v>
      </c>
      <c r="D153" s="276" t="inlineStr">
        <is>
          <t>завод (новый запрос КП)</t>
        </is>
      </c>
      <c r="E153" s="276" t="inlineStr">
        <is>
          <t>ООО «ЧелябинскСпецГражданСтрой» / ЛД Прайд (Группа компаний «ЛД», ТМ LD, LD Pride); продажи — ООО «ТД «ЛД»</t>
        </is>
      </c>
      <c r="F153" s="276" t="inlineStr">
        <is>
          <t>+7 (351) 730-47-47 office@chsgs.ru</t>
        </is>
      </c>
      <c r="G153" s="276" t="inlineStr">
        <is>
          <t>LD КШЦФ ст.20 Ду25 П/П PN4,0 с КОФ</t>
        </is>
      </c>
      <c r="H153" s="276" t="inlineStr">
        <is>
          <t>ООО «ЧелябинскСпецГражданСтрой» (ИНН 7451211335)</t>
        </is>
      </c>
      <c r="I153" s="276" t="inlineStr">
        <is>
          <t>10655491</t>
        </is>
      </c>
      <c r="J153" s="276" t="inlineStr">
        <is>
          <t>30.06.2028</t>
        </is>
      </c>
      <c r="K153" s="276" t="inlineStr">
        <is>
          <t>соответствует</t>
        </is>
      </c>
      <c r="L153" s="276" t="inlineStr">
        <is>
          <t>Подтвердить поставку с КОФ.</t>
        </is>
      </c>
    </row>
    <row r="154">
      <c r="A154" s="276" t="inlineStr">
        <is>
          <t>1.3/124</t>
        </is>
      </c>
      <c r="B154" s="276" t="inlineStr">
        <is>
          <t>Кран шаровой 11с67п Ду 32 Ру 25 полнопрох. с КОФ (КЗШС41нж)</t>
        </is>
      </c>
      <c r="C154" s="276" t="n">
        <v>10</v>
      </c>
      <c r="D154" s="276" t="inlineStr">
        <is>
          <t>завод (новый запрос КП)</t>
        </is>
      </c>
      <c r="E154" s="276" t="inlineStr">
        <is>
          <t>ООО «ЧелябинскСпецГражданСтрой» / ЛД Прайд (Группа компаний «ЛД», ТМ LD, LD Pride); продажи — ООО «ТД «ЛД»</t>
        </is>
      </c>
      <c r="F154" s="276" t="inlineStr">
        <is>
          <t>+7 (351) 730-47-47 office@chsgs.ru</t>
        </is>
      </c>
      <c r="G154" s="276" t="inlineStr">
        <is>
          <t>LD 11с67п КШРФ (разборный) Ду32 П/П PN40 с КОФ (L=140)</t>
        </is>
      </c>
      <c r="H154" s="276" t="inlineStr">
        <is>
          <t>ООО «ЧелябинскСпецГражданСтрой» (ИНН 7451211335)</t>
        </is>
      </c>
      <c r="I154" s="276" t="inlineStr">
        <is>
          <t>10655491</t>
        </is>
      </c>
      <c r="J154" s="276" t="inlineStr">
        <is>
          <t>30.06.2028</t>
        </is>
      </c>
      <c r="K154" s="276" t="inlineStr">
        <is>
          <t>соответствует</t>
        </is>
      </c>
      <c r="L154" s="276" t="inlineStr">
        <is>
          <t>Подтвердить поставку с КОФ.</t>
        </is>
      </c>
    </row>
    <row r="155">
      <c r="A155" s="276" t="inlineStr">
        <is>
          <t>1.3/125</t>
        </is>
      </c>
      <c r="B155" s="276" t="inlineStr">
        <is>
          <t>Кран шаровой 11с67п Ду 50 Ру 25 полнопрох. с КОФ (КЗШС41нж)</t>
        </is>
      </c>
      <c r="C155" s="276" t="n">
        <v>6</v>
      </c>
      <c r="D155" s="276" t="inlineStr">
        <is>
          <t>завод (новый запрос КП)</t>
        </is>
      </c>
      <c r="E155" s="276" t="inlineStr">
        <is>
          <t>ООО «ЧелябинскСпецГражданСтрой» / ЛД Прайд (Группа компаний «ЛД», ТМ LD, LD Pride); продажи — ООО «ТД «ЛД»</t>
        </is>
      </c>
      <c r="F155" s="276" t="inlineStr">
        <is>
          <t>+7 (351) 730-47-47 office@chsgs.ru</t>
        </is>
      </c>
      <c r="G155" s="276" t="inlineStr">
        <is>
          <t>LD КШЦФ ст.20 Ду50 П/П PN4,0 с КОФ</t>
        </is>
      </c>
      <c r="H155" s="276" t="inlineStr">
        <is>
          <t>ООО «ЧелябинскСпецГражданСтрой» (ИНН 7451211335)</t>
        </is>
      </c>
      <c r="I155" s="276" t="inlineStr">
        <is>
          <t>10655491</t>
        </is>
      </c>
      <c r="J155" s="276" t="inlineStr">
        <is>
          <t>30.06.2028</t>
        </is>
      </c>
      <c r="K155" s="276" t="inlineStr">
        <is>
          <t>соответствует</t>
        </is>
      </c>
      <c r="L155" s="276" t="inlineStr">
        <is>
          <t>Подтвердить поставку с КОФ.</t>
        </is>
      </c>
    </row>
    <row r="156">
      <c r="A156" s="276" t="inlineStr">
        <is>
          <t>1.3/126</t>
        </is>
      </c>
      <c r="B156" s="276" t="inlineStr">
        <is>
          <t>Кран шаровой 11с67п Ду 80 Ру 25 полнопрох. с КОФ (КЗШС41нж)</t>
        </is>
      </c>
      <c r="C156" s="276" t="n">
        <v>4</v>
      </c>
      <c r="D156" s="276" t="inlineStr">
        <is>
          <t>завод (новый запрос КП)</t>
        </is>
      </c>
      <c r="E156" s="276" t="inlineStr">
        <is>
          <t>ООО «ЧелябинскСпецГражданСтрой» / ЛД Прайд (Группа компаний «ЛД», ТМ LD, LD Pride); продажи — ООО «ТД «ЛД»</t>
        </is>
      </c>
      <c r="F156" s="276" t="inlineStr">
        <is>
          <t>+7 (351) 730-47-47 office@chsgs.ru</t>
        </is>
      </c>
      <c r="G156" s="276" t="inlineStr">
        <is>
          <t>LD КШЦФ ст.20 Ду80 П/П PN2,5 с КОФ</t>
        </is>
      </c>
      <c r="H156" s="276" t="inlineStr">
        <is>
          <t>ООО «ЧелябинскСпецГражданСтрой» (ИНН 7451211335)</t>
        </is>
      </c>
      <c r="I156" s="276" t="inlineStr">
        <is>
          <t>10655491</t>
        </is>
      </c>
      <c r="J156" s="276" t="inlineStr">
        <is>
          <t>30.06.2028</t>
        </is>
      </c>
      <c r="K156" s="276" t="inlineStr">
        <is>
          <t>соответствует</t>
        </is>
      </c>
      <c r="L156" s="276" t="inlineStr">
        <is>
          <t>Подтвердить поставку с КОФ.</t>
        </is>
      </c>
    </row>
    <row r="157">
      <c r="A157" s="276" t="inlineStr">
        <is>
          <t>1.3/127</t>
        </is>
      </c>
      <c r="B157" s="276" t="inlineStr">
        <is>
          <t>Кран шаровой 11с67п Ду 100 Ру 16 ЦУФ.001 КШ укороченный полнопроходной фланцевый с рукояткой</t>
        </is>
      </c>
      <c r="C157" s="276" t="n">
        <v>91</v>
      </c>
      <c r="D157" s="276" t="inlineStr">
        <is>
          <t>завод (новый запрос КП)</t>
        </is>
      </c>
      <c r="E157" s="276" t="inlineStr">
        <is>
          <t>ООО «ЧелябинскСпецГражданСтрой» / ЛД Прайд (Группа компаний «ЛД», ТМ LD, LD Pride); продажи — ООО «ТД «ЛД»</t>
        </is>
      </c>
      <c r="F157" s="276" t="inlineStr">
        <is>
          <t>+7 (351) 730-47-47 office@chsgs.ru</t>
        </is>
      </c>
      <c r="G157" s="276" t="inlineStr">
        <is>
          <t>LD 11с67п КШРФ Ду100 П/П PN16</t>
        </is>
      </c>
      <c r="H157" s="276" t="inlineStr">
        <is>
          <t>ООО «ЧелябинскСпецГражданСтрой» (ИНН 7451211335)</t>
        </is>
      </c>
      <c r="I157" s="276" t="inlineStr">
        <is>
          <t>10655491</t>
        </is>
      </c>
      <c r="J157" s="276" t="inlineStr">
        <is>
          <t>30.06.2028</t>
        </is>
      </c>
      <c r="K157" s="276" t="inlineStr">
        <is>
          <t>эквивалент — согласовать</t>
        </is>
      </c>
      <c r="L157" s="276" t="inlineStr"/>
    </row>
    <row r="158">
      <c r="A158" s="276" t="inlineStr">
        <is>
          <t>1.3/128</t>
        </is>
      </c>
      <c r="B158" s="276" t="inlineStr">
        <is>
          <t>Кран шаровой 11с67п Ду 125 Ру 16 ЦУФ.001 КШ укороченный полнопроходной фланцевый с рукояткой</t>
        </is>
      </c>
      <c r="C158" s="276" t="n">
        <v>10</v>
      </c>
      <c r="D158" s="276" t="inlineStr">
        <is>
          <t>завод (новый запрос КП)</t>
        </is>
      </c>
      <c r="E158" s="276" t="inlineStr">
        <is>
          <t>ООО «ЧелябинскСпецГражданСтрой» / ЛД Прайд (Группа компаний «ЛД», ТМ LD, LD Pride); продажи — ООО «ТД «ЛД»</t>
        </is>
      </c>
      <c r="F158" s="276" t="inlineStr">
        <is>
          <t>+7 (351) 730-47-47 office@chsgs.ru</t>
        </is>
      </c>
      <c r="G158" s="276" t="inlineStr">
        <is>
          <t>LD 11с67п КШРФ Ду125 П/П PN16</t>
        </is>
      </c>
      <c r="H158" s="276" t="inlineStr">
        <is>
          <t>ООО «ЧелябинскСпецГражданСтрой» (ИНН 7451211335)</t>
        </is>
      </c>
      <c r="I158" s="276" t="inlineStr">
        <is>
          <t>10655491</t>
        </is>
      </c>
      <c r="J158" s="276" t="inlineStr">
        <is>
          <t>30.06.2028</t>
        </is>
      </c>
      <c r="K158" s="276" t="inlineStr">
        <is>
          <t>эквивалент — согласовать</t>
        </is>
      </c>
      <c r="L158" s="276" t="inlineStr"/>
    </row>
    <row r="159">
      <c r="A159" s="276" t="inlineStr">
        <is>
          <t>1.3/129</t>
        </is>
      </c>
      <c r="B159" s="276" t="inlineStr">
        <is>
          <t>Кран шаровой 11с67п Ду 150 Ру 16 ЦУФ.001 КШ укороченный полнопроходной фланцевый с рукояткой</t>
        </is>
      </c>
      <c r="C159" s="276" t="n">
        <v>59</v>
      </c>
      <c r="D159" s="276" t="inlineStr">
        <is>
          <t>завод (новый запрос КП)</t>
        </is>
      </c>
      <c r="E159" s="276" t="inlineStr">
        <is>
          <t>ООО «ЧелябинскСпецГражданСтрой» / ЛД Прайд (Группа компаний «ЛД», ТМ LD, LD Pride); продажи — ООО «ТД «ЛД»</t>
        </is>
      </c>
      <c r="F159" s="276" t="inlineStr">
        <is>
          <t>+7 (351) 730-47-47 office@chsgs.ru</t>
        </is>
      </c>
      <c r="G159" s="276" t="inlineStr">
        <is>
          <t>LD 11с67п КШРФ Ду150 П/П PN16</t>
        </is>
      </c>
      <c r="H159" s="276" t="inlineStr">
        <is>
          <t>ООО «ЧелябинскСпецГражданСтрой» (ИНН 7451211335)</t>
        </is>
      </c>
      <c r="I159" s="276" t="inlineStr">
        <is>
          <t>10655491</t>
        </is>
      </c>
      <c r="J159" s="276" t="inlineStr">
        <is>
          <t>30.06.2028</t>
        </is>
      </c>
      <c r="K159" s="276" t="inlineStr">
        <is>
          <t>эквивалент — согласовать</t>
        </is>
      </c>
      <c r="L159" s="276" t="inlineStr"/>
    </row>
    <row r="160">
      <c r="A160" s="276" t="inlineStr">
        <is>
          <t>1.3/130</t>
        </is>
      </c>
      <c r="B160" s="276" t="inlineStr">
        <is>
          <t>Кран шаровой 11с67п Ду 200 Ру 16 ЦУФ.001 КШ укороченный полнопроходной фланцевый с рукояткой</t>
        </is>
      </c>
      <c r="C160" s="276" t="n">
        <v>45</v>
      </c>
      <c r="D160" s="276" t="inlineStr">
        <is>
          <t>НЕ ЗАКРЫТО</t>
        </is>
      </c>
      <c r="E160" s="276" t="inlineStr"/>
      <c r="F160" s="276" t="inlineStr"/>
      <c r="G160" s="276" t="inlineStr"/>
      <c r="H160" s="276" t="inlineStr"/>
      <c r="I160" s="276" t="inlineStr"/>
      <c r="J160" s="276" t="inlineStr"/>
      <c r="K160" s="276" t="inlineStr">
        <is>
          <t>нет поставщика с записью ПП 719 и соответствием ТЗ</t>
        </is>
      </c>
      <c r="L160" s="276" t="inlineStr"/>
    </row>
    <row r="161">
      <c r="A161" s="276" t="inlineStr">
        <is>
          <t>1.3/131</t>
        </is>
      </c>
      <c r="B161" s="276" t="inlineStr">
        <is>
          <t>Кран шаровой 11с67п Ду 40 Ру 16 ЦУФ.001 КШ укороченный полнопроходной фланцевый с рукояткой</t>
        </is>
      </c>
      <c r="C161" s="276" t="n">
        <v>8</v>
      </c>
      <c r="D161" s="276" t="inlineStr">
        <is>
          <t>завод (новый запрос КП)</t>
        </is>
      </c>
      <c r="E161" s="276" t="inlineStr">
        <is>
          <t>ООО «ЧелябинскСпецГражданСтрой» / ЛД Прайд (Группа компаний «ЛД», ТМ LD, LD Pride); продажи — ООО «ТД «ЛД»</t>
        </is>
      </c>
      <c r="F161" s="276" t="inlineStr">
        <is>
          <t>+7 (351) 730-47-47 office@chsgs.ru</t>
        </is>
      </c>
      <c r="G161" s="276" t="inlineStr">
        <is>
          <t>LD 11с67п КШРФ Ду40 П/П PN16</t>
        </is>
      </c>
      <c r="H161" s="276" t="inlineStr">
        <is>
          <t>ООО «ЧелябинскСпецГражданСтрой» (ИНН 7451211335)</t>
        </is>
      </c>
      <c r="I161" s="276" t="inlineStr">
        <is>
          <t>10655491</t>
        </is>
      </c>
      <c r="J161" s="276" t="inlineStr">
        <is>
          <t>30.06.2028</t>
        </is>
      </c>
      <c r="K161" s="276" t="inlineStr">
        <is>
          <t>эквивалент — согласовать</t>
        </is>
      </c>
      <c r="L161" s="276" t="inlineStr"/>
    </row>
    <row r="162">
      <c r="A162" s="276" t="inlineStr">
        <is>
          <t>1.3/132</t>
        </is>
      </c>
      <c r="B162" s="276" t="inlineStr">
        <is>
          <t>Кран шаровой 11с67п Ду 50 Ру 16 ЦУФ.001 КШ укороченный полнопроходной фланцевый с рукояткой</t>
        </is>
      </c>
      <c r="C162" s="276" t="n">
        <v>80</v>
      </c>
      <c r="D162" s="276" t="inlineStr">
        <is>
          <t>завод (новый запрос КП)</t>
        </is>
      </c>
      <c r="E162" s="276" t="inlineStr">
        <is>
          <t>ООО «ЧелябинскСпецГражданСтрой» / ЛД Прайд (Группа компаний «ЛД», ТМ LD, LD Pride); продажи — ООО «ТД «ЛД»</t>
        </is>
      </c>
      <c r="F162" s="276" t="inlineStr">
        <is>
          <t>+7 (351) 730-47-47 office@chsgs.ru</t>
        </is>
      </c>
      <c r="G162" s="276" t="inlineStr">
        <is>
          <t>LD 11с67п КШРФ Ду50 П/П PN16</t>
        </is>
      </c>
      <c r="H162" s="276" t="inlineStr">
        <is>
          <t>ООО «ЧелябинскСпецГражданСтрой» (ИНН 7451211335)</t>
        </is>
      </c>
      <c r="I162" s="276" t="inlineStr">
        <is>
          <t>10655491</t>
        </is>
      </c>
      <c r="J162" s="276" t="inlineStr">
        <is>
          <t>30.06.2028</t>
        </is>
      </c>
      <c r="K162" s="276" t="inlineStr">
        <is>
          <t>эквивалент — согласовать</t>
        </is>
      </c>
      <c r="L162" s="276" t="inlineStr"/>
    </row>
    <row r="163">
      <c r="A163" s="276" t="inlineStr">
        <is>
          <t>1.3/133</t>
        </is>
      </c>
      <c r="B163" s="276" t="inlineStr">
        <is>
          <t>Кран шаровой 11с67п Ду 65 Ру 16 ЦУФ.001 КШ укороченный полнопроходной фланцевый с рукояткой</t>
        </is>
      </c>
      <c r="C163" s="276" t="n">
        <v>6</v>
      </c>
      <c r="D163" s="276" t="inlineStr">
        <is>
          <t>завод (новый запрос КП)</t>
        </is>
      </c>
      <c r="E163" s="276" t="inlineStr">
        <is>
          <t>ООО «ЧелябинскСпецГражданСтрой» / ЛД Прайд (Группа компаний «ЛД», ТМ LD, LD Pride); продажи — ООО «ТД «ЛД»</t>
        </is>
      </c>
      <c r="F163" s="276" t="inlineStr">
        <is>
          <t>+7 (351) 730-47-47 office@chsgs.ru</t>
        </is>
      </c>
      <c r="G163" s="276" t="inlineStr">
        <is>
          <t>LD 11с67п КШРФ Ду65 П/П PN16</t>
        </is>
      </c>
      <c r="H163" s="276" t="inlineStr">
        <is>
          <t>ООО «ЧелябинскСпецГражданСтрой» (ИНН 7451211335)</t>
        </is>
      </c>
      <c r="I163" s="276" t="inlineStr">
        <is>
          <t>10655491</t>
        </is>
      </c>
      <c r="J163" s="276" t="inlineStr">
        <is>
          <t>30.06.2028</t>
        </is>
      </c>
      <c r="K163" s="276" t="inlineStr">
        <is>
          <t>эквивалент — согласовать</t>
        </is>
      </c>
      <c r="L163" s="276" t="inlineStr"/>
    </row>
    <row r="164">
      <c r="A164" s="276" t="inlineStr">
        <is>
          <t>1.3/134</t>
        </is>
      </c>
      <c r="B164" s="276" t="inlineStr">
        <is>
          <t>Кран шаровой 11с67п Ду 80 Ру 16 ЦУФ.001 КШ укороченный полнопроходной фланцевый с рукояткой</t>
        </is>
      </c>
      <c r="C164" s="276" t="n">
        <v>92</v>
      </c>
      <c r="D164" s="276" t="inlineStr">
        <is>
          <t>завод (новый запрос КП)</t>
        </is>
      </c>
      <c r="E164" s="276" t="inlineStr">
        <is>
          <t>ООО «ЧелябинскСпецГражданСтрой» / ЛД Прайд (Группа компаний «ЛД», ТМ LD, LD Pride); продажи — ООО «ТД «ЛД»</t>
        </is>
      </c>
      <c r="F164" s="276" t="inlineStr">
        <is>
          <t>+7 (351) 730-47-47 office@chsgs.ru</t>
        </is>
      </c>
      <c r="G164" s="276" t="inlineStr">
        <is>
          <t>LD 11с67п КШРФ Ду80 П/П PN16</t>
        </is>
      </c>
      <c r="H164" s="276" t="inlineStr">
        <is>
          <t>ООО «ЧелябинскСпецГражданСтрой» (ИНН 7451211335)</t>
        </is>
      </c>
      <c r="I164" s="276" t="inlineStr">
        <is>
          <t>10655491</t>
        </is>
      </c>
      <c r="J164" s="276" t="inlineStr">
        <is>
          <t>30.06.2028</t>
        </is>
      </c>
      <c r="K164" s="276" t="inlineStr">
        <is>
          <t>эквивалент — согласовать</t>
        </is>
      </c>
      <c r="L164" s="276" t="inlineStr"/>
    </row>
    <row r="165">
      <c r="A165" s="276" t="inlineStr">
        <is>
          <t>1.3/135</t>
        </is>
      </c>
      <c r="B165" s="276" t="inlineStr">
        <is>
          <t>Кран шаровой нержавеющий G1/2" муфтовый, полнопроходной, Ду 15 Ру 63</t>
        </is>
      </c>
      <c r="C165" s="276" t="n">
        <v>19</v>
      </c>
      <c r="D165" s="276" t="inlineStr">
        <is>
          <t>завод (новый запрос КП)</t>
        </is>
      </c>
      <c r="E165" s="276" t="inlineStr">
        <is>
          <t>ЗАО «Арматурная Компания «ФОБОС»</t>
        </is>
      </c>
      <c r="F165" s="276" t="inlineStr">
        <is>
          <t>8-800-700-62-60 info@fobosarm.ru</t>
        </is>
      </c>
      <c r="G165" s="276" t="inlineStr"/>
      <c r="H165" s="276" t="inlineStr">
        <is>
          <t>ЗАО «Арматурная Компания «ФОБОС»</t>
        </is>
      </c>
      <c r="I165" s="276" t="inlineStr"/>
      <c r="J165" s="276" t="inlineStr"/>
      <c r="K165" s="276" t="inlineStr">
        <is>
          <t>не проверено построчно</t>
        </is>
      </c>
      <c r="L165" s="276" t="inlineStr">
        <is>
          <t>№ реестровой записи</t>
        </is>
      </c>
    </row>
    <row r="166">
      <c r="A166" s="276" t="inlineStr">
        <is>
          <t>1.3/136</t>
        </is>
      </c>
      <c r="B166" s="276" t="inlineStr">
        <is>
          <t>Кран шаровый LD неполнопроходной 11с67п КШЦФ Ду 200 Ру 16 с КОФ</t>
        </is>
      </c>
      <c r="C166" s="276" t="n">
        <v>14</v>
      </c>
      <c r="D166" s="276" t="inlineStr">
        <is>
          <t>завод (новый запрос КП)</t>
        </is>
      </c>
      <c r="E166" s="276" t="inlineStr">
        <is>
          <t>ООО «ЧелябинскСпецГражданСтрой» / ЛД Прайд (Группа компаний «ЛД», ТМ LD, LD Pride); продажи — ООО «ТД «ЛД»</t>
        </is>
      </c>
      <c r="F166" s="276" t="inlineStr">
        <is>
          <t>+7 (351) 730-47-47 office@chsgs.ru</t>
        </is>
      </c>
      <c r="G166" s="276" t="inlineStr">
        <is>
          <t>LD 11с67п КШРФ 200/150 Н/П PN16 (L=330) вместо КШЦФ Н/П</t>
        </is>
      </c>
      <c r="H166" s="276" t="inlineStr">
        <is>
          <t>ООО «ЧелябинскСпецГражданСтрой» (ИНН 7451211335)</t>
        </is>
      </c>
      <c r="I166" s="276" t="inlineStr">
        <is>
          <t>10655491</t>
        </is>
      </c>
      <c r="J166" s="276" t="inlineStr">
        <is>
          <t>30.06.2028</t>
        </is>
      </c>
      <c r="K166" s="276" t="inlineStr">
        <is>
          <t>эквивалент — согласовать</t>
        </is>
      </c>
      <c r="L166" s="276" t="inlineStr">
        <is>
          <t>Согласовать КШРФ (разборный) вместо КШЦФ с L=330.</t>
        </is>
      </c>
    </row>
    <row r="167">
      <c r="A167" s="276" t="inlineStr">
        <is>
          <t>1.3/137</t>
        </is>
      </c>
      <c r="B167" s="276" t="inlineStr">
        <is>
          <t>Кран шаровый LD полнопроходной 11с67п КШРФ Ду 100 Ру 16 с КОФ</t>
        </is>
      </c>
      <c r="C167" s="276" t="n">
        <v>29</v>
      </c>
      <c r="D167" s="276" t="inlineStr">
        <is>
          <t>завод (новый запрос КП)</t>
        </is>
      </c>
      <c r="E167" s="276" t="inlineStr">
        <is>
          <t>ООО «ЧелябинскСпецГражданСтрой» / ЛД Прайд (Группа компаний «ЛД», ТМ LD, LD Pride); продажи — ООО «ТД «ЛД»</t>
        </is>
      </c>
      <c r="F167" s="276" t="inlineStr">
        <is>
          <t>+7 (351) 730-47-47 office@chsgs.ru</t>
        </is>
      </c>
      <c r="G167" s="276" t="inlineStr">
        <is>
          <t>LD 11с67п КШРФ Ду100 П/П PN16 с КОФ</t>
        </is>
      </c>
      <c r="H167" s="276" t="inlineStr">
        <is>
          <t>ООО «ЧелябинскСпецГражданСтрой» (ИНН 7451211335)</t>
        </is>
      </c>
      <c r="I167" s="276" t="inlineStr">
        <is>
          <t>10714005</t>
        </is>
      </c>
      <c r="J167" s="276" t="inlineStr">
        <is>
          <t>17.09.2028</t>
        </is>
      </c>
      <c r="K167" s="276" t="inlineStr">
        <is>
          <t>соответствует</t>
        </is>
      </c>
      <c r="L167" s="276" t="inlineStr">
        <is>
          <t>Подтвердить поставку с КОФ.</t>
        </is>
      </c>
    </row>
    <row r="168">
      <c r="A168" s="276" t="inlineStr">
        <is>
          <t>1.3/138</t>
        </is>
      </c>
      <c r="B168" s="276" t="inlineStr">
        <is>
          <t>Кран шаровый LD полнопроходной 11с67п КШРФ Ду 125 Ру 16 с КОФ</t>
        </is>
      </c>
      <c r="C168" s="276" t="n">
        <v>6</v>
      </c>
      <c r="D168" s="276" t="inlineStr">
        <is>
          <t>завод (новый запрос КП)</t>
        </is>
      </c>
      <c r="E168" s="276" t="inlineStr">
        <is>
          <t>ООО «ЧелябинскСпецГражданСтрой» / ЛД Прайд (Группа компаний «ЛД», ТМ LD, LD Pride); продажи — ООО «ТД «ЛД»</t>
        </is>
      </c>
      <c r="F168" s="276" t="inlineStr">
        <is>
          <t>+7 (351) 730-47-47 office@chsgs.ru</t>
        </is>
      </c>
      <c r="G168" s="276" t="inlineStr">
        <is>
          <t>LD 11с67п КШРФ Ду125 П/П PN16 с КОФ</t>
        </is>
      </c>
      <c r="H168" s="276" t="inlineStr">
        <is>
          <t>ООО «ЧелябинскСпецГражданСтрой» (ИНН 7451211335)</t>
        </is>
      </c>
      <c r="I168" s="276" t="inlineStr">
        <is>
          <t>10714005</t>
        </is>
      </c>
      <c r="J168" s="276" t="inlineStr">
        <is>
          <t>17.09.2028</t>
        </is>
      </c>
      <c r="K168" s="276" t="inlineStr">
        <is>
          <t>соответствует</t>
        </is>
      </c>
      <c r="L168" s="276" t="inlineStr">
        <is>
          <t>Подтвердить поставку с КОФ.</t>
        </is>
      </c>
    </row>
    <row r="169">
      <c r="A169" s="276" t="inlineStr">
        <is>
          <t>1.3/139</t>
        </is>
      </c>
      <c r="B169" s="276" t="inlineStr">
        <is>
          <t>Кран шаровый LD полнопроходной 11с67п КШРФ Ду 150 Ру 16 с КОФ</t>
        </is>
      </c>
      <c r="C169" s="276" t="n">
        <v>31</v>
      </c>
      <c r="D169" s="276" t="inlineStr">
        <is>
          <t>завод (новый запрос КП)</t>
        </is>
      </c>
      <c r="E169" s="276" t="inlineStr">
        <is>
          <t>ООО «ЧелябинскСпецГражданСтрой» / ЛД Прайд (Группа компаний «ЛД», ТМ LD, LD Pride); продажи — ООО «ТД «ЛД»</t>
        </is>
      </c>
      <c r="F169" s="276" t="inlineStr">
        <is>
          <t>+7 (351) 730-47-47 office@chsgs.ru</t>
        </is>
      </c>
      <c r="G169" s="276" t="inlineStr">
        <is>
          <t>LD 11с67п КШРФ Ду150 П/П PN16 с КОФ</t>
        </is>
      </c>
      <c r="H169" s="276" t="inlineStr">
        <is>
          <t>ООО «ЧелябинскСпецГражданСтрой» (ИНН 7451211335)</t>
        </is>
      </c>
      <c r="I169" s="276" t="inlineStr">
        <is>
          <t>10714005</t>
        </is>
      </c>
      <c r="J169" s="276" t="inlineStr">
        <is>
          <t>17.09.2028</t>
        </is>
      </c>
      <c r="K169" s="276" t="inlineStr">
        <is>
          <t>соответствует</t>
        </is>
      </c>
      <c r="L169" s="276" t="inlineStr">
        <is>
          <t>Подтвердить поставку с КОФ.</t>
        </is>
      </c>
    </row>
    <row r="170">
      <c r="A170" s="276" t="inlineStr">
        <is>
          <t>1.3/140</t>
        </is>
      </c>
      <c r="B170" s="276" t="inlineStr">
        <is>
          <t>Кран шаровый LD полнопроходной 11с67п КШРФ Ду 25 Ру 16 с КОФ</t>
        </is>
      </c>
      <c r="C170" s="276" t="n">
        <v>8</v>
      </c>
      <c r="D170" s="276" t="inlineStr">
        <is>
          <t>завод (новый запрос КП)</t>
        </is>
      </c>
      <c r="E170" s="276" t="inlineStr">
        <is>
          <t>ООО «ЧелябинскСпецГражданСтрой» / ЛД Прайд (Группа компаний «ЛД», ТМ LD, LD Pride); продажи — ООО «ТД «ЛД»</t>
        </is>
      </c>
      <c r="F170" s="276" t="inlineStr">
        <is>
          <t>+7 (351) 730-47-47 office@chsgs.ru</t>
        </is>
      </c>
      <c r="G170" s="276" t="inlineStr">
        <is>
          <t>LD 11с67п КШРФ Ду25 П/П PN16 с КОФ</t>
        </is>
      </c>
      <c r="H170" s="276" t="inlineStr">
        <is>
          <t>ООО «ЧелябинскСпецГражданСтрой» (ИНН 7451211335)</t>
        </is>
      </c>
      <c r="I170" s="276" t="inlineStr">
        <is>
          <t>10714005</t>
        </is>
      </c>
      <c r="J170" s="276" t="inlineStr">
        <is>
          <t>17.09.2028</t>
        </is>
      </c>
      <c r="K170" s="276" t="inlineStr">
        <is>
          <t>соответствует</t>
        </is>
      </c>
      <c r="L170" s="276" t="inlineStr">
        <is>
          <t>Подтвердить поставку с КОФ.</t>
        </is>
      </c>
    </row>
    <row r="171">
      <c r="A171" s="276" t="inlineStr">
        <is>
          <t>1.3/141</t>
        </is>
      </c>
      <c r="B171" s="276" t="inlineStr">
        <is>
          <t>Кран шаровый LD полнопроходной 11с67п КШРФ Ду 32 Ру 16 с КОФ</t>
        </is>
      </c>
      <c r="C171" s="276" t="n">
        <v>8</v>
      </c>
      <c r="D171" s="276" t="inlineStr">
        <is>
          <t>завод (новый запрос КП)</t>
        </is>
      </c>
      <c r="E171" s="276" t="inlineStr">
        <is>
          <t>ООО «ЧелябинскСпецГражданСтрой» / ЛД Прайд (Группа компаний «ЛД», ТМ LD, LD Pride); продажи — ООО «ТД «ЛД»</t>
        </is>
      </c>
      <c r="F171" s="276" t="inlineStr">
        <is>
          <t>+7 (351) 730-47-47 office@chsgs.ru</t>
        </is>
      </c>
      <c r="G171" s="276" t="inlineStr">
        <is>
          <t>LD 11с67п КШРФ Ду32 П/П PN16 с КОФ</t>
        </is>
      </c>
      <c r="H171" s="276" t="inlineStr">
        <is>
          <t>ООО «ЧелябинскСпецГражданСтрой» (ИНН 7451211335)</t>
        </is>
      </c>
      <c r="I171" s="276" t="inlineStr">
        <is>
          <t>10714005</t>
        </is>
      </c>
      <c r="J171" s="276" t="inlineStr">
        <is>
          <t>17.09.2028</t>
        </is>
      </c>
      <c r="K171" s="276" t="inlineStr">
        <is>
          <t>соответствует</t>
        </is>
      </c>
      <c r="L171" s="276" t="inlineStr">
        <is>
          <t>Подтвердить поставку с КОФ.</t>
        </is>
      </c>
    </row>
    <row r="172">
      <c r="A172" s="276" t="inlineStr">
        <is>
          <t>1.3/142</t>
        </is>
      </c>
      <c r="B172" s="276" t="inlineStr">
        <is>
          <t>Кран шаровый LD полнопроходной 11с67п КШРФ Ду 40 Ру 16 с КОФ</t>
        </is>
      </c>
      <c r="C172" s="276" t="n">
        <v>8</v>
      </c>
      <c r="D172" s="276" t="inlineStr">
        <is>
          <t>завод (новый запрос КП)</t>
        </is>
      </c>
      <c r="E172" s="276" t="inlineStr">
        <is>
          <t>ООО «ЧелябинскСпецГражданСтрой» / ЛД Прайд (Группа компаний «ЛД», ТМ LD, LD Pride); продажи — ООО «ТД «ЛД»</t>
        </is>
      </c>
      <c r="F172" s="276" t="inlineStr">
        <is>
          <t>+7 (351) 730-47-47 office@chsgs.ru</t>
        </is>
      </c>
      <c r="G172" s="276" t="inlineStr">
        <is>
          <t>LD 11с67п КШРФ Ду40 П/П PN16 с КОФ</t>
        </is>
      </c>
      <c r="H172" s="276" t="inlineStr">
        <is>
          <t>ООО «ЧелябинскСпецГражданСтрой» (ИНН 7451211335)</t>
        </is>
      </c>
      <c r="I172" s="276" t="inlineStr">
        <is>
          <t>10714005</t>
        </is>
      </c>
      <c r="J172" s="276" t="inlineStr">
        <is>
          <t>17.09.2028</t>
        </is>
      </c>
      <c r="K172" s="276" t="inlineStr">
        <is>
          <t>соответствует</t>
        </is>
      </c>
      <c r="L172" s="276" t="inlineStr">
        <is>
          <t>Подтвердить поставку с КОФ.</t>
        </is>
      </c>
    </row>
    <row r="173">
      <c r="A173" s="276" t="inlineStr">
        <is>
          <t>1.3/143</t>
        </is>
      </c>
      <c r="B173" s="276" t="inlineStr">
        <is>
          <t>Кран шаровый LD полнопроходной 11с67п КШРФ Ду 50 Ру 16 с КОФ</t>
        </is>
      </c>
      <c r="C173" s="276" t="n">
        <v>112</v>
      </c>
      <c r="D173" s="276" t="inlineStr">
        <is>
          <t>завод (новый запрос КП)</t>
        </is>
      </c>
      <c r="E173" s="276" t="inlineStr">
        <is>
          <t>ООО «ЧелябинскСпецГражданСтрой» / ЛД Прайд (Группа компаний «ЛД», ТМ LD, LD Pride); продажи — ООО «ТД «ЛД»</t>
        </is>
      </c>
      <c r="F173" s="276" t="inlineStr">
        <is>
          <t>+7 (351) 730-47-47 office@chsgs.ru</t>
        </is>
      </c>
      <c r="G173" s="276" t="inlineStr">
        <is>
          <t>LD 11с67п КШРФ Ду50 П/П PN16 с КОФ</t>
        </is>
      </c>
      <c r="H173" s="276" t="inlineStr">
        <is>
          <t>ООО «ЧелябинскСпецГражданСтрой» (ИНН 7451211335)</t>
        </is>
      </c>
      <c r="I173" s="276" t="inlineStr">
        <is>
          <t>10714005</t>
        </is>
      </c>
      <c r="J173" s="276" t="inlineStr">
        <is>
          <t>17.09.2028</t>
        </is>
      </c>
      <c r="K173" s="276" t="inlineStr">
        <is>
          <t>соответствует</t>
        </is>
      </c>
      <c r="L173" s="276" t="inlineStr">
        <is>
          <t>Подтвердить поставку с КОФ.</t>
        </is>
      </c>
    </row>
    <row r="174">
      <c r="A174" s="276" t="inlineStr">
        <is>
          <t>1.3/144</t>
        </is>
      </c>
      <c r="B174" s="276" t="inlineStr">
        <is>
          <t>Кран шаровый LD полнопроходной 11с67п КШРФ Ду 65 Ру 16 с КОФ</t>
        </is>
      </c>
      <c r="C174" s="276" t="n">
        <v>6</v>
      </c>
      <c r="D174" s="276" t="inlineStr">
        <is>
          <t>завод (новый запрос КП)</t>
        </is>
      </c>
      <c r="E174" s="276" t="inlineStr">
        <is>
          <t>ООО «ЧелябинскСпецГражданСтрой» / ЛД Прайд (Группа компаний «ЛД», ТМ LD, LD Pride); продажи — ООО «ТД «ЛД»</t>
        </is>
      </c>
      <c r="F174" s="276" t="inlineStr">
        <is>
          <t>+7 (351) 730-47-47 office@chsgs.ru</t>
        </is>
      </c>
      <c r="G174" s="276" t="inlineStr">
        <is>
          <t>LD 11с67п КШРФ Ду65 П/П PN16 с КОФ</t>
        </is>
      </c>
      <c r="H174" s="276" t="inlineStr">
        <is>
          <t>ООО «ЧелябинскСпецГражданСтрой» (ИНН 7451211335)</t>
        </is>
      </c>
      <c r="I174" s="276" t="inlineStr">
        <is>
          <t>10714005</t>
        </is>
      </c>
      <c r="J174" s="276" t="inlineStr">
        <is>
          <t>17.09.2028</t>
        </is>
      </c>
      <c r="K174" s="276" t="inlineStr">
        <is>
          <t>соответствует</t>
        </is>
      </c>
      <c r="L174" s="276" t="inlineStr">
        <is>
          <t>Подтвердить поставку с КОФ.</t>
        </is>
      </c>
    </row>
    <row r="175">
      <c r="A175" s="276" t="inlineStr">
        <is>
          <t>1.3/145</t>
        </is>
      </c>
      <c r="B175" s="276" t="inlineStr">
        <is>
          <t>Кран шаровый LD полнопроходной 11с67п КШРФ Ду 80 Ру 16 МПа с КОФ</t>
        </is>
      </c>
      <c r="C175" s="276" t="n">
        <v>58</v>
      </c>
      <c r="D175" s="276" t="inlineStr">
        <is>
          <t>завод (новый запрос КП)</t>
        </is>
      </c>
      <c r="E175" s="276" t="inlineStr">
        <is>
          <t>ООО «ЧелябинскСпецГражданСтрой» / ЛД Прайд (Группа компаний «ЛД», ТМ LD, LD Pride); продажи — ООО «ТД «ЛД»</t>
        </is>
      </c>
      <c r="F175" s="276" t="inlineStr">
        <is>
          <t>+7 (351) 730-47-47 office@chsgs.ru</t>
        </is>
      </c>
      <c r="G175" s="276" t="inlineStr">
        <is>
          <t>LD 11с67п КШРФ Ду80 П/П PN16 с КОФ</t>
        </is>
      </c>
      <c r="H175" s="276" t="inlineStr">
        <is>
          <t>ООО «ЧелябинскСпецГражданСтрой» (ИНН 7451211335)</t>
        </is>
      </c>
      <c r="I175" s="276" t="inlineStr">
        <is>
          <t>10714005</t>
        </is>
      </c>
      <c r="J175" s="276" t="inlineStr">
        <is>
          <t>17.09.2028</t>
        </is>
      </c>
      <c r="K175" s="276" t="inlineStr">
        <is>
          <t>соответствует</t>
        </is>
      </c>
      <c r="L175" s="276" t="inlineStr">
        <is>
          <t>Подтвердить поставку с КОФ.</t>
        </is>
      </c>
    </row>
    <row r="176">
      <c r="A176" s="276" t="inlineStr">
        <is>
          <t>1.3/146</t>
        </is>
      </c>
      <c r="B176" s="276" t="inlineStr">
        <is>
          <t>Кран шаровый химический КШХ Ду 50 Ру 16</t>
        </is>
      </c>
      <c r="C176" s="276" t="n">
        <v>2</v>
      </c>
      <c r="D176" s="276" t="inlineStr">
        <is>
          <t>НЕ ЗАКРЫТО</t>
        </is>
      </c>
      <c r="E176" s="276" t="inlineStr"/>
      <c r="F176" s="276" t="inlineStr"/>
      <c r="G176" s="276" t="inlineStr"/>
      <c r="H176" s="276" t="inlineStr"/>
      <c r="I176" s="276" t="inlineStr"/>
      <c r="J176" s="276" t="inlineStr"/>
      <c r="K176" s="276" t="inlineStr">
        <is>
          <t>нет поставщика с записью ПП 719 и соответствием ТЗ</t>
        </is>
      </c>
      <c r="L176" s="276" t="inlineStr"/>
    </row>
    <row r="177">
      <c r="A177" s="276" t="inlineStr">
        <is>
          <t>1.3/147</t>
        </is>
      </c>
      <c r="B177" s="276" t="inlineStr">
        <is>
          <t>Кран шаровый химический КШХ Ду 80 Ру 16</t>
        </is>
      </c>
      <c r="C177" s="276" t="n">
        <v>4</v>
      </c>
      <c r="D177" s="276" t="inlineStr">
        <is>
          <t>НЕ ЗАКРЫТО</t>
        </is>
      </c>
      <c r="E177" s="276" t="inlineStr"/>
      <c r="F177" s="276" t="inlineStr"/>
      <c r="G177" s="276" t="inlineStr"/>
      <c r="H177" s="276" t="inlineStr"/>
      <c r="I177" s="276" t="inlineStr"/>
      <c r="J177" s="276" t="inlineStr"/>
      <c r="K177" s="276" t="inlineStr">
        <is>
          <t>нет поставщика с записью ПП 719 и соответствием ТЗ</t>
        </is>
      </c>
      <c r="L177" s="276" t="inlineStr"/>
    </row>
    <row r="178">
      <c r="A178" s="276" t="inlineStr">
        <is>
          <t>1.3/148</t>
        </is>
      </c>
      <c r="B178" s="276" t="inlineStr">
        <is>
          <t>Кран шаровый разборный полнопроходной 11с67п Ду 250 Ру 16 с КОФ</t>
        </is>
      </c>
      <c r="C178" s="276" t="n">
        <v>6</v>
      </c>
      <c r="D178" s="276" t="inlineStr">
        <is>
          <t>НЕ ЗАКРЫТО</t>
        </is>
      </c>
      <c r="E178" s="276" t="inlineStr"/>
      <c r="F178" s="276" t="inlineStr"/>
      <c r="G178" s="276" t="inlineStr"/>
      <c r="H178" s="276" t="inlineStr"/>
      <c r="I178" s="276" t="inlineStr"/>
      <c r="J178" s="276" t="inlineStr"/>
      <c r="K178" s="276" t="inlineStr">
        <is>
          <t>нет поставщика с записью ПП 719 и соответствием ТЗ</t>
        </is>
      </c>
      <c r="L178" s="276" t="inlineStr"/>
    </row>
    <row r="179">
      <c r="A179" s="276" t="inlineStr">
        <is>
          <t>1.3/149</t>
        </is>
      </c>
      <c r="B179" s="276" t="inlineStr">
        <is>
          <t>Кран шаровый цельносварной неполнопроходной 11с67п Ду 250/200 Ру 16 с КОФ</t>
        </is>
      </c>
      <c r="C179" s="276" t="n">
        <v>2</v>
      </c>
      <c r="D179" s="276" t="inlineStr">
        <is>
          <t>НЕ ЗАКРЫТО</t>
        </is>
      </c>
      <c r="E179" s="276" t="inlineStr"/>
      <c r="F179" s="276" t="inlineStr"/>
      <c r="G179" s="276" t="inlineStr"/>
      <c r="H179" s="276" t="inlineStr"/>
      <c r="I179" s="276" t="inlineStr"/>
      <c r="J179" s="276" t="inlineStr"/>
      <c r="K179" s="276" t="inlineStr">
        <is>
          <t>нет поставщика с записью ПП 719 и соответствием ТЗ</t>
        </is>
      </c>
      <c r="L179" s="276" t="inlineStr"/>
    </row>
    <row r="180">
      <c r="A180" s="276" t="inlineStr">
        <is>
          <t>1.3/150</t>
        </is>
      </c>
      <c r="B180" s="276" t="inlineStr">
        <is>
          <t>Затвор 32нж910р Ду 1000 Ру 10 с эл.приводом</t>
        </is>
      </c>
      <c r="C180" s="276" t="n">
        <v>1</v>
      </c>
      <c r="D180" s="276" t="inlineStr">
        <is>
          <t>завод (новый запрос КП)</t>
        </is>
      </c>
      <c r="E180" s="276" t="inlineStr">
        <is>
          <t>ООО «ПромАрм» (PromArm®)</t>
        </is>
      </c>
      <c r="F180" s="276" t="inlineStr">
        <is>
          <t>+7 (8412) 35-07-97 info@promarm.ru</t>
        </is>
      </c>
      <c r="G180" s="276" t="inlineStr">
        <is>
          <t>ПА954.1000.10-05 DN1000 PN10 / PA700 фланцевый</t>
        </is>
      </c>
      <c r="H180" s="276" t="inlineStr">
        <is>
          <t>ООО «ПромАрм»</t>
        </is>
      </c>
      <c r="I180" s="276" t="inlineStr">
        <is>
          <t>10655456</t>
        </is>
      </c>
      <c r="J180" s="276" t="inlineStr">
        <is>
          <t>24.07.2028</t>
        </is>
      </c>
      <c r="K180" s="276" t="inlineStr">
        <is>
          <t>не подтверждено</t>
        </is>
      </c>
      <c r="L180" s="276" t="inlineStr">
        <is>
          <t>Согласовать тип (межфланцевый/фланцевый PA700), привод, КОФ.</t>
        </is>
      </c>
    </row>
    <row r="181">
      <c r="A181" s="276" t="inlineStr">
        <is>
          <t>1.3/151</t>
        </is>
      </c>
      <c r="B181" s="276" t="inlineStr">
        <is>
          <t>Затвор дисковый поворотный ЗДП-150-6,3-1-М-А-УХЛ1 (не под электропривод) Ду 150 Ру 6,3</t>
        </is>
      </c>
      <c r="C181" s="276" t="n">
        <v>3</v>
      </c>
      <c r="D181" s="276" t="inlineStr">
        <is>
          <t>текущий поставщик</t>
        </is>
      </c>
      <c r="E181" s="276" t="inlineStr">
        <is>
          <t>Лидер-Энерго</t>
        </is>
      </c>
      <c r="F181" s="276" t="inlineStr">
        <is>
          <t>+7 (8482) 21-66-32 trans-energo@bk.ru</t>
        </is>
      </c>
      <c r="G181" s="276" t="inlineStr">
        <is>
          <t>ЗПД-150-УХЛ1 (подтвердить полное обозначение по ТЗ)</t>
        </is>
      </c>
      <c r="H181" s="276" t="inlineStr">
        <is>
          <t>ООО «Транс-Энерго» (ИНН 6324029755)</t>
        </is>
      </c>
      <c r="I181" s="276" t="inlineStr">
        <is>
          <t>10876723</t>
        </is>
      </c>
      <c r="J181" s="276" t="inlineStr">
        <is>
          <t>08.07.2031</t>
        </is>
      </c>
      <c r="K181" s="276" t="inlineStr">
        <is>
          <t>соответствует (по КП)</t>
        </is>
      </c>
      <c r="L181" s="276" t="inlineStr"/>
    </row>
    <row r="182">
      <c r="A182" s="276" t="inlineStr">
        <is>
          <t>1.3/152</t>
        </is>
      </c>
      <c r="B182" s="276" t="inlineStr">
        <is>
          <t>Затвор дисковый поворотный ЗДП-50-6,3-1-М-А-УХЛ1 Ду 50 Ру 6,3</t>
        </is>
      </c>
      <c r="C182" s="276" t="n">
        <v>10</v>
      </c>
      <c r="D182" s="276" t="inlineStr">
        <is>
          <t>текущий поставщик</t>
        </is>
      </c>
      <c r="E182" s="276" t="inlineStr">
        <is>
          <t>Лидер-Энерго</t>
        </is>
      </c>
      <c r="F182" s="276" t="inlineStr">
        <is>
          <t>+7 (8482) 21-66-32 trans-energo@bk.ru</t>
        </is>
      </c>
      <c r="G182" s="276" t="inlineStr">
        <is>
          <t>ЗПД-50-УХЛ1 (подтвердить полное обозначение по ТЗ)</t>
        </is>
      </c>
      <c r="H182" s="276" t="inlineStr">
        <is>
          <t>ООО «Транс-Энерго» (ИНН 6324029755)</t>
        </is>
      </c>
      <c r="I182" s="276" t="inlineStr">
        <is>
          <t>10876719</t>
        </is>
      </c>
      <c r="J182" s="276" t="inlineStr">
        <is>
          <t>08.07.2031</t>
        </is>
      </c>
      <c r="K182" s="276" t="inlineStr">
        <is>
          <t>соответствует (по КП)</t>
        </is>
      </c>
      <c r="L182" s="276" t="inlineStr"/>
    </row>
    <row r="183">
      <c r="A183" s="276" t="inlineStr">
        <is>
          <t>1.3/153</t>
        </is>
      </c>
      <c r="B183" s="276" t="inlineStr">
        <is>
          <t>Затвор дисковый поворотный ЗДП-80-УХЛ1 Ду 80 Ру 6,3</t>
        </is>
      </c>
      <c r="C183" s="276" t="n">
        <v>3</v>
      </c>
      <c r="D183" s="276" t="inlineStr">
        <is>
          <t>текущий поставщик</t>
        </is>
      </c>
      <c r="E183" s="276" t="inlineStr">
        <is>
          <t>Лидер-Энерго</t>
        </is>
      </c>
      <c r="F183" s="276" t="inlineStr">
        <is>
          <t>+7 (8482) 21-66-32 trans-energo@bk.ru</t>
        </is>
      </c>
      <c r="G183" s="276" t="inlineStr">
        <is>
          <t>ЗПД-80-УХЛ1 (подтвердить полное обозначение по ТЗ)</t>
        </is>
      </c>
      <c r="H183" s="276" t="inlineStr">
        <is>
          <t>ООО «Транс-Энерго» (ИНН 6324029755)</t>
        </is>
      </c>
      <c r="I183" s="276" t="inlineStr">
        <is>
          <t>10876720</t>
        </is>
      </c>
      <c r="J183" s="276" t="inlineStr">
        <is>
          <t>08.07.2031</t>
        </is>
      </c>
      <c r="K183" s="276" t="inlineStr">
        <is>
          <t>соответствует (по КП)</t>
        </is>
      </c>
      <c r="L183" s="276" t="inlineStr"/>
    </row>
    <row r="184">
      <c r="A184" s="276" t="inlineStr">
        <is>
          <t>1.3/154</t>
        </is>
      </c>
      <c r="B184" s="276" t="inlineStr">
        <is>
          <t>Затвор дисковый поворотный(ГРЭНВЭЛ) Тип /серия FL(w)-3-MR-E Ду 100, Ру 16</t>
        </is>
      </c>
      <c r="C184" s="276" t="n">
        <v>4</v>
      </c>
      <c r="D184" s="276" t="inlineStr">
        <is>
          <t>текущий поставщик</t>
        </is>
      </c>
      <c r="E184" s="276" t="inlineStr">
        <is>
          <t>ТД АДЛ (Гранвэл)</t>
        </is>
      </c>
      <c r="F184" s="276" t="inlineStr">
        <is>
          <t>+7 (495) 937-89-68 info@adl.ru</t>
        </is>
      </c>
      <c r="G184" s="276" t="inlineStr">
        <is>
          <t>ГРАНВЭЛ ЗПВС FL(w)-3-100-MR-E Ду100 — Россия, ЗПВС в реестре МПТ</t>
        </is>
      </c>
      <c r="H184" s="276" t="inlineStr">
        <is>
          <t>ООО «Торговый Дом АДЛ» (Гранвэл)</t>
        </is>
      </c>
      <c r="I184" s="276" t="inlineStr">
        <is>
          <t>10357202</t>
        </is>
      </c>
      <c r="J184" s="276" t="inlineStr">
        <is>
          <t>15.03.2031</t>
        </is>
      </c>
      <c r="K184" s="276" t="inlineStr">
        <is>
          <t>соответствует (по КП)</t>
        </is>
      </c>
      <c r="L184" s="276" t="inlineStr"/>
    </row>
    <row r="185">
      <c r="A185" s="276" t="inlineStr">
        <is>
          <t>1.3/155</t>
        </is>
      </c>
      <c r="B185" s="276" t="inlineStr">
        <is>
          <t>Затвор дисковый поворотный(ГРЭНВЭЛ) ЗП ТЛ Ду 100 Ру 16</t>
        </is>
      </c>
      <c r="C185" s="276" t="n">
        <v>16</v>
      </c>
      <c r="D185" s="276" t="inlineStr">
        <is>
          <t>текущий поставщик</t>
        </is>
      </c>
      <c r="E185" s="276" t="inlineStr">
        <is>
          <t>ТД АДЛ (Гранвэл)</t>
        </is>
      </c>
      <c r="F185" s="276" t="inlineStr">
        <is>
          <t>+7 (495) 937-89-68 info@adl.ru</t>
        </is>
      </c>
      <c r="G185" s="276" t="inlineStr">
        <is>
          <t>ГРАНВЭЛ ЗПТЛ FLN(w)-5-100-MR-HT Ду100 — Россия, ЗПВС в реестре МПТ</t>
        </is>
      </c>
      <c r="H185" s="276" t="inlineStr">
        <is>
          <t>ООО «Торговый Дом АДЛ» (Гранвэл)</t>
        </is>
      </c>
      <c r="I185" s="276" t="inlineStr">
        <is>
          <t>10357202</t>
        </is>
      </c>
      <c r="J185" s="276" t="inlineStr">
        <is>
          <t>15.03.2031</t>
        </is>
      </c>
      <c r="K185" s="276" t="inlineStr">
        <is>
          <t>соответствует (по КП)</t>
        </is>
      </c>
      <c r="L185" s="276" t="inlineStr"/>
    </row>
    <row r="186">
      <c r="A186" s="276" t="inlineStr">
        <is>
          <t>1.3/156</t>
        </is>
      </c>
      <c r="B186" s="276" t="inlineStr">
        <is>
          <t>Затвор дисковый поворотный(ГРЭНВЭЛ) ЗП ТЛ Ду 150 Ру 16</t>
        </is>
      </c>
      <c r="C186" s="276" t="n">
        <v>20</v>
      </c>
      <c r="D186" s="276" t="inlineStr">
        <is>
          <t>текущий поставщик</t>
        </is>
      </c>
      <c r="E186" s="276" t="inlineStr">
        <is>
          <t>ТД АДЛ (Гранвэл)</t>
        </is>
      </c>
      <c r="F186" s="276" t="inlineStr">
        <is>
          <t>+7 (495) 937-89-68 info@adl.ru</t>
        </is>
      </c>
      <c r="G186" s="276" t="inlineStr">
        <is>
          <t>ГРАНВЭЛ ЗПТЛ FLN(w)-5-150-MR-HT Ду150 — Россия, ЗПВС в реестре МПТ</t>
        </is>
      </c>
      <c r="H186" s="276" t="inlineStr">
        <is>
          <t>ООО «Торговый Дом АДЛ» (Гранвэл)</t>
        </is>
      </c>
      <c r="I186" s="276" t="inlineStr">
        <is>
          <t>10837159</t>
        </is>
      </c>
      <c r="J186" s="276" t="inlineStr">
        <is>
          <t>13.07.2029</t>
        </is>
      </c>
      <c r="K186" s="276" t="inlineStr">
        <is>
          <t>соответствует (по КП)</t>
        </is>
      </c>
      <c r="L186" s="276" t="inlineStr"/>
    </row>
    <row r="187">
      <c r="A187" s="276" t="inlineStr">
        <is>
          <t>1.3/157</t>
        </is>
      </c>
      <c r="B187" s="276" t="inlineStr">
        <is>
          <t>Затвор дисковый поворотный(ГРЭНВЭЛ) ЗП ТЛ Ду 200 Ру 16</t>
        </is>
      </c>
      <c r="C187" s="276" t="n">
        <v>16</v>
      </c>
      <c r="D187" s="276" t="inlineStr">
        <is>
          <t>текущий поставщик</t>
        </is>
      </c>
      <c r="E187" s="276" t="inlineStr">
        <is>
          <t>ТД АДЛ (Гранвэл)</t>
        </is>
      </c>
      <c r="F187" s="276" t="inlineStr">
        <is>
          <t>+7 (495) 937-89-68 info@adl.ru</t>
        </is>
      </c>
      <c r="G187" s="276" t="inlineStr">
        <is>
          <t>ГРАНВЭЛ ЗПТЛ FLN(w)-5-200-MR-HT Ду200 — Россия, ЗПВС в реестре МПТ</t>
        </is>
      </c>
      <c r="H187" s="276" t="inlineStr">
        <is>
          <t>ООО «Торговый Дом АДЛ» (Гранвэл)</t>
        </is>
      </c>
      <c r="I187" s="276" t="inlineStr">
        <is>
          <t>10837159</t>
        </is>
      </c>
      <c r="J187" s="276" t="inlineStr">
        <is>
          <t>13.07.2029</t>
        </is>
      </c>
      <c r="K187" s="276" t="inlineStr">
        <is>
          <t>соответствует (по КП)</t>
        </is>
      </c>
      <c r="L187" s="276" t="inlineStr"/>
    </row>
    <row r="188">
      <c r="A188" s="276" t="inlineStr">
        <is>
          <t>1.3/158</t>
        </is>
      </c>
      <c r="B188" s="276" t="inlineStr">
        <is>
          <t>Затвор дисковый поворотный(ГРЭНВЭЛ) ЗП ТЛ Ду 80 Ру 16</t>
        </is>
      </c>
      <c r="C188" s="276" t="n">
        <v>9</v>
      </c>
      <c r="D188" s="276" t="inlineStr">
        <is>
          <t>текущий поставщик</t>
        </is>
      </c>
      <c r="E188" s="276" t="inlineStr">
        <is>
          <t>ТД АДЛ (Гранвэл)</t>
        </is>
      </c>
      <c r="F188" s="276" t="inlineStr">
        <is>
          <t>+7 (495) 937-89-68 info@adl.ru</t>
        </is>
      </c>
      <c r="G188" s="276" t="inlineStr">
        <is>
          <t>ГРАНВЭЛ ЗПТЛ FLN(w)-5-080-MR-HT Ду80 — Россия, ЗПВС в реестре МПТ</t>
        </is>
      </c>
      <c r="H188" s="276" t="inlineStr">
        <is>
          <t>ООО «Торговый Дом АДЛ» (Гранвэл)</t>
        </is>
      </c>
      <c r="I188" s="276" t="inlineStr">
        <is>
          <t>10357205</t>
        </is>
      </c>
      <c r="J188" s="276" t="inlineStr">
        <is>
          <t>15.03.2031</t>
        </is>
      </c>
      <c r="K188" s="276" t="inlineStr">
        <is>
          <t>соответствует (по КП)</t>
        </is>
      </c>
      <c r="L188" s="276" t="inlineStr"/>
    </row>
    <row r="189">
      <c r="A189" s="276" t="inlineStr">
        <is>
          <t>1.3/159</t>
        </is>
      </c>
      <c r="B189" s="276" t="inlineStr">
        <is>
          <t>Затвор дисковый поворотный(ГРЭНВЭЛ) Тип /серия FL(w)-3-MR-E Ду 150 Ру 16</t>
        </is>
      </c>
      <c r="C189" s="276" t="n">
        <v>25</v>
      </c>
      <c r="D189" s="276" t="inlineStr">
        <is>
          <t>текущий поставщик</t>
        </is>
      </c>
      <c r="E189" s="276" t="inlineStr">
        <is>
          <t>ТД АДЛ (Гранвэл)</t>
        </is>
      </c>
      <c r="F189" s="276" t="inlineStr">
        <is>
          <t>+7 (495) 937-89-68 info@adl.ru</t>
        </is>
      </c>
      <c r="G189" s="276" t="inlineStr">
        <is>
          <t>ГРАНВЭЛ ЗПВС FL(w)-3-150-MR-E Ду150 — Россия, ЗПВС в реестре МПТ</t>
        </is>
      </c>
      <c r="H189" s="276" t="inlineStr">
        <is>
          <t>ООО «Торговый Дом АДЛ» (Гранвэл)</t>
        </is>
      </c>
      <c r="I189" s="276" t="inlineStr">
        <is>
          <t>10837159</t>
        </is>
      </c>
      <c r="J189" s="276" t="inlineStr">
        <is>
          <t>13.07.2029</t>
        </is>
      </c>
      <c r="K189" s="276" t="inlineStr">
        <is>
          <t>соответствует (по КП)</t>
        </is>
      </c>
      <c r="L189" s="276" t="inlineStr"/>
    </row>
    <row r="190">
      <c r="A190" s="276" t="inlineStr">
        <is>
          <t>1.3/160</t>
        </is>
      </c>
      <c r="B190" s="276" t="inlineStr">
        <is>
          <t>Затвор дисковый поворотный(ГРЭНВЭЛ) Тип /серия FL(w)-3-MR-E Ду 200 Ру 16</t>
        </is>
      </c>
      <c r="C190" s="276" t="n">
        <v>6</v>
      </c>
      <c r="D190" s="276" t="inlineStr">
        <is>
          <t>текущий поставщик</t>
        </is>
      </c>
      <c r="E190" s="276" t="inlineStr">
        <is>
          <t>ТД АДЛ (Гранвэл)</t>
        </is>
      </c>
      <c r="F190" s="276" t="inlineStr">
        <is>
          <t>+7 (495) 937-89-68 info@adl.ru</t>
        </is>
      </c>
      <c r="G190" s="276" t="inlineStr">
        <is>
          <t>ГРАНВЭЛ ЗПВС FL(w)-3-200-MR-E Ду200 — Россия, ЗПВС в реестре МПТ</t>
        </is>
      </c>
      <c r="H190" s="276" t="inlineStr">
        <is>
          <t>ООО «Торговый Дом АДЛ» (Гранвэл)</t>
        </is>
      </c>
      <c r="I190" s="276" t="inlineStr">
        <is>
          <t>10837159</t>
        </is>
      </c>
      <c r="J190" s="276" t="inlineStr">
        <is>
          <t>13.07.2029</t>
        </is>
      </c>
      <c r="K190" s="276" t="inlineStr">
        <is>
          <t>соответствует (по КП)</t>
        </is>
      </c>
      <c r="L190" s="276" t="inlineStr"/>
    </row>
    <row r="191">
      <c r="A191" s="276" t="inlineStr">
        <is>
          <t>1.3/161</t>
        </is>
      </c>
      <c r="B191" s="276" t="inlineStr">
        <is>
          <t>Затвор дисковый поворотный(ГРЭНВЭЛ) Тип /серия FL(w)-3-MR-E Ду 80</t>
        </is>
      </c>
      <c r="C191" s="276" t="n">
        <v>2</v>
      </c>
      <c r="D191" s="276" t="inlineStr">
        <is>
          <t>текущий поставщик</t>
        </is>
      </c>
      <c r="E191" s="276" t="inlineStr">
        <is>
          <t>ТД АДЛ (Гранвэл)</t>
        </is>
      </c>
      <c r="F191" s="276" t="inlineStr">
        <is>
          <t>+7 (495) 937-89-68 info@adl.ru</t>
        </is>
      </c>
      <c r="G191" s="276" t="inlineStr">
        <is>
          <t>ГРАНВЭЛ ЗПВС FL(w)-3-080-MR-E Ду80 — Россия, ЗПВС в реестре МПТ</t>
        </is>
      </c>
      <c r="H191" s="276" t="inlineStr">
        <is>
          <t>ООО «Торговый Дом АДЛ» (Гранвэл)</t>
        </is>
      </c>
      <c r="I191" s="276" t="inlineStr">
        <is>
          <t>10357205</t>
        </is>
      </c>
      <c r="J191" s="276" t="inlineStr">
        <is>
          <t>15.03.2031</t>
        </is>
      </c>
      <c r="K191" s="276" t="inlineStr">
        <is>
          <t>соответствует (по КП)</t>
        </is>
      </c>
      <c r="L191" s="276" t="inlineStr"/>
    </row>
    <row r="192">
      <c r="A192" s="276" t="inlineStr">
        <is>
          <t>1.3/162</t>
        </is>
      </c>
      <c r="B192" s="276" t="inlineStr">
        <is>
          <t>Затвор поворотный дисковый Ду 65 Ру 16  ГРАНВЭЛ тип ЗПВС</t>
        </is>
      </c>
      <c r="C192" s="276" t="n">
        <v>2</v>
      </c>
      <c r="D192" s="276" t="inlineStr">
        <is>
          <t>текущий поставщик</t>
        </is>
      </c>
      <c r="E192" s="276" t="inlineStr">
        <is>
          <t>ТД АДЛ (Гранвэл)</t>
        </is>
      </c>
      <c r="F192" s="276" t="inlineStr">
        <is>
          <t>+7 (495) 937-89-68 info@adl.ru</t>
        </is>
      </c>
      <c r="G192" s="276" t="inlineStr">
        <is>
          <t>ГРАНВЭЛ ЗПВС FL(w)-3-065-MR-E Ду65 — Россия, ЗПВС в реестре МПТ</t>
        </is>
      </c>
      <c r="H192" s="276" t="inlineStr">
        <is>
          <t>ООО «Торговый Дом АДЛ» (Гранвэл)</t>
        </is>
      </c>
      <c r="I192" s="276" t="inlineStr">
        <is>
          <t>10357198</t>
        </is>
      </c>
      <c r="J192" s="276" t="inlineStr">
        <is>
          <t>15.03.2031</t>
        </is>
      </c>
      <c r="K192" s="276" t="inlineStr">
        <is>
          <t>соответствует (по КП)</t>
        </is>
      </c>
      <c r="L192" s="276" t="inlineStr"/>
    </row>
    <row r="193">
      <c r="A193" s="276" t="inlineStr">
        <is>
          <t>1.3/163</t>
        </is>
      </c>
      <c r="B193" s="276" t="inlineStr">
        <is>
          <t>Электропривод прямоходный Regada SТ0 490.0-00TQV/00</t>
        </is>
      </c>
      <c r="C193" s="276" t="n">
        <v>1</v>
      </c>
      <c r="D193" s="276" t="inlineStr">
        <is>
          <t>завод (новый запрос КП)</t>
        </is>
      </c>
      <c r="E193" s="276" t="inlineStr">
        <is>
          <t>ООО «Арма-Пром» (Старооскольский арматурный завод, ГК «Авангард», ТМ САЗ)</t>
        </is>
      </c>
      <c r="F193" s="276" t="inlineStr">
        <is>
          <t>+7 (4725) 469-470 (завод) zavod@saz-avangard.ru</t>
        </is>
      </c>
      <c r="G193" s="276" t="inlineStr">
        <is>
          <t>ПЭП-САЗ прямоходный (4000 Н) вместо Regada ST0 490.0</t>
        </is>
      </c>
      <c r="H193" s="276" t="inlineStr">
        <is>
          <t>ООО «Арма-Пром»</t>
        </is>
      </c>
      <c r="I193" s="276" t="inlineStr"/>
      <c r="J193" s="276" t="inlineStr"/>
      <c r="K193" s="276" t="inlineStr">
        <is>
          <t>не подтверждено</t>
        </is>
      </c>
      <c r="L193" s="276" t="inlineStr">
        <is>
          <t>Запросить ход 25 мм, скорость 4 мм/мин, сигнал 4–20 мА, присоединение к клапану (стойки 110 мм).</t>
        </is>
      </c>
    </row>
    <row r="194">
      <c r="A194" s="276" t="inlineStr">
        <is>
          <t>1.4/1</t>
        </is>
      </c>
      <c r="B194" s="276" t="inlineStr">
        <is>
          <t>Рыбозащитное устройство с потокообразователем</t>
        </is>
      </c>
      <c r="C194" s="276" t="n">
        <v>1</v>
      </c>
      <c r="D194" s="276" t="inlineStr">
        <is>
          <t>завод (новый запрос КП)</t>
        </is>
      </c>
      <c r="E194" s="276" t="inlineStr">
        <is>
          <t>ООО «ПКФ «ТЕРМ»</t>
        </is>
      </c>
      <c r="F194" s="276" t="inlineStr">
        <is>
          <t>+7 (927) 279-09-83 term1998@yandex.ru</t>
        </is>
      </c>
      <c r="G194" s="276" t="inlineStr">
        <is>
          <t>СРО (рыбозащитный оголовок с потокообразователем), типоразмер по расходу (250 м³/ч ≈ СРО-100)</t>
        </is>
      </c>
      <c r="H194" s="276" t="inlineStr">
        <is>
          <t>ООО «ПКФ «ТЕРМ»</t>
        </is>
      </c>
      <c r="I194" s="276" t="inlineStr"/>
      <c r="J194" s="276" t="inlineStr"/>
      <c r="K194" s="276" t="inlineStr">
        <is>
          <t>не подтверждено</t>
        </is>
      </c>
      <c r="L194" s="276" t="inlineStr">
        <is>
          <t>Запросить исполнение из ст.20, переход Ду200, ячейку по ТЗ, паспорт.</t>
        </is>
      </c>
    </row>
    <row r="195">
      <c r="A195" s="276" t="inlineStr">
        <is>
          <t>1.5/1</t>
        </is>
      </c>
      <c r="B195" s="276" t="inlineStr">
        <is>
          <t>Клапан запорный 15кч18п Ду 25 Ру 16</t>
        </is>
      </c>
      <c r="C195" s="276" t="n">
        <v>11</v>
      </c>
      <c r="D195" s="276" t="inlineStr">
        <is>
          <t>текущий поставщик (номера записи нет)</t>
        </is>
      </c>
      <c r="E195" s="276" t="inlineStr">
        <is>
          <t>ДН.РУ</t>
        </is>
      </c>
      <c r="F195" s="276" t="inlineStr">
        <is>
          <t>менеджер по счетам 819892/819896</t>
        </is>
      </c>
      <c r="G195" s="276" t="inlineStr">
        <is>
          <t>Клапан запорный 15кч18п Китай 1" Ду25 Ру16 резьбовой, корпус - чугун, с маховиком</t>
        </is>
      </c>
      <c r="H195" s="276" t="inlineStr"/>
      <c r="I195" s="276" t="inlineStr"/>
      <c r="J195" s="276" t="inlineStr"/>
      <c r="K195" s="276" t="inlineStr">
        <is>
          <t>нет записи ПП 719 — не проходит нацрежим</t>
        </is>
      </c>
      <c r="L195" s="276" t="inlineStr">
        <is>
          <t>изготовитель и № записи ПП 719 или российская замена</t>
        </is>
      </c>
    </row>
    <row r="196">
      <c r="A196" s="276" t="inlineStr">
        <is>
          <t>1.5/2</t>
        </is>
      </c>
      <c r="B196" s="276" t="inlineStr">
        <is>
          <t>Задвижка 30с64нж Ду 50 Ру 25</t>
        </is>
      </c>
      <c r="C196" s="276" t="n">
        <v>2</v>
      </c>
      <c r="D196" s="276" t="inlineStr">
        <is>
          <t>завод вместо ДН.РУ</t>
        </is>
      </c>
      <c r="E196" s="276" t="inlineStr">
        <is>
          <t>ООО «Пермский трубопроводный завод» (ООО «ПТЗ»)</t>
        </is>
      </c>
      <c r="F196" s="276" t="inlineStr">
        <is>
          <t>+7 (342) 270-07-34 sales@ptza.ru</t>
        </is>
      </c>
      <c r="G196" s="276" t="inlineStr">
        <is>
          <t>30с64нж Ду50 PN25 (ПТЗ)</t>
        </is>
      </c>
      <c r="H196" s="276" t="inlineStr">
        <is>
          <t>ООО «Пермский трубопроводный завод» (ИНН 5904173655)</t>
        </is>
      </c>
      <c r="I196" s="276" t="inlineStr">
        <is>
          <t>10698940</t>
        </is>
      </c>
      <c r="J196" s="276" t="inlineStr">
        <is>
          <t>17.02.2031</t>
        </is>
      </c>
      <c r="K196" s="276" t="inlineStr">
        <is>
          <t>соответствует</t>
        </is>
      </c>
      <c r="L196" s="276" t="inlineStr">
        <is>
          <t>Запросить паспорт: шпиндель 20Х13, наплавка, ТРГ.</t>
        </is>
      </c>
    </row>
    <row r="197">
      <c r="A197" s="276" t="inlineStr">
        <is>
          <t>1.5/3</t>
        </is>
      </c>
      <c r="B197" s="276" t="inlineStr">
        <is>
          <t>Задвижка 30с64нж Ду 80 Ру 25</t>
        </is>
      </c>
      <c r="C197" s="276" t="n">
        <v>2</v>
      </c>
      <c r="D197" s="276" t="inlineStr">
        <is>
          <t>завод вместо ДН.РУ</t>
        </is>
      </c>
      <c r="E197" s="276" t="inlineStr">
        <is>
          <t>ООО «Пермский трубопроводный завод» (ООО «ПТЗ»)</t>
        </is>
      </c>
      <c r="F197" s="276" t="inlineStr">
        <is>
          <t>+7 (342) 270-07-34 sales@ptza.ru</t>
        </is>
      </c>
      <c r="G197" s="276" t="inlineStr">
        <is>
          <t>30с64нж Ду80 PN25 (ПТЗ)</t>
        </is>
      </c>
      <c r="H197" s="276" t="inlineStr">
        <is>
          <t>ООО «Пермский трубопроводный завод» (ИНН 5904173655)</t>
        </is>
      </c>
      <c r="I197" s="276" t="inlineStr">
        <is>
          <t>10698940</t>
        </is>
      </c>
      <c r="J197" s="276" t="inlineStr">
        <is>
          <t>17.02.2031</t>
        </is>
      </c>
      <c r="K197" s="276" t="inlineStr">
        <is>
          <t>соответствует</t>
        </is>
      </c>
      <c r="L197" s="276" t="inlineStr">
        <is>
          <t>Запросить паспорт: шпиндель 20Х13, наплавка, ТРГ.</t>
        </is>
      </c>
    </row>
    <row r="198">
      <c r="A198" s="276" t="inlineStr">
        <is>
          <t>1.5/4</t>
        </is>
      </c>
      <c r="B198" s="276" t="inlineStr">
        <is>
          <t>Кран шаровой 11б27п1 Ду 15 Ру 16</t>
        </is>
      </c>
      <c r="C198" s="276" t="n">
        <v>28</v>
      </c>
      <c r="D198" s="276" t="inlineStr">
        <is>
          <t>завод (новый запрос КП)</t>
        </is>
      </c>
      <c r="E198" s="276" t="inlineStr">
        <is>
          <t>ООО «ЧелябинскСпецГражданСтрой» / ЛД Прайд (Группа компаний «ЛД», ТМ LD, LD Pride); продажи — ООО «ТД «ЛД»</t>
        </is>
      </c>
      <c r="F198" s="276" t="inlineStr">
        <is>
          <t>+7 (351) 730-47-47 office@chsgs.ru</t>
        </is>
      </c>
      <c r="G198" s="276" t="inlineStr">
        <is>
          <t>LD Pride 47 Ду15 ВР-ВР рычаг (латунь ЛС59-1)</t>
        </is>
      </c>
      <c r="H198" s="276" t="inlineStr">
        <is>
          <t>ООО «ЛД Прайд» (ИНН 7449114775)</t>
        </is>
      </c>
      <c r="I198" s="276" t="inlineStr">
        <is>
          <t>10826766</t>
        </is>
      </c>
      <c r="J198" s="276" t="inlineStr">
        <is>
          <t>04.05.2031</t>
        </is>
      </c>
      <c r="K198" s="276" t="inlineStr">
        <is>
          <t>не подтверждено</t>
        </is>
      </c>
      <c r="L198" s="276" t="inlineStr">
        <is>
          <t>Подтвердить полный проход, исполнение У1 (для улицы), применимость на пар (где указан).</t>
        </is>
      </c>
    </row>
    <row r="199">
      <c r="A199" s="276" t="inlineStr">
        <is>
          <t>1.5/5</t>
        </is>
      </c>
      <c r="B199" s="276" t="inlineStr">
        <is>
          <t>Кран шаровой 11б27п1 Ду 20 Ру 16</t>
        </is>
      </c>
      <c r="C199" s="276" t="n">
        <v>16</v>
      </c>
      <c r="D199" s="276" t="inlineStr">
        <is>
          <t>завод (новый запрос КП)</t>
        </is>
      </c>
      <c r="E199" s="276" t="inlineStr">
        <is>
          <t>ООО «ЧелябинскСпецГражданСтрой» / ЛД Прайд (Группа компаний «ЛД», ТМ LD, LD Pride); продажи — ООО «ТД «ЛД»</t>
        </is>
      </c>
      <c r="F199" s="276" t="inlineStr">
        <is>
          <t>+7 (351) 730-47-47 office@chsgs.ru</t>
        </is>
      </c>
      <c r="G199" s="276" t="inlineStr">
        <is>
          <t>LD Pride 47 Ду20 ВР-ВР рычаг (латунь ЛС59-1)</t>
        </is>
      </c>
      <c r="H199" s="276" t="inlineStr">
        <is>
          <t>ООО «ЛД Прайд» (ИНН 7449114775)</t>
        </is>
      </c>
      <c r="I199" s="276" t="inlineStr">
        <is>
          <t>10826766</t>
        </is>
      </c>
      <c r="J199" s="276" t="inlineStr">
        <is>
          <t>04.05.2031</t>
        </is>
      </c>
      <c r="K199" s="276" t="inlineStr">
        <is>
          <t>не подтверждено</t>
        </is>
      </c>
      <c r="L199" s="276" t="inlineStr">
        <is>
          <t>Подтвердить полный проход, исполнение У1 (для улицы), применимость на пар (где указан).</t>
        </is>
      </c>
    </row>
    <row r="200">
      <c r="A200" s="276" t="inlineStr">
        <is>
          <t>1.5/6</t>
        </is>
      </c>
      <c r="B200" s="276" t="inlineStr">
        <is>
          <t>Кран шаровой 11б27п1 Ду 25 Ру 16</t>
        </is>
      </c>
      <c r="C200" s="276" t="n">
        <v>16</v>
      </c>
      <c r="D200" s="276" t="inlineStr">
        <is>
          <t>завод (новый запрос КП)</t>
        </is>
      </c>
      <c r="E200" s="276" t="inlineStr">
        <is>
          <t>ООО «ЧелябинскСпецГражданСтрой» / ЛД Прайд (Группа компаний «ЛД», ТМ LD, LD Pride); продажи — ООО «ТД «ЛД»</t>
        </is>
      </c>
      <c r="F200" s="276" t="inlineStr">
        <is>
          <t>+7 (351) 730-47-47 office@chsgs.ru</t>
        </is>
      </c>
      <c r="G200" s="276" t="inlineStr">
        <is>
          <t>LD Pride 47 Ду25 ВР-ВР рычаг (латунь ЛС59-1)</t>
        </is>
      </c>
      <c r="H200" s="276" t="inlineStr">
        <is>
          <t>ООО «ЛД Прайд» (ИНН 7449114775)</t>
        </is>
      </c>
      <c r="I200" s="276" t="inlineStr">
        <is>
          <t>10826766</t>
        </is>
      </c>
      <c r="J200" s="276" t="inlineStr">
        <is>
          <t>04.05.2031</t>
        </is>
      </c>
      <c r="K200" s="276" t="inlineStr">
        <is>
          <t>не подтверждено</t>
        </is>
      </c>
      <c r="L200" s="276" t="inlineStr">
        <is>
          <t>Подтвердить полный проход, исполнение У1 (для улицы), применимость на пар (где указан).</t>
        </is>
      </c>
    </row>
    <row r="201">
      <c r="A201" s="276" t="inlineStr">
        <is>
          <t>1.5/7</t>
        </is>
      </c>
      <c r="B201" s="276" t="inlineStr">
        <is>
          <t>Кран шаровой 11б27п1 Ду 32 Ру 16</t>
        </is>
      </c>
      <c r="C201" s="276" t="n">
        <v>6</v>
      </c>
      <c r="D201" s="276" t="inlineStr">
        <is>
          <t>завод (новый запрос КП)</t>
        </is>
      </c>
      <c r="E201" s="276" t="inlineStr">
        <is>
          <t>ООО «ЧелябинскСпецГражданСтрой» / ЛД Прайд (Группа компаний «ЛД», ТМ LD, LD Pride); продажи — ООО «ТД «ЛД»</t>
        </is>
      </c>
      <c r="F201" s="276" t="inlineStr">
        <is>
          <t>+7 (351) 730-47-47 office@chsgs.ru</t>
        </is>
      </c>
      <c r="G201" s="276" t="inlineStr">
        <is>
          <t>LD Pride 47 Ду32 ВР-ВР рычаг (латунь ЛС59-1)</t>
        </is>
      </c>
      <c r="H201" s="276" t="inlineStr">
        <is>
          <t>ООО «ЛД Прайд» (ИНН 7449114775)</t>
        </is>
      </c>
      <c r="I201" s="276" t="inlineStr">
        <is>
          <t>10826766</t>
        </is>
      </c>
      <c r="J201" s="276" t="inlineStr">
        <is>
          <t>04.05.2031</t>
        </is>
      </c>
      <c r="K201" s="276" t="inlineStr">
        <is>
          <t>не подтверждено</t>
        </is>
      </c>
      <c r="L201" s="276" t="inlineStr">
        <is>
          <t>Подтвердить полный проход, исполнение У1 (для улицы), применимость на пар (где указан).</t>
        </is>
      </c>
    </row>
    <row r="202">
      <c r="A202" s="276" t="inlineStr">
        <is>
          <t>1.5/8</t>
        </is>
      </c>
      <c r="B202" s="276" t="inlineStr">
        <is>
          <t>Кран шаровой 11б27п1 Ду 50 Ру 16</t>
        </is>
      </c>
      <c r="C202" s="276" t="n">
        <v>6</v>
      </c>
      <c r="D202" s="276" t="inlineStr">
        <is>
          <t>завод (новый запрос КП)</t>
        </is>
      </c>
      <c r="E202" s="276" t="inlineStr">
        <is>
          <t>ООО «ЧелябинскСпецГражданСтрой» / ЛД Прайд (Группа компаний «ЛД», ТМ LD, LD Pride); продажи — ООО «ТД «ЛД»</t>
        </is>
      </c>
      <c r="F202" s="276" t="inlineStr">
        <is>
          <t>+7 (351) 730-47-47 office@chsgs.ru</t>
        </is>
      </c>
      <c r="G202" s="276" t="inlineStr">
        <is>
          <t>LD Pride 47 Ду50 ВР-ВР рычаг (латунь ЛС59-1)</t>
        </is>
      </c>
      <c r="H202" s="276" t="inlineStr">
        <is>
          <t>ООО «ЛД Прайд» (ИНН 7449114775)</t>
        </is>
      </c>
      <c r="I202" s="276" t="inlineStr">
        <is>
          <t>10826766</t>
        </is>
      </c>
      <c r="J202" s="276" t="inlineStr">
        <is>
          <t>04.05.2031</t>
        </is>
      </c>
      <c r="K202" s="276" t="inlineStr">
        <is>
          <t>не подтверждено</t>
        </is>
      </c>
      <c r="L202" s="276" t="inlineStr">
        <is>
          <t>Подтвердить полный проход, исполнение У1 (для улицы), применимость на пар (где указан).</t>
        </is>
      </c>
    </row>
    <row r="203">
      <c r="A203" s="276" t="inlineStr">
        <is>
          <t>1.5/9</t>
        </is>
      </c>
      <c r="B203" s="276" t="inlineStr">
        <is>
          <t>Кран шаровой 11с22п Ду 50 Ру 16</t>
        </is>
      </c>
      <c r="C203" s="276" t="n">
        <v>4</v>
      </c>
      <c r="D203" s="276" t="inlineStr">
        <is>
          <t>завод (новый запрос КП)</t>
        </is>
      </c>
      <c r="E203" s="276" t="inlineStr">
        <is>
          <t>ООО «ЧелябинскСпецГражданСтрой» / ЛД Прайд (Группа компаний «ЛД», ТМ LD, LD Pride); продажи — ООО «ТД «ЛД»</t>
        </is>
      </c>
      <c r="F203" s="276" t="inlineStr">
        <is>
          <t>+7 (351) 730-47-47 office@chsgs.ru</t>
        </is>
      </c>
      <c r="G203" s="276" t="inlineStr">
        <is>
          <t>LD КШЦФ ст.20 Ду50 Н/П PN16(40) (аналог 11с22п)</t>
        </is>
      </c>
      <c r="H203" s="276" t="inlineStr">
        <is>
          <t>ООО «ЧелябинскСпецГражданСтрой» (ИНН 7451211335)</t>
        </is>
      </c>
      <c r="I203" s="276" t="inlineStr">
        <is>
          <t>10655491</t>
        </is>
      </c>
      <c r="J203" s="276" t="inlineStr">
        <is>
          <t>30.06.2028</t>
        </is>
      </c>
      <c r="K203" s="276" t="inlineStr">
        <is>
          <t>не подтверждено</t>
        </is>
      </c>
      <c r="L203" s="276" t="inlineStr">
        <is>
          <t>Подтвердить письменно применимость на газ/пар при Т по ТЗ.</t>
        </is>
      </c>
    </row>
    <row r="204">
      <c r="A204" s="276" t="inlineStr">
        <is>
          <t>1.5/10</t>
        </is>
      </c>
      <c r="B204" s="276" t="inlineStr">
        <is>
          <t>Кран шаровой 11с22п Ду 80 Ру 16</t>
        </is>
      </c>
      <c r="C204" s="276" t="n">
        <v>4</v>
      </c>
      <c r="D204" s="276" t="inlineStr">
        <is>
          <t>завод (новый запрос КП)</t>
        </is>
      </c>
      <c r="E204" s="276" t="inlineStr">
        <is>
          <t>ООО «ЧелябинскСпецГражданСтрой» / ЛД Прайд (Группа компаний «ЛД», ТМ LD, LD Pride); продажи — ООО «ТД «ЛД»</t>
        </is>
      </c>
      <c r="F204" s="276" t="inlineStr">
        <is>
          <t>+7 (351) 730-47-47 office@chsgs.ru</t>
        </is>
      </c>
      <c r="G204" s="276" t="inlineStr">
        <is>
          <t>LD КШЦФ ст.20 Ду80 Н/П PN16(40) (аналог 11с22п)</t>
        </is>
      </c>
      <c r="H204" s="276" t="inlineStr">
        <is>
          <t>ООО «ЧелябинскСпецГражданСтрой» (ИНН 7451211335)</t>
        </is>
      </c>
      <c r="I204" s="276" t="inlineStr">
        <is>
          <t>10655491</t>
        </is>
      </c>
      <c r="J204" s="276" t="inlineStr">
        <is>
          <t>30.06.2028</t>
        </is>
      </c>
      <c r="K204" s="276" t="inlineStr">
        <is>
          <t>не подтверждено</t>
        </is>
      </c>
      <c r="L204" s="276" t="inlineStr">
        <is>
          <t>Подтвердить письменно применимость на газ/пар при Т по ТЗ.</t>
        </is>
      </c>
    </row>
    <row r="205">
      <c r="A205" s="276" t="inlineStr">
        <is>
          <t>1.5/11</t>
        </is>
      </c>
      <c r="B205" s="276" t="inlineStr">
        <is>
          <t>Кран шаровой 11с22п Ду 100 Ру 16</t>
        </is>
      </c>
      <c r="C205" s="276" t="n">
        <v>2</v>
      </c>
      <c r="D205" s="276" t="inlineStr">
        <is>
          <t>завод (новый запрос КП)</t>
        </is>
      </c>
      <c r="E205" s="276" t="inlineStr">
        <is>
          <t>ООО «ЧелябинскСпецГражданСтрой» / ЛД Прайд (Группа компаний «ЛД», ТМ LD, LD Pride); продажи — ООО «ТД «ЛД»</t>
        </is>
      </c>
      <c r="F205" s="276" t="inlineStr">
        <is>
          <t>+7 (351) 730-47-47 office@chsgs.ru</t>
        </is>
      </c>
      <c r="G205" s="276" t="inlineStr">
        <is>
          <t>LD КШЦФ ст.20 Ду100 Н/П PN16(40) (аналог 11с22п)</t>
        </is>
      </c>
      <c r="H205" s="276" t="inlineStr">
        <is>
          <t>ООО «ЧелябинскСпецГражданСтрой» (ИНН 7451211335)</t>
        </is>
      </c>
      <c r="I205" s="276" t="inlineStr">
        <is>
          <t>10655491</t>
        </is>
      </c>
      <c r="J205" s="276" t="inlineStr">
        <is>
          <t>30.06.2028</t>
        </is>
      </c>
      <c r="K205" s="276" t="inlineStr">
        <is>
          <t>не подтверждено</t>
        </is>
      </c>
      <c r="L205" s="276" t="inlineStr">
        <is>
          <t>Подтвердить письменно применимость на газ/пар при Т по ТЗ.</t>
        </is>
      </c>
    </row>
    <row r="206">
      <c r="A206" s="276" t="inlineStr">
        <is>
          <t>1.5/12</t>
        </is>
      </c>
      <c r="B206" s="276" t="inlineStr">
        <is>
          <t>Кран шаровой 11с67п Ду 15 Ру 25 цельносварной под приварку</t>
        </is>
      </c>
      <c r="C206" s="276" t="n">
        <v>25</v>
      </c>
      <c r="D206" s="276" t="inlineStr">
        <is>
          <t>завод (новый запрос КП)</t>
        </is>
      </c>
      <c r="E206" s="276" t="inlineStr">
        <is>
          <t>ООО «ЧелябинскСпецГражданСтрой» / ЛД Прайд (Группа компаний «ЛД», ТМ LD, LD Pride); продажи — ООО «ТД «ЛД»</t>
        </is>
      </c>
      <c r="F206" s="276" t="inlineStr">
        <is>
          <t>+7 (351) 730-47-47 office@chsgs.ru</t>
        </is>
      </c>
      <c r="G206" s="276" t="inlineStr">
        <is>
          <t>LD КШЦП (КШ.Ц.П) ст.20 Ду15 П/П PN4,0</t>
        </is>
      </c>
      <c r="H206" s="276" t="inlineStr">
        <is>
          <t>ООО «ЧелябинскСпецГражданСтрой» (ИНН 7451211335)</t>
        </is>
      </c>
      <c r="I206" s="276" t="inlineStr">
        <is>
          <t>10655491</t>
        </is>
      </c>
      <c r="J206" s="276" t="inlineStr">
        <is>
          <t>30.06.2028</t>
        </is>
      </c>
      <c r="K206" s="276" t="inlineStr">
        <is>
          <t>соответствует</t>
        </is>
      </c>
      <c r="L206" s="276" t="inlineStr"/>
    </row>
    <row r="207">
      <c r="A207" s="276" t="inlineStr">
        <is>
          <t>1.5/13</t>
        </is>
      </c>
      <c r="B207" s="276" t="inlineStr">
        <is>
          <t>Кран шаровой 11с67п Ду 25 Ру 25 цельносварной под приварку</t>
        </is>
      </c>
      <c r="C207" s="276" t="n">
        <v>32</v>
      </c>
      <c r="D207" s="276" t="inlineStr">
        <is>
          <t>завод (новый запрос КП)</t>
        </is>
      </c>
      <c r="E207" s="276" t="inlineStr">
        <is>
          <t>ООО «ЧелябинскСпецГражданСтрой» / ЛД Прайд (Группа компаний «ЛД», ТМ LD, LD Pride); продажи — ООО «ТД «ЛД»</t>
        </is>
      </c>
      <c r="F207" s="276" t="inlineStr">
        <is>
          <t>+7 (351) 730-47-47 office@chsgs.ru</t>
        </is>
      </c>
      <c r="G207" s="276" t="inlineStr">
        <is>
          <t>LD КШЦП (КШ.Ц.П) ст.20 Ду25 П/П PN4,0</t>
        </is>
      </c>
      <c r="H207" s="276" t="inlineStr">
        <is>
          <t>ООО «ЧелябинскСпецГражданСтрой» (ИНН 7451211335)</t>
        </is>
      </c>
      <c r="I207" s="276" t="inlineStr">
        <is>
          <t>10655491</t>
        </is>
      </c>
      <c r="J207" s="276" t="inlineStr">
        <is>
          <t>30.06.2028</t>
        </is>
      </c>
      <c r="K207" s="276" t="inlineStr">
        <is>
          <t>не подтверждено</t>
        </is>
      </c>
      <c r="L207" s="276" t="inlineStr">
        <is>
          <t>Подтвердить письменно применимость на газ/пар при Т по ТЗ.</t>
        </is>
      </c>
    </row>
    <row r="208">
      <c r="A208" s="276" t="inlineStr">
        <is>
          <t>1.5/14</t>
        </is>
      </c>
      <c r="B208" s="276" t="inlineStr">
        <is>
          <t>Кран шаровой 11с67п Ду 32 Ру 25 цельносварной под приварку</t>
        </is>
      </c>
      <c r="C208" s="276" t="n">
        <v>15</v>
      </c>
      <c r="D208" s="276" t="inlineStr">
        <is>
          <t>НЕ ЗАКРЫТО</t>
        </is>
      </c>
      <c r="E208" s="276" t="inlineStr"/>
      <c r="F208" s="276" t="inlineStr"/>
      <c r="G208" s="276" t="inlineStr"/>
      <c r="H208" s="276" t="inlineStr"/>
      <c r="I208" s="276" t="inlineStr"/>
      <c r="J208" s="276" t="inlineStr"/>
      <c r="K208" s="276" t="inlineStr">
        <is>
          <t>нет поставщика с записью ПП 719 и соответствием ТЗ</t>
        </is>
      </c>
      <c r="L208" s="276" t="inlineStr"/>
    </row>
    <row r="209">
      <c r="A209" s="276" t="inlineStr">
        <is>
          <t>1.5/15</t>
        </is>
      </c>
      <c r="B209" s="276" t="inlineStr">
        <is>
          <t>Кран шаровой 11с67п Ду 40 Ру 25 цельносварной под приварку</t>
        </is>
      </c>
      <c r="C209" s="276" t="n">
        <v>26</v>
      </c>
      <c r="D209" s="276" t="inlineStr">
        <is>
          <t>завод (новый запрос КП)</t>
        </is>
      </c>
      <c r="E209" s="276" t="inlineStr">
        <is>
          <t>ООО «ЧелябинскСпецГражданСтрой» / ЛД Прайд (Группа компаний «ЛД», ТМ LD, LD Pride); продажи — ООО «ТД «ЛД»</t>
        </is>
      </c>
      <c r="F209" s="276" t="inlineStr">
        <is>
          <t>+7 (351) 730-47-47 office@chsgs.ru</t>
        </is>
      </c>
      <c r="G209" s="276" t="inlineStr">
        <is>
          <t>LD КШЦП (КШ.Ц.П) ст.20 Ду40 П/П PN4,0</t>
        </is>
      </c>
      <c r="H209" s="276" t="inlineStr">
        <is>
          <t>ООО «ЧелябинскСпецГражданСтрой» (ИНН 7451211335)</t>
        </is>
      </c>
      <c r="I209" s="276" t="inlineStr">
        <is>
          <t>10655491</t>
        </is>
      </c>
      <c r="J209" s="276" t="inlineStr">
        <is>
          <t>30.06.2028</t>
        </is>
      </c>
      <c r="K209" s="276" t="inlineStr">
        <is>
          <t>соответствует</t>
        </is>
      </c>
      <c r="L209" s="276" t="inlineStr"/>
    </row>
    <row r="210">
      <c r="A210" s="276" t="inlineStr">
        <is>
          <t>1.5/16</t>
        </is>
      </c>
      <c r="B210" s="276" t="inlineStr">
        <is>
          <t>Кран шаровой 11с67п Ду 50 Ру 25 цельносварной под приварку</t>
        </is>
      </c>
      <c r="C210" s="276" t="n">
        <v>9</v>
      </c>
      <c r="D210" s="276" t="inlineStr">
        <is>
          <t>НЕ ЗАКРЫТО</t>
        </is>
      </c>
      <c r="E210" s="276" t="inlineStr"/>
      <c r="F210" s="276" t="inlineStr"/>
      <c r="G210" s="276" t="inlineStr"/>
      <c r="H210" s="276" t="inlineStr"/>
      <c r="I210" s="276" t="inlineStr"/>
      <c r="J210" s="276" t="inlineStr"/>
      <c r="K210" s="276" t="inlineStr">
        <is>
          <t>нет поставщика с записью ПП 719 и соответствием ТЗ</t>
        </is>
      </c>
      <c r="L210" s="276" t="inlineStr"/>
    </row>
    <row r="211">
      <c r="A211" s="276" t="inlineStr">
        <is>
          <t>1.5/17</t>
        </is>
      </c>
      <c r="B211" s="276" t="inlineStr">
        <is>
          <t>Кран шаровой 11с67п Ду 100 Ру 25 цельносварной под приварку</t>
        </is>
      </c>
      <c r="C211" s="276" t="n">
        <v>4</v>
      </c>
      <c r="D211" s="276" t="inlineStr">
        <is>
          <t>НЕ ЗАКРЫТО</t>
        </is>
      </c>
      <c r="E211" s="276" t="inlineStr"/>
      <c r="F211" s="276" t="inlineStr"/>
      <c r="G211" s="276" t="inlineStr"/>
      <c r="H211" s="276" t="inlineStr"/>
      <c r="I211" s="276" t="inlineStr"/>
      <c r="J211" s="276" t="inlineStr"/>
      <c r="K211" s="276" t="inlineStr">
        <is>
          <t>нет поставщика с записью ПП 719 и соответствием ТЗ</t>
        </is>
      </c>
      <c r="L211" s="276" t="inlineStr"/>
    </row>
    <row r="212">
      <c r="A212" s="276" t="inlineStr">
        <is>
          <t>1.5/18</t>
        </is>
      </c>
      <c r="B212" s="276" t="inlineStr">
        <is>
          <t>Кран шаровой 11с67п Ду 150 Ру 25 цельносварной под приварку</t>
        </is>
      </c>
      <c r="C212" s="276" t="n">
        <v>2</v>
      </c>
      <c r="D212" s="276" t="inlineStr">
        <is>
          <t>завод (новый запрос КП)</t>
        </is>
      </c>
      <c r="E212" s="276" t="inlineStr">
        <is>
          <t>ООО «ЧелябинскСпецГражданСтрой» / ЛД Прайд (Группа компаний «ЛД», ТМ LD, LD Pride); продажи — ООО «ТД «ЛД»</t>
        </is>
      </c>
      <c r="F212" s="276" t="inlineStr">
        <is>
          <t>+7 (351) 730-47-47 office@chsgs.ru</t>
        </is>
      </c>
      <c r="G212" s="276" t="inlineStr">
        <is>
          <t>LD КШЦП (КШ.Ц.П) ст.20 Ду150 П/П PN2,5</t>
        </is>
      </c>
      <c r="H212" s="276" t="inlineStr">
        <is>
          <t>ООО «ЧелябинскСпецГражданСтрой» (ИНН 7451211335)</t>
        </is>
      </c>
      <c r="I212" s="276" t="inlineStr">
        <is>
          <t>10655491</t>
        </is>
      </c>
      <c r="J212" s="276" t="inlineStr">
        <is>
          <t>30.06.2028</t>
        </is>
      </c>
      <c r="K212" s="276" t="inlineStr">
        <is>
          <t>соответствует</t>
        </is>
      </c>
      <c r="L212" s="276" t="inlineStr"/>
    </row>
    <row r="213">
      <c r="A213" s="276" t="inlineStr">
        <is>
          <t>1.6/1</t>
        </is>
      </c>
      <c r="B213" s="276" t="inlineStr">
        <is>
          <t>Клапан регулирующий 25с947нж Ду 25 Ру 25 с ЭИМ</t>
        </is>
      </c>
      <c r="C213" s="276" t="n">
        <v>1</v>
      </c>
      <c r="D213" s="276" t="inlineStr">
        <is>
          <t>текущий поставщик (номера записи нет)</t>
        </is>
      </c>
      <c r="E213" s="276" t="inlineStr">
        <is>
          <t>ДН.РУ</t>
        </is>
      </c>
      <c r="F213" s="276" t="inlineStr">
        <is>
          <t>менеджер по счетам 819892/819896</t>
        </is>
      </c>
      <c r="G213" s="276" t="inlineStr">
        <is>
          <t>Клапан регулирующий Авангард КР 25с947нж Ду25 Ру25 с электроприводом 15-20 109 Regada ST mini</t>
        </is>
      </c>
      <c r="H213" s="276" t="inlineStr"/>
      <c r="I213" s="276" t="inlineStr"/>
      <c r="J213" s="276" t="inlineStr"/>
      <c r="K213" s="276" t="inlineStr">
        <is>
          <t>нет записи ПП 719 — не проходит нацрежим</t>
        </is>
      </c>
      <c r="L213" s="276" t="inlineStr">
        <is>
          <t>изготовитель и № записи ПП 719 или российская замена</t>
        </is>
      </c>
    </row>
    <row r="214">
      <c r="A214" s="276" t="inlineStr">
        <is>
          <t>1.6/2</t>
        </is>
      </c>
      <c r="B214" s="276" t="inlineStr">
        <is>
          <t>Клапан регулирующий 25с947нж Ду 50 Ру 25 с ЭИМ</t>
        </is>
      </c>
      <c r="C214" s="276" t="n">
        <v>1</v>
      </c>
      <c r="D214" s="276" t="inlineStr">
        <is>
          <t>текущий поставщик (номера записи нет)</t>
        </is>
      </c>
      <c r="E214" s="276" t="inlineStr">
        <is>
          <t>ДН.РУ</t>
        </is>
      </c>
      <c r="F214" s="276" t="inlineStr">
        <is>
          <t>менеджер по счетам 819892/819896</t>
        </is>
      </c>
      <c r="G214" s="276" t="inlineStr">
        <is>
          <t>Клапан регулирующий Авангард КР 25с947нж Ду50 Ру25 с электроприводом 15-20 110 Regada ST 0</t>
        </is>
      </c>
      <c r="H214" s="276" t="inlineStr"/>
      <c r="I214" s="276" t="inlineStr"/>
      <c r="J214" s="276" t="inlineStr"/>
      <c r="K214" s="276" t="inlineStr">
        <is>
          <t>нет записи ПП 719 — не проходит нацрежим</t>
        </is>
      </c>
      <c r="L214" s="276" t="inlineStr">
        <is>
          <t>изготовитель и № записи ПП 719 или российская замена</t>
        </is>
      </c>
    </row>
    <row r="215">
      <c r="A215" s="276" t="inlineStr">
        <is>
          <t>1.6/3</t>
        </is>
      </c>
      <c r="B215" s="276" t="inlineStr">
        <is>
          <t>Регулирующий клапан Ридан VFG-2R Ду 80, Kvs 80, Ру 16</t>
        </is>
      </c>
      <c r="C215" s="276" t="n">
        <v>1</v>
      </c>
      <c r="D215" s="276" t="inlineStr">
        <is>
          <t>текущий поставщик (номера записи нет)</t>
        </is>
      </c>
      <c r="E215" s="276" t="inlineStr">
        <is>
          <t>ДН.РУ</t>
        </is>
      </c>
      <c r="F215" s="276" t="inlineStr">
        <is>
          <t>менеджер по счетам 819892/819896</t>
        </is>
      </c>
      <c r="G215" s="276" t="inlineStr">
        <is>
          <t xml:space="preserve">Клапан регулирующий двухходовой Ридан VFM-2R Ду80 Ру16 седельный, фланцевый, Kv 100м3/ч, корпус - чугун 111 QT450-10, уплотнение - PTFE, FPM, Tmax до </t>
        </is>
      </c>
      <c r="H215" s="276" t="inlineStr"/>
      <c r="I215" s="276" t="inlineStr"/>
      <c r="J215" s="276" t="inlineStr"/>
      <c r="K215" s="276" t="inlineStr">
        <is>
          <t>нет записи ПП 719 — не проходит нацрежим</t>
        </is>
      </c>
      <c r="L215" s="276" t="inlineStr">
        <is>
          <t>изготовитель и № записи ПП 719 или российская замена</t>
        </is>
      </c>
    </row>
    <row r="216">
      <c r="A216" s="276" t="inlineStr">
        <is>
          <t>1.6/4</t>
        </is>
      </c>
      <c r="B216" s="276" t="inlineStr">
        <is>
          <t>Клапан обратный межфланцевый 19ч21бр Ду 100 Ру 16</t>
        </is>
      </c>
      <c r="C216" s="276" t="n">
        <v>1</v>
      </c>
      <c r="D216" s="276" t="inlineStr">
        <is>
          <t>завод вместо ДН.РУ</t>
        </is>
      </c>
      <c r="E216" s="276" t="inlineStr">
        <is>
          <t>АО «Энергия» (производитель арматуры ДЕНДОР/DENDOR)</t>
        </is>
      </c>
      <c r="F216" s="276" t="inlineStr">
        <is>
          <t>8-800-333-40-30 zakaz@dendor.ru</t>
        </is>
      </c>
      <c r="G216" s="276" t="inlineStr">
        <is>
          <t>Клапан обратный двухстворчатый межфланцевый тип 010C</t>
        </is>
      </c>
      <c r="H216" s="276" t="inlineStr">
        <is>
          <t>АО «Энергия»</t>
        </is>
      </c>
      <c r="I216" s="276" t="inlineStr">
        <is>
          <t>10743786</t>
        </is>
      </c>
      <c r="J216" s="276" t="inlineStr">
        <is>
          <t>08.12.2030</t>
        </is>
      </c>
      <c r="K216" s="276" t="inlineStr">
        <is>
          <t>не проверено построчно</t>
        </is>
      </c>
      <c r="L216" s="276" t="inlineStr"/>
    </row>
    <row r="217">
      <c r="A217" s="276" t="inlineStr">
        <is>
          <t>1.6/5</t>
        </is>
      </c>
      <c r="B217" s="276" t="inlineStr">
        <is>
          <t>Клапан обратный межфланцевый 19ч21бр Ду 50 Ру 16</t>
        </is>
      </c>
      <c r="C217" s="276" t="n">
        <v>1</v>
      </c>
      <c r="D217" s="276" t="inlineStr">
        <is>
          <t>завод вместо ДН.РУ</t>
        </is>
      </c>
      <c r="E217" s="276" t="inlineStr">
        <is>
          <t>АО «Энергия» (производитель арматуры ДЕНДОР/DENDOR)</t>
        </is>
      </c>
      <c r="F217" s="276" t="inlineStr">
        <is>
          <t>8-800-333-40-30 zakaz@dendor.ru</t>
        </is>
      </c>
      <c r="G217" s="276" t="inlineStr">
        <is>
          <t>Клапан обратный двухстворчатый межфланцевый тип 010C</t>
        </is>
      </c>
      <c r="H217" s="276" t="inlineStr">
        <is>
          <t>АО «Энергия»</t>
        </is>
      </c>
      <c r="I217" s="276" t="inlineStr">
        <is>
          <t>10743786</t>
        </is>
      </c>
      <c r="J217" s="276" t="inlineStr">
        <is>
          <t>08.12.2030</t>
        </is>
      </c>
      <c r="K217" s="276" t="inlineStr">
        <is>
          <t>не проверено построчно</t>
        </is>
      </c>
      <c r="L217" s="276" t="inlineStr"/>
    </row>
    <row r="218">
      <c r="A218" s="276" t="inlineStr">
        <is>
          <t>1.6/6</t>
        </is>
      </c>
      <c r="B218" s="276" t="inlineStr">
        <is>
          <t>Клапан обратный межфланцевый 19ч21бр Ду 80 Ру 16</t>
        </is>
      </c>
      <c r="C218" s="276" t="n">
        <v>2</v>
      </c>
      <c r="D218" s="276" t="inlineStr">
        <is>
          <t>завод вместо ДН.РУ</t>
        </is>
      </c>
      <c r="E218" s="276" t="inlineStr">
        <is>
          <t>АО «Энергия» (производитель арматуры ДЕНДОР/DENDOR)</t>
        </is>
      </c>
      <c r="F218" s="276" t="inlineStr">
        <is>
          <t>8-800-333-40-30 zakaz@dendor.ru</t>
        </is>
      </c>
      <c r="G218" s="276" t="inlineStr">
        <is>
          <t>Клапан обратный двухстворчатый межфланцевый тип 010C</t>
        </is>
      </c>
      <c r="H218" s="276" t="inlineStr">
        <is>
          <t>АО «Энергия»</t>
        </is>
      </c>
      <c r="I218" s="276" t="inlineStr">
        <is>
          <t>10743786</t>
        </is>
      </c>
      <c r="J218" s="276" t="inlineStr">
        <is>
          <t>08.12.2030</t>
        </is>
      </c>
      <c r="K218" s="276" t="inlineStr">
        <is>
          <t>не проверено построчно</t>
        </is>
      </c>
      <c r="L218" s="276" t="inlineStr"/>
    </row>
    <row r="219">
      <c r="A219" s="276" t="inlineStr">
        <is>
          <t>1.6/7</t>
        </is>
      </c>
      <c r="B219" s="276" t="inlineStr">
        <is>
          <t>Клапан обратный двухстворчатый DENDOR 010C Ду 100 Ру 16 межфланцевый</t>
        </is>
      </c>
      <c r="C219" s="276" t="n">
        <v>1</v>
      </c>
      <c r="D219" s="276" t="inlineStr">
        <is>
          <t>завод вместо ДН.РУ</t>
        </is>
      </c>
      <c r="E219" s="276" t="inlineStr">
        <is>
          <t>АО «Энергия» (производитель арматуры ДЕНДОР/DENDOR)</t>
        </is>
      </c>
      <c r="F219" s="276" t="inlineStr">
        <is>
          <t>8-800-333-40-30 zakaz@dendor.ru</t>
        </is>
      </c>
      <c r="G219" s="276" t="inlineStr">
        <is>
          <t>ДЕНДОР 010C(.Y) Ду100 PN16, высокотемпературное исполнение</t>
        </is>
      </c>
      <c r="H219" s="276" t="inlineStr">
        <is>
          <t>АО «Энергия» (ИНН 7805499441)</t>
        </is>
      </c>
      <c r="I219" s="276" t="inlineStr">
        <is>
          <t>10743786</t>
        </is>
      </c>
      <c r="J219" s="276" t="inlineStr">
        <is>
          <t>08.12.2030</t>
        </is>
      </c>
      <c r="K219" s="276" t="inlineStr">
        <is>
          <t>эквивалент — согласовать</t>
        </is>
      </c>
      <c r="L219" s="276" t="inlineStr">
        <is>
          <t>Заказать высокотемпературное исполнение (до +150 °С, уплотнение силикон) — стандартное EPDM только до +90 °С (ТЗ +130 °С).</t>
        </is>
      </c>
    </row>
    <row r="220">
      <c r="A220" s="276" t="inlineStr">
        <is>
          <t>1.6/8</t>
        </is>
      </c>
      <c r="B220" s="276" t="inlineStr">
        <is>
          <t>Клапан обратный двухстворчатый DENDOR 010C Ду 150 Ру 16 межфланцевый</t>
        </is>
      </c>
      <c r="C220" s="276" t="n">
        <v>1</v>
      </c>
      <c r="D220" s="276" t="inlineStr">
        <is>
          <t>завод вместо ДН.РУ</t>
        </is>
      </c>
      <c r="E220" s="276" t="inlineStr">
        <is>
          <t>АО «Энергия» (производитель арматуры ДЕНДОР/DENDOR)</t>
        </is>
      </c>
      <c r="F220" s="276" t="inlineStr">
        <is>
          <t>8-800-333-40-30 zakaz@dendor.ru</t>
        </is>
      </c>
      <c r="G220" s="276" t="inlineStr">
        <is>
          <t>ДЕНДОР 010C(.Y) Ду150 PN16, высокотемпературное исполнение</t>
        </is>
      </c>
      <c r="H220" s="276" t="inlineStr">
        <is>
          <t>АО «Энергия» (ИНН 7805499441)</t>
        </is>
      </c>
      <c r="I220" s="276" t="inlineStr">
        <is>
          <t>10743786</t>
        </is>
      </c>
      <c r="J220" s="276" t="inlineStr">
        <is>
          <t>08.12.2030</t>
        </is>
      </c>
      <c r="K220" s="276" t="inlineStr">
        <is>
          <t>эквивалент — согласовать</t>
        </is>
      </c>
      <c r="L220" s="276" t="inlineStr">
        <is>
          <t>Заказать высокотемпературное исполнение (до +150 °С, уплотнение силикон) — стандартное EPDM только до +90 °С (ТЗ +130 °С).</t>
        </is>
      </c>
    </row>
    <row r="221">
      <c r="A221" s="276" t="inlineStr">
        <is>
          <t>1.6/9</t>
        </is>
      </c>
      <c r="B221" s="276" t="inlineStr">
        <is>
          <t>Клапан обратный двухстворчатый DENDOR 010C Ду 200 Ру 16 межфланцевый</t>
        </is>
      </c>
      <c r="C221" s="276" t="n">
        <v>1</v>
      </c>
      <c r="D221" s="276" t="inlineStr">
        <is>
          <t>завод вместо ДН.РУ</t>
        </is>
      </c>
      <c r="E221" s="276" t="inlineStr">
        <is>
          <t>АО «Энергия» (производитель арматуры ДЕНДОР/DENDOR)</t>
        </is>
      </c>
      <c r="F221" s="276" t="inlineStr">
        <is>
          <t>8-800-333-40-30 zakaz@dendor.ru</t>
        </is>
      </c>
      <c r="G221" s="276" t="inlineStr">
        <is>
          <t>ДЕНДОР 010C(.Y) Ду200 PN16, высокотемпературное исполнение</t>
        </is>
      </c>
      <c r="H221" s="276" t="inlineStr">
        <is>
          <t>АО «Энергия» (ИНН 7805499441)</t>
        </is>
      </c>
      <c r="I221" s="276" t="inlineStr">
        <is>
          <t>10743786</t>
        </is>
      </c>
      <c r="J221" s="276" t="inlineStr">
        <is>
          <t>08.12.2030</t>
        </is>
      </c>
      <c r="K221" s="276" t="inlineStr">
        <is>
          <t>эквивалент — согласовать</t>
        </is>
      </c>
      <c r="L221" s="276" t="inlineStr">
        <is>
          <t>Заказать высокотемпературное исполнение (до +150 °С, уплотнение силикон) — стандартное EPDM только до +90 °С (ТЗ +130 °С).</t>
        </is>
      </c>
    </row>
    <row r="222">
      <c r="A222" s="276" t="inlineStr">
        <is>
          <t>1.6/10</t>
        </is>
      </c>
      <c r="B222" s="276" t="inlineStr">
        <is>
          <t>Клапан предохранительный сбросный ПСК 50C/125 Ду 50</t>
        </is>
      </c>
      <c r="C222" s="276" t="n">
        <v>1</v>
      </c>
      <c r="D222" s="276" t="inlineStr">
        <is>
          <t>завод вместо ДН.РУ</t>
        </is>
      </c>
      <c r="E222" s="276" t="inlineStr">
        <is>
          <t>ООО ПКФ «Экс-Форма»</t>
        </is>
      </c>
      <c r="F222" s="276" t="inlineStr">
        <is>
          <t>8-800-550-52-31 exform@exform.ru</t>
        </is>
      </c>
      <c r="G222" s="276" t="inlineStr">
        <is>
          <t>ПСК-50С/125</t>
        </is>
      </c>
      <c r="H222" s="276" t="inlineStr">
        <is>
          <t>ООО ПКФ «Экс-Форма» (ИНН 6455004320)</t>
        </is>
      </c>
      <c r="I222" s="276" t="inlineStr">
        <is>
          <t>10538896</t>
        </is>
      </c>
      <c r="J222" s="276" t="inlineStr">
        <is>
          <t>22.05.2027</t>
        </is>
      </c>
      <c r="K222" s="276" t="inlineStr">
        <is>
          <t>не подтверждено</t>
        </is>
      </c>
      <c r="L222" s="276" t="inlineStr">
        <is>
          <t>Запросить паспорт ПСК-50С/125: давление срабатывания 125 кПа, алюминий, муфтовое, У2 (−40…+50 °С).</t>
        </is>
      </c>
    </row>
    <row r="223">
      <c r="A223" s="276" t="inlineStr">
        <is>
          <t>1.6/11</t>
        </is>
      </c>
      <c r="B223" s="276" t="inlineStr">
        <is>
          <t>Клапан предохранительный 17с11нж Ду 25 Ру 16</t>
        </is>
      </c>
      <c r="C223" s="276" t="n">
        <v>2</v>
      </c>
      <c r="D223" s="276" t="inlineStr">
        <is>
          <t>завод (новый запрос КП)</t>
        </is>
      </c>
      <c r="E223" s="276" t="inlineStr">
        <is>
          <t>ООО «Торговый Дом АДЛ» (бренд «Гранвэл»)</t>
        </is>
      </c>
      <c r="F223" s="276" t="inlineStr">
        <is>
          <t>+7 (495) 937-89-68 granvel@adl.ru</t>
        </is>
      </c>
      <c r="G223" s="276" t="inlineStr"/>
      <c r="H223" s="276" t="inlineStr">
        <is>
          <t>ООО «Торговый Дом АДЛ»</t>
        </is>
      </c>
      <c r="I223" s="276" t="inlineStr"/>
      <c r="J223" s="276" t="inlineStr"/>
      <c r="K223" s="276" t="inlineStr">
        <is>
          <t>не проверено построчно</t>
        </is>
      </c>
      <c r="L223" s="276" t="inlineStr">
        <is>
          <t>№ реестровой записи</t>
        </is>
      </c>
    </row>
    <row r="224">
      <c r="A224" s="276" t="inlineStr">
        <is>
          <t>1.6/12</t>
        </is>
      </c>
      <c r="B224" s="276" t="inlineStr">
        <is>
          <t>Клапан предохранительный 17с28нж Ду 50 Ру16 (Рн 10-16)</t>
        </is>
      </c>
      <c r="C224" s="276" t="n">
        <v>3</v>
      </c>
      <c r="D224" s="276" t="inlineStr">
        <is>
          <t>завод вместо ДН.РУ</t>
        </is>
      </c>
      <c r="E224" s="276" t="inlineStr">
        <is>
          <t>АО «Благовещенский арматурный завод» (АО «БАЗ»)</t>
        </is>
      </c>
      <c r="F224" s="276" t="inlineStr">
        <is>
          <t>+7 (34766) 2-99-10, 2-99-11 baz@bazrb.ru</t>
        </is>
      </c>
      <c r="G224" s="276" t="inlineStr">
        <is>
          <t>СППК4РСО 50-16 (28с20нж1), 20Л, до +425 °С — аналог 17с28нж</t>
        </is>
      </c>
      <c r="H224" s="276" t="inlineStr">
        <is>
          <t>АО «Благовещенский арматурный завод» (ИНН 0258001489)</t>
        </is>
      </c>
      <c r="I224" s="276" t="inlineStr">
        <is>
          <t>10329690</t>
        </is>
      </c>
      <c r="J224" s="276" t="inlineStr">
        <is>
          <t>16.09.2030</t>
        </is>
      </c>
      <c r="K224" s="276" t="inlineStr">
        <is>
          <t>эквивалент — согласовать</t>
        </is>
      </c>
      <c r="L224" s="276" t="inlineStr">
        <is>
          <t>Согласовать замену 17с28нж на СППК4РСО 50-16; подтвердить материалы деталей и диапазон настройки Рн 1,0–1,6 МПа.</t>
        </is>
      </c>
    </row>
    <row r="225">
      <c r="A225" s="276" t="inlineStr">
        <is>
          <t>1.6/13</t>
        </is>
      </c>
      <c r="B225" s="276" t="inlineStr">
        <is>
          <t>Клапан предохранительный 17с6нж Ду 50 Ру 16</t>
        </is>
      </c>
      <c r="C225" s="276" t="n">
        <v>2</v>
      </c>
      <c r="D225" s="276" t="inlineStr">
        <is>
          <t>завод вместо ДН.РУ</t>
        </is>
      </c>
      <c r="E225" s="276" t="inlineStr">
        <is>
          <t>АО «Пензенский завод трубопроводной арматуры» (АО «ПЗТА»)</t>
        </is>
      </c>
      <c r="F225" s="276" t="inlineStr">
        <is>
          <t>+7 (8412) 351-000 sale@pzta.ru</t>
        </is>
      </c>
      <c r="G225" s="276" t="inlineStr">
        <is>
          <t>Клапан предохранительный пружинный ПЗТА.КП</t>
        </is>
      </c>
      <c r="H225" s="276" t="inlineStr">
        <is>
          <t>АО «Пензенский завод трубопроводной арматуры»</t>
        </is>
      </c>
      <c r="I225" s="276" t="inlineStr">
        <is>
          <t>10706186</t>
        </is>
      </c>
      <c r="J225" s="276" t="inlineStr">
        <is>
          <t>03.09.2028</t>
        </is>
      </c>
      <c r="K225" s="276" t="inlineStr">
        <is>
          <t>не проверено построчно</t>
        </is>
      </c>
      <c r="L225" s="276" t="inlineStr"/>
    </row>
    <row r="226">
      <c r="A226" s="276" t="inlineStr">
        <is>
          <t>1.6/14</t>
        </is>
      </c>
      <c r="B226" s="276" t="inlineStr">
        <is>
          <t>Клапан предохранительный 17с6нж Ду 80 Ру 16</t>
        </is>
      </c>
      <c r="C226" s="276" t="n">
        <v>1</v>
      </c>
      <c r="D226" s="276" t="inlineStr">
        <is>
          <t>завод вместо ДН.РУ</t>
        </is>
      </c>
      <c r="E226" s="276" t="inlineStr">
        <is>
          <t>АО «Благовещенский арматурный завод» (АО «БАЗ»)</t>
        </is>
      </c>
      <c r="F226" s="276" t="inlineStr">
        <is>
          <t>+7 (34766) 2-99-10, 2-99-11 baz@bazrb.ru</t>
        </is>
      </c>
      <c r="G226" s="276" t="inlineStr">
        <is>
          <t>СППК4РС 80-16 (17с21нж2), 20Л, до +425 °С</t>
        </is>
      </c>
      <c r="H226" s="276" t="inlineStr">
        <is>
          <t>АО «Благовещенский арматурный завод» (ИНН 0258001489)</t>
        </is>
      </c>
      <c r="I226" s="276" t="inlineStr">
        <is>
          <t>10329690</t>
        </is>
      </c>
      <c r="J226" s="276" t="inlineStr">
        <is>
          <t>16.09.2030</t>
        </is>
      </c>
      <c r="K226" s="276" t="inlineStr">
        <is>
          <t>эквивалент — согласовать</t>
        </is>
      </c>
      <c r="L226" s="276" t="inlineStr">
        <is>
          <t>Согласовать СППК4РС 80-16 вместо 17с6нж; подтвердить материалы седла/штока 20Х13, пружины 50ХФА.</t>
        </is>
      </c>
    </row>
    <row r="227">
      <c r="A227" s="276" t="inlineStr">
        <is>
          <t>1.6/15</t>
        </is>
      </c>
      <c r="B227" s="276" t="inlineStr">
        <is>
          <t>Клапан 15с18нж Ду 32, Ру 25</t>
        </is>
      </c>
      <c r="C227" s="276" t="n">
        <v>1</v>
      </c>
      <c r="D227" s="276" t="inlineStr">
        <is>
          <t>завод вместо ДН.РУ</t>
        </is>
      </c>
      <c r="E227" s="276" t="inlineStr">
        <is>
          <t>ООО «Пермский трубопроводный завод» (ООО «ПТЗ»)</t>
        </is>
      </c>
      <c r="F227" s="276" t="inlineStr">
        <is>
          <t>+7 (342) 270-07-34 sales@ptza.ru</t>
        </is>
      </c>
      <c r="G227" s="276" t="inlineStr">
        <is>
          <t>15с18нж Ду32 PN25 (ПТЗ)</t>
        </is>
      </c>
      <c r="H227" s="276" t="inlineStr">
        <is>
          <t>ООО «Пермский трубопроводный завод» (ИНН 5904173655)</t>
        </is>
      </c>
      <c r="I227" s="276" t="inlineStr">
        <is>
          <t>10698937</t>
        </is>
      </c>
      <c r="J227" s="276" t="inlineStr">
        <is>
          <t>17.02.2031</t>
        </is>
      </c>
      <c r="K227" s="276" t="inlineStr">
        <is>
          <t>эквивалент — согласовать</t>
        </is>
      </c>
      <c r="L227" s="276" t="inlineStr">
        <is>
          <t>Подтвердить: корпус 20Л/20ГЛ или согласовать 25Л; затвор с наплавкой 20Х13; сальник ТРГ.</t>
        </is>
      </c>
    </row>
    <row r="228">
      <c r="A228" s="276" t="inlineStr">
        <is>
          <t>1.6/16</t>
        </is>
      </c>
      <c r="B228" s="276" t="inlineStr">
        <is>
          <t>Кран для манометра трехходовой Ду 15 Ру 16</t>
        </is>
      </c>
      <c r="C228" s="276" t="n">
        <v>2</v>
      </c>
      <c r="D228" s="276" t="inlineStr">
        <is>
          <t>текущий поставщик (номера записи нет)</t>
        </is>
      </c>
      <c r="E228" s="276" t="inlineStr">
        <is>
          <t>КИПИКА (прайс 01.10)</t>
        </is>
      </c>
      <c r="F228" s="276" t="inlineStr">
        <is>
          <t>+7 (8412) 909-200 b18bk@11b18bk.ru</t>
        </is>
      </c>
      <c r="G228" s="276" t="inlineStr">
        <is>
          <t>Кран шаровый трёхходовой для манометра 11б27пм.1 Ру16 Ду15 G1/2×M20×1,5 (арт. 021011011)</t>
        </is>
      </c>
      <c r="H228" s="276" t="inlineStr"/>
      <c r="I228" s="276" t="inlineStr"/>
      <c r="J228" s="276" t="inlineStr"/>
      <c r="K228" s="276" t="inlineStr">
        <is>
          <t>нет записи ПП 719 — не проходит нацрежим</t>
        </is>
      </c>
      <c r="L228" s="276" t="inlineStr">
        <is>
          <t>изготовитель и № записи ПП 719 или российская замена</t>
        </is>
      </c>
    </row>
    <row r="229">
      <c r="A229" s="276" t="inlineStr">
        <is>
          <t>1.6/17</t>
        </is>
      </c>
      <c r="B229" s="276" t="inlineStr">
        <is>
          <t>Клапан запорный муфтовый 15б1п Ду 15 Ру 16</t>
        </is>
      </c>
      <c r="C229" s="276" t="n">
        <v>8</v>
      </c>
      <c r="D229" s="276" t="inlineStr">
        <is>
          <t>завод вместо ДН.РУ</t>
        </is>
      </c>
      <c r="E229" s="276" t="inlineStr">
        <is>
          <t>ООО «Бологовский арматурный завод» (ТМ «БАЗ», латунная арматура)</t>
        </is>
      </c>
      <c r="F229" s="276" t="inlineStr">
        <is>
          <t>+7 (48238) 2-21-13 (завод, Бологое) sales@bolarm.com (продажи)</t>
        </is>
      </c>
      <c r="G229" s="276" t="inlineStr">
        <is>
          <t>15б1п Ду15 латунный муфтовый</t>
        </is>
      </c>
      <c r="H229" s="276" t="inlineStr">
        <is>
          <t>ООО «Бологовский арматурный завод» (ИНН 6908017634)</t>
        </is>
      </c>
      <c r="I229" s="276" t="inlineStr">
        <is>
          <t>10895023</t>
        </is>
      </c>
      <c r="J229" s="276" t="inlineStr">
        <is>
          <t>24.08.2031</t>
        </is>
      </c>
      <c r="K229" s="276" t="inlineStr">
        <is>
          <t>не подтверждено</t>
        </is>
      </c>
      <c r="L229" s="276" t="inlineStr">
        <is>
          <t>Запросить у завода действующий паспорт/декларацию ТР ТС, материал корпуса (ЛС59-1 / ЛЦ40Сд по позиции), уплотнение; контакты завода не подтверждены.</t>
        </is>
      </c>
    </row>
    <row r="230">
      <c r="A230" s="276" t="inlineStr">
        <is>
          <t>1.6/18</t>
        </is>
      </c>
      <c r="B230" s="276" t="inlineStr">
        <is>
          <t>Клапан запорный муфтовый 15б1п Ду 20 Ру 16</t>
        </is>
      </c>
      <c r="C230" s="276" t="n">
        <v>14</v>
      </c>
      <c r="D230" s="276" t="inlineStr">
        <is>
          <t>завод вместо ДН.РУ</t>
        </is>
      </c>
      <c r="E230" s="276" t="inlineStr">
        <is>
          <t>ООО «Бологовский арматурный завод» (ТМ «БАЗ», латунная арматура)</t>
        </is>
      </c>
      <c r="F230" s="276" t="inlineStr">
        <is>
          <t>+7 (48238) 2-21-13 (завод, Бологое) sales@bolarm.com (продажи)</t>
        </is>
      </c>
      <c r="G230" s="276" t="inlineStr">
        <is>
          <t>15б1п Ду20 латунный муфтовый</t>
        </is>
      </c>
      <c r="H230" s="276" t="inlineStr">
        <is>
          <t>ООО «Бологовский арматурный завод» (ИНН 6908017634)</t>
        </is>
      </c>
      <c r="I230" s="276" t="inlineStr">
        <is>
          <t>10895023</t>
        </is>
      </c>
      <c r="J230" s="276" t="inlineStr">
        <is>
          <t>24.08.2031</t>
        </is>
      </c>
      <c r="K230" s="276" t="inlineStr">
        <is>
          <t>не подтверждено</t>
        </is>
      </c>
      <c r="L230" s="276" t="inlineStr">
        <is>
          <t>Запросить у завода действующий паспорт/декларацию ТР ТС, материал корпуса (ЛС59-1 / ЛЦ40Сд по позиции), уплотнение; контакты завода не подтверждены.</t>
        </is>
      </c>
    </row>
    <row r="231">
      <c r="A231" s="276" t="inlineStr">
        <is>
          <t>1.6/19</t>
        </is>
      </c>
      <c r="B231" s="276" t="inlineStr">
        <is>
          <t>Клапан запорный муфтовый 15б1п Ду 25 Ру 16</t>
        </is>
      </c>
      <c r="C231" s="276" t="n">
        <v>12</v>
      </c>
      <c r="D231" s="276" t="inlineStr">
        <is>
          <t>завод вместо ДН.РУ</t>
        </is>
      </c>
      <c r="E231" s="276" t="inlineStr">
        <is>
          <t>ООО «Бологовский арматурный завод» (ТМ «БАЗ», латунная арматура)</t>
        </is>
      </c>
      <c r="F231" s="276" t="inlineStr">
        <is>
          <t>+7 (48238) 2-21-13 (завод, Бологое) sales@bolarm.com (продажи)</t>
        </is>
      </c>
      <c r="G231" s="276" t="inlineStr">
        <is>
          <t>15б1п Ду25 латунный муфтовый</t>
        </is>
      </c>
      <c r="H231" s="276" t="inlineStr">
        <is>
          <t>ООО «Бологовский арматурный завод» (ИНН 6908017634)</t>
        </is>
      </c>
      <c r="I231" s="276" t="inlineStr">
        <is>
          <t>10895023</t>
        </is>
      </c>
      <c r="J231" s="276" t="inlineStr">
        <is>
          <t>24.08.2031</t>
        </is>
      </c>
      <c r="K231" s="276" t="inlineStr">
        <is>
          <t>не подтверждено</t>
        </is>
      </c>
      <c r="L231" s="276" t="inlineStr">
        <is>
          <t>Запросить у завода действующий паспорт/декларацию ТР ТС, материал корпуса (ЛС59-1 / ЛЦ40Сд по позиции), уплотнение; контакты завода не подтверждены.</t>
        </is>
      </c>
    </row>
    <row r="232">
      <c r="A232" s="276" t="inlineStr">
        <is>
          <t>1.6/20</t>
        </is>
      </c>
      <c r="B232" s="276" t="inlineStr">
        <is>
          <t>Клапан запорный 15кч12пМ Ду 25 Ру 25</t>
        </is>
      </c>
      <c r="C232" s="276" t="n">
        <v>1</v>
      </c>
      <c r="D232" s="276" t="inlineStr">
        <is>
          <t>завод (новый запрос КП)</t>
        </is>
      </c>
      <c r="E232" s="276" t="inlineStr">
        <is>
          <t>АО «Благовещенский арматурный завод» (БАЗ)</t>
        </is>
      </c>
      <c r="F232" s="276" t="inlineStr">
        <is>
          <t>+7 (347) 662-99-10 baz@bazrb.ru</t>
        </is>
      </c>
      <c r="G232" s="276" t="inlineStr">
        <is>
          <t>15кч12пМ — в каталоге БАЗ нет</t>
        </is>
      </c>
      <c r="H232" s="276" t="inlineStr">
        <is>
          <t>АО «Благовещенский арматурный завод»</t>
        </is>
      </c>
      <c r="I232" s="276" t="inlineStr"/>
      <c r="J232" s="276" t="inlineStr"/>
      <c r="K232" s="276" t="inlineStr">
        <is>
          <t>не подтверждено</t>
        </is>
      </c>
      <c r="L232" s="276" t="inlineStr">
        <is>
          <t>БАЗ не выпускает 15кч12пМ по каталогу — запросить, будет ли изготовление; иначе снять назначение (см. альтернативы).</t>
        </is>
      </c>
    </row>
    <row r="233">
      <c r="A233" s="276" t="inlineStr">
        <is>
          <t>1.6/21</t>
        </is>
      </c>
      <c r="B233" s="276" t="inlineStr">
        <is>
          <t>Клапан запорный 15кч16п1 Ду 32 Ру 25</t>
        </is>
      </c>
      <c r="C233" s="276" t="n">
        <v>7</v>
      </c>
      <c r="D233" s="276" t="inlineStr">
        <is>
          <t>текущий поставщик (номера записи нет)</t>
        </is>
      </c>
      <c r="E233" s="276" t="inlineStr">
        <is>
          <t>ДН.РУ</t>
        </is>
      </c>
      <c r="F233" s="276" t="inlineStr">
        <is>
          <t>менеджер по счетам 819892/819896</t>
        </is>
      </c>
      <c r="G233" s="276" t="inlineStr">
        <is>
          <t>Клапан запорный Луидор 15кч16п1 Ду32 Ру25 чугунный, фланцевый, штурвал</t>
        </is>
      </c>
      <c r="H233" s="276" t="inlineStr"/>
      <c r="I233" s="276" t="inlineStr"/>
      <c r="J233" s="276" t="inlineStr"/>
      <c r="K233" s="276" t="inlineStr">
        <is>
          <t>нет записи ПП 719 — не проходит нацрежим</t>
        </is>
      </c>
      <c r="L233" s="276" t="inlineStr">
        <is>
          <t>изготовитель и № записи ПП 719 или российская замена</t>
        </is>
      </c>
    </row>
    <row r="234">
      <c r="A234" s="276" t="inlineStr">
        <is>
          <t>1.6/22</t>
        </is>
      </c>
      <c r="B234" s="276" t="inlineStr">
        <is>
          <t>Клапан запорный 15кч16п1 Ду 40 Ру 25</t>
        </is>
      </c>
      <c r="C234" s="276" t="n">
        <v>4</v>
      </c>
      <c r="D234" s="276" t="inlineStr">
        <is>
          <t>текущий поставщик (номера записи нет)</t>
        </is>
      </c>
      <c r="E234" s="276" t="inlineStr">
        <is>
          <t>ДН.РУ</t>
        </is>
      </c>
      <c r="F234" s="276" t="inlineStr">
        <is>
          <t>менеджер по счетам 819892/819896</t>
        </is>
      </c>
      <c r="G234" s="276" t="inlineStr">
        <is>
          <t>Клапан запорный Луидор 15кч16п1 Ду40 Ру25 чугунный, фланцевый, штурвал</t>
        </is>
      </c>
      <c r="H234" s="276" t="inlineStr"/>
      <c r="I234" s="276" t="inlineStr"/>
      <c r="J234" s="276" t="inlineStr"/>
      <c r="K234" s="276" t="inlineStr">
        <is>
          <t>нет записи ПП 719 — не проходит нацрежим</t>
        </is>
      </c>
      <c r="L234" s="276" t="inlineStr">
        <is>
          <t>изготовитель и № записи ПП 719 или российская замена</t>
        </is>
      </c>
    </row>
    <row r="235">
      <c r="A235" s="276" t="inlineStr">
        <is>
          <t>1.6/23</t>
        </is>
      </c>
      <c r="B235" s="276" t="inlineStr">
        <is>
          <t>Клапан запорный 15кч16п1 Ду 50 Ру 25</t>
        </is>
      </c>
      <c r="C235" s="276" t="n">
        <v>5</v>
      </c>
      <c r="D235" s="276" t="inlineStr">
        <is>
          <t>текущий поставщик (номера записи нет)</t>
        </is>
      </c>
      <c r="E235" s="276" t="inlineStr">
        <is>
          <t>ДН.РУ</t>
        </is>
      </c>
      <c r="F235" s="276" t="inlineStr">
        <is>
          <t>менеджер по счетам 819892/819896</t>
        </is>
      </c>
      <c r="G235" s="276" t="inlineStr">
        <is>
          <t>Клапан запорный Луидор 15кч16п1 Ду50 Ру25 чугунный, фланцевый, штурвал</t>
        </is>
      </c>
      <c r="H235" s="276" t="inlineStr"/>
      <c r="I235" s="276" t="inlineStr"/>
      <c r="J235" s="276" t="inlineStr"/>
      <c r="K235" s="276" t="inlineStr">
        <is>
          <t>нет записи ПП 719 — не проходит нацрежим</t>
        </is>
      </c>
      <c r="L235" s="276" t="inlineStr">
        <is>
          <t>изготовитель и № записи ПП 719 или российская замена</t>
        </is>
      </c>
    </row>
    <row r="236">
      <c r="A236" s="276" t="inlineStr">
        <is>
          <t>1.6/24</t>
        </is>
      </c>
      <c r="B236" s="276" t="inlineStr">
        <is>
          <t>Клапан запорный 15кч19п Ду 25 Ру 16</t>
        </is>
      </c>
      <c r="C236" s="276" t="n">
        <v>2</v>
      </c>
      <c r="D236" s="276" t="inlineStr">
        <is>
          <t>текущий поставщик (номера записи нет)</t>
        </is>
      </c>
      <c r="E236" s="276" t="inlineStr">
        <is>
          <t>ДН.РУ</t>
        </is>
      </c>
      <c r="F236" s="276" t="inlineStr">
        <is>
          <t>менеджер по счетам 819892/819896</t>
        </is>
      </c>
      <c r="G236" s="276" t="inlineStr">
        <is>
          <t>Вентиль запорный Ci аналог 15кч19п На складе в Ду25 Ру16 чугунный фланцевый</t>
        </is>
      </c>
      <c r="H236" s="276" t="inlineStr"/>
      <c r="I236" s="276" t="inlineStr"/>
      <c r="J236" s="276" t="inlineStr"/>
      <c r="K236" s="276" t="inlineStr">
        <is>
          <t>нет записи ПП 719 — не проходит нацрежим</t>
        </is>
      </c>
      <c r="L236" s="276" t="inlineStr">
        <is>
          <t>изготовитель и № записи ПП 719 или российская замена</t>
        </is>
      </c>
    </row>
    <row r="237">
      <c r="A237" s="276" t="inlineStr">
        <is>
          <t>1.6/25</t>
        </is>
      </c>
      <c r="B237" s="276" t="inlineStr">
        <is>
          <t>Клапан запорный 15кч19п Ду 50 Ру 16</t>
        </is>
      </c>
      <c r="C237" s="276" t="n">
        <v>5</v>
      </c>
      <c r="D237" s="276" t="inlineStr">
        <is>
          <t>текущий поставщик (номера записи нет)</t>
        </is>
      </c>
      <c r="E237" s="276" t="inlineStr">
        <is>
          <t>ДН.РУ</t>
        </is>
      </c>
      <c r="F237" s="276" t="inlineStr">
        <is>
          <t>менеджер по счетам 819892/819896</t>
        </is>
      </c>
      <c r="G237" s="276" t="inlineStr">
        <is>
          <t>Вентиль запорный Ci аналог 15кч19п Ду50 Ру16 чугунный фланцевый</t>
        </is>
      </c>
      <c r="H237" s="276" t="inlineStr"/>
      <c r="I237" s="276" t="inlineStr"/>
      <c r="J237" s="276" t="inlineStr"/>
      <c r="K237" s="276" t="inlineStr">
        <is>
          <t>нет записи ПП 719 — не проходит нацрежим</t>
        </is>
      </c>
      <c r="L237" s="276" t="inlineStr">
        <is>
          <t>изготовитель и № записи ПП 719 или российская замена</t>
        </is>
      </c>
    </row>
    <row r="238">
      <c r="A238" s="276" t="inlineStr">
        <is>
          <t>1.6/26</t>
        </is>
      </c>
      <c r="B238" s="276" t="inlineStr">
        <is>
          <t>Клапан запорный 15нж65нж Ду 80 Ру 16</t>
        </is>
      </c>
      <c r="C238" s="276" t="n">
        <v>1</v>
      </c>
      <c r="D238" s="276" t="inlineStr">
        <is>
          <t>завод вместо ДН.РУ</t>
        </is>
      </c>
      <c r="E238" s="276" t="inlineStr">
        <is>
          <t>ООО «Пермский трубопроводный завод» (ООО «ПТЗ»)</t>
        </is>
      </c>
      <c r="F238" s="276" t="inlineStr">
        <is>
          <t>+7 (342) 270-07-34 sales@ptza.ru</t>
        </is>
      </c>
      <c r="G238" s="276" t="inlineStr">
        <is>
          <t>15нж65нж Ду80 PN16 (ПТЗ)</t>
        </is>
      </c>
      <c r="H238" s="276" t="inlineStr">
        <is>
          <t>ООО «Пермский трубопроводный завод» (ИНН 5904173655)</t>
        </is>
      </c>
      <c r="I238" s="276" t="inlineStr">
        <is>
          <t>10698937</t>
        </is>
      </c>
      <c r="J238" s="276" t="inlineStr">
        <is>
          <t>17.02.2031</t>
        </is>
      </c>
      <c r="K238" s="276" t="inlineStr">
        <is>
          <t>эквивалент — согласовать</t>
        </is>
      </c>
      <c r="L238" s="276" t="inlineStr">
        <is>
          <t>Подтвердить корпус 08Х18Н10 (AISI 304), крепёж 14Х17Н2, ТРГ.</t>
        </is>
      </c>
    </row>
    <row r="239">
      <c r="A239" s="276" t="inlineStr">
        <is>
          <t>1.6/27</t>
        </is>
      </c>
      <c r="B239" s="276" t="inlineStr">
        <is>
          <t>Клапан запорный 15нж65нж Ду 100 Ру 16</t>
        </is>
      </c>
      <c r="C239" s="276" t="n">
        <v>1</v>
      </c>
      <c r="D239" s="276" t="inlineStr">
        <is>
          <t>завод вместо ДН.РУ</t>
        </is>
      </c>
      <c r="E239" s="276" t="inlineStr">
        <is>
          <t>ООО «Пермский трубопроводный завод» (ООО «ПТЗ»)</t>
        </is>
      </c>
      <c r="F239" s="276" t="inlineStr">
        <is>
          <t>+7 (342) 270-07-34 sales@ptza.ru</t>
        </is>
      </c>
      <c r="G239" s="276" t="inlineStr">
        <is>
          <t>15нж65нж Ду100 PN16 (ПТЗ)</t>
        </is>
      </c>
      <c r="H239" s="276" t="inlineStr">
        <is>
          <t>ООО «Пермский трубопроводный завод» (ИНН 5904173655)</t>
        </is>
      </c>
      <c r="I239" s="276" t="inlineStr">
        <is>
          <t>10698937</t>
        </is>
      </c>
      <c r="J239" s="276" t="inlineStr">
        <is>
          <t>17.02.2031</t>
        </is>
      </c>
      <c r="K239" s="276" t="inlineStr">
        <is>
          <t>эквивалент — согласовать</t>
        </is>
      </c>
      <c r="L239" s="276" t="inlineStr">
        <is>
          <t>Подтвердить корпус 08Х18Н10 (AISI 304), крепёж 14Х17Н2, ТРГ.</t>
        </is>
      </c>
    </row>
    <row r="240">
      <c r="A240" s="276" t="inlineStr">
        <is>
          <t>1.6/28</t>
        </is>
      </c>
      <c r="B240" s="276" t="inlineStr">
        <is>
          <t>Клапан запорный 15нж65нж Ду 32 Ру 16</t>
        </is>
      </c>
      <c r="C240" s="276" t="n">
        <v>1</v>
      </c>
      <c r="D240" s="276" t="inlineStr">
        <is>
          <t>завод вместо ДН.РУ</t>
        </is>
      </c>
      <c r="E240" s="276" t="inlineStr">
        <is>
          <t>ООО «Пермский трубопроводный завод» (ООО «ПТЗ»)</t>
        </is>
      </c>
      <c r="F240" s="276" t="inlineStr">
        <is>
          <t>+7 (342) 270-07-34 sales@ptza.ru</t>
        </is>
      </c>
      <c r="G240" s="276" t="inlineStr">
        <is>
          <t>15нж65нж Ду32 PN16 (ПТЗ)</t>
        </is>
      </c>
      <c r="H240" s="276" t="inlineStr">
        <is>
          <t>ООО «Пермский трубопроводный завод» (ИНН 5904173655)</t>
        </is>
      </c>
      <c r="I240" s="276" t="inlineStr">
        <is>
          <t>10698937</t>
        </is>
      </c>
      <c r="J240" s="276" t="inlineStr">
        <is>
          <t>17.02.2031</t>
        </is>
      </c>
      <c r="K240" s="276" t="inlineStr">
        <is>
          <t>эквивалент — согласовать</t>
        </is>
      </c>
      <c r="L240" s="276" t="inlineStr">
        <is>
          <t>Подтвердить корпус 08Х18Н10 (AISI 304), крепёж 14Х17Н2, ТРГ.</t>
        </is>
      </c>
    </row>
    <row r="241">
      <c r="A241" s="276" t="inlineStr">
        <is>
          <t>1.6/29</t>
        </is>
      </c>
      <c r="B241" s="276" t="inlineStr">
        <is>
          <t>Клапан стальной запорный фланцевый 15с18нж Ду 32 Ру 16</t>
        </is>
      </c>
      <c r="C241" s="276" t="n">
        <v>2</v>
      </c>
      <c r="D241" s="276" t="inlineStr">
        <is>
          <t>завод вместо ДН.РУ</t>
        </is>
      </c>
      <c r="E241" s="276" t="inlineStr">
        <is>
          <t>ООО «Пермский трубопроводный завод» (ООО «ПТЗ»)</t>
        </is>
      </c>
      <c r="F241" s="276" t="inlineStr">
        <is>
          <t>+7 (342) 270-07-34 sales@ptza.ru</t>
        </is>
      </c>
      <c r="G241" s="276" t="inlineStr">
        <is>
          <t>15с18нж Ду32 PN25 вместо PN16 (ПТЗ)</t>
        </is>
      </c>
      <c r="H241" s="276" t="inlineStr">
        <is>
          <t>ООО «Пермский трубопроводный завод» (ИНН 5904173655)</t>
        </is>
      </c>
      <c r="I241" s="276" t="inlineStr">
        <is>
          <t>10698937</t>
        </is>
      </c>
      <c r="J241" s="276" t="inlineStr">
        <is>
          <t>17.02.2031</t>
        </is>
      </c>
      <c r="K241" s="276" t="inlineStr">
        <is>
          <t>не подтверждено</t>
        </is>
      </c>
      <c r="L241" s="276" t="inlineStr">
        <is>
          <t>Подтвердить применимость на хлорсодержащих средах (ТЗ).</t>
        </is>
      </c>
    </row>
    <row r="242">
      <c r="A242" s="276" t="inlineStr">
        <is>
          <t>1.6/30</t>
        </is>
      </c>
      <c r="B242" s="276" t="inlineStr">
        <is>
          <t>Клапан запорный 15с18п Ду 80 Ру 25</t>
        </is>
      </c>
      <c r="C242" s="276" t="n">
        <v>1</v>
      </c>
      <c r="D242" s="276" t="inlineStr">
        <is>
          <t>завод вместо ДН.РУ</t>
        </is>
      </c>
      <c r="E242" s="276" t="inlineStr">
        <is>
          <t>ООО «Пермский трубопроводный завод» (ООО «ПТЗ»)</t>
        </is>
      </c>
      <c r="F242" s="276" t="inlineStr">
        <is>
          <t>+7 (342) 270-07-34 sales@ptza.ru</t>
        </is>
      </c>
      <c r="G242" s="276" t="inlineStr">
        <is>
          <t>15с18п Ду80 PN25 (ПТЗ)</t>
        </is>
      </c>
      <c r="H242" s="276" t="inlineStr">
        <is>
          <t>ООО «Пермский трубопроводный завод» (ИНН 5904173655)</t>
        </is>
      </c>
      <c r="I242" s="276" t="inlineStr">
        <is>
          <t>10698937</t>
        </is>
      </c>
      <c r="J242" s="276" t="inlineStr">
        <is>
          <t>17.02.2031</t>
        </is>
      </c>
      <c r="K242" s="276" t="inlineStr">
        <is>
          <t>не подтверждено</t>
        </is>
      </c>
      <c r="L242" s="276" t="inlineStr">
        <is>
          <t>Подтвердить применение на аммиаке и топливном газе.</t>
        </is>
      </c>
    </row>
    <row r="243">
      <c r="A243" s="276" t="inlineStr">
        <is>
          <t>1.6/31</t>
        </is>
      </c>
      <c r="B243" s="276" t="inlineStr">
        <is>
          <t>Клапан запорный 15с18п Ду 100 Ру 25</t>
        </is>
      </c>
      <c r="C243" s="276" t="n">
        <v>1</v>
      </c>
      <c r="D243" s="276" t="inlineStr">
        <is>
          <t>завод вместо ДН.РУ</t>
        </is>
      </c>
      <c r="E243" s="276" t="inlineStr">
        <is>
          <t>ООО «Пермский трубопроводный завод» (ООО «ПТЗ»)</t>
        </is>
      </c>
      <c r="F243" s="276" t="inlineStr">
        <is>
          <t>+7 (342) 270-07-34 sales@ptza.ru</t>
        </is>
      </c>
      <c r="G243" s="276" t="inlineStr">
        <is>
          <t>15с18п Ду100 PN25 (ПТЗ)</t>
        </is>
      </c>
      <c r="H243" s="276" t="inlineStr">
        <is>
          <t>ООО «Пермский трубопроводный завод» (ИНН 5904173655)</t>
        </is>
      </c>
      <c r="I243" s="276" t="inlineStr">
        <is>
          <t>10698937</t>
        </is>
      </c>
      <c r="J243" s="276" t="inlineStr">
        <is>
          <t>17.02.2031</t>
        </is>
      </c>
      <c r="K243" s="276" t="inlineStr">
        <is>
          <t>не подтверждено</t>
        </is>
      </c>
      <c r="L243" s="276" t="inlineStr">
        <is>
          <t>Подтвердить применение на аммиаке и топливном газе.</t>
        </is>
      </c>
    </row>
    <row r="244">
      <c r="A244" s="276" t="inlineStr">
        <is>
          <t>1.6/32</t>
        </is>
      </c>
      <c r="B244" s="276" t="inlineStr">
        <is>
          <t>Клапан запорный 15с22нж Ду 25 Ру 40</t>
        </is>
      </c>
      <c r="C244" s="276" t="n">
        <v>1</v>
      </c>
      <c r="D244" s="276" t="inlineStr">
        <is>
          <t>завод вместо ДН.РУ</t>
        </is>
      </c>
      <c r="E244" s="276" t="inlineStr">
        <is>
          <t>ООО «Восточная арматурная компания»</t>
        </is>
      </c>
      <c r="F244" s="276" t="inlineStr">
        <is>
          <t>+7 (347) 226-00-00 kontakt@vark.ru</t>
        </is>
      </c>
      <c r="G244" s="276" t="inlineStr">
        <is>
          <t>Клапаны запорные DN 10-400 мм, PN 0,6-50,0 МПа</t>
        </is>
      </c>
      <c r="H244" s="276" t="inlineStr">
        <is>
          <t>ООО «Восточная арматурная компания»</t>
        </is>
      </c>
      <c r="I244" s="276" t="inlineStr">
        <is>
          <t>10811565</t>
        </is>
      </c>
      <c r="J244" s="276" t="inlineStr">
        <is>
          <t>31.05.2031</t>
        </is>
      </c>
      <c r="K244" s="276" t="inlineStr">
        <is>
          <t>не проверено построчно</t>
        </is>
      </c>
      <c r="L244" s="276" t="inlineStr"/>
    </row>
    <row r="245">
      <c r="A245" s="276" t="inlineStr">
        <is>
          <t>1.6/33</t>
        </is>
      </c>
      <c r="B245" s="276" t="inlineStr">
        <is>
          <t>Клапан запорный 15с22нж Ду 32 Ру 40</t>
        </is>
      </c>
      <c r="C245" s="276" t="n">
        <v>5</v>
      </c>
      <c r="D245" s="276" t="inlineStr">
        <is>
          <t>завод вместо ДН.РУ</t>
        </is>
      </c>
      <c r="E245" s="276" t="inlineStr">
        <is>
          <t>ООО «Восточная арматурная компания»</t>
        </is>
      </c>
      <c r="F245" s="276" t="inlineStr">
        <is>
          <t>+7 (347) 226-00-00 kontakt@vark.ru</t>
        </is>
      </c>
      <c r="G245" s="276" t="inlineStr">
        <is>
          <t>Клапаны запорные DN 10-400 мм, PN 0,6-50,0 МПа</t>
        </is>
      </c>
      <c r="H245" s="276" t="inlineStr">
        <is>
          <t>ООО «Восточная арматурная компания»</t>
        </is>
      </c>
      <c r="I245" s="276" t="inlineStr">
        <is>
          <t>10811565</t>
        </is>
      </c>
      <c r="J245" s="276" t="inlineStr">
        <is>
          <t>31.05.2031</t>
        </is>
      </c>
      <c r="K245" s="276" t="inlineStr">
        <is>
          <t>не проверено построчно</t>
        </is>
      </c>
      <c r="L245" s="276" t="inlineStr"/>
    </row>
    <row r="246">
      <c r="A246" s="276" t="inlineStr">
        <is>
          <t>1.6/34</t>
        </is>
      </c>
      <c r="B246" s="276" t="inlineStr">
        <is>
          <t>Клапан запорный 15с22нж Ду 40 Ру 40</t>
        </is>
      </c>
      <c r="C246" s="276" t="n">
        <v>2</v>
      </c>
      <c r="D246" s="276" t="inlineStr">
        <is>
          <t>завод вместо ДН.РУ</t>
        </is>
      </c>
      <c r="E246" s="276" t="inlineStr">
        <is>
          <t>ООО «Восточная арматурная компания»</t>
        </is>
      </c>
      <c r="F246" s="276" t="inlineStr">
        <is>
          <t>+7 (347) 226-00-00 kontakt@vark.ru</t>
        </is>
      </c>
      <c r="G246" s="276" t="inlineStr">
        <is>
          <t>Клапаны запорные DN 10-400 мм, PN 0,6-50,0 МПа</t>
        </is>
      </c>
      <c r="H246" s="276" t="inlineStr">
        <is>
          <t>ООО «Восточная арматурная компания»</t>
        </is>
      </c>
      <c r="I246" s="276" t="inlineStr">
        <is>
          <t>10811565</t>
        </is>
      </c>
      <c r="J246" s="276" t="inlineStr">
        <is>
          <t>31.05.2031</t>
        </is>
      </c>
      <c r="K246" s="276" t="inlineStr">
        <is>
          <t>не проверено построчно</t>
        </is>
      </c>
      <c r="L246" s="276" t="inlineStr"/>
    </row>
    <row r="247">
      <c r="A247" s="276" t="inlineStr">
        <is>
          <t>1.6/35</t>
        </is>
      </c>
      <c r="B247" s="276" t="inlineStr">
        <is>
          <t>Клапан запорный 15с22нж Ду 50 Ру 40</t>
        </is>
      </c>
      <c r="C247" s="276" t="n">
        <v>4</v>
      </c>
      <c r="D247" s="276" t="inlineStr">
        <is>
          <t>завод вместо ДН.РУ</t>
        </is>
      </c>
      <c r="E247" s="276" t="inlineStr">
        <is>
          <t>ООО «Восточная арматурная компания»</t>
        </is>
      </c>
      <c r="F247" s="276" t="inlineStr">
        <is>
          <t>+7 (347) 226-00-00 kontakt@vark.ru</t>
        </is>
      </c>
      <c r="G247" s="276" t="inlineStr">
        <is>
          <t>Клапаны запорные DN 10-400 мм, PN 0,6-50,0 МПа</t>
        </is>
      </c>
      <c r="H247" s="276" t="inlineStr">
        <is>
          <t>ООО «Восточная арматурная компания»</t>
        </is>
      </c>
      <c r="I247" s="276" t="inlineStr">
        <is>
          <t>10811565</t>
        </is>
      </c>
      <c r="J247" s="276" t="inlineStr">
        <is>
          <t>31.05.2031</t>
        </is>
      </c>
      <c r="K247" s="276" t="inlineStr">
        <is>
          <t>не проверено построчно</t>
        </is>
      </c>
      <c r="L247" s="276" t="inlineStr"/>
    </row>
    <row r="248">
      <c r="A248" s="276" t="inlineStr">
        <is>
          <t>1.6/36</t>
        </is>
      </c>
      <c r="B248" s="276" t="inlineStr">
        <is>
          <t>Клапан запорный 15с22нж Ду 80 Ру 40</t>
        </is>
      </c>
      <c r="C248" s="276" t="n">
        <v>2</v>
      </c>
      <c r="D248" s="276" t="inlineStr">
        <is>
          <t>завод вместо ДН.РУ</t>
        </is>
      </c>
      <c r="E248" s="276" t="inlineStr">
        <is>
          <t>ООО «Восточная арматурная компания»</t>
        </is>
      </c>
      <c r="F248" s="276" t="inlineStr">
        <is>
          <t>+7 (347) 226-00-00 kontakt@vark.ru</t>
        </is>
      </c>
      <c r="G248" s="276" t="inlineStr">
        <is>
          <t>Клапаны запорные DN 10-400 мм, PN 0,6-50,0 МПа</t>
        </is>
      </c>
      <c r="H248" s="276" t="inlineStr">
        <is>
          <t>ООО «Восточная арматурная компания»</t>
        </is>
      </c>
      <c r="I248" s="276" t="inlineStr">
        <is>
          <t>10811565</t>
        </is>
      </c>
      <c r="J248" s="276" t="inlineStr">
        <is>
          <t>31.05.2031</t>
        </is>
      </c>
      <c r="K248" s="276" t="inlineStr">
        <is>
          <t>не проверено построчно</t>
        </is>
      </c>
      <c r="L248" s="276" t="inlineStr"/>
    </row>
    <row r="249">
      <c r="A249" s="276" t="inlineStr">
        <is>
          <t>1.6/37</t>
        </is>
      </c>
      <c r="B249" s="276" t="inlineStr">
        <is>
          <t>Клапан запорный 15с65нж Ду 100 Ру 16 с КОФ</t>
        </is>
      </c>
      <c r="C249" s="276" t="n">
        <v>1</v>
      </c>
      <c r="D249" s="276" t="inlineStr">
        <is>
          <t>завод вместо ДН.РУ</t>
        </is>
      </c>
      <c r="E249" s="276" t="inlineStr">
        <is>
          <t>ООО «Восточная арматурная компания»</t>
        </is>
      </c>
      <c r="F249" s="276" t="inlineStr">
        <is>
          <t>+7 (347) 226-00-00 kontakt@vark.ru</t>
        </is>
      </c>
      <c r="G249" s="276" t="inlineStr">
        <is>
          <t>Клапаны запорные DN 10-400 мм, PN 0,6-50,0 МПа</t>
        </is>
      </c>
      <c r="H249" s="276" t="inlineStr">
        <is>
          <t>ООО «Восточная арматурная компания»</t>
        </is>
      </c>
      <c r="I249" s="276" t="inlineStr">
        <is>
          <t>10811565</t>
        </is>
      </c>
      <c r="J249" s="276" t="inlineStr">
        <is>
          <t>31.05.2031</t>
        </is>
      </c>
      <c r="K249" s="276" t="inlineStr">
        <is>
          <t>не проверено построчно</t>
        </is>
      </c>
      <c r="L249" s="276" t="inlineStr"/>
    </row>
    <row r="250">
      <c r="A250" s="276" t="inlineStr">
        <is>
          <t>1.6/38</t>
        </is>
      </c>
      <c r="B250" s="276" t="inlineStr">
        <is>
          <t>Клапан запорный 15с65нж Ду 25 Ру 16 с КОФ</t>
        </is>
      </c>
      <c r="C250" s="276" t="n">
        <v>1</v>
      </c>
      <c r="D250" s="276" t="inlineStr">
        <is>
          <t>завод вместо ДН.РУ</t>
        </is>
      </c>
      <c r="E250" s="276" t="inlineStr">
        <is>
          <t>ООО «Восточная арматурная компания»</t>
        </is>
      </c>
      <c r="F250" s="276" t="inlineStr">
        <is>
          <t>+7 (347) 226-00-00 kontakt@vark.ru</t>
        </is>
      </c>
      <c r="G250" s="276" t="inlineStr">
        <is>
          <t>Клапаны запорные DN 10-400 мм, PN 0,6-50,0 МПа</t>
        </is>
      </c>
      <c r="H250" s="276" t="inlineStr">
        <is>
          <t>ООО «Восточная арматурная компания»</t>
        </is>
      </c>
      <c r="I250" s="276" t="inlineStr">
        <is>
          <t>10811565</t>
        </is>
      </c>
      <c r="J250" s="276" t="inlineStr">
        <is>
          <t>31.05.2031</t>
        </is>
      </c>
      <c r="K250" s="276" t="inlineStr">
        <is>
          <t>не проверено построчно</t>
        </is>
      </c>
      <c r="L250" s="276" t="inlineStr"/>
    </row>
    <row r="251">
      <c r="A251" s="276" t="inlineStr">
        <is>
          <t>1.6/39</t>
        </is>
      </c>
      <c r="B251" s="276" t="inlineStr">
        <is>
          <t>Клапан запорный 15с65нж Ду 40 Ру 16 с КОФ</t>
        </is>
      </c>
      <c r="C251" s="276" t="n">
        <v>1</v>
      </c>
      <c r="D251" s="276" t="inlineStr">
        <is>
          <t>завод вместо ДН.РУ</t>
        </is>
      </c>
      <c r="E251" s="276" t="inlineStr">
        <is>
          <t>ООО «Восточная арматурная компания»</t>
        </is>
      </c>
      <c r="F251" s="276" t="inlineStr">
        <is>
          <t>+7 (347) 226-00-00 kontakt@vark.ru</t>
        </is>
      </c>
      <c r="G251" s="276" t="inlineStr">
        <is>
          <t>Клапаны запорные DN 10-400 мм, PN 0,6-50,0 МПа</t>
        </is>
      </c>
      <c r="H251" s="276" t="inlineStr">
        <is>
          <t>ООО «Восточная арматурная компания»</t>
        </is>
      </c>
      <c r="I251" s="276" t="inlineStr">
        <is>
          <t>10811565</t>
        </is>
      </c>
      <c r="J251" s="276" t="inlineStr">
        <is>
          <t>31.05.2031</t>
        </is>
      </c>
      <c r="K251" s="276" t="inlineStr">
        <is>
          <t>не проверено построчно</t>
        </is>
      </c>
      <c r="L251" s="276" t="inlineStr"/>
    </row>
    <row r="252">
      <c r="A252" s="276" t="inlineStr">
        <is>
          <t>1.6/40</t>
        </is>
      </c>
      <c r="B252" s="276" t="inlineStr">
        <is>
          <t>Клапан запорный 15с65нж Ду 50 Ру 16 с КОФ</t>
        </is>
      </c>
      <c r="C252" s="276" t="n">
        <v>2</v>
      </c>
      <c r="D252" s="276" t="inlineStr">
        <is>
          <t>завод вместо ДН.РУ</t>
        </is>
      </c>
      <c r="E252" s="276" t="inlineStr">
        <is>
          <t>ООО «Восточная арматурная компания»</t>
        </is>
      </c>
      <c r="F252" s="276" t="inlineStr">
        <is>
          <t>+7 (347) 226-00-00 kontakt@vark.ru</t>
        </is>
      </c>
      <c r="G252" s="276" t="inlineStr">
        <is>
          <t>Клапаны запорные DN 10-400 мм, PN 0,6-50,0 МПа</t>
        </is>
      </c>
      <c r="H252" s="276" t="inlineStr">
        <is>
          <t>ООО «Восточная арматурная компания»</t>
        </is>
      </c>
      <c r="I252" s="276" t="inlineStr">
        <is>
          <t>10811565</t>
        </is>
      </c>
      <c r="J252" s="276" t="inlineStr">
        <is>
          <t>31.05.2031</t>
        </is>
      </c>
      <c r="K252" s="276" t="inlineStr">
        <is>
          <t>не проверено построчно</t>
        </is>
      </c>
      <c r="L252" s="276" t="inlineStr"/>
    </row>
    <row r="253">
      <c r="A253" s="276" t="inlineStr">
        <is>
          <t>1.6/41</t>
        </is>
      </c>
      <c r="B253" s="276" t="inlineStr">
        <is>
          <t>Задвижка 30нж41нж Ду 80 Ру 16 1исп. САЗ</t>
        </is>
      </c>
      <c r="C253" s="276" t="n">
        <v>1</v>
      </c>
      <c r="D253" s="276" t="inlineStr">
        <is>
          <t>завод вместо ДН.РУ</t>
        </is>
      </c>
      <c r="E253" s="276" t="inlineStr">
        <is>
          <t>ООО «Пермский трубопроводный завод» (ООО «ПТЗ»)</t>
        </is>
      </c>
      <c r="F253" s="276" t="inlineStr">
        <is>
          <t>+7 (342) 270-07-34 sales@ptza.ru</t>
        </is>
      </c>
      <c r="G253" s="276" t="inlineStr">
        <is>
          <t>30нж41нж Ду80 PN16 (ПТЗ)</t>
        </is>
      </c>
      <c r="H253" s="276" t="inlineStr">
        <is>
          <t>ООО «Пермский трубопроводный завод» (ИНН 5904173655)</t>
        </is>
      </c>
      <c r="I253" s="276" t="inlineStr">
        <is>
          <t>10698940</t>
        </is>
      </c>
      <c r="J253" s="276" t="inlineStr">
        <is>
          <t>17.02.2031</t>
        </is>
      </c>
      <c r="K253" s="276" t="inlineStr">
        <is>
          <t>соответствует</t>
        </is>
      </c>
      <c r="L253" s="276" t="inlineStr">
        <is>
          <t>Подтвердить комплектацию материалов по ТЗ (шпиндель 12Х18Н9Т, шпильки 45Х14Н14В2М, ТРГ, паронит ПМБ); «1 исп. САЗ» — ПТЗ не САЗ, конструкция-аналог.</t>
        </is>
      </c>
    </row>
    <row r="254">
      <c r="A254" s="276" t="inlineStr">
        <is>
          <t>1.6/42</t>
        </is>
      </c>
      <c r="B254" s="276" t="inlineStr">
        <is>
          <t>Задвижка 30с41нж Ду 50 Ру 16</t>
        </is>
      </c>
      <c r="C254" s="276" t="n">
        <v>14</v>
      </c>
      <c r="D254" s="276" t="inlineStr">
        <is>
          <t>завод вместо ДН.РУ</t>
        </is>
      </c>
      <c r="E254" s="276" t="inlineStr">
        <is>
          <t>ООО «Пермский трубопроводный завод» (ООО «ПТЗ»)</t>
        </is>
      </c>
      <c r="F254" s="276" t="inlineStr">
        <is>
          <t>+7 (342) 270-07-34 sales@ptza.ru</t>
        </is>
      </c>
      <c r="G254" s="276" t="inlineStr">
        <is>
          <t>30с41нж Ду50 PN16 (ПТЗ)</t>
        </is>
      </c>
      <c r="H254" s="276" t="inlineStr">
        <is>
          <t>ООО «Пермский трубопроводный завод» (ИНН 5904173655)</t>
        </is>
      </c>
      <c r="I254" s="276" t="inlineStr">
        <is>
          <t>10698940</t>
        </is>
      </c>
      <c r="J254" s="276" t="inlineStr">
        <is>
          <t>17.02.2031</t>
        </is>
      </c>
      <c r="K254" s="276" t="inlineStr">
        <is>
          <t>соответствует</t>
        </is>
      </c>
      <c r="L254" s="276" t="inlineStr">
        <is>
          <t>Подтвердить: шпиндель 20Х13, наплавка 20Х13 (или 07Х25Н13 где указано), ТРГ.</t>
        </is>
      </c>
    </row>
    <row r="255">
      <c r="A255" s="276" t="inlineStr">
        <is>
          <t>1.6/43</t>
        </is>
      </c>
      <c r="B255" s="276" t="inlineStr">
        <is>
          <t>Задвижка 30с41нж Ду 80 Ру 16</t>
        </is>
      </c>
      <c r="C255" s="276" t="n">
        <v>11</v>
      </c>
      <c r="D255" s="276" t="inlineStr">
        <is>
          <t>завод вместо ДН.РУ</t>
        </is>
      </c>
      <c r="E255" s="276" t="inlineStr">
        <is>
          <t>ООО «Пермский трубопроводный завод» (ООО «ПТЗ»)</t>
        </is>
      </c>
      <c r="F255" s="276" t="inlineStr">
        <is>
          <t>+7 (342) 270-07-34 sales@ptza.ru</t>
        </is>
      </c>
      <c r="G255" s="276" t="inlineStr">
        <is>
          <t>30с41нж Ду80 PN16 (ПТЗ)</t>
        </is>
      </c>
      <c r="H255" s="276" t="inlineStr">
        <is>
          <t>ООО «Пермский трубопроводный завод» (ИНН 5904173655)</t>
        </is>
      </c>
      <c r="I255" s="276" t="inlineStr">
        <is>
          <t>10698940</t>
        </is>
      </c>
      <c r="J255" s="276" t="inlineStr">
        <is>
          <t>17.02.2031</t>
        </is>
      </c>
      <c r="K255" s="276" t="inlineStr">
        <is>
          <t>соответствует</t>
        </is>
      </c>
      <c r="L255" s="276" t="inlineStr">
        <is>
          <t>Подтвердить: шпиндель 20Х13, наплавка 20Х13 (или 07Х25Н13 где указано), ТРГ.</t>
        </is>
      </c>
    </row>
    <row r="256">
      <c r="A256" s="276" t="inlineStr">
        <is>
          <t>1.6/44</t>
        </is>
      </c>
      <c r="B256" s="276" t="inlineStr">
        <is>
          <t>Задвижка 30с41нж Ду 100 Ру 16</t>
        </is>
      </c>
      <c r="C256" s="276" t="n">
        <v>10</v>
      </c>
      <c r="D256" s="276" t="inlineStr">
        <is>
          <t>завод вместо ДН.РУ</t>
        </is>
      </c>
      <c r="E256" s="276" t="inlineStr">
        <is>
          <t>ООО «Пермский трубопроводный завод» (ООО «ПТЗ»)</t>
        </is>
      </c>
      <c r="F256" s="276" t="inlineStr">
        <is>
          <t>+7 (342) 270-07-34 sales@ptza.ru</t>
        </is>
      </c>
      <c r="G256" s="276" t="inlineStr">
        <is>
          <t>30с41нж Ду100 PN16 (ПТЗ)</t>
        </is>
      </c>
      <c r="H256" s="276" t="inlineStr">
        <is>
          <t>ООО «Пермский трубопроводный завод» (ИНН 5904173655)</t>
        </is>
      </c>
      <c r="I256" s="276" t="inlineStr">
        <is>
          <t>10698940</t>
        </is>
      </c>
      <c r="J256" s="276" t="inlineStr">
        <is>
          <t>17.02.2031</t>
        </is>
      </c>
      <c r="K256" s="276" t="inlineStr">
        <is>
          <t>соответствует</t>
        </is>
      </c>
      <c r="L256" s="276" t="inlineStr">
        <is>
          <t>Подтвердить: шпиндель 20Х13, наплавка 20Х13 (или 07Х25Н13 где указано), ТРГ.</t>
        </is>
      </c>
    </row>
    <row r="257">
      <c r="A257" s="276" t="inlineStr">
        <is>
          <t>1.6/45</t>
        </is>
      </c>
      <c r="B257" s="276" t="inlineStr">
        <is>
          <t>Задвижка 30с41нж Ду 150 Ру 16</t>
        </is>
      </c>
      <c r="C257" s="276" t="n">
        <v>7</v>
      </c>
      <c r="D257" s="276" t="inlineStr">
        <is>
          <t>завод вместо ДН.РУ</t>
        </is>
      </c>
      <c r="E257" s="276" t="inlineStr">
        <is>
          <t>ООО «Пермский трубопроводный завод» (ООО «ПТЗ»)</t>
        </is>
      </c>
      <c r="F257" s="276" t="inlineStr">
        <is>
          <t>+7 (342) 270-07-34 sales@ptza.ru</t>
        </is>
      </c>
      <c r="G257" s="276" t="inlineStr">
        <is>
          <t>30с41нж Ду150 PN16 (ПТЗ)</t>
        </is>
      </c>
      <c r="H257" s="276" t="inlineStr">
        <is>
          <t>ООО «Пермский трубопроводный завод» (ИНН 5904173655)</t>
        </is>
      </c>
      <c r="I257" s="276" t="inlineStr">
        <is>
          <t>10698940</t>
        </is>
      </c>
      <c r="J257" s="276" t="inlineStr">
        <is>
          <t>17.02.2031</t>
        </is>
      </c>
      <c r="K257" s="276" t="inlineStr">
        <is>
          <t>соответствует</t>
        </is>
      </c>
      <c r="L257" s="276" t="inlineStr">
        <is>
          <t>Подтвердить: шпиндель 20Х13, наплавка 20Х13 (или 07Х25Н13 где указано), ТРГ.</t>
        </is>
      </c>
    </row>
    <row r="258">
      <c r="A258" s="276" t="inlineStr">
        <is>
          <t>1.6/46</t>
        </is>
      </c>
      <c r="B258" s="276" t="inlineStr">
        <is>
          <t>Задвижка 30с41нж Ду 200 Ру 16</t>
        </is>
      </c>
      <c r="C258" s="276" t="n">
        <v>2</v>
      </c>
      <c r="D258" s="276" t="inlineStr">
        <is>
          <t>завод вместо ДН.РУ</t>
        </is>
      </c>
      <c r="E258" s="276" t="inlineStr">
        <is>
          <t>ООО «Пермский трубопроводный завод» (ООО «ПТЗ»)</t>
        </is>
      </c>
      <c r="F258" s="276" t="inlineStr">
        <is>
          <t>+7 (342) 270-07-34 sales@ptza.ru</t>
        </is>
      </c>
      <c r="G258" s="276" t="inlineStr">
        <is>
          <t>30с41нж Ду200 PN16 (ПТЗ)</t>
        </is>
      </c>
      <c r="H258" s="276" t="inlineStr">
        <is>
          <t>ООО «Пермский трубопроводный завод» (ИНН 5904173655)</t>
        </is>
      </c>
      <c r="I258" s="276" t="inlineStr">
        <is>
          <t>10698940</t>
        </is>
      </c>
      <c r="J258" s="276" t="inlineStr">
        <is>
          <t>17.02.2031</t>
        </is>
      </c>
      <c r="K258" s="276" t="inlineStr">
        <is>
          <t>соответствует</t>
        </is>
      </c>
      <c r="L258" s="276" t="inlineStr">
        <is>
          <t>Подтвердить: шпиндель 20Х13, наплавка 20Х13 (или 07Х25Н13 где указано), ТРГ.</t>
        </is>
      </c>
    </row>
    <row r="259">
      <c r="A259" s="276" t="inlineStr">
        <is>
          <t>1.6/47</t>
        </is>
      </c>
      <c r="B259" s="276" t="inlineStr">
        <is>
          <t>Задвижка 30ч6бр Ду 50 Ру 10</t>
        </is>
      </c>
      <c r="C259" s="276" t="n">
        <v>9</v>
      </c>
      <c r="D259" s="276" t="inlineStr">
        <is>
          <t>завод вместо ДН.РУ</t>
        </is>
      </c>
      <c r="E259" s="276" t="inlineStr">
        <is>
          <t>ООО ПИК «АЛГРУПП»</t>
        </is>
      </c>
      <c r="F259" s="276" t="inlineStr">
        <is>
          <t>8-800-200-52-76 info@pik-algrupp.ru</t>
        </is>
      </c>
      <c r="G259" s="276" t="inlineStr">
        <is>
          <t>Задвижка чугунная параллельная литая PN 0,6-1,6 МПа DN 50-400 мм</t>
        </is>
      </c>
      <c r="H259" s="276" t="inlineStr">
        <is>
          <t>ООО ПИК «АЛГРУПП»</t>
        </is>
      </c>
      <c r="I259" s="276" t="inlineStr">
        <is>
          <t>10716626</t>
        </is>
      </c>
      <c r="J259" s="276" t="inlineStr">
        <is>
          <t>16.10.2030</t>
        </is>
      </c>
      <c r="K259" s="276" t="inlineStr">
        <is>
          <t>не проверено построчно</t>
        </is>
      </c>
      <c r="L259" s="276" t="inlineStr"/>
    </row>
    <row r="260">
      <c r="A260" s="276" t="inlineStr">
        <is>
          <t>1.6/48</t>
        </is>
      </c>
      <c r="B260" s="276" t="inlineStr">
        <is>
          <t>Задвижка 30ч6бр Ду 80 Ру 10</t>
        </is>
      </c>
      <c r="C260" s="276" t="n">
        <v>3</v>
      </c>
      <c r="D260" s="276" t="inlineStr">
        <is>
          <t>завод вместо ДН.РУ</t>
        </is>
      </c>
      <c r="E260" s="276" t="inlineStr">
        <is>
          <t>ООО ПИК «АЛГРУПП»</t>
        </is>
      </c>
      <c r="F260" s="276" t="inlineStr">
        <is>
          <t>8-800-200-52-76 info@pik-algrupp.ru</t>
        </is>
      </c>
      <c r="G260" s="276" t="inlineStr">
        <is>
          <t>Задвижка чугунная параллельная литая PN 0,6-1,6 МПа DN 50-400 мм</t>
        </is>
      </c>
      <c r="H260" s="276" t="inlineStr">
        <is>
          <t>ООО ПИК «АЛГРУПП»</t>
        </is>
      </c>
      <c r="I260" s="276" t="inlineStr">
        <is>
          <t>10716626</t>
        </is>
      </c>
      <c r="J260" s="276" t="inlineStr">
        <is>
          <t>16.10.2030</t>
        </is>
      </c>
      <c r="K260" s="276" t="inlineStr">
        <is>
          <t>не проверено построчно</t>
        </is>
      </c>
      <c r="L260" s="276" t="inlineStr"/>
    </row>
    <row r="261">
      <c r="A261" s="276" t="inlineStr">
        <is>
          <t>1.6/49</t>
        </is>
      </c>
      <c r="B261" s="276" t="inlineStr">
        <is>
          <t>Задвижка 30ч6бр Ду 100 Ру 10</t>
        </is>
      </c>
      <c r="C261" s="276" t="n">
        <v>3</v>
      </c>
      <c r="D261" s="276" t="inlineStr">
        <is>
          <t>завод вместо ДН.РУ</t>
        </is>
      </c>
      <c r="E261" s="276" t="inlineStr">
        <is>
          <t>ООО ПИК «АЛГРУПП»</t>
        </is>
      </c>
      <c r="F261" s="276" t="inlineStr">
        <is>
          <t>8-800-200-52-76 info@pik-algrupp.ru</t>
        </is>
      </c>
      <c r="G261" s="276" t="inlineStr">
        <is>
          <t>Задвижка чугунная параллельная литая PN 0,6-1,6 МПа DN 50-400 мм</t>
        </is>
      </c>
      <c r="H261" s="276" t="inlineStr">
        <is>
          <t>ООО ПИК «АЛГРУПП»</t>
        </is>
      </c>
      <c r="I261" s="276" t="inlineStr">
        <is>
          <t>10716626</t>
        </is>
      </c>
      <c r="J261" s="276" t="inlineStr">
        <is>
          <t>16.10.2030</t>
        </is>
      </c>
      <c r="K261" s="276" t="inlineStr">
        <is>
          <t>не проверено построчно</t>
        </is>
      </c>
      <c r="L261" s="276" t="inlineStr"/>
    </row>
    <row r="262">
      <c r="A262" s="276" t="inlineStr">
        <is>
          <t>1.6/50</t>
        </is>
      </c>
      <c r="B262" s="276" t="inlineStr">
        <is>
          <t>Кран шаровой 11б27п(м) Ду 015 Ру16 3-х ходовой для манометров</t>
        </is>
      </c>
      <c r="C262" s="276" t="n">
        <v>132</v>
      </c>
      <c r="D262" s="276" t="inlineStr">
        <is>
          <t>текущий поставщик (номера записи нет)</t>
        </is>
      </c>
      <c r="E262" s="276" t="inlineStr">
        <is>
          <t>КИПИКА (прайс 01.10)</t>
        </is>
      </c>
      <c r="F262" s="276" t="inlineStr">
        <is>
          <t>+7 (8412) 909-200 b18bk@11b18bk.ru</t>
        </is>
      </c>
      <c r="G262" s="276" t="inlineStr">
        <is>
          <t>Кран шаровый трёхходовой для манометра 11б27пм.1 Ру16 Ду15 G1/2×M20×1,5 (арт. 021011011)</t>
        </is>
      </c>
      <c r="H262" s="276" t="inlineStr"/>
      <c r="I262" s="276" t="inlineStr"/>
      <c r="J262" s="276" t="inlineStr"/>
      <c r="K262" s="276" t="inlineStr">
        <is>
          <t>нет записи ПП 719 — не проходит нацрежим</t>
        </is>
      </c>
      <c r="L262" s="276" t="inlineStr">
        <is>
          <t>изготовитель и № записи ПП 719 или российская замена</t>
        </is>
      </c>
    </row>
    <row r="263">
      <c r="A263" s="276" t="inlineStr">
        <is>
          <t>1.6/51</t>
        </is>
      </c>
      <c r="B263" s="276" t="inlineStr">
        <is>
          <t>Кран шаровой 11б27п1 Ду 15 Ру 16</t>
        </is>
      </c>
      <c r="C263" s="276" t="n">
        <v>47</v>
      </c>
      <c r="D263" s="276" t="inlineStr">
        <is>
          <t>завод (новый запрос КП)</t>
        </is>
      </c>
      <c r="E263" s="276" t="inlineStr">
        <is>
          <t>ООО «ЧелябинскСпецГражданСтрой» / ЛД Прайд (Группа компаний «ЛД», ТМ LD, LD Pride); продажи — ООО «ТД «ЛД»</t>
        </is>
      </c>
      <c r="F263" s="276" t="inlineStr">
        <is>
          <t>+7 (351) 730-47-47 office@chsgs.ru</t>
        </is>
      </c>
      <c r="G263" s="276" t="inlineStr">
        <is>
          <t>LD Pride 47 Ду15 ВР-ВР рычаг (латунь ЛС59-1)</t>
        </is>
      </c>
      <c r="H263" s="276" t="inlineStr">
        <is>
          <t>ООО «ЛД Прайд» (ИНН 7449114775)</t>
        </is>
      </c>
      <c r="I263" s="276" t="inlineStr">
        <is>
          <t>10826766</t>
        </is>
      </c>
      <c r="J263" s="276" t="inlineStr">
        <is>
          <t>04.05.2031</t>
        </is>
      </c>
      <c r="K263" s="276" t="inlineStr">
        <is>
          <t>не подтверждено</t>
        </is>
      </c>
      <c r="L263" s="276" t="inlineStr">
        <is>
          <t>Подтвердить полный проход, исполнение У1 (для улицы), применимость на пар (где указан).</t>
        </is>
      </c>
    </row>
    <row r="264">
      <c r="A264" s="276" t="inlineStr">
        <is>
          <t>1.6/52</t>
        </is>
      </c>
      <c r="B264" s="276" t="inlineStr">
        <is>
          <t>Кран шаровой 11б27п1 Ду 20 Ру 16</t>
        </is>
      </c>
      <c r="C264" s="276" t="n">
        <v>63</v>
      </c>
      <c r="D264" s="276" t="inlineStr">
        <is>
          <t>завод (новый запрос КП)</t>
        </is>
      </c>
      <c r="E264" s="276" t="inlineStr">
        <is>
          <t>ООО «ЧелябинскСпецГражданСтрой» / ЛД Прайд (Группа компаний «ЛД», ТМ LD, LD Pride); продажи — ООО «ТД «ЛД»</t>
        </is>
      </c>
      <c r="F264" s="276" t="inlineStr">
        <is>
          <t>+7 (351) 730-47-47 office@chsgs.ru</t>
        </is>
      </c>
      <c r="G264" s="276" t="inlineStr">
        <is>
          <t>LD Pride 47 Ду20 ВР-ВР рычаг (латунь ЛС59-1)</t>
        </is>
      </c>
      <c r="H264" s="276" t="inlineStr">
        <is>
          <t>ООО «ЛД Прайд» (ИНН 7449114775)</t>
        </is>
      </c>
      <c r="I264" s="276" t="inlineStr">
        <is>
          <t>10826766</t>
        </is>
      </c>
      <c r="J264" s="276" t="inlineStr">
        <is>
          <t>04.05.2031</t>
        </is>
      </c>
      <c r="K264" s="276" t="inlineStr">
        <is>
          <t>не подтверждено</t>
        </is>
      </c>
      <c r="L264" s="276" t="inlineStr">
        <is>
          <t>Подтвердить полный проход, исполнение У1 (для улицы), применимость на пар (где указан).</t>
        </is>
      </c>
    </row>
    <row r="265">
      <c r="A265" s="276" t="inlineStr">
        <is>
          <t>1.6/53</t>
        </is>
      </c>
      <c r="B265" s="276" t="inlineStr">
        <is>
          <t>Кран шаровой 11б27п1 Ду 25 Ру 16</t>
        </is>
      </c>
      <c r="C265" s="276" t="n">
        <v>40</v>
      </c>
      <c r="D265" s="276" t="inlineStr">
        <is>
          <t>завод (новый запрос КП)</t>
        </is>
      </c>
      <c r="E265" s="276" t="inlineStr">
        <is>
          <t>ООО «ЧелябинскСпецГражданСтрой» / ЛД Прайд (Группа компаний «ЛД», ТМ LD, LD Pride); продажи — ООО «ТД «ЛД»</t>
        </is>
      </c>
      <c r="F265" s="276" t="inlineStr">
        <is>
          <t>+7 (351) 730-47-47 office@chsgs.ru</t>
        </is>
      </c>
      <c r="G265" s="276" t="inlineStr">
        <is>
          <t>LD Pride 47 Ду25 ВР-ВР рычаг (латунь ЛС59-1)</t>
        </is>
      </c>
      <c r="H265" s="276" t="inlineStr">
        <is>
          <t>ООО «ЛД Прайд» (ИНН 7449114775)</t>
        </is>
      </c>
      <c r="I265" s="276" t="inlineStr">
        <is>
          <t>10826766</t>
        </is>
      </c>
      <c r="J265" s="276" t="inlineStr">
        <is>
          <t>04.05.2031</t>
        </is>
      </c>
      <c r="K265" s="276" t="inlineStr">
        <is>
          <t>не подтверждено</t>
        </is>
      </c>
      <c r="L265" s="276" t="inlineStr">
        <is>
          <t>Подтвердить полный проход, исполнение У1 (для улицы), применимость на пар (где указан).</t>
        </is>
      </c>
    </row>
    <row r="266">
      <c r="A266" s="276" t="inlineStr">
        <is>
          <t>1.6/54</t>
        </is>
      </c>
      <c r="B266" s="276" t="inlineStr">
        <is>
          <t>Кран шаровой 11б27п1 Ду 32 Ру 16</t>
        </is>
      </c>
      <c r="C266" s="276" t="n">
        <v>77</v>
      </c>
      <c r="D266" s="276" t="inlineStr">
        <is>
          <t>завод (новый запрос КП)</t>
        </is>
      </c>
      <c r="E266" s="276" t="inlineStr">
        <is>
          <t>ООО «ЧелябинскСпецГражданСтрой» / ЛД Прайд (Группа компаний «ЛД», ТМ LD, LD Pride); продажи — ООО «ТД «ЛД»</t>
        </is>
      </c>
      <c r="F266" s="276" t="inlineStr">
        <is>
          <t>+7 (351) 730-47-47 office@chsgs.ru</t>
        </is>
      </c>
      <c r="G266" s="276" t="inlineStr">
        <is>
          <t>LD Pride 47 Ду32 ВР-ВР рычаг (латунь ЛС59-1)</t>
        </is>
      </c>
      <c r="H266" s="276" t="inlineStr">
        <is>
          <t>ООО «ЛД Прайд» (ИНН 7449114775)</t>
        </is>
      </c>
      <c r="I266" s="276" t="inlineStr">
        <is>
          <t>10826766</t>
        </is>
      </c>
      <c r="J266" s="276" t="inlineStr">
        <is>
          <t>04.05.2031</t>
        </is>
      </c>
      <c r="K266" s="276" t="inlineStr">
        <is>
          <t>не подтверждено</t>
        </is>
      </c>
      <c r="L266" s="276" t="inlineStr">
        <is>
          <t>Подтвердить полный проход, исполнение У1 (для улицы), применимость на пар (где указан).</t>
        </is>
      </c>
    </row>
    <row r="267">
      <c r="A267" s="276" t="inlineStr">
        <is>
          <t>1.6/55</t>
        </is>
      </c>
      <c r="B267" s="276" t="inlineStr">
        <is>
          <t>Кран шаровой 11б27п1 Ду 40 Ру 16</t>
        </is>
      </c>
      <c r="C267" s="276" t="n">
        <v>2</v>
      </c>
      <c r="D267" s="276" t="inlineStr">
        <is>
          <t>завод (новый запрос КП)</t>
        </is>
      </c>
      <c r="E267" s="276" t="inlineStr">
        <is>
          <t>ООО «ЧелябинскСпецГражданСтрой» / ЛД Прайд (Группа компаний «ЛД», ТМ LD, LD Pride); продажи — ООО «ТД «ЛД»</t>
        </is>
      </c>
      <c r="F267" s="276" t="inlineStr">
        <is>
          <t>+7 (351) 730-47-47 office@chsgs.ru</t>
        </is>
      </c>
      <c r="G267" s="276" t="inlineStr">
        <is>
          <t>LD Pride 47 Ду40 ВР-ВР рычаг (латунь ЛС59-1)</t>
        </is>
      </c>
      <c r="H267" s="276" t="inlineStr">
        <is>
          <t>ООО «ЛД Прайд» (ИНН 7449114775)</t>
        </is>
      </c>
      <c r="I267" s="276" t="inlineStr">
        <is>
          <t>10826766</t>
        </is>
      </c>
      <c r="J267" s="276" t="inlineStr">
        <is>
          <t>04.05.2031</t>
        </is>
      </c>
      <c r="K267" s="276" t="inlineStr">
        <is>
          <t>не подтверждено</t>
        </is>
      </c>
      <c r="L267" s="276" t="inlineStr">
        <is>
          <t>Подтвердить полный проход, исполнение У1 (для улицы), применимость на пар (где указан).</t>
        </is>
      </c>
    </row>
    <row r="268">
      <c r="A268" s="276" t="inlineStr">
        <is>
          <t>1.6/56</t>
        </is>
      </c>
      <c r="B268" s="276" t="inlineStr">
        <is>
          <t>Кран шаровой 11б27п1 Ду 50 Ру 16</t>
        </is>
      </c>
      <c r="C268" s="276" t="n">
        <v>6</v>
      </c>
      <c r="D268" s="276" t="inlineStr">
        <is>
          <t>завод (новый запрос КП)</t>
        </is>
      </c>
      <c r="E268" s="276" t="inlineStr">
        <is>
          <t>ООО «ЧелябинскСпецГражданСтрой» / ЛД Прайд (Группа компаний «ЛД», ТМ LD, LD Pride); продажи — ООО «ТД «ЛД»</t>
        </is>
      </c>
      <c r="F268" s="276" t="inlineStr">
        <is>
          <t>+7 (351) 730-47-47 office@chsgs.ru</t>
        </is>
      </c>
      <c r="G268" s="276" t="inlineStr">
        <is>
          <t>LD Pride 47 Ду50 ВР-ВР рычаг (латунь ЛС59-1)</t>
        </is>
      </c>
      <c r="H268" s="276" t="inlineStr">
        <is>
          <t>ООО «ЛД Прайд» (ИНН 7449114775)</t>
        </is>
      </c>
      <c r="I268" s="276" t="inlineStr">
        <is>
          <t>10826766</t>
        </is>
      </c>
      <c r="J268" s="276" t="inlineStr">
        <is>
          <t>04.05.2031</t>
        </is>
      </c>
      <c r="K268" s="276" t="inlineStr">
        <is>
          <t>не подтверждено</t>
        </is>
      </c>
      <c r="L268" s="276" t="inlineStr">
        <is>
          <t>Подтвердить полный проход, исполнение У1 (для улицы), применимость на пар (где указан).</t>
        </is>
      </c>
    </row>
    <row r="269">
      <c r="A269" s="276" t="inlineStr">
        <is>
          <t>1.6/57</t>
        </is>
      </c>
      <c r="B269" s="276" t="inlineStr">
        <is>
          <t>Кран шаровой 11с22п Ду 32 Ру 16</t>
        </is>
      </c>
      <c r="C269" s="276" t="n">
        <v>55</v>
      </c>
      <c r="D269" s="276" t="inlineStr">
        <is>
          <t>завод (новый запрос КП)</t>
        </is>
      </c>
      <c r="E269" s="276" t="inlineStr">
        <is>
          <t>ООО «ЧелябинскСпецГражданСтрой» / ЛД Прайд (Группа компаний «ЛД», ТМ LD, LD Pride); продажи — ООО «ТД «ЛД»</t>
        </is>
      </c>
      <c r="F269" s="276" t="inlineStr">
        <is>
          <t>+7 (351) 730-47-47 office@chsgs.ru</t>
        </is>
      </c>
      <c r="G269" s="276" t="inlineStr">
        <is>
          <t>LD КШЦФ ст.20 Ду32 Н/П PN16(40) (аналог 11с22п)</t>
        </is>
      </c>
      <c r="H269" s="276" t="inlineStr">
        <is>
          <t>ООО «ЧелябинскСпецГражданСтрой» (ИНН 7451211335)</t>
        </is>
      </c>
      <c r="I269" s="276" t="inlineStr">
        <is>
          <t>10655491</t>
        </is>
      </c>
      <c r="J269" s="276" t="inlineStr">
        <is>
          <t>30.06.2028</t>
        </is>
      </c>
      <c r="K269" s="276" t="inlineStr">
        <is>
          <t>не подтверждено</t>
        </is>
      </c>
      <c r="L269" s="276" t="inlineStr">
        <is>
          <t>Подтвердить письменно применимость на газ/пар при Т по ТЗ.</t>
        </is>
      </c>
    </row>
    <row r="270">
      <c r="A270" s="276" t="inlineStr">
        <is>
          <t>1.6/58</t>
        </is>
      </c>
      <c r="B270" s="276" t="inlineStr">
        <is>
          <t>Кран шаровой 11с22п Ду 50 Ру 16</t>
        </is>
      </c>
      <c r="C270" s="276" t="n">
        <v>35</v>
      </c>
      <c r="D270" s="276" t="inlineStr">
        <is>
          <t>завод (новый запрос КП)</t>
        </is>
      </c>
      <c r="E270" s="276" t="inlineStr">
        <is>
          <t>ООО «ЧелябинскСпецГражданСтрой» / ЛД Прайд (Группа компаний «ЛД», ТМ LD, LD Pride); продажи — ООО «ТД «ЛД»</t>
        </is>
      </c>
      <c r="F270" s="276" t="inlineStr">
        <is>
          <t>+7 (351) 730-47-47 office@chsgs.ru</t>
        </is>
      </c>
      <c r="G270" s="276" t="inlineStr">
        <is>
          <t>LD КШЦФ ст.20 Ду50 Н/П PN16(40) (аналог 11с22п)</t>
        </is>
      </c>
      <c r="H270" s="276" t="inlineStr">
        <is>
          <t>ООО «ЧелябинскСпецГражданСтрой» (ИНН 7451211335)</t>
        </is>
      </c>
      <c r="I270" s="276" t="inlineStr">
        <is>
          <t>10655491</t>
        </is>
      </c>
      <c r="J270" s="276" t="inlineStr">
        <is>
          <t>30.06.2028</t>
        </is>
      </c>
      <c r="K270" s="276" t="inlineStr">
        <is>
          <t>не подтверждено</t>
        </is>
      </c>
      <c r="L270" s="276" t="inlineStr">
        <is>
          <t>Подтвердить письменно применимость на газ/пар при Т по ТЗ.</t>
        </is>
      </c>
    </row>
    <row r="271">
      <c r="A271" s="276" t="inlineStr">
        <is>
          <t>1.6/59</t>
        </is>
      </c>
      <c r="B271" s="276" t="inlineStr">
        <is>
          <t>Кран шаровой 11с22п Ду 80 Ру 16</t>
        </is>
      </c>
      <c r="C271" s="276" t="n">
        <v>24</v>
      </c>
      <c r="D271" s="276" t="inlineStr">
        <is>
          <t>завод (новый запрос КП)</t>
        </is>
      </c>
      <c r="E271" s="276" t="inlineStr">
        <is>
          <t>ООО «ЧелябинскСпецГражданСтрой» / ЛД Прайд (Группа компаний «ЛД», ТМ LD, LD Pride); продажи — ООО «ТД «ЛД»</t>
        </is>
      </c>
      <c r="F271" s="276" t="inlineStr">
        <is>
          <t>+7 (351) 730-47-47 office@chsgs.ru</t>
        </is>
      </c>
      <c r="G271" s="276" t="inlineStr">
        <is>
          <t>LD КШЦФ ст.20 Ду80 Н/П PN16(40) (аналог 11с22п)</t>
        </is>
      </c>
      <c r="H271" s="276" t="inlineStr">
        <is>
          <t>ООО «ЧелябинскСпецГражданСтрой» (ИНН 7451211335)</t>
        </is>
      </c>
      <c r="I271" s="276" t="inlineStr">
        <is>
          <t>10655491</t>
        </is>
      </c>
      <c r="J271" s="276" t="inlineStr">
        <is>
          <t>30.06.2028</t>
        </is>
      </c>
      <c r="K271" s="276" t="inlineStr">
        <is>
          <t>не подтверждено</t>
        </is>
      </c>
      <c r="L271" s="276" t="inlineStr">
        <is>
          <t>Подтвердить письменно применимость на газ/пар при Т по ТЗ.</t>
        </is>
      </c>
    </row>
    <row r="272">
      <c r="A272" s="276" t="inlineStr">
        <is>
          <t>1.6/60</t>
        </is>
      </c>
      <c r="B272" s="276" t="inlineStr">
        <is>
          <t>Кран шаровой 11с22п Ду 100 Ру 16</t>
        </is>
      </c>
      <c r="C272" s="276" t="n">
        <v>27</v>
      </c>
      <c r="D272" s="276" t="inlineStr">
        <is>
          <t>завод (новый запрос КП)</t>
        </is>
      </c>
      <c r="E272" s="276" t="inlineStr">
        <is>
          <t>ООО «ЧелябинскСпецГражданСтрой» / ЛД Прайд (Группа компаний «ЛД», ТМ LD, LD Pride); продажи — ООО «ТД «ЛД»</t>
        </is>
      </c>
      <c r="F272" s="276" t="inlineStr">
        <is>
          <t>+7 (351) 730-47-47 office@chsgs.ru</t>
        </is>
      </c>
      <c r="G272" s="276" t="inlineStr">
        <is>
          <t>LD КШЦФ ст.20 Ду100 Н/П PN16(40) (аналог 11с22п)</t>
        </is>
      </c>
      <c r="H272" s="276" t="inlineStr">
        <is>
          <t>ООО «ЧелябинскСпецГражданСтрой» (ИНН 7451211335)</t>
        </is>
      </c>
      <c r="I272" s="276" t="inlineStr">
        <is>
          <t>10655491</t>
        </is>
      </c>
      <c r="J272" s="276" t="inlineStr">
        <is>
          <t>30.06.2028</t>
        </is>
      </c>
      <c r="K272" s="276" t="inlineStr">
        <is>
          <t>не подтверждено</t>
        </is>
      </c>
      <c r="L272" s="276" t="inlineStr">
        <is>
          <t>Подтвердить письменно применимость на газ/пар при Т по ТЗ.</t>
        </is>
      </c>
    </row>
    <row r="273">
      <c r="A273" s="276" t="inlineStr">
        <is>
          <t>1.6/61</t>
        </is>
      </c>
      <c r="B273" s="276" t="inlineStr">
        <is>
          <t>Кран шаровой 11с22п Ду 150 Ру 16</t>
        </is>
      </c>
      <c r="C273" s="276" t="n">
        <v>13</v>
      </c>
      <c r="D273" s="276" t="inlineStr">
        <is>
          <t>завод (новый запрос КП)</t>
        </is>
      </c>
      <c r="E273" s="276" t="inlineStr">
        <is>
          <t>ООО «ЧелябинскСпецГражданСтрой» / ЛД Прайд (Группа компаний «ЛД», ТМ LD, LD Pride); продажи — ООО «ТД «ЛД»</t>
        </is>
      </c>
      <c r="F273" s="276" t="inlineStr">
        <is>
          <t>+7 (351) 730-47-47 office@chsgs.ru</t>
        </is>
      </c>
      <c r="G273" s="276" t="inlineStr">
        <is>
          <t>LD КШЦФ ст.20 Ду150 Н/П PN16(40) (аналог 11с22п)</t>
        </is>
      </c>
      <c r="H273" s="276" t="inlineStr">
        <is>
          <t>ООО «ЧелябинскСпецГражданСтрой» (ИНН 7451211335)</t>
        </is>
      </c>
      <c r="I273" s="276" t="inlineStr">
        <is>
          <t>10655491</t>
        </is>
      </c>
      <c r="J273" s="276" t="inlineStr">
        <is>
          <t>30.06.2028</t>
        </is>
      </c>
      <c r="K273" s="276" t="inlineStr">
        <is>
          <t>не подтверждено</t>
        </is>
      </c>
      <c r="L273" s="276" t="inlineStr">
        <is>
          <t>Подтвердить письменно применимость на газ/пар при Т по ТЗ.</t>
        </is>
      </c>
    </row>
    <row r="274">
      <c r="A274" s="276" t="inlineStr">
        <is>
          <t>1.6/62</t>
        </is>
      </c>
      <c r="B274" s="276" t="inlineStr">
        <is>
          <t>Кран шаровой 11с22п Ду 200 Ру 16</t>
        </is>
      </c>
      <c r="C274" s="276" t="n">
        <v>3</v>
      </c>
      <c r="D274" s="276" t="inlineStr">
        <is>
          <t>завод (новый запрос КП)</t>
        </is>
      </c>
      <c r="E274" s="276" t="inlineStr">
        <is>
          <t>ООО «ЧелябинскСпецГражданСтрой» / ЛД Прайд (Группа компаний «ЛД», ТМ LD, LD Pride); продажи — ООО «ТД «ЛД»</t>
        </is>
      </c>
      <c r="F274" s="276" t="inlineStr">
        <is>
          <t>+7 (351) 730-47-47 office@chsgs.ru</t>
        </is>
      </c>
      <c r="G274" s="276" t="inlineStr">
        <is>
          <t>LD КШЦФ ст.20 Ду200 Н/П PN16(40) (аналог 11с22п)</t>
        </is>
      </c>
      <c r="H274" s="276" t="inlineStr">
        <is>
          <t>ООО «ЧелябинскСпецГражданСтрой» (ИНН 7451211335)</t>
        </is>
      </c>
      <c r="I274" s="276" t="inlineStr">
        <is>
          <t>10655491</t>
        </is>
      </c>
      <c r="J274" s="276" t="inlineStr">
        <is>
          <t>30.06.2028</t>
        </is>
      </c>
      <c r="K274" s="276" t="inlineStr">
        <is>
          <t>не подтверждено</t>
        </is>
      </c>
      <c r="L274" s="276" t="inlineStr">
        <is>
          <t>Подтвердить письменно применимость на газ/пар при Т по ТЗ.</t>
        </is>
      </c>
    </row>
    <row r="275">
      <c r="A275" s="276" t="inlineStr">
        <is>
          <t>1.6/63</t>
        </is>
      </c>
      <c r="B275" s="276" t="inlineStr">
        <is>
          <t>Кран запорный шаровой 11С67П Ду 100 Ру 16</t>
        </is>
      </c>
      <c r="C275" s="276" t="n">
        <v>25</v>
      </c>
      <c r="D275" s="276" t="inlineStr">
        <is>
          <t>завод (новый запрос КП)</t>
        </is>
      </c>
      <c r="E275" s="276" t="inlineStr">
        <is>
          <t>ООО «ЧелябинскСпецГражданСтрой» / ЛД Прайд (Группа компаний «ЛД», ТМ LD, LD Pride); продажи — ООО «ТД «ЛД»</t>
        </is>
      </c>
      <c r="F275" s="276" t="inlineStr">
        <is>
          <t>+7 (351) 730-47-47 office@chsgs.ru</t>
        </is>
      </c>
      <c r="G275" s="276" t="inlineStr">
        <is>
          <t>LD КШЦФ ст.20 Ду100 Н/П PN16(40) (аналог 11С67П)</t>
        </is>
      </c>
      <c r="H275" s="276" t="inlineStr">
        <is>
          <t>ООО «ЧелябинскСпецГражданСтрой» (ИНН 7451211335)</t>
        </is>
      </c>
      <c r="I275" s="276" t="inlineStr">
        <is>
          <t>10655491</t>
        </is>
      </c>
      <c r="J275" s="276" t="inlineStr">
        <is>
          <t>30.06.2028</t>
        </is>
      </c>
      <c r="K275" s="276" t="inlineStr">
        <is>
          <t>не подтверждено</t>
        </is>
      </c>
      <c r="L275" s="276" t="inlineStr">
        <is>
          <t>Подтвердить письменно применимость на газ/пар при Т по ТЗ.</t>
        </is>
      </c>
    </row>
    <row r="276">
      <c r="A276" s="276" t="inlineStr">
        <is>
          <t>1.6/64</t>
        </is>
      </c>
      <c r="B276" s="276" t="inlineStr">
        <is>
          <t>Кран запорный шаровой 11С67П Ду 150 Ру 16</t>
        </is>
      </c>
      <c r="C276" s="276" t="n">
        <v>9</v>
      </c>
      <c r="D276" s="276" t="inlineStr">
        <is>
          <t>завод (новый запрос КП)</t>
        </is>
      </c>
      <c r="E276" s="276" t="inlineStr">
        <is>
          <t>ООО «ЧелябинскСпецГражданСтрой» / ЛД Прайд (Группа компаний «ЛД», ТМ LD, LD Pride); продажи — ООО «ТД «ЛД»</t>
        </is>
      </c>
      <c r="F276" s="276" t="inlineStr">
        <is>
          <t>+7 (351) 730-47-47 office@chsgs.ru</t>
        </is>
      </c>
      <c r="G276" s="276" t="inlineStr">
        <is>
          <t>LD КШЦФ ст.20 Ду150 Н/П PN16(40) (аналог 11С67П)</t>
        </is>
      </c>
      <c r="H276" s="276" t="inlineStr">
        <is>
          <t>ООО «ЧелябинскСпецГражданСтрой» (ИНН 7451211335)</t>
        </is>
      </c>
      <c r="I276" s="276" t="inlineStr">
        <is>
          <t>10655491</t>
        </is>
      </c>
      <c r="J276" s="276" t="inlineStr">
        <is>
          <t>30.06.2028</t>
        </is>
      </c>
      <c r="K276" s="276" t="inlineStr">
        <is>
          <t>не подтверждено</t>
        </is>
      </c>
      <c r="L276" s="276" t="inlineStr">
        <is>
          <t>Подтвердить письменно применимость на газ/пар при Т по ТЗ.</t>
        </is>
      </c>
    </row>
    <row r="277">
      <c r="A277" s="276" t="inlineStr">
        <is>
          <t>1.6/65</t>
        </is>
      </c>
      <c r="B277" s="276" t="inlineStr">
        <is>
          <t>Кран запорный шаровой 11С67П Ду 200 Ру 16</t>
        </is>
      </c>
      <c r="C277" s="276" t="n">
        <v>2</v>
      </c>
      <c r="D277" s="276" t="inlineStr">
        <is>
          <t>завод (новый запрос КП)</t>
        </is>
      </c>
      <c r="E277" s="276" t="inlineStr">
        <is>
          <t>ООО «ЧелябинскСпецГражданСтрой» / ЛД Прайд (Группа компаний «ЛД», ТМ LD, LD Pride); продажи — ООО «ТД «ЛД»</t>
        </is>
      </c>
      <c r="F277" s="276" t="inlineStr">
        <is>
          <t>+7 (351) 730-47-47 office@chsgs.ru</t>
        </is>
      </c>
      <c r="G277" s="276" t="inlineStr">
        <is>
          <t>LD КШЦФ ст.20 Ду200 Н/П PN16(40) (аналог 11С67П)</t>
        </is>
      </c>
      <c r="H277" s="276" t="inlineStr">
        <is>
          <t>ООО «ЧелябинскСпецГражданСтрой» (ИНН 7451211335)</t>
        </is>
      </c>
      <c r="I277" s="276" t="inlineStr">
        <is>
          <t>10655491</t>
        </is>
      </c>
      <c r="J277" s="276" t="inlineStr">
        <is>
          <t>30.06.2028</t>
        </is>
      </c>
      <c r="K277" s="276" t="inlineStr">
        <is>
          <t>не подтверждено</t>
        </is>
      </c>
      <c r="L277" s="276" t="inlineStr">
        <is>
          <t>Подтвердить письменно применимость на газ/пар при Т по ТЗ.</t>
        </is>
      </c>
    </row>
    <row r="278">
      <c r="A278" s="276" t="inlineStr">
        <is>
          <t>1.6/66</t>
        </is>
      </c>
      <c r="B278" s="276" t="inlineStr">
        <is>
          <t>Кран запорный шаровой 11С67П Ду 50 Ру 16</t>
        </is>
      </c>
      <c r="C278" s="276" t="n">
        <v>25</v>
      </c>
      <c r="D278" s="276" t="inlineStr">
        <is>
          <t>завод (новый запрос КП)</t>
        </is>
      </c>
      <c r="E278" s="276" t="inlineStr">
        <is>
          <t>ООО «ЧелябинскСпецГражданСтрой» / ЛД Прайд (Группа компаний «ЛД», ТМ LD, LD Pride); продажи — ООО «ТД «ЛД»</t>
        </is>
      </c>
      <c r="F278" s="276" t="inlineStr">
        <is>
          <t>+7 (351) 730-47-47 office@chsgs.ru</t>
        </is>
      </c>
      <c r="G278" s="276" t="inlineStr">
        <is>
          <t>LD КШЦФ ст.20 Ду50 Н/П PN16(40) (аналог 11С67П)</t>
        </is>
      </c>
      <c r="H278" s="276" t="inlineStr">
        <is>
          <t>ООО «ЧелябинскСпецГражданСтрой» (ИНН 7451211335)</t>
        </is>
      </c>
      <c r="I278" s="276" t="inlineStr">
        <is>
          <t>10655491</t>
        </is>
      </c>
      <c r="J278" s="276" t="inlineStr">
        <is>
          <t>30.06.2028</t>
        </is>
      </c>
      <c r="K278" s="276" t="inlineStr">
        <is>
          <t>не подтверждено</t>
        </is>
      </c>
      <c r="L278" s="276" t="inlineStr">
        <is>
          <t>Подтвердить письменно применимость на газ/пар при Т по ТЗ.</t>
        </is>
      </c>
    </row>
    <row r="279">
      <c r="A279" s="276" t="inlineStr">
        <is>
          <t>1.6/67</t>
        </is>
      </c>
      <c r="B279" s="276" t="inlineStr">
        <is>
          <t>Кран запорный шаровой 11С67П Ду 80 Ру 16</t>
        </is>
      </c>
      <c r="C279" s="276" t="n">
        <v>22</v>
      </c>
      <c r="D279" s="276" t="inlineStr">
        <is>
          <t>завод (новый запрос КП)</t>
        </is>
      </c>
      <c r="E279" s="276" t="inlineStr">
        <is>
          <t>ООО «ЧелябинскСпецГражданСтрой» / ЛД Прайд (Группа компаний «ЛД», ТМ LD, LD Pride); продажи — ООО «ТД «ЛД»</t>
        </is>
      </c>
      <c r="F279" s="276" t="inlineStr">
        <is>
          <t>+7 (351) 730-47-47 office@chsgs.ru</t>
        </is>
      </c>
      <c r="G279" s="276" t="inlineStr">
        <is>
          <t>LD КШЦФ ст.20 Ду80 Н/П PN16(40) (аналог 11С67П)</t>
        </is>
      </c>
      <c r="H279" s="276" t="inlineStr">
        <is>
          <t>ООО «ЧелябинскСпецГражданСтрой» (ИНН 7451211335)</t>
        </is>
      </c>
      <c r="I279" s="276" t="inlineStr">
        <is>
          <t>10655491</t>
        </is>
      </c>
      <c r="J279" s="276" t="inlineStr">
        <is>
          <t>30.06.2028</t>
        </is>
      </c>
      <c r="K279" s="276" t="inlineStr">
        <is>
          <t>не подтверждено</t>
        </is>
      </c>
      <c r="L279" s="276" t="inlineStr">
        <is>
          <t>Подтвердить письменно применимость на газ/пар при Т по ТЗ.</t>
        </is>
      </c>
    </row>
    <row r="280">
      <c r="A280" s="276" t="inlineStr">
        <is>
          <t>1.6/68</t>
        </is>
      </c>
      <c r="B280" s="276" t="inlineStr">
        <is>
          <t>Кран шаровой 11с67п Ду 25 Ру 25 цельносварной под приварку</t>
        </is>
      </c>
      <c r="C280" s="276" t="n">
        <v>36</v>
      </c>
      <c r="D280" s="276" t="inlineStr">
        <is>
          <t>завод (новый запрос КП)</t>
        </is>
      </c>
      <c r="E280" s="276" t="inlineStr">
        <is>
          <t>ООО «ЧелябинскСпецГражданСтрой» / ЛД Прайд (Группа компаний «ЛД», ТМ LD, LD Pride); продажи — ООО «ТД «ЛД»</t>
        </is>
      </c>
      <c r="F280" s="276" t="inlineStr">
        <is>
          <t>+7 (351) 730-47-47 office@chsgs.ru</t>
        </is>
      </c>
      <c r="G280" s="276" t="inlineStr">
        <is>
          <t>LD КШЦП (КШ.Ц.П) ст.20 Ду25 Н/П PN4,0</t>
        </is>
      </c>
      <c r="H280" s="276" t="inlineStr">
        <is>
          <t>ООО «ЧелябинскСпецГражданСтрой» (ИНН 7451211335)</t>
        </is>
      </c>
      <c r="I280" s="276" t="inlineStr">
        <is>
          <t>10655491</t>
        </is>
      </c>
      <c r="J280" s="276" t="inlineStr">
        <is>
          <t>30.06.2028</t>
        </is>
      </c>
      <c r="K280" s="276" t="inlineStr">
        <is>
          <t>не подтверждено</t>
        </is>
      </c>
      <c r="L280" s="276" t="inlineStr">
        <is>
          <t>Подтвердить письменно применимость на газ/пар при Т по ТЗ.</t>
        </is>
      </c>
    </row>
    <row r="281">
      <c r="A281" s="276" t="inlineStr">
        <is>
          <t>1.6/69</t>
        </is>
      </c>
      <c r="B281" s="276" t="inlineStr">
        <is>
          <t>Кран шаровой 11с67п Ду 32 Ру 25 цельносварной под приварку</t>
        </is>
      </c>
      <c r="C281" s="276" t="n">
        <v>6</v>
      </c>
      <c r="D281" s="276" t="inlineStr">
        <is>
          <t>завод (новый запрос КП)</t>
        </is>
      </c>
      <c r="E281" s="276" t="inlineStr">
        <is>
          <t>ООО «ЧелябинскСпецГражданСтрой» / ЛД Прайд (Группа компаний «ЛД», ТМ LD, LD Pride); продажи — ООО «ТД «ЛД»</t>
        </is>
      </c>
      <c r="F281" s="276" t="inlineStr">
        <is>
          <t>+7 (351) 730-47-47 office@chsgs.ru</t>
        </is>
      </c>
      <c r="G281" s="276" t="inlineStr">
        <is>
          <t>LD КШЦП (КШ.Ц.П) ст.20 Ду32 Н/П PN4,0</t>
        </is>
      </c>
      <c r="H281" s="276" t="inlineStr">
        <is>
          <t>ООО «ЧелябинскСпецГражданСтрой» (ИНН 7451211335)</t>
        </is>
      </c>
      <c r="I281" s="276" t="inlineStr">
        <is>
          <t>10655491</t>
        </is>
      </c>
      <c r="J281" s="276" t="inlineStr">
        <is>
          <t>30.06.2028</t>
        </is>
      </c>
      <c r="K281" s="276" t="inlineStr">
        <is>
          <t>не подтверждено</t>
        </is>
      </c>
      <c r="L281" s="276" t="inlineStr">
        <is>
          <t>Подтвердить письменно применимость на газ/пар при Т по ТЗ.</t>
        </is>
      </c>
    </row>
    <row r="282">
      <c r="A282" s="276" t="inlineStr">
        <is>
          <t>1.6/70</t>
        </is>
      </c>
      <c r="B282" s="276" t="inlineStr">
        <is>
          <t>Кран шаровой 11с67п Ду 40 Ру 25 цельносварной под приварку</t>
        </is>
      </c>
      <c r="C282" s="276" t="n">
        <v>10</v>
      </c>
      <c r="D282" s="276" t="inlineStr">
        <is>
          <t>завод (новый запрос КП)</t>
        </is>
      </c>
      <c r="E282" s="276" t="inlineStr">
        <is>
          <t>ООО «ЧелябинскСпецГражданСтрой» / ЛД Прайд (Группа компаний «ЛД», ТМ LD, LD Pride); продажи — ООО «ТД «ЛД»</t>
        </is>
      </c>
      <c r="F282" s="276" t="inlineStr">
        <is>
          <t>+7 (351) 730-47-47 office@chsgs.ru</t>
        </is>
      </c>
      <c r="G282" s="276" t="inlineStr">
        <is>
          <t>LD КШЦП (КШ.Ц.П) ст.20 Ду40 Н/П PN4,0</t>
        </is>
      </c>
      <c r="H282" s="276" t="inlineStr">
        <is>
          <t>ООО «ЧелябинскСпецГражданСтрой» (ИНН 7451211335)</t>
        </is>
      </c>
      <c r="I282" s="276" t="inlineStr">
        <is>
          <t>10655491</t>
        </is>
      </c>
      <c r="J282" s="276" t="inlineStr">
        <is>
          <t>30.06.2028</t>
        </is>
      </c>
      <c r="K282" s="276" t="inlineStr">
        <is>
          <t>не подтверждено</t>
        </is>
      </c>
      <c r="L282" s="276" t="inlineStr">
        <is>
          <t>Подтвердить письменно применимость на газ/пар при Т по ТЗ.</t>
        </is>
      </c>
    </row>
    <row r="283">
      <c r="A283" s="276" t="inlineStr">
        <is>
          <t>1.6/71</t>
        </is>
      </c>
      <c r="B283" s="276" t="inlineStr">
        <is>
          <t>Кран шаровой 11с67п Ду 20 Ру 25 полнопрох. с КОФ (КЗШС41нж)</t>
        </is>
      </c>
      <c r="C283" s="276" t="n">
        <v>2</v>
      </c>
      <c r="D283" s="276" t="inlineStr">
        <is>
          <t>НЕ ЗАКРЫТО</t>
        </is>
      </c>
      <c r="E283" s="276" t="inlineStr"/>
      <c r="F283" s="276" t="inlineStr"/>
      <c r="G283" s="276" t="inlineStr"/>
      <c r="H283" s="276" t="inlineStr"/>
      <c r="I283" s="276" t="inlineStr"/>
      <c r="J283" s="276" t="inlineStr"/>
      <c r="K283" s="276" t="inlineStr">
        <is>
          <t>нет поставщика с записью ПП 719 и соответствием ТЗ</t>
        </is>
      </c>
      <c r="L283" s="276" t="inlineStr"/>
    </row>
    <row r="284">
      <c r="A284" s="276" t="inlineStr">
        <is>
          <t>1.6/72</t>
        </is>
      </c>
      <c r="B284" s="276" t="inlineStr">
        <is>
          <t>Кран шаровой 11с67п Ду 25 Ру 25 полнопрох. с КОФ (КЗШС41нж)</t>
        </is>
      </c>
      <c r="C284" s="276" t="n">
        <v>9</v>
      </c>
      <c r="D284" s="276" t="inlineStr">
        <is>
          <t>НЕ ЗАКРЫТО</t>
        </is>
      </c>
      <c r="E284" s="276" t="inlineStr"/>
      <c r="F284" s="276" t="inlineStr"/>
      <c r="G284" s="276" t="inlineStr"/>
      <c r="H284" s="276" t="inlineStr"/>
      <c r="I284" s="276" t="inlineStr"/>
      <c r="J284" s="276" t="inlineStr"/>
      <c r="K284" s="276" t="inlineStr">
        <is>
          <t>нет поставщика с записью ПП 719 и соответствием ТЗ</t>
        </is>
      </c>
      <c r="L284" s="276" t="inlineStr"/>
    </row>
    <row r="285">
      <c r="A285" s="276" t="inlineStr">
        <is>
          <t>1.6/73</t>
        </is>
      </c>
      <c r="B285" s="276" t="inlineStr">
        <is>
          <t>Кран шаровой 11с67п Ду 32 Ру 25 полнопрох. с КОФ (КЗШС41нж)</t>
        </is>
      </c>
      <c r="C285" s="276" t="n">
        <v>10</v>
      </c>
      <c r="D285" s="276" t="inlineStr">
        <is>
          <t>НЕ ЗАКРЫТО</t>
        </is>
      </c>
      <c r="E285" s="276" t="inlineStr"/>
      <c r="F285" s="276" t="inlineStr"/>
      <c r="G285" s="276" t="inlineStr"/>
      <c r="H285" s="276" t="inlineStr"/>
      <c r="I285" s="276" t="inlineStr"/>
      <c r="J285" s="276" t="inlineStr"/>
      <c r="K285" s="276" t="inlineStr">
        <is>
          <t>нет поставщика с записью ПП 719 и соответствием ТЗ</t>
        </is>
      </c>
      <c r="L285" s="276" t="inlineStr"/>
    </row>
    <row r="286">
      <c r="A286" s="276" t="inlineStr">
        <is>
          <t>1.6/74</t>
        </is>
      </c>
      <c r="B286" s="276" t="inlineStr">
        <is>
          <t>Кран шаровой 11с67п Ду 40 Ру 25 полнопрох. с КОФ (КЗШС41нж)</t>
        </is>
      </c>
      <c r="C286" s="276" t="n">
        <v>2</v>
      </c>
      <c r="D286" s="276" t="inlineStr">
        <is>
          <t>НЕ ЗАКРЫТО</t>
        </is>
      </c>
      <c r="E286" s="276" t="inlineStr"/>
      <c r="F286" s="276" t="inlineStr"/>
      <c r="G286" s="276" t="inlineStr"/>
      <c r="H286" s="276" t="inlineStr"/>
      <c r="I286" s="276" t="inlineStr"/>
      <c r="J286" s="276" t="inlineStr"/>
      <c r="K286" s="276" t="inlineStr">
        <is>
          <t>нет поставщика с записью ПП 719 и соответствием ТЗ</t>
        </is>
      </c>
      <c r="L286" s="276" t="inlineStr"/>
    </row>
    <row r="287">
      <c r="A287" s="276" t="inlineStr">
        <is>
          <t>1.6/75</t>
        </is>
      </c>
      <c r="B287" s="276" t="inlineStr">
        <is>
          <t>Кран шаровой 11с67п Ду 50 Ру 25 полнопрох. с КОФ (КЗШС41нж)</t>
        </is>
      </c>
      <c r="C287" s="276" t="n">
        <v>9</v>
      </c>
      <c r="D287" s="276" t="inlineStr">
        <is>
          <t>НЕ ЗАКРЫТО</t>
        </is>
      </c>
      <c r="E287" s="276" t="inlineStr"/>
      <c r="F287" s="276" t="inlineStr"/>
      <c r="G287" s="276" t="inlineStr"/>
      <c r="H287" s="276" t="inlineStr"/>
      <c r="I287" s="276" t="inlineStr"/>
      <c r="J287" s="276" t="inlineStr"/>
      <c r="K287" s="276" t="inlineStr">
        <is>
          <t>нет поставщика с записью ПП 719 и соответствием ТЗ</t>
        </is>
      </c>
      <c r="L287" s="276" t="inlineStr"/>
    </row>
    <row r="288">
      <c r="A288" s="276" t="inlineStr">
        <is>
          <t>1.6/76</t>
        </is>
      </c>
      <c r="B288" s="276" t="inlineStr">
        <is>
          <t>Кран шаровой 11с67п Ду 80 Ру 25 полнопрох. с КОФ (КЗШС41нж)</t>
        </is>
      </c>
      <c r="C288" s="276" t="n">
        <v>9</v>
      </c>
      <c r="D288" s="276" t="inlineStr">
        <is>
          <t>НЕ ЗАКРЫТО</t>
        </is>
      </c>
      <c r="E288" s="276" t="inlineStr"/>
      <c r="F288" s="276" t="inlineStr"/>
      <c r="G288" s="276" t="inlineStr"/>
      <c r="H288" s="276" t="inlineStr"/>
      <c r="I288" s="276" t="inlineStr"/>
      <c r="J288" s="276" t="inlineStr"/>
      <c r="K288" s="276" t="inlineStr">
        <is>
          <t>нет поставщика с записью ПП 719 и соответствием ТЗ</t>
        </is>
      </c>
      <c r="L288" s="276" t="inlineStr"/>
    </row>
    <row r="289">
      <c r="A289" s="276" t="inlineStr">
        <is>
          <t>1.6/77</t>
        </is>
      </c>
      <c r="B289" s="276" t="inlineStr">
        <is>
          <t>Кран шаровой 11с67п Ду 100 Ру 16 ЦУФ.001 КШ укороченный полнопроходной фланцевый с рукояткой</t>
        </is>
      </c>
      <c r="C289" s="276" t="n">
        <v>4</v>
      </c>
      <c r="D289" s="276" t="inlineStr">
        <is>
          <t>завод (новый запрос КП)</t>
        </is>
      </c>
      <c r="E289" s="276" t="inlineStr">
        <is>
          <t>ООО «ЧелябинскСпецГражданСтрой» / ЛД Прайд (Группа компаний «ЛД», ТМ LD, LD Pride); продажи — ООО «ТД «ЛД»</t>
        </is>
      </c>
      <c r="F289" s="276" t="inlineStr">
        <is>
          <t>+7 (351) 730-47-47 office@chsgs.ru</t>
        </is>
      </c>
      <c r="G289" s="276" t="inlineStr">
        <is>
          <t>LD 11с67п КШРФ Ду100 П/П PN16</t>
        </is>
      </c>
      <c r="H289" s="276" t="inlineStr">
        <is>
          <t>ООО «ЧелябинскСпецГражданСтрой» (ИНН 7451211335)</t>
        </is>
      </c>
      <c r="I289" s="276" t="inlineStr">
        <is>
          <t>10655491</t>
        </is>
      </c>
      <c r="J289" s="276" t="inlineStr">
        <is>
          <t>30.06.2028</t>
        </is>
      </c>
      <c r="K289" s="276" t="inlineStr">
        <is>
          <t>не подтверждено</t>
        </is>
      </c>
      <c r="L289" s="276" t="inlineStr">
        <is>
          <t>Подтвердить письменно применимость на газ/пар при Т по ТЗ.</t>
        </is>
      </c>
    </row>
    <row r="290">
      <c r="A290" s="276" t="inlineStr">
        <is>
          <t>1.6/78</t>
        </is>
      </c>
      <c r="B290" s="276" t="inlineStr">
        <is>
          <t>Кран шаровой 11с67п Ду 32 Ру 16 ЦУФ.001 КШ укороченный полнопроходной фланцевый с рукояткой</t>
        </is>
      </c>
      <c r="C290" s="276" t="n">
        <v>1</v>
      </c>
      <c r="D290" s="276" t="inlineStr">
        <is>
          <t>завод (новый запрос КП)</t>
        </is>
      </c>
      <c r="E290" s="276" t="inlineStr">
        <is>
          <t>ООО «ЧелябинскСпецГражданСтрой» / ЛД Прайд (Группа компаний «ЛД», ТМ LD, LD Pride); продажи — ООО «ТД «ЛД»</t>
        </is>
      </c>
      <c r="F290" s="276" t="inlineStr">
        <is>
          <t>+7 (351) 730-47-47 office@chsgs.ru</t>
        </is>
      </c>
      <c r="G290" s="276" t="inlineStr">
        <is>
          <t>LD 11с67п КШРФ Ду32 П/П PN16</t>
        </is>
      </c>
      <c r="H290" s="276" t="inlineStr">
        <is>
          <t>ООО «ЧелябинскСпецГражданСтрой» (ИНН 7451211335)</t>
        </is>
      </c>
      <c r="I290" s="276" t="inlineStr">
        <is>
          <t>10655491</t>
        </is>
      </c>
      <c r="J290" s="276" t="inlineStr">
        <is>
          <t>30.06.2028</t>
        </is>
      </c>
      <c r="K290" s="276" t="inlineStr">
        <is>
          <t>не подтверждено</t>
        </is>
      </c>
      <c r="L290" s="276" t="inlineStr">
        <is>
          <t>Подтвердить письменно применимость на газ/пар при Т по ТЗ.</t>
        </is>
      </c>
    </row>
    <row r="291">
      <c r="A291" s="276" t="inlineStr">
        <is>
          <t>1.6/79</t>
        </is>
      </c>
      <c r="B291" s="276" t="inlineStr">
        <is>
          <t>Кран шаровой 11с67п Ду 40 Ру 16 ЦУФ.001 КШ укороченный полнопроходной фланцевый с рукояткой</t>
        </is>
      </c>
      <c r="C291" s="276" t="n">
        <v>1</v>
      </c>
      <c r="D291" s="276" t="inlineStr">
        <is>
          <t>завод (новый запрос КП)</t>
        </is>
      </c>
      <c r="E291" s="276" t="inlineStr">
        <is>
          <t>ООО «ЧелябинскСпецГражданСтрой» / ЛД Прайд (Группа компаний «ЛД», ТМ LD, LD Pride); продажи — ООО «ТД «ЛД»</t>
        </is>
      </c>
      <c r="F291" s="276" t="inlineStr">
        <is>
          <t>+7 (351) 730-47-47 office@chsgs.ru</t>
        </is>
      </c>
      <c r="G291" s="276" t="inlineStr">
        <is>
          <t>LD 11с67п КШРФ Ду40 П/П PN16</t>
        </is>
      </c>
      <c r="H291" s="276" t="inlineStr">
        <is>
          <t>ООО «ЧелябинскСпецГражданСтрой» (ИНН 7451211335)</t>
        </is>
      </c>
      <c r="I291" s="276" t="inlineStr">
        <is>
          <t>10655491</t>
        </is>
      </c>
      <c r="J291" s="276" t="inlineStr">
        <is>
          <t>30.06.2028</t>
        </is>
      </c>
      <c r="K291" s="276" t="inlineStr">
        <is>
          <t>не подтверждено</t>
        </is>
      </c>
      <c r="L291" s="276" t="inlineStr">
        <is>
          <t>Подтвердить письменно применимость на газ/пар при Т по ТЗ.</t>
        </is>
      </c>
    </row>
    <row r="292">
      <c r="A292" s="276" t="inlineStr">
        <is>
          <t>1.6/80</t>
        </is>
      </c>
      <c r="B292" s="276" t="inlineStr">
        <is>
          <t>Кран шаровой 11с67п Ду 50 Ру 16 ЦУФ.001 КШ укороченный полнопроходной фланцевый с рукояткой</t>
        </is>
      </c>
      <c r="C292" s="276" t="n">
        <v>3</v>
      </c>
      <c r="D292" s="276" t="inlineStr">
        <is>
          <t>завод (новый запрос КП)</t>
        </is>
      </c>
      <c r="E292" s="276" t="inlineStr">
        <is>
          <t>ООО «ЧелябинскСпецГражданСтрой» / ЛД Прайд (Группа компаний «ЛД», ТМ LD, LD Pride); продажи — ООО «ТД «ЛД»</t>
        </is>
      </c>
      <c r="F292" s="276" t="inlineStr">
        <is>
          <t>+7 (351) 730-47-47 office@chsgs.ru</t>
        </is>
      </c>
      <c r="G292" s="276" t="inlineStr">
        <is>
          <t>LD 11с67п КШРФ Ду50 П/П PN16</t>
        </is>
      </c>
      <c r="H292" s="276" t="inlineStr">
        <is>
          <t>ООО «ЧелябинскСпецГражданСтрой» (ИНН 7451211335)</t>
        </is>
      </c>
      <c r="I292" s="276" t="inlineStr">
        <is>
          <t>10655491</t>
        </is>
      </c>
      <c r="J292" s="276" t="inlineStr">
        <is>
          <t>30.06.2028</t>
        </is>
      </c>
      <c r="K292" s="276" t="inlineStr">
        <is>
          <t>не подтверждено</t>
        </is>
      </c>
      <c r="L292" s="276" t="inlineStr">
        <is>
          <t>Подтвердить письменно применимость на газ/пар при Т по ТЗ.</t>
        </is>
      </c>
    </row>
    <row r="293">
      <c r="A293" s="276" t="inlineStr">
        <is>
          <t>1.6/81</t>
        </is>
      </c>
      <c r="B293" s="276" t="inlineStr">
        <is>
          <t>Кран шаровой 11с67п Ду 80 Ру 16 ЦУФ.001 КШ укороченный полнопроходной фланцевый с рукояткой</t>
        </is>
      </c>
      <c r="C293" s="276" t="n">
        <v>6</v>
      </c>
      <c r="D293" s="276" t="inlineStr">
        <is>
          <t>завод (новый запрос КП)</t>
        </is>
      </c>
      <c r="E293" s="276" t="inlineStr">
        <is>
          <t>ООО «ЧелябинскСпецГражданСтрой» / ЛД Прайд (Группа компаний «ЛД», ТМ LD, LD Pride); продажи — ООО «ТД «ЛД»</t>
        </is>
      </c>
      <c r="F293" s="276" t="inlineStr">
        <is>
          <t>+7 (351) 730-47-47 office@chsgs.ru</t>
        </is>
      </c>
      <c r="G293" s="276" t="inlineStr">
        <is>
          <t>LD 11с67п КШРФ Ду80 П/П PN16</t>
        </is>
      </c>
      <c r="H293" s="276" t="inlineStr">
        <is>
          <t>ООО «ЧелябинскСпецГражданСтрой» (ИНН 7451211335)</t>
        </is>
      </c>
      <c r="I293" s="276" t="inlineStr">
        <is>
          <t>10655491</t>
        </is>
      </c>
      <c r="J293" s="276" t="inlineStr">
        <is>
          <t>30.06.2028</t>
        </is>
      </c>
      <c r="K293" s="276" t="inlineStr">
        <is>
          <t>не подтверждено</t>
        </is>
      </c>
      <c r="L293" s="276" t="inlineStr">
        <is>
          <t>Подтвердить письменно применимость на газ/пар при Т по ТЗ.</t>
        </is>
      </c>
    </row>
    <row r="294">
      <c r="A294" s="276" t="inlineStr">
        <is>
          <t>1.6/82</t>
        </is>
      </c>
      <c r="B294" s="276" t="inlineStr">
        <is>
          <t>Кран шаровой TEMPER 28020025 муфтовый, Ду 25, Ру 40</t>
        </is>
      </c>
      <c r="C294" s="276" t="n">
        <v>2</v>
      </c>
      <c r="D294" s="276" t="inlineStr">
        <is>
          <t>НЕ ЗАКРЫТО</t>
        </is>
      </c>
      <c r="E294" s="276" t="inlineStr"/>
      <c r="F294" s="276" t="inlineStr"/>
      <c r="G294" s="276" t="inlineStr"/>
      <c r="H294" s="276" t="inlineStr"/>
      <c r="I294" s="276" t="inlineStr"/>
      <c r="J294" s="276" t="inlineStr"/>
      <c r="K294" s="276" t="inlineStr">
        <is>
          <t>нет поставщика с записью ПП 719 и соответствием ТЗ</t>
        </is>
      </c>
      <c r="L294" s="276" t="inlineStr"/>
    </row>
    <row r="295">
      <c r="A295" s="276" t="inlineStr">
        <is>
          <t>1.6/83</t>
        </is>
      </c>
      <c r="B295" s="276" t="inlineStr">
        <is>
          <t>Кран шаровый LD полнопроходной 11с67п КШРФ Ду 100 Ру 16 с КОФ</t>
        </is>
      </c>
      <c r="C295" s="276" t="n">
        <v>3</v>
      </c>
      <c r="D295" s="276" t="inlineStr">
        <is>
          <t>завод (новый запрос КП)</t>
        </is>
      </c>
      <c r="E295" s="276" t="inlineStr">
        <is>
          <t>ООО «ЧелябинскСпецГражданСтрой» / ЛД Прайд (Группа компаний «ЛД», ТМ LD, LD Pride); продажи — ООО «ТД «ЛД»</t>
        </is>
      </c>
      <c r="F295" s="276" t="inlineStr">
        <is>
          <t>+7 (351) 730-47-47 office@chsgs.ru</t>
        </is>
      </c>
      <c r="G295" s="276" t="inlineStr">
        <is>
          <t>LD 11с67п КШРФ Ду100 П/П PN16 с КОФ</t>
        </is>
      </c>
      <c r="H295" s="276" t="inlineStr">
        <is>
          <t>ООО «ЧелябинскСпецГражданСтрой» (ИНН 7451211335)</t>
        </is>
      </c>
      <c r="I295" s="276" t="inlineStr">
        <is>
          <t>10714005</t>
        </is>
      </c>
      <c r="J295" s="276" t="inlineStr">
        <is>
          <t>17.09.2028</t>
        </is>
      </c>
      <c r="K295" s="276" t="inlineStr">
        <is>
          <t>не подтверждено</t>
        </is>
      </c>
      <c r="L295" s="276" t="inlineStr">
        <is>
          <t>Подтвердить поставку с КОФ. Подтвердить письменно применимость на газ/пар при Т по ТЗ.</t>
        </is>
      </c>
    </row>
    <row r="296">
      <c r="A296" s="276" t="inlineStr">
        <is>
          <t>1.6/84</t>
        </is>
      </c>
      <c r="B296" s="276" t="inlineStr">
        <is>
          <t>Кран шаровый LD полнопроходной 11с67п КШРФ Ду 150 Ру 16 с КОФ</t>
        </is>
      </c>
      <c r="C296" s="276" t="n">
        <v>1</v>
      </c>
      <c r="D296" s="276" t="inlineStr">
        <is>
          <t>завод (новый запрос КП)</t>
        </is>
      </c>
      <c r="E296" s="276" t="inlineStr">
        <is>
          <t>ООО «ЧелябинскСпецГражданСтрой» / ЛД Прайд (Группа компаний «ЛД», ТМ LD, LD Pride); продажи — ООО «ТД «ЛД»</t>
        </is>
      </c>
      <c r="F296" s="276" t="inlineStr">
        <is>
          <t>+7 (351) 730-47-47 office@chsgs.ru</t>
        </is>
      </c>
      <c r="G296" s="276" t="inlineStr">
        <is>
          <t>LD 11с67п КШРФ Ду150 П/П PN16 с КОФ</t>
        </is>
      </c>
      <c r="H296" s="276" t="inlineStr">
        <is>
          <t>ООО «ЧелябинскСпецГражданСтрой» (ИНН 7451211335)</t>
        </is>
      </c>
      <c r="I296" s="276" t="inlineStr">
        <is>
          <t>10714005</t>
        </is>
      </c>
      <c r="J296" s="276" t="inlineStr">
        <is>
          <t>17.09.2028</t>
        </is>
      </c>
      <c r="K296" s="276" t="inlineStr">
        <is>
          <t>не подтверждено</t>
        </is>
      </c>
      <c r="L296" s="276" t="inlineStr">
        <is>
          <t>Подтвердить поставку с КОФ. Подтвердить письменно применимость на газ/пар при Т по ТЗ.</t>
        </is>
      </c>
    </row>
    <row r="297">
      <c r="A297" s="276" t="inlineStr">
        <is>
          <t>1.6/85</t>
        </is>
      </c>
      <c r="B297" s="276" t="inlineStr">
        <is>
          <t>Кран шаровый LD полнопроходной 11с67п КШРФ Ду 25 Ру 16 с КОФ</t>
        </is>
      </c>
      <c r="C297" s="276" t="n">
        <v>2</v>
      </c>
      <c r="D297" s="276" t="inlineStr">
        <is>
          <t>завод (новый запрос КП)</t>
        </is>
      </c>
      <c r="E297" s="276" t="inlineStr">
        <is>
          <t>ООО «ЧелябинскСпецГражданСтрой» / ЛД Прайд (Группа компаний «ЛД», ТМ LD, LD Pride); продажи — ООО «ТД «ЛД»</t>
        </is>
      </c>
      <c r="F297" s="276" t="inlineStr">
        <is>
          <t>+7 (351) 730-47-47 office@chsgs.ru</t>
        </is>
      </c>
      <c r="G297" s="276" t="inlineStr">
        <is>
          <t>LD 11с67п КШРФ Ду25 П/П PN16 с КОФ</t>
        </is>
      </c>
      <c r="H297" s="276" t="inlineStr">
        <is>
          <t>ООО «ЧелябинскСпецГражданСтрой» (ИНН 7451211335)</t>
        </is>
      </c>
      <c r="I297" s="276" t="inlineStr">
        <is>
          <t>10714005</t>
        </is>
      </c>
      <c r="J297" s="276" t="inlineStr">
        <is>
          <t>17.09.2028</t>
        </is>
      </c>
      <c r="K297" s="276" t="inlineStr">
        <is>
          <t>не подтверждено</t>
        </is>
      </c>
      <c r="L297" s="276" t="inlineStr">
        <is>
          <t>Подтвердить поставку с КОФ. Подтвердить письменно применимость на газ/пар при Т по ТЗ.</t>
        </is>
      </c>
    </row>
    <row r="298">
      <c r="A298" s="276" t="inlineStr">
        <is>
          <t>1.6/86</t>
        </is>
      </c>
      <c r="B298" s="276" t="inlineStr">
        <is>
          <t>Кран шаровый LD полнопроходной 11с67п КШРФ Ду 40 Ру 16 с КОФ</t>
        </is>
      </c>
      <c r="C298" s="276" t="n">
        <v>6</v>
      </c>
      <c r="D298" s="276" t="inlineStr">
        <is>
          <t>завод (новый запрос КП)</t>
        </is>
      </c>
      <c r="E298" s="276" t="inlineStr">
        <is>
          <t>ООО «ЧелябинскСпецГражданСтрой» / ЛД Прайд (Группа компаний «ЛД», ТМ LD, LD Pride); продажи — ООО «ТД «ЛД»</t>
        </is>
      </c>
      <c r="F298" s="276" t="inlineStr">
        <is>
          <t>+7 (351) 730-47-47 office@chsgs.ru</t>
        </is>
      </c>
      <c r="G298" s="276" t="inlineStr">
        <is>
          <t>LD 11с67п КШРФ Ду40 П/П PN16 с КОФ</t>
        </is>
      </c>
      <c r="H298" s="276" t="inlineStr">
        <is>
          <t>ООО «ЧелябинскСпецГражданСтрой» (ИНН 7451211335)</t>
        </is>
      </c>
      <c r="I298" s="276" t="inlineStr">
        <is>
          <t>10714005</t>
        </is>
      </c>
      <c r="J298" s="276" t="inlineStr">
        <is>
          <t>17.09.2028</t>
        </is>
      </c>
      <c r="K298" s="276" t="inlineStr">
        <is>
          <t>не подтверждено</t>
        </is>
      </c>
      <c r="L298" s="276" t="inlineStr">
        <is>
          <t>Подтвердить поставку с КОФ. Подтвердить письменно применимость на газ/пар при Т по ТЗ.</t>
        </is>
      </c>
    </row>
    <row r="299">
      <c r="A299" s="276" t="inlineStr">
        <is>
          <t>1.6/87</t>
        </is>
      </c>
      <c r="B299" s="276" t="inlineStr">
        <is>
          <t>Кран шаровый LD полнопроходной 11с67п КШРФ Ду 50 Ру 16 с КОФ</t>
        </is>
      </c>
      <c r="C299" s="276" t="n">
        <v>5</v>
      </c>
      <c r="D299" s="276" t="inlineStr">
        <is>
          <t>завод (новый запрос КП)</t>
        </is>
      </c>
      <c r="E299" s="276" t="inlineStr">
        <is>
          <t>ООО «ЧелябинскСпецГражданСтрой» / ЛД Прайд (Группа компаний «ЛД», ТМ LD, LD Pride); продажи — ООО «ТД «ЛД»</t>
        </is>
      </c>
      <c r="F299" s="276" t="inlineStr">
        <is>
          <t>+7 (351) 730-47-47 office@chsgs.ru</t>
        </is>
      </c>
      <c r="G299" s="276" t="inlineStr">
        <is>
          <t>LD 11с67п КШРФ Ду50 П/П PN16 с КОФ</t>
        </is>
      </c>
      <c r="H299" s="276" t="inlineStr">
        <is>
          <t>ООО «ЧелябинскСпецГражданСтрой» (ИНН 7451211335)</t>
        </is>
      </c>
      <c r="I299" s="276" t="inlineStr">
        <is>
          <t>10714005</t>
        </is>
      </c>
      <c r="J299" s="276" t="inlineStr">
        <is>
          <t>17.09.2028</t>
        </is>
      </c>
      <c r="K299" s="276" t="inlineStr">
        <is>
          <t>не подтверждено</t>
        </is>
      </c>
      <c r="L299" s="276" t="inlineStr">
        <is>
          <t>Подтвердить поставку с КОФ. Подтвердить письменно применимость на газ/пар при Т по ТЗ.</t>
        </is>
      </c>
    </row>
    <row r="300">
      <c r="A300" s="276" t="inlineStr">
        <is>
          <t>1.6/88</t>
        </is>
      </c>
      <c r="B300" s="276" t="inlineStr">
        <is>
          <t>Кран шаровый LD полнопроходной 11с67п КШРФ Ду 80 Ру 16 с КОФ</t>
        </is>
      </c>
      <c r="C300" s="276" t="n">
        <v>6</v>
      </c>
      <c r="D300" s="276" t="inlineStr">
        <is>
          <t>завод (новый запрос КП)</t>
        </is>
      </c>
      <c r="E300" s="276" t="inlineStr">
        <is>
          <t>ООО «ЧелябинскСпецГражданСтрой» / ЛД Прайд (Группа компаний «ЛД», ТМ LD, LD Pride); продажи — ООО «ТД «ЛД»</t>
        </is>
      </c>
      <c r="F300" s="276" t="inlineStr">
        <is>
          <t>+7 (351) 730-47-47 office@chsgs.ru</t>
        </is>
      </c>
      <c r="G300" s="276" t="inlineStr">
        <is>
          <t>LD 11с67п КШРФ Ду80 П/П PN16 с КОФ</t>
        </is>
      </c>
      <c r="H300" s="276" t="inlineStr">
        <is>
          <t>ООО «ЧелябинскСпецГражданСтрой» (ИНН 7451211335)</t>
        </is>
      </c>
      <c r="I300" s="276" t="inlineStr">
        <is>
          <t>10714005</t>
        </is>
      </c>
      <c r="J300" s="276" t="inlineStr">
        <is>
          <t>17.09.2028</t>
        </is>
      </c>
      <c r="K300" s="276" t="inlineStr">
        <is>
          <t>не подтверждено</t>
        </is>
      </c>
      <c r="L300" s="276" t="inlineStr">
        <is>
          <t>Подтвердить поставку с КОФ. Подтвердить письменно применимость на газ/пар при Т по ТЗ.</t>
        </is>
      </c>
    </row>
    <row r="301">
      <c r="A301" s="276" t="inlineStr">
        <is>
          <t>1.6/89</t>
        </is>
      </c>
      <c r="B301" s="276" t="inlineStr">
        <is>
          <t>Затвор дисковый поворотный(ГРЭНВЭЛ) ЗП ТЛ Ду 100, Ру 16</t>
        </is>
      </c>
      <c r="C301" s="276" t="n">
        <v>2</v>
      </c>
      <c r="D301" s="276" t="inlineStr">
        <is>
          <t>текущий поставщик</t>
        </is>
      </c>
      <c r="E301" s="276" t="inlineStr">
        <is>
          <t>ТД АДЛ (Гранвэл)</t>
        </is>
      </c>
      <c r="F301" s="276" t="inlineStr">
        <is>
          <t>+7 (495) 937-89-68 info@adl.ru</t>
        </is>
      </c>
      <c r="G301" s="276" t="inlineStr">
        <is>
          <t>ГРАНВЭЛ ЗПТЛ FLN(w)-5-100-MR-HT Ду100 — Россия, ЗПВС в реестре МПТ</t>
        </is>
      </c>
      <c r="H301" s="276" t="inlineStr">
        <is>
          <t>ООО «Торговый Дом АДЛ» (Гранвэл)</t>
        </is>
      </c>
      <c r="I301" s="276" t="inlineStr">
        <is>
          <t>10357202</t>
        </is>
      </c>
      <c r="J301" s="276" t="inlineStr">
        <is>
          <t>15.03.2031</t>
        </is>
      </c>
      <c r="K301" s="276" t="inlineStr">
        <is>
          <t>соответствует (по КП)</t>
        </is>
      </c>
      <c r="L301" s="276" t="inlineStr"/>
    </row>
    <row r="302">
      <c r="A302" s="276" t="inlineStr">
        <is>
          <t>1.6/90</t>
        </is>
      </c>
      <c r="B302" s="276" t="inlineStr">
        <is>
          <t>Затвор дисковый поворотный(ГРЭНВЭЛ) ЗП ТЛ Ду 80 Ру 16</t>
        </is>
      </c>
      <c r="C302" s="276" t="n">
        <v>1</v>
      </c>
      <c r="D302" s="276" t="inlineStr">
        <is>
          <t>текущий поставщик</t>
        </is>
      </c>
      <c r="E302" s="276" t="inlineStr">
        <is>
          <t>ТД АДЛ (Гранвэл)</t>
        </is>
      </c>
      <c r="F302" s="276" t="inlineStr">
        <is>
          <t>+7 (495) 937-89-68 info@adl.ru</t>
        </is>
      </c>
      <c r="G302" s="276" t="inlineStr">
        <is>
          <t>ГРАНВЭЛ ЗПТЛ FLN(w)-5-080-MR-HT Ду80 — Россия, ЗПВС в реестре МПТ</t>
        </is>
      </c>
      <c r="H302" s="276" t="inlineStr">
        <is>
          <t>ООО «Торговый Дом АДЛ» (Гранвэл)</t>
        </is>
      </c>
      <c r="I302" s="276" t="inlineStr">
        <is>
          <t>10357205</t>
        </is>
      </c>
      <c r="J302" s="276" t="inlineStr">
        <is>
          <t>15.03.2031</t>
        </is>
      </c>
      <c r="K302" s="276" t="inlineStr">
        <is>
          <t>соответствует (по КП)</t>
        </is>
      </c>
      <c r="L302" s="276" t="inlineStr"/>
    </row>
    <row r="303">
      <c r="A303" s="276" t="inlineStr">
        <is>
          <t>1.6/91</t>
        </is>
      </c>
      <c r="B303" s="276" t="inlineStr">
        <is>
          <t>Затвор дисковый поворотный(ГРЭНВЭЛ) Тип /серия FL(w)-3-MR-E Ду 80 Ру 16</t>
        </is>
      </c>
      <c r="C303" s="276" t="n">
        <v>1</v>
      </c>
      <c r="D303" s="276" t="inlineStr">
        <is>
          <t>текущий поставщик</t>
        </is>
      </c>
      <c r="E303" s="276" t="inlineStr">
        <is>
          <t>ТД АДЛ (Гранвэл)</t>
        </is>
      </c>
      <c r="F303" s="276" t="inlineStr">
        <is>
          <t>+7 (495) 937-89-68 info@adl.ru</t>
        </is>
      </c>
      <c r="G303" s="276" t="inlineStr">
        <is>
          <t>ГРАНВЭЛ ЗПВС FL(w)-3-080-MR-E Ду80 — Россия, ЗПВС в реестре МПТ</t>
        </is>
      </c>
      <c r="H303" s="276" t="inlineStr">
        <is>
          <t>ООО «Торговый Дом АДЛ» (Гранвэл)</t>
        </is>
      </c>
      <c r="I303" s="276" t="inlineStr">
        <is>
          <t>10357205</t>
        </is>
      </c>
      <c r="J303" s="276" t="inlineStr">
        <is>
          <t>15.03.2031</t>
        </is>
      </c>
      <c r="K303" s="276" t="inlineStr">
        <is>
          <t>соответствует (по КП)</t>
        </is>
      </c>
      <c r="L303" s="276" t="inlineStr"/>
    </row>
    <row r="304">
      <c r="A304" s="276" t="inlineStr">
        <is>
          <t>1.6/92</t>
        </is>
      </c>
      <c r="B304" s="276" t="inlineStr">
        <is>
          <t>Газовый клапан Dungs LGV 507/5 230 V, 119271</t>
        </is>
      </c>
      <c r="C304" s="276" t="n">
        <v>2</v>
      </c>
      <c r="D304" s="276" t="inlineStr">
        <is>
          <t>завод (новый запрос КП)</t>
        </is>
      </c>
      <c r="E304" s="276" t="inlineStr">
        <is>
          <t>ТЕД Газовые системы (TEDGAS; сервисный центр DUNGS; домен dungs.ru ведёт на tedgas.ru)</t>
        </is>
      </c>
      <c r="F304" s="276" t="inlineStr">
        <is>
          <t>8-800-550-60-80 info@tedgas.ru (отдел продаж: retail@karldungs.ru)</t>
        </is>
      </c>
      <c r="G304" s="276" t="inlineStr">
        <is>
          <t>DUNGS LGV 507/5 230 VAC IP54 арт.119271 (оригинал)</t>
        </is>
      </c>
      <c r="H304" s="276" t="inlineStr">
        <is>
          <t>ТЕД Газовые системы</t>
        </is>
      </c>
      <c r="I304" s="276" t="inlineStr"/>
      <c r="J304" s="276" t="inlineStr"/>
      <c r="K304" s="276" t="inlineStr">
        <is>
          <t>не подтверждено</t>
        </is>
      </c>
      <c r="L304" s="276" t="inlineStr">
        <is>
          <t>Соответствие ТЗ — по артикулу; запросить российский аналог (ПП 1875).</t>
        </is>
      </c>
    </row>
    <row r="305">
      <c r="A305" s="276" t="inlineStr">
        <is>
          <t>1.6/93</t>
        </is>
      </c>
      <c r="B305" s="276" t="inlineStr">
        <is>
          <t>Электропривод Esbe 95 - 12051900</t>
        </is>
      </c>
      <c r="C305" s="276" t="n">
        <v>1</v>
      </c>
      <c r="D305" s="276" t="inlineStr">
        <is>
          <t>завод (новый запрос КП)</t>
        </is>
      </c>
      <c r="E305" s="276" t="inlineStr">
        <is>
          <t>АО «АБС ЗЭиМ Автоматизация»</t>
        </is>
      </c>
      <c r="F305" s="276" t="inlineStr">
        <is>
          <t>+7 (8352) 30-51-48 sales@zeim.ru</t>
        </is>
      </c>
      <c r="G305" s="276" t="inlineStr">
        <is>
          <t>МЭОФ (однооборотный) вместо ESBE 95</t>
        </is>
      </c>
      <c r="H305" s="276" t="inlineStr">
        <is>
          <t>АО «АБС ЗЭиМ Автоматизация»</t>
        </is>
      </c>
      <c r="I305" s="276" t="inlineStr"/>
      <c r="J305" s="276" t="inlineStr"/>
      <c r="K305" s="276" t="inlineStr">
        <is>
          <t>не подтверждено</t>
        </is>
      </c>
      <c r="L305" s="276" t="inlineStr">
        <is>
          <t>Запросить адаптер/кронштейн под клапаны ESBE и минимальный МЭОФ с 30–180°; иначе — привод ESBE (импорт) с обоснованием.</t>
        </is>
      </c>
    </row>
    <row r="306">
      <c r="A306" s="276" t="inlineStr">
        <is>
          <t>1.7/1</t>
        </is>
      </c>
      <c r="B306" s="276" t="inlineStr">
        <is>
          <t>АРТ-85 Ду 50 Ру 16 "после себя"</t>
        </is>
      </c>
      <c r="C306" s="276" t="n">
        <v>1</v>
      </c>
      <c r="D306" s="276" t="inlineStr">
        <is>
          <t>завод (новый запрос КП)</t>
        </is>
      </c>
      <c r="E306" s="276" t="inlineStr">
        <is>
          <t>ООО «Ридан»</t>
        </is>
      </c>
      <c r="F306" s="276" t="inlineStr">
        <is>
          <t>+7 (495) 792-57-57 call@ridan.ru</t>
        </is>
      </c>
      <c r="G306" s="276" t="inlineStr">
        <is>
          <t>АРТ-85 (у Ридан — регуляторы AFD/VFG, параметры не сверены)</t>
        </is>
      </c>
      <c r="H306" s="276" t="inlineStr">
        <is>
          <t>ООО «Ридан»</t>
        </is>
      </c>
      <c r="I306" s="276" t="inlineStr"/>
      <c r="J306" s="276" t="inlineStr"/>
      <c r="K306" s="276" t="inlineStr">
        <is>
          <t>не подтверждено</t>
        </is>
      </c>
      <c r="L306" s="276" t="inlineStr">
        <is>
          <t>Назначение Ридан не подтверждено каталогом — вернуть к ДЕНДОР (1.3/19), БАЗ КОП/ПТЗ 19с76нж (1.3/27); для 1.7/1 запросить у Ридан конкретную модель.</t>
        </is>
      </c>
    </row>
    <row r="307">
      <c r="A307" s="276" t="inlineStr">
        <is>
          <t>1.7/2</t>
        </is>
      </c>
      <c r="B307" s="276" t="inlineStr">
        <is>
          <t>Кран шаровой 11с67п Ду 25 Ру 25 цельносварной под приварку</t>
        </is>
      </c>
      <c r="C307" s="276" t="n">
        <v>12</v>
      </c>
      <c r="D307" s="276" t="inlineStr">
        <is>
          <t>завод (новый запрос КП)</t>
        </is>
      </c>
      <c r="E307" s="276" t="inlineStr">
        <is>
          <t>ООО «ЧелябинскСпецГражданСтрой» / ЛД Прайд (Группа компаний «ЛД», ТМ LD, LD Pride); продажи — ООО «ТД «ЛД»</t>
        </is>
      </c>
      <c r="F307" s="276" t="inlineStr">
        <is>
          <t>+7 (351) 730-47-47 office@chsgs.ru</t>
        </is>
      </c>
      <c r="G307" s="276" t="inlineStr">
        <is>
          <t>LD КШЦП (КШ.Ц.П) ст.20 Ду25 Н/П PN4,0</t>
        </is>
      </c>
      <c r="H307" s="276" t="inlineStr">
        <is>
          <t>ООО «ЧелябинскСпецГражданСтрой» (ИНН 7451211335)</t>
        </is>
      </c>
      <c r="I307" s="276" t="inlineStr">
        <is>
          <t>10655491</t>
        </is>
      </c>
      <c r="J307" s="276" t="inlineStr">
        <is>
          <t>30.06.2028</t>
        </is>
      </c>
      <c r="K307" s="276" t="inlineStr">
        <is>
          <t>не подтверждено</t>
        </is>
      </c>
      <c r="L307" s="276" t="inlineStr">
        <is>
          <t>Подтвердить письменно применимость на газ/пар при Т по ТЗ.</t>
        </is>
      </c>
    </row>
    <row r="308">
      <c r="A308" s="276" t="inlineStr">
        <is>
          <t>1.7/3</t>
        </is>
      </c>
      <c r="B308" s="276" t="inlineStr">
        <is>
          <t>Кран шаровой 11с67п Ду 32 Ру 25 цельносварной под приварку</t>
        </is>
      </c>
      <c r="C308" s="276" t="n">
        <v>12</v>
      </c>
      <c r="D308" s="276" t="inlineStr">
        <is>
          <t>завод (новый запрос КП)</t>
        </is>
      </c>
      <c r="E308" s="276" t="inlineStr">
        <is>
          <t>ООО «ЧелябинскСпецГражданСтрой» / ЛД Прайд (Группа компаний «ЛД», ТМ LD, LD Pride); продажи — ООО «ТД «ЛД»</t>
        </is>
      </c>
      <c r="F308" s="276" t="inlineStr">
        <is>
          <t>+7 (351) 730-47-47 office@chsgs.ru</t>
        </is>
      </c>
      <c r="G308" s="276" t="inlineStr">
        <is>
          <t>LD КШЦП (КШ.Ц.П) ст.20 Ду32 Н/П PN4,0</t>
        </is>
      </c>
      <c r="H308" s="276" t="inlineStr">
        <is>
          <t>ООО «ЧелябинскСпецГражданСтрой» (ИНН 7451211335)</t>
        </is>
      </c>
      <c r="I308" s="276" t="inlineStr">
        <is>
          <t>10655491</t>
        </is>
      </c>
      <c r="J308" s="276" t="inlineStr">
        <is>
          <t>30.06.2028</t>
        </is>
      </c>
      <c r="K308" s="276" t="inlineStr">
        <is>
          <t>не подтверждено</t>
        </is>
      </c>
      <c r="L308" s="276" t="inlineStr">
        <is>
          <t>Подтвердить письменно применимость на газ/пар при Т по ТЗ.</t>
        </is>
      </c>
    </row>
    <row r="309">
      <c r="A309" s="276" t="inlineStr">
        <is>
          <t>1.7/4</t>
        </is>
      </c>
      <c r="B309" s="276" t="inlineStr">
        <is>
          <t>Кран шаровой 11с67п Ду 40 Ру 25 цельносварной под приварку</t>
        </is>
      </c>
      <c r="C309" s="276" t="n">
        <v>10</v>
      </c>
      <c r="D309" s="276" t="inlineStr">
        <is>
          <t>завод (новый запрос КП)</t>
        </is>
      </c>
      <c r="E309" s="276" t="inlineStr">
        <is>
          <t>ООО «ЧелябинскСпецГражданСтрой» / ЛД Прайд (Группа компаний «ЛД», ТМ LD, LD Pride); продажи — ООО «ТД «ЛД»</t>
        </is>
      </c>
      <c r="F309" s="276" t="inlineStr">
        <is>
          <t>+7 (351) 730-47-47 office@chsgs.ru</t>
        </is>
      </c>
      <c r="G309" s="276" t="inlineStr">
        <is>
          <t>LD КШЦП (КШ.Ц.П) ст.20 Ду40 Н/П PN4,0</t>
        </is>
      </c>
      <c r="H309" s="276" t="inlineStr">
        <is>
          <t>ООО «ЧелябинскСпецГражданСтрой» (ИНН 7451211335)</t>
        </is>
      </c>
      <c r="I309" s="276" t="inlineStr">
        <is>
          <t>10655491</t>
        </is>
      </c>
      <c r="J309" s="276" t="inlineStr">
        <is>
          <t>30.06.2028</t>
        </is>
      </c>
      <c r="K309" s="276" t="inlineStr">
        <is>
          <t>не подтверждено</t>
        </is>
      </c>
      <c r="L309" s="276" t="inlineStr">
        <is>
          <t>Подтвердить письменно применимость на газ/пар при Т по ТЗ.</t>
        </is>
      </c>
    </row>
    <row r="310">
      <c r="A310" s="276" t="inlineStr">
        <is>
          <t>1.8/1</t>
        </is>
      </c>
      <c r="B310" s="276" t="inlineStr">
        <is>
          <t>Задвижка 30нж41нж Ду 80 Ру 16 1исп. САЗ</t>
        </is>
      </c>
      <c r="C310" s="276" t="n">
        <v>1</v>
      </c>
      <c r="D310" s="276" t="inlineStr">
        <is>
          <t>завод вместо ДН.РУ</t>
        </is>
      </c>
      <c r="E310" s="276" t="inlineStr">
        <is>
          <t>ООО «Пермский трубопроводный завод» (ООО «ПТЗ»)</t>
        </is>
      </c>
      <c r="F310" s="276" t="inlineStr">
        <is>
          <t>+7 (342) 270-07-34 sales@ptza.ru</t>
        </is>
      </c>
      <c r="G310" s="276" t="inlineStr">
        <is>
          <t>30нж41нж Ду80 PN16 (ПТЗ)</t>
        </is>
      </c>
      <c r="H310" s="276" t="inlineStr">
        <is>
          <t>ООО «Пермский трубопроводный завод» (ИНН 5904173655)</t>
        </is>
      </c>
      <c r="I310" s="276" t="inlineStr">
        <is>
          <t>10698940</t>
        </is>
      </c>
      <c r="J310" s="276" t="inlineStr">
        <is>
          <t>17.02.2031</t>
        </is>
      </c>
      <c r="K310" s="276" t="inlineStr">
        <is>
          <t>эквивалент — согласовать</t>
        </is>
      </c>
      <c r="L310" s="276" t="inlineStr">
        <is>
          <t>В ТЗ противоречие: марка 30нж41нж (нерж.), а «материал корпуса — углеродистая сталь». Согласовать нерж. исполнение.</t>
        </is>
      </c>
    </row>
    <row r="311">
      <c r="A311" s="276" t="inlineStr">
        <is>
          <t>1.8/2</t>
        </is>
      </c>
      <c r="B311" s="276" t="inlineStr">
        <is>
          <t>Кран шаровой 10нж45фт 2ЦФ Ду 20 Ру 16</t>
        </is>
      </c>
      <c r="C311" s="276" t="n">
        <v>2</v>
      </c>
      <c r="D311" s="276" t="inlineStr">
        <is>
          <t>завод (новый запрос КП)</t>
        </is>
      </c>
      <c r="E311" s="276" t="inlineStr">
        <is>
          <t>ООО «ЧелябинскСпецГражданСтрой» / ЛД Прайд (Группа компаний «ЛД», ТМ LD, LD Pride); продажи — ООО «ТД «ЛД»</t>
        </is>
      </c>
      <c r="F311" s="276" t="inlineStr">
        <is>
          <t>+7 (351) 730-47-47 office@chsgs.ru</t>
        </is>
      </c>
      <c r="G311" s="276" t="inlineStr">
        <is>
          <t>LD КШЦФ Energy 12Х18Н10Т Ду20 Н/П PN40</t>
        </is>
      </c>
      <c r="H311" s="276" t="inlineStr">
        <is>
          <t>ООО «ЧелябинскСпецГражданСтрой» (ИНН 7451211335)</t>
        </is>
      </c>
      <c r="I311" s="276" t="inlineStr">
        <is>
          <t>10657717</t>
        </is>
      </c>
      <c r="J311" s="276" t="inlineStr">
        <is>
          <t>30.06.2028</t>
        </is>
      </c>
      <c r="K311" s="276" t="inlineStr">
        <is>
          <t>не подтверждено</t>
        </is>
      </c>
      <c r="L311" s="276" t="inlineStr">
        <is>
          <t>Подтвердить Ду20/Ду32 в исполнении 12Х18Н10Т и материалы шара/шпинделя; пар.</t>
        </is>
      </c>
    </row>
    <row r="312">
      <c r="A312" s="276" t="inlineStr">
        <is>
          <t>1.8/3</t>
        </is>
      </c>
      <c r="B312" s="276" t="inlineStr">
        <is>
          <t>Кран шаровой 10нж45фт 2ЦФ Ду 25 Ру 16</t>
        </is>
      </c>
      <c r="C312" s="276" t="n">
        <v>2</v>
      </c>
      <c r="D312" s="276" t="inlineStr">
        <is>
          <t>завод (новый запрос КП)</t>
        </is>
      </c>
      <c r="E312" s="276" t="inlineStr">
        <is>
          <t>ООО «ЧелябинскСпецГражданСтрой» / ЛД Прайд (Группа компаний «ЛД», ТМ LD, LD Pride); продажи — ООО «ТД «ЛД»</t>
        </is>
      </c>
      <c r="F312" s="276" t="inlineStr">
        <is>
          <t>+7 (351) 730-47-47 office@chsgs.ru</t>
        </is>
      </c>
      <c r="G312" s="276" t="inlineStr">
        <is>
          <t>LD КШЦФ Energy 12Х18Н10Т Ду25 Н/П PN40</t>
        </is>
      </c>
      <c r="H312" s="276" t="inlineStr">
        <is>
          <t>ООО «ЧелябинскСпецГражданСтрой» (ИНН 7451211335)</t>
        </is>
      </c>
      <c r="I312" s="276" t="inlineStr">
        <is>
          <t>10657717</t>
        </is>
      </c>
      <c r="J312" s="276" t="inlineStr">
        <is>
          <t>30.06.2028</t>
        </is>
      </c>
      <c r="K312" s="276" t="inlineStr">
        <is>
          <t>не подтверждено</t>
        </is>
      </c>
      <c r="L312" s="276" t="inlineStr">
        <is>
          <t>Подтвердить Ду20/Ду32 в исполнении 12Х18Н10Т и материалы шара/шпинделя; пар.</t>
        </is>
      </c>
    </row>
    <row r="313">
      <c r="A313" s="276" t="inlineStr">
        <is>
          <t>1.8/4</t>
        </is>
      </c>
      <c r="B313" s="276" t="inlineStr">
        <is>
          <t>Кран шаровой 10нж45фт 2ЦФ Ду 32 Ру 16</t>
        </is>
      </c>
      <c r="C313" s="276" t="n">
        <v>2</v>
      </c>
      <c r="D313" s="276" t="inlineStr">
        <is>
          <t>завод (новый запрос КП)</t>
        </is>
      </c>
      <c r="E313" s="276" t="inlineStr">
        <is>
          <t>ООО «ЧелябинскСпецГражданСтрой» / ЛД Прайд (Группа компаний «ЛД», ТМ LD, LD Pride); продажи — ООО «ТД «ЛД»</t>
        </is>
      </c>
      <c r="F313" s="276" t="inlineStr">
        <is>
          <t>+7 (351) 730-47-47 office@chsgs.ru</t>
        </is>
      </c>
      <c r="G313" s="276" t="inlineStr">
        <is>
          <t>LD КШЦФ Energy 12Х18Н10Т Ду32 Н/П PN40</t>
        </is>
      </c>
      <c r="H313" s="276" t="inlineStr">
        <is>
          <t>ООО «ЧелябинскСпецГражданСтрой» (ИНН 7451211335)</t>
        </is>
      </c>
      <c r="I313" s="276" t="inlineStr">
        <is>
          <t>10657717</t>
        </is>
      </c>
      <c r="J313" s="276" t="inlineStr">
        <is>
          <t>30.06.2028</t>
        </is>
      </c>
      <c r="K313" s="276" t="inlineStr">
        <is>
          <t>не подтверждено</t>
        </is>
      </c>
      <c r="L313" s="276" t="inlineStr">
        <is>
          <t>Подтвердить Ду20/Ду32 в исполнении 12Х18Н10Т и материалы шара/шпинделя; пар.</t>
        </is>
      </c>
    </row>
    <row r="314">
      <c r="A314" s="276" t="inlineStr">
        <is>
          <t>1.8/5</t>
        </is>
      </c>
      <c r="B314" s="276" t="inlineStr">
        <is>
          <t>Кран шаровой 11с22п Ду 80 Ру 16</t>
        </is>
      </c>
      <c r="C314" s="276" t="n">
        <v>2</v>
      </c>
      <c r="D314" s="276" t="inlineStr">
        <is>
          <t>завод (новый запрос КП)</t>
        </is>
      </c>
      <c r="E314" s="276" t="inlineStr">
        <is>
          <t>ООО «ЧелябинскСпецГражданСтрой» / ЛД Прайд (Группа компаний «ЛД», ТМ LD, LD Pride); продажи — ООО «ТД «ЛД»</t>
        </is>
      </c>
      <c r="F314" s="276" t="inlineStr">
        <is>
          <t>+7 (351) 730-47-47 office@chsgs.ru</t>
        </is>
      </c>
      <c r="G314" s="276" t="inlineStr">
        <is>
          <t>LD КШЦФ ст.20 Ду80 Н/П PN16(40) (аналог 11с22п)</t>
        </is>
      </c>
      <c r="H314" s="276" t="inlineStr">
        <is>
          <t>ООО «ЧелябинскСпецГражданСтрой» (ИНН 7451211335)</t>
        </is>
      </c>
      <c r="I314" s="276" t="inlineStr">
        <is>
          <t>10655491</t>
        </is>
      </c>
      <c r="J314" s="276" t="inlineStr">
        <is>
          <t>30.06.2028</t>
        </is>
      </c>
      <c r="K314" s="276" t="inlineStr">
        <is>
          <t>не подтверждено</t>
        </is>
      </c>
      <c r="L314" s="276" t="inlineStr">
        <is>
          <t>Подтвердить письменно применимость на газ/пар при Т по ТЗ.</t>
        </is>
      </c>
    </row>
    <row r="315">
      <c r="A315" s="276" t="inlineStr">
        <is>
          <t>1.8/6</t>
        </is>
      </c>
      <c r="B315" s="276" t="inlineStr">
        <is>
          <t>Кран шаровой 11с22п Ду 100 Ру 16</t>
        </is>
      </c>
      <c r="C315" s="276" t="n">
        <v>1</v>
      </c>
      <c r="D315" s="276" t="inlineStr">
        <is>
          <t>завод (новый запрос КП)</t>
        </is>
      </c>
      <c r="E315" s="276" t="inlineStr">
        <is>
          <t>ООО «ЧелябинскСпецГражданСтрой» / ЛД Прайд (Группа компаний «ЛД», ТМ LD, LD Pride); продажи — ООО «ТД «ЛД»</t>
        </is>
      </c>
      <c r="F315" s="276" t="inlineStr">
        <is>
          <t>+7 (351) 730-47-47 office@chsgs.ru</t>
        </is>
      </c>
      <c r="G315" s="276" t="inlineStr">
        <is>
          <t>LD КШЦФ ст.20 Ду100 Н/П PN16(40) (аналог 11с22п)</t>
        </is>
      </c>
      <c r="H315" s="276" t="inlineStr">
        <is>
          <t>ООО «ЧелябинскСпецГражданСтрой» (ИНН 7451211335)</t>
        </is>
      </c>
      <c r="I315" s="276" t="inlineStr">
        <is>
          <t>10655491</t>
        </is>
      </c>
      <c r="J315" s="276" t="inlineStr">
        <is>
          <t>30.06.2028</t>
        </is>
      </c>
      <c r="K315" s="276" t="inlineStr">
        <is>
          <t>не подтверждено</t>
        </is>
      </c>
      <c r="L315" s="276" t="inlineStr">
        <is>
          <t>Подтвердить письменно применимость на газ/пар при Т по ТЗ.</t>
        </is>
      </c>
    </row>
    <row r="316">
      <c r="A316" s="276" t="inlineStr">
        <is>
          <t>1.8/7</t>
        </is>
      </c>
      <c r="B316" s="276" t="inlineStr">
        <is>
          <t>Кран шаровой 11с67п Ду 50 Ру 25 полнопрох. с КОФ (КЗШС41нж)</t>
        </is>
      </c>
      <c r="C316" s="276" t="n">
        <v>4</v>
      </c>
      <c r="D316" s="276" t="inlineStr">
        <is>
          <t>завод (новый запрос КП)</t>
        </is>
      </c>
      <c r="E316" s="276" t="inlineStr">
        <is>
          <t>ООО «ЧелябинскСпецГражданСтрой» / ЛД Прайд (Группа компаний «ЛД», ТМ LD, LD Pride); продажи — ООО «ТД «ЛД»</t>
        </is>
      </c>
      <c r="F316" s="276" t="inlineStr">
        <is>
          <t>+7 (351) 730-47-47 office@chsgs.ru</t>
        </is>
      </c>
      <c r="G316" s="276" t="inlineStr">
        <is>
          <t>LD КШЦФ ст.20 Ду20 П/П PN4,0 с КОФ</t>
        </is>
      </c>
      <c r="H316" s="276" t="inlineStr">
        <is>
          <t>ООО «ЧелябинскСпецГражданСтрой» (ИНН 7451211335)</t>
        </is>
      </c>
      <c r="I316" s="276" t="inlineStr">
        <is>
          <t>10655491</t>
        </is>
      </c>
      <c r="J316" s="276" t="inlineStr">
        <is>
          <t>30.06.2028</t>
        </is>
      </c>
      <c r="K316" s="276" t="inlineStr">
        <is>
          <t>не подтверждено</t>
        </is>
      </c>
      <c r="L316" s="276" t="inlineStr">
        <is>
          <t>Подтвердить поставку с КОФ. Уточнить у Заказчика Ду (50 или 20). Подтвердить письменно применимость на газ/пар при Т по ТЗ.</t>
        </is>
      </c>
    </row>
  </sheetData>
  <autoFilter ref="A1:L3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style="169" min="1" max="1"/>
    <col width="44" customWidth="1" style="169" min="2" max="2"/>
    <col width="5" customWidth="1" style="169" min="3" max="3"/>
    <col width="7" customWidth="1" style="169" min="4" max="4"/>
    <col width="34" customWidth="1" style="169" min="5" max="5"/>
    <col width="12" customWidth="1" style="169" min="6" max="6"/>
    <col width="18" customWidth="1" style="169" min="7" max="7"/>
    <col width="16" customWidth="1" style="169" min="8" max="8"/>
    <col width="14" customWidth="1" style="169" min="9" max="9"/>
  </cols>
  <sheetData>
    <row r="1">
      <c r="A1" s="275" t="inlineStr">
        <is>
          <t>Табл./№</t>
        </is>
      </c>
      <c r="B1" s="275" t="inlineStr">
        <is>
          <t>Наименование</t>
        </is>
      </c>
      <c r="C1" s="275" t="inlineStr">
        <is>
          <t>Ед.</t>
        </is>
      </c>
      <c r="D1" s="275" t="inlineStr">
        <is>
          <t>Кол-во</t>
        </is>
      </c>
      <c r="E1" s="275" t="inlineStr">
        <is>
          <t>Производитель</t>
        </is>
      </c>
      <c r="F1" s="275" t="inlineStr">
        <is>
          <t>Страна происхождения</t>
        </is>
      </c>
      <c r="G1" s="275" t="inlineStr">
        <is>
          <t>№ реестровой записи ПП 719 / ЕАЭС</t>
        </is>
      </c>
      <c r="H1" s="275" t="inlineStr">
        <is>
          <t>Цена за ед. без НДС, ₽ (заполнить)</t>
        </is>
      </c>
      <c r="I1" s="275" t="inlineStr">
        <is>
          <t>Сумма, ₽</t>
        </is>
      </c>
    </row>
    <row r="2">
      <c r="A2" s="276" t="inlineStr">
        <is>
          <t>1.1/1</t>
        </is>
      </c>
      <c r="B2" s="276" t="inlineStr">
        <is>
          <t>Клапан предохранительный 17лс17нж Ду 200-300  Ру 16-6 полноподъемный пружинный фланцевый</t>
        </is>
      </c>
      <c r="C2" s="276" t="inlineStr">
        <is>
          <t>шт</t>
        </is>
      </c>
      <c r="D2" s="276" t="n">
        <v>1</v>
      </c>
      <c r="E2" s="276" t="inlineStr">
        <is>
          <t>АО «Благовещенский арматурный завод» (ИНН 0258001489)</t>
        </is>
      </c>
      <c r="F2" s="276" t="inlineStr">
        <is>
          <t>Россия</t>
        </is>
      </c>
      <c r="G2" s="276" t="inlineStr">
        <is>
          <t>10329690</t>
        </is>
      </c>
      <c r="H2" s="277" t="n"/>
      <c r="I2" s="276">
        <f>D2*H2</f>
        <v/>
      </c>
    </row>
    <row r="3">
      <c r="A3" s="276" t="inlineStr">
        <is>
          <t>1.1/2</t>
        </is>
      </c>
      <c r="B3" s="276" t="inlineStr">
        <is>
          <t>Клапан запорный 15нж65нж Ду 200 Ру 16</t>
        </is>
      </c>
      <c r="C3" s="276" t="inlineStr">
        <is>
          <t>шт</t>
        </is>
      </c>
      <c r="D3" s="276" t="n">
        <v>4</v>
      </c>
      <c r="E3" s="276" t="inlineStr">
        <is>
          <t>ООО «Восточная арматурная компания»</t>
        </is>
      </c>
      <c r="F3" s="276" t="inlineStr">
        <is>
          <t>Россия</t>
        </is>
      </c>
      <c r="G3" s="276" t="inlineStr">
        <is>
          <t>10811565</t>
        </is>
      </c>
      <c r="H3" s="277" t="n"/>
      <c r="I3" s="276">
        <f>D3*H3</f>
        <v/>
      </c>
    </row>
    <row r="4">
      <c r="A4" s="276" t="inlineStr">
        <is>
          <t>1.1/3</t>
        </is>
      </c>
      <c r="B4" s="276" t="inlineStr">
        <is>
          <t>Клапан запорный15нж65нж Ду 50 Ру 16</t>
        </is>
      </c>
      <c r="C4" s="276" t="inlineStr">
        <is>
          <t>шт</t>
        </is>
      </c>
      <c r="D4" s="276" t="n">
        <v>3</v>
      </c>
      <c r="E4" s="276" t="inlineStr">
        <is>
          <t>ООО «Восточная арматурная компания»</t>
        </is>
      </c>
      <c r="F4" s="276" t="inlineStr">
        <is>
          <t>Россия</t>
        </is>
      </c>
      <c r="G4" s="276" t="inlineStr">
        <is>
          <t>10811565</t>
        </is>
      </c>
      <c r="H4" s="277" t="n"/>
      <c r="I4" s="276">
        <f>D4*H4</f>
        <v/>
      </c>
    </row>
    <row r="5">
      <c r="A5" s="276" t="inlineStr">
        <is>
          <t>1.1/4</t>
        </is>
      </c>
      <c r="B5" s="276" t="inlineStr">
        <is>
          <t>Клапан запорный15с52нж11 Ду 32 Ру 63 под приварку</t>
        </is>
      </c>
      <c r="C5" s="276" t="inlineStr">
        <is>
          <t>шт</t>
        </is>
      </c>
      <c r="D5" s="276" t="n">
        <v>12</v>
      </c>
      <c r="E5" s="276" t="inlineStr">
        <is>
          <t>ООО «Восточная арматурная компания»</t>
        </is>
      </c>
      <c r="F5" s="276" t="inlineStr">
        <is>
          <t>Россия</t>
        </is>
      </c>
      <c r="G5" s="276" t="inlineStr">
        <is>
          <t>10811565</t>
        </is>
      </c>
      <c r="H5" s="277" t="n"/>
      <c r="I5" s="276">
        <f>D5*H5</f>
        <v/>
      </c>
    </row>
    <row r="6">
      <c r="A6" s="276" t="inlineStr">
        <is>
          <t>1.1/5</t>
        </is>
      </c>
      <c r="B6" s="276" t="inlineStr">
        <is>
          <t>Задвижка 30нж41нж Ду 150 Ру 16 1исп. САЗ</t>
        </is>
      </c>
      <c r="C6" s="276" t="inlineStr">
        <is>
          <t>шт</t>
        </is>
      </c>
      <c r="D6" s="276" t="n">
        <v>1</v>
      </c>
      <c r="E6" s="276" t="inlineStr">
        <is>
          <t>ООО «Пермский трубопроводный завод» (ИНН 5904173655)</t>
        </is>
      </c>
      <c r="F6" s="276" t="inlineStr">
        <is>
          <t>Россия</t>
        </is>
      </c>
      <c r="G6" s="276" t="inlineStr">
        <is>
          <t>10698940</t>
        </is>
      </c>
      <c r="H6" s="277" t="n"/>
      <c r="I6" s="276">
        <f>D6*H6</f>
        <v/>
      </c>
    </row>
    <row r="7">
      <c r="A7" s="276" t="inlineStr">
        <is>
          <t>1.1/6</t>
        </is>
      </c>
      <c r="B7" s="276" t="inlineStr">
        <is>
          <t>Задвижка 30нж947нж Ду 1000 Ру 4</t>
        </is>
      </c>
      <c r="C7" s="276" t="inlineStr">
        <is>
          <t>шт</t>
        </is>
      </c>
      <c r="D7" s="276" t="n">
        <v>1</v>
      </c>
      <c r="E7" s="276" t="inlineStr">
        <is>
          <t>ООО «Челябинский завод трубопроводной арматуры»</t>
        </is>
      </c>
      <c r="F7" s="277" t="inlineStr"/>
      <c r="G7" s="277" t="inlineStr"/>
      <c r="H7" s="277" t="n"/>
      <c r="I7" s="276">
        <f>D7*H7</f>
        <v/>
      </c>
    </row>
    <row r="8">
      <c r="A8" s="276" t="inlineStr">
        <is>
          <t>1.1/7</t>
        </is>
      </c>
      <c r="B8" s="276" t="inlineStr">
        <is>
          <t>Задвижка 30с41нж Ду 50 Ру 16</t>
        </is>
      </c>
      <c r="C8" s="276" t="inlineStr">
        <is>
          <t>шт</t>
        </is>
      </c>
      <c r="D8" s="276" t="n">
        <v>10</v>
      </c>
      <c r="E8" s="276" t="inlineStr">
        <is>
          <t>ООО «Пермский трубопроводный завод» (ИНН 5904173655)</t>
        </is>
      </c>
      <c r="F8" s="276" t="inlineStr">
        <is>
          <t>Россия</t>
        </is>
      </c>
      <c r="G8" s="276" t="inlineStr">
        <is>
          <t>10698940</t>
        </is>
      </c>
      <c r="H8" s="277" t="n"/>
      <c r="I8" s="276">
        <f>D8*H8</f>
        <v/>
      </c>
    </row>
    <row r="9">
      <c r="A9" s="276" t="inlineStr">
        <is>
          <t>1.1/8</t>
        </is>
      </c>
      <c r="B9" s="276" t="inlineStr">
        <is>
          <t>Задвижка 30с41нж Ду 100 Ру 16</t>
        </is>
      </c>
      <c r="C9" s="276" t="inlineStr">
        <is>
          <t>шт</t>
        </is>
      </c>
      <c r="D9" s="276" t="n">
        <v>7</v>
      </c>
      <c r="E9" s="276" t="inlineStr">
        <is>
          <t>ООО «Пермский трубопроводный завод» (ИНН 5904173655)</t>
        </is>
      </c>
      <c r="F9" s="276" t="inlineStr">
        <is>
          <t>Россия</t>
        </is>
      </c>
      <c r="G9" s="276" t="inlineStr">
        <is>
          <t>10698940</t>
        </is>
      </c>
      <c r="H9" s="277" t="n"/>
      <c r="I9" s="276">
        <f>D9*H9</f>
        <v/>
      </c>
    </row>
    <row r="10">
      <c r="A10" s="276" t="inlineStr">
        <is>
          <t>1.1/9</t>
        </is>
      </c>
      <c r="B10" s="276" t="inlineStr">
        <is>
          <t>Задвижка 30с41нж Ду 150 Ру 16</t>
        </is>
      </c>
      <c r="C10" s="276" t="inlineStr">
        <is>
          <t>шт</t>
        </is>
      </c>
      <c r="D10" s="276" t="n">
        <v>10</v>
      </c>
      <c r="E10" s="276" t="inlineStr">
        <is>
          <t>ООО «Пермский трубопроводный завод» (ИНН 5904173655)</t>
        </is>
      </c>
      <c r="F10" s="276" t="inlineStr">
        <is>
          <t>Россия</t>
        </is>
      </c>
      <c r="G10" s="276" t="inlineStr">
        <is>
          <t>10698940</t>
        </is>
      </c>
      <c r="H10" s="277" t="n"/>
      <c r="I10" s="276">
        <f>D10*H10</f>
        <v/>
      </c>
    </row>
    <row r="11">
      <c r="A11" s="276" t="inlineStr">
        <is>
          <t>1.1/10</t>
        </is>
      </c>
      <c r="B11" s="276" t="inlineStr">
        <is>
          <t>Задвижка клиновая фланцевая 30с41нж Ду 300 Ру 16 с КОФ</t>
        </is>
      </c>
      <c r="C11" s="276" t="inlineStr">
        <is>
          <t>шт</t>
        </is>
      </c>
      <c r="D11" s="276" t="n">
        <v>2</v>
      </c>
      <c r="E11" s="276" t="inlineStr">
        <is>
          <t>ООО «Пермский трубопроводный завод» (ИНН 5904173655)</t>
        </is>
      </c>
      <c r="F11" s="276" t="inlineStr">
        <is>
          <t>Россия</t>
        </is>
      </c>
      <c r="G11" s="276" t="inlineStr">
        <is>
          <t>10698940</t>
        </is>
      </c>
      <c r="H11" s="277" t="n"/>
      <c r="I11" s="276">
        <f>D11*H11</f>
        <v/>
      </c>
    </row>
    <row r="12">
      <c r="A12" s="276" t="inlineStr">
        <is>
          <t>1.1/11</t>
        </is>
      </c>
      <c r="B12" s="276" t="inlineStr">
        <is>
          <t>Задвижка 30С576НЖ Ду 300 Ру 63 с редуктором РК-Г-1М, в комплекте с крепежом и ответными фланцами.</t>
        </is>
      </c>
      <c r="C12" s="276" t="inlineStr">
        <is>
          <t>шт</t>
        </is>
      </c>
      <c r="D12" s="276" t="n">
        <v>2</v>
      </c>
      <c r="E12" s="276" t="inlineStr">
        <is>
          <t>АО «Благовещенский арматурный завод»</t>
        </is>
      </c>
      <c r="F12" s="276" t="inlineStr">
        <is>
          <t>Россия</t>
        </is>
      </c>
      <c r="G12" s="276" t="inlineStr">
        <is>
          <t>10306806</t>
        </is>
      </c>
      <c r="H12" s="277" t="n"/>
      <c r="I12" s="276">
        <f>D12*H12</f>
        <v/>
      </c>
    </row>
    <row r="13">
      <c r="A13" s="276" t="inlineStr">
        <is>
          <t>1.1/12</t>
        </is>
      </c>
      <c r="B13" s="276" t="inlineStr">
        <is>
          <t>Задвижка клиновая фланцевая 30с941нж Ду 500 Ру 16 с КОФ под электропривод Bernard ST-30</t>
        </is>
      </c>
      <c r="C13" s="276" t="inlineStr">
        <is>
          <t>шт</t>
        </is>
      </c>
      <c r="D13" s="276" t="n">
        <v>1</v>
      </c>
      <c r="E13" s="276" t="inlineStr">
        <is>
          <t>ООО «Пермский трубопроводный завод» (ИНН 5904173655)</t>
        </is>
      </c>
      <c r="F13" s="276" t="inlineStr">
        <is>
          <t>Россия</t>
        </is>
      </c>
      <c r="G13" s="276" t="inlineStr">
        <is>
          <t>10698940</t>
        </is>
      </c>
      <c r="H13" s="277" t="n"/>
      <c r="I13" s="276">
        <f>D13*H13</f>
        <v/>
      </c>
    </row>
    <row r="14">
      <c r="A14" s="276" t="inlineStr">
        <is>
          <t>1.1/13</t>
        </is>
      </c>
      <c r="B14" s="276" t="inlineStr">
        <is>
          <t>Задвижка 30с964нж Ду 300 Ру 25</t>
        </is>
      </c>
      <c r="C14" s="276" t="inlineStr">
        <is>
          <t>шт</t>
        </is>
      </c>
      <c r="D14" s="276" t="n">
        <v>1</v>
      </c>
      <c r="E14" s="276" t="inlineStr">
        <is>
          <t>ООО «Пермский трубопроводный завод» (ИНН 5904173655)</t>
        </is>
      </c>
      <c r="F14" s="276" t="inlineStr">
        <is>
          <t>Россия</t>
        </is>
      </c>
      <c r="G14" s="276" t="inlineStr">
        <is>
          <t>10698940</t>
        </is>
      </c>
      <c r="H14" s="277" t="n"/>
      <c r="I14" s="276">
        <f>D14*H14</f>
        <v/>
      </c>
    </row>
    <row r="15">
      <c r="A15" s="276" t="inlineStr">
        <is>
          <t>1.1/14</t>
        </is>
      </c>
      <c r="B15" s="276" t="inlineStr">
        <is>
          <t>Кран шаровой 11б27п1 Ду 15 Ру 16</t>
        </is>
      </c>
      <c r="C15" s="276" t="inlineStr">
        <is>
          <t>шт</t>
        </is>
      </c>
      <c r="D15" s="276" t="n">
        <v>35</v>
      </c>
      <c r="E15" s="276" t="inlineStr">
        <is>
          <t>ООО «ЛД Прайд» (ИНН 7449114775)</t>
        </is>
      </c>
      <c r="F15" s="276" t="inlineStr">
        <is>
          <t>Россия</t>
        </is>
      </c>
      <c r="G15" s="276" t="inlineStr">
        <is>
          <t>10826766</t>
        </is>
      </c>
      <c r="H15" s="277" t="n"/>
      <c r="I15" s="276">
        <f>D15*H15</f>
        <v/>
      </c>
    </row>
    <row r="16">
      <c r="A16" s="276" t="inlineStr">
        <is>
          <t>1.1/15</t>
        </is>
      </c>
      <c r="B16" s="276" t="inlineStr">
        <is>
          <t>Кран шаровой 11б27п1 Ду 20 Ру 16</t>
        </is>
      </c>
      <c r="C16" s="276" t="inlineStr">
        <is>
          <t>шт</t>
        </is>
      </c>
      <c r="D16" s="276" t="n">
        <v>35</v>
      </c>
      <c r="E16" s="276" t="inlineStr">
        <is>
          <t>ООО «ЛД Прайд» (ИНН 7449114775)</t>
        </is>
      </c>
      <c r="F16" s="276" t="inlineStr">
        <is>
          <t>Россия</t>
        </is>
      </c>
      <c r="G16" s="276" t="inlineStr">
        <is>
          <t>10826766</t>
        </is>
      </c>
      <c r="H16" s="277" t="n"/>
      <c r="I16" s="276">
        <f>D16*H16</f>
        <v/>
      </c>
    </row>
    <row r="17">
      <c r="A17" s="276" t="inlineStr">
        <is>
          <t>1.1/16</t>
        </is>
      </c>
      <c r="B17" s="276" t="inlineStr">
        <is>
          <t>Кран шаровой 11б27п1 Ду 25 Ру 16</t>
        </is>
      </c>
      <c r="C17" s="276" t="inlineStr">
        <is>
          <t>шт</t>
        </is>
      </c>
      <c r="D17" s="276" t="n">
        <v>20</v>
      </c>
      <c r="E17" s="276" t="inlineStr">
        <is>
          <t>ООО «ЛД Прайд» (ИНН 7449114775)</t>
        </is>
      </c>
      <c r="F17" s="276" t="inlineStr">
        <is>
          <t>Россия</t>
        </is>
      </c>
      <c r="G17" s="276" t="inlineStr">
        <is>
          <t>10826766</t>
        </is>
      </c>
      <c r="H17" s="277" t="n"/>
      <c r="I17" s="276">
        <f>D17*H17</f>
        <v/>
      </c>
    </row>
    <row r="18">
      <c r="A18" s="276" t="inlineStr">
        <is>
          <t>1.1/17</t>
        </is>
      </c>
      <c r="B18" s="276" t="inlineStr">
        <is>
          <t>Кран шаровой 11б27п1 Ду 32 Ру 16</t>
        </is>
      </c>
      <c r="C18" s="276" t="inlineStr">
        <is>
          <t>шт</t>
        </is>
      </c>
      <c r="D18" s="276" t="n">
        <v>25</v>
      </c>
      <c r="E18" s="276" t="inlineStr">
        <is>
          <t>ООО «ЛД Прайд» (ИНН 7449114775)</t>
        </is>
      </c>
      <c r="F18" s="276" t="inlineStr">
        <is>
          <t>Россия</t>
        </is>
      </c>
      <c r="G18" s="276" t="inlineStr">
        <is>
          <t>10826766</t>
        </is>
      </c>
      <c r="H18" s="277" t="n"/>
      <c r="I18" s="276">
        <f>D18*H18</f>
        <v/>
      </c>
    </row>
    <row r="19">
      <c r="A19" s="276" t="inlineStr">
        <is>
          <t>1.1/18</t>
        </is>
      </c>
      <c r="B19" s="276" t="inlineStr">
        <is>
          <t>Кран шаровой 11б27п1 Ду 40 Ру 16</t>
        </is>
      </c>
      <c r="C19" s="276" t="inlineStr">
        <is>
          <t>шт</t>
        </is>
      </c>
      <c r="D19" s="276" t="n">
        <v>8</v>
      </c>
      <c r="E19" s="276" t="inlineStr">
        <is>
          <t>ООО «ЛД Прайд» (ИНН 7449114775)</t>
        </is>
      </c>
      <c r="F19" s="276" t="inlineStr">
        <is>
          <t>Россия</t>
        </is>
      </c>
      <c r="G19" s="276" t="inlineStr">
        <is>
          <t>10826766</t>
        </is>
      </c>
      <c r="H19" s="277" t="n"/>
      <c r="I19" s="276">
        <f>D19*H19</f>
        <v/>
      </c>
    </row>
    <row r="20">
      <c r="A20" s="276" t="inlineStr">
        <is>
          <t>1.1/19</t>
        </is>
      </c>
      <c r="B20" s="276" t="inlineStr">
        <is>
          <t>Кран шаровой 11б27п1 Ду 50 Ру 16</t>
        </is>
      </c>
      <c r="C20" s="276" t="inlineStr">
        <is>
          <t>шт</t>
        </is>
      </c>
      <c r="D20" s="276" t="n">
        <v>8</v>
      </c>
      <c r="E20" s="276" t="inlineStr">
        <is>
          <t>ООО «ЛД Прайд» (ИНН 7449114775)</t>
        </is>
      </c>
      <c r="F20" s="276" t="inlineStr">
        <is>
          <t>Россия</t>
        </is>
      </c>
      <c r="G20" s="276" t="inlineStr">
        <is>
          <t>10826766</t>
        </is>
      </c>
      <c r="H20" s="277" t="n"/>
      <c r="I20" s="276">
        <f>D20*H20</f>
        <v/>
      </c>
    </row>
    <row r="21">
      <c r="A21" s="276" t="inlineStr">
        <is>
          <t>1.1/20</t>
        </is>
      </c>
      <c r="B21" s="276" t="inlineStr">
        <is>
          <t>Кран шаровой 11с67п Ду 150 Ру 25 цельносварной под приварку</t>
        </is>
      </c>
      <c r="C21" s="276" t="inlineStr">
        <is>
          <t>шт</t>
        </is>
      </c>
      <c r="D21" s="276" t="n">
        <v>2</v>
      </c>
      <c r="E21" s="276" t="inlineStr">
        <is>
          <t>ООО «ЧелябинскСпецГражданСтрой» (ИНН 7451211335)</t>
        </is>
      </c>
      <c r="F21" s="276" t="inlineStr">
        <is>
          <t>Россия</t>
        </is>
      </c>
      <c r="G21" s="276" t="inlineStr">
        <is>
          <t>10655491</t>
        </is>
      </c>
      <c r="H21" s="277" t="n"/>
      <c r="I21" s="276">
        <f>D21*H21</f>
        <v/>
      </c>
    </row>
    <row r="22">
      <c r="A22" s="276" t="inlineStr">
        <is>
          <t>1.1/21</t>
        </is>
      </c>
      <c r="B22" s="276" t="inlineStr">
        <is>
          <t>Кран шаровой 11с67п Ду 200 Ру 16 ЦУФ.001 КШ укороченный полнопроходной фланцевый с рукояткой</t>
        </is>
      </c>
      <c r="C22" s="276" t="inlineStr">
        <is>
          <t>шт</t>
        </is>
      </c>
      <c r="D22" s="276" t="n">
        <v>2</v>
      </c>
      <c r="E22" s="277" t="inlineStr"/>
      <c r="F22" s="277" t="inlineStr"/>
      <c r="G22" s="277" t="inlineStr"/>
      <c r="H22" s="277" t="n"/>
      <c r="I22" s="276">
        <f>D22*H22</f>
        <v/>
      </c>
    </row>
    <row r="23">
      <c r="A23" s="276" t="inlineStr">
        <is>
          <t>1.1/22</t>
        </is>
      </c>
      <c r="B23" s="276" t="inlineStr">
        <is>
          <t>Затвор дисковый поворотный межфланцевый Stensel 31070-01 Ду 200 Ру 25</t>
        </is>
      </c>
      <c r="C23" s="276" t="inlineStr">
        <is>
          <t>шт</t>
        </is>
      </c>
      <c r="D23" s="276" t="n">
        <v>3</v>
      </c>
      <c r="E23" s="277" t="inlineStr"/>
      <c r="F23" s="277" t="inlineStr"/>
      <c r="G23" s="277" t="inlineStr"/>
      <c r="H23" s="277" t="n"/>
      <c r="I23" s="276">
        <f>D23*H23</f>
        <v/>
      </c>
    </row>
    <row r="24">
      <c r="A24" s="276" t="inlineStr">
        <is>
          <t>1.1/23</t>
        </is>
      </c>
      <c r="B24" s="276" t="inlineStr">
        <is>
          <t>Затвор дисковый поворотный межфланцевый ПА954.450.10-05 Ду 450 Ру 10</t>
        </is>
      </c>
      <c r="C24" s="276" t="inlineStr">
        <is>
          <t>шт</t>
        </is>
      </c>
      <c r="D24" s="276" t="n">
        <v>1</v>
      </c>
      <c r="E24" s="277" t="inlineStr"/>
      <c r="F24" s="277" t="inlineStr"/>
      <c r="G24" s="277" t="inlineStr"/>
      <c r="H24" s="277" t="n"/>
      <c r="I24" s="276">
        <f>D24*H24</f>
        <v/>
      </c>
    </row>
    <row r="25">
      <c r="A25" s="276" t="inlineStr">
        <is>
          <t>1.1/24</t>
        </is>
      </c>
      <c r="B25" s="276" t="inlineStr">
        <is>
          <t>Электропривод общепромышленный Н-В-02 У2</t>
        </is>
      </c>
      <c r="C25" s="276" t="inlineStr">
        <is>
          <t>шт</t>
        </is>
      </c>
      <c r="D25" s="276" t="n">
        <v>2</v>
      </c>
      <c r="E25" s="276" t="inlineStr">
        <is>
          <t>АО «ПО «Тулаэлектропривод» (ИНН 7130025182)</t>
        </is>
      </c>
      <c r="F25" s="276" t="inlineStr">
        <is>
          <t>Россия</t>
        </is>
      </c>
      <c r="G25" s="276" t="inlineStr">
        <is>
          <t>10612591</t>
        </is>
      </c>
      <c r="H25" s="277" t="n"/>
      <c r="I25" s="276">
        <f>D25*H25</f>
        <v/>
      </c>
    </row>
    <row r="26">
      <c r="A26" s="276" t="inlineStr">
        <is>
          <t>1.2/1</t>
        </is>
      </c>
      <c r="B26" s="276" t="inlineStr">
        <is>
          <t>Кран шаровой 11с67п Ду 32 Ру 25 цельносварной под приварку</t>
        </is>
      </c>
      <c r="C26" s="276" t="inlineStr">
        <is>
          <t>шт</t>
        </is>
      </c>
      <c r="D26" s="276" t="n">
        <v>2</v>
      </c>
      <c r="E26" s="276" t="inlineStr">
        <is>
          <t>ООО «ЧелябинскСпецГражданСтрой» (ИНН 7451211335)</t>
        </is>
      </c>
      <c r="F26" s="276" t="inlineStr">
        <is>
          <t>Россия</t>
        </is>
      </c>
      <c r="G26" s="276" t="inlineStr">
        <is>
          <t>10655491</t>
        </is>
      </c>
      <c r="H26" s="277" t="n"/>
      <c r="I26" s="276">
        <f>D26*H26</f>
        <v/>
      </c>
    </row>
    <row r="27">
      <c r="A27" s="276" t="inlineStr">
        <is>
          <t>1.2/2</t>
        </is>
      </c>
      <c r="B27" s="276" t="inlineStr">
        <is>
          <t>Кран шаровой 11с67п Ду 100 Ру 25 цельносварной под приварку</t>
        </is>
      </c>
      <c r="C27" s="276" t="inlineStr">
        <is>
          <t>шт</t>
        </is>
      </c>
      <c r="D27" s="276" t="n">
        <v>4</v>
      </c>
      <c r="E27" s="277" t="inlineStr"/>
      <c r="F27" s="277" t="inlineStr"/>
      <c r="G27" s="277" t="inlineStr"/>
      <c r="H27" s="277" t="n"/>
      <c r="I27" s="276">
        <f>D27*H27</f>
        <v/>
      </c>
    </row>
    <row r="28">
      <c r="A28" s="276" t="inlineStr">
        <is>
          <t>1.2/3</t>
        </is>
      </c>
      <c r="B28" s="276" t="inlineStr">
        <is>
          <t>Кран шаровой 11с67п Ду 50 Ру 25 полнопрох. с КОФ (КЗШС41нж)</t>
        </is>
      </c>
      <c r="C28" s="276" t="inlineStr">
        <is>
          <t>шт</t>
        </is>
      </c>
      <c r="D28" s="276" t="n">
        <v>18</v>
      </c>
      <c r="E28" s="276" t="inlineStr">
        <is>
          <t>ООО «ЧелябинскСпецГражданСтрой» (ИНН 7451211335)</t>
        </is>
      </c>
      <c r="F28" s="276" t="inlineStr">
        <is>
          <t>Россия</t>
        </is>
      </c>
      <c r="G28" s="276" t="inlineStr">
        <is>
          <t>10655491</t>
        </is>
      </c>
      <c r="H28" s="277" t="n"/>
      <c r="I28" s="276">
        <f>D28*H28</f>
        <v/>
      </c>
    </row>
    <row r="29">
      <c r="A29" s="276" t="inlineStr">
        <is>
          <t>1.2/4</t>
        </is>
      </c>
      <c r="B29" s="276" t="inlineStr">
        <is>
          <t>Кран шаровой 11с67п Ду 80 Ру 25 полнопрох. с КОФ (КЗШС41нж)</t>
        </is>
      </c>
      <c r="C29" s="276" t="inlineStr">
        <is>
          <t>шт</t>
        </is>
      </c>
      <c r="D29" s="276" t="n">
        <v>4</v>
      </c>
      <c r="E29" s="276" t="inlineStr">
        <is>
          <t>ООО «ЧелябинскСпецГражданСтрой» (ИНН 7451211335)</t>
        </is>
      </c>
      <c r="F29" s="276" t="inlineStr">
        <is>
          <t>Россия</t>
        </is>
      </c>
      <c r="G29" s="276" t="inlineStr">
        <is>
          <t>10655491</t>
        </is>
      </c>
      <c r="H29" s="277" t="n"/>
      <c r="I29" s="276">
        <f>D29*H29</f>
        <v/>
      </c>
    </row>
    <row r="30">
      <c r="A30" s="276" t="inlineStr">
        <is>
          <t>1.2/5</t>
        </is>
      </c>
      <c r="B30" s="276" t="inlineStr">
        <is>
          <t>Кран шаровой 11с67п Ду 100 Ру 16 ЦУФ.001 КШ укороченный полнопроходной фланцевый с рукояткой</t>
        </is>
      </c>
      <c r="C30" s="276" t="inlineStr">
        <is>
          <t>шт</t>
        </is>
      </c>
      <c r="D30" s="276" t="n">
        <v>2</v>
      </c>
      <c r="E30" s="276" t="inlineStr">
        <is>
          <t>ООО «ЧелябинскСпецГражданСтрой» (ИНН 7451211335)</t>
        </is>
      </c>
      <c r="F30" s="276" t="inlineStr">
        <is>
          <t>Россия</t>
        </is>
      </c>
      <c r="G30" s="276" t="inlineStr">
        <is>
          <t>10655491</t>
        </is>
      </c>
      <c r="H30" s="277" t="n"/>
      <c r="I30" s="276">
        <f>D30*H30</f>
        <v/>
      </c>
    </row>
    <row r="31">
      <c r="A31" s="276" t="inlineStr">
        <is>
          <t>1.3/1</t>
        </is>
      </c>
      <c r="B31" s="276" t="inlineStr">
        <is>
          <t>Клапан регулирующий 25с947нж Ду 50 Ру 25 с ЭИМ</t>
        </is>
      </c>
      <c r="C31" s="276" t="inlineStr">
        <is>
          <t>шт</t>
        </is>
      </c>
      <c r="D31" s="276" t="n">
        <v>1</v>
      </c>
      <c r="E31" s="277" t="inlineStr"/>
      <c r="F31" s="277" t="inlineStr"/>
      <c r="G31" s="277" t="inlineStr"/>
      <c r="H31" s="277" t="n"/>
      <c r="I31" s="276">
        <f>D31*H31</f>
        <v/>
      </c>
    </row>
    <row r="32">
      <c r="A32" s="276" t="inlineStr">
        <is>
          <t>1.3/2</t>
        </is>
      </c>
      <c r="B32" s="276" t="inlineStr">
        <is>
          <t>Клапан регулирующий 25ч945п Ду 15 Ру 16 с ЭИМ</t>
        </is>
      </c>
      <c r="C32" s="276" t="inlineStr">
        <is>
          <t>шт</t>
        </is>
      </c>
      <c r="D32" s="276" t="n">
        <v>2</v>
      </c>
      <c r="E32" s="276" t="inlineStr">
        <is>
          <t>ООО «Арма-Пром»</t>
        </is>
      </c>
      <c r="F32" s="277" t="inlineStr"/>
      <c r="G32" s="277" t="inlineStr"/>
      <c r="H32" s="277" t="n"/>
      <c r="I32" s="276">
        <f>D32*H32</f>
        <v/>
      </c>
    </row>
    <row r="33">
      <c r="A33" s="276" t="inlineStr">
        <is>
          <t>1.3/3</t>
        </is>
      </c>
      <c r="B33" s="276" t="inlineStr">
        <is>
          <t>Клапан регулирующий 25ч945п Ду 25 Ру 16 с ЭИМ</t>
        </is>
      </c>
      <c r="C33" s="276" t="inlineStr">
        <is>
          <t>шт</t>
        </is>
      </c>
      <c r="D33" s="276" t="n">
        <v>1</v>
      </c>
      <c r="E33" s="276" t="inlineStr">
        <is>
          <t>ООО «Арма-Пром»</t>
        </is>
      </c>
      <c r="F33" s="277" t="inlineStr"/>
      <c r="G33" s="277" t="inlineStr"/>
      <c r="H33" s="277" t="n"/>
      <c r="I33" s="276">
        <f>D33*H33</f>
        <v/>
      </c>
    </row>
    <row r="34">
      <c r="A34" s="276" t="inlineStr">
        <is>
          <t>1.3/4</t>
        </is>
      </c>
      <c r="B34" s="276" t="inlineStr">
        <is>
          <t>Клапан регулирующий 25ч945п Ду 50 Ру 16 KV100 с ЭИМ</t>
        </is>
      </c>
      <c r="C34" s="276" t="inlineStr">
        <is>
          <t>шт</t>
        </is>
      </c>
      <c r="D34" s="276" t="n">
        <v>2</v>
      </c>
      <c r="E34" s="277" t="inlineStr"/>
      <c r="F34" s="277" t="inlineStr"/>
      <c r="G34" s="277" t="inlineStr"/>
      <c r="H34" s="277" t="n"/>
      <c r="I34" s="276">
        <f>D34*H34</f>
        <v/>
      </c>
    </row>
    <row r="35">
      <c r="A35" s="276" t="inlineStr">
        <is>
          <t>1.3/5</t>
        </is>
      </c>
      <c r="B35" s="276" t="inlineStr">
        <is>
          <t>Клапан регулирующий 25ч945п Ду 80 Ру 16 с ЭИМ</t>
        </is>
      </c>
      <c r="C35" s="276" t="inlineStr">
        <is>
          <t>шт</t>
        </is>
      </c>
      <c r="D35" s="276" t="n">
        <v>8</v>
      </c>
      <c r="E35" s="276" t="inlineStr">
        <is>
          <t>ООО «Арма-Пром»</t>
        </is>
      </c>
      <c r="F35" s="277" t="inlineStr"/>
      <c r="G35" s="277" t="inlineStr"/>
      <c r="H35" s="277" t="n"/>
      <c r="I35" s="276">
        <f>D35*H35</f>
        <v/>
      </c>
    </row>
    <row r="36">
      <c r="A36" s="276" t="inlineStr">
        <is>
          <t>1.3/6</t>
        </is>
      </c>
      <c r="B36" s="276" t="inlineStr">
        <is>
          <t>Регулирующий клапан Ридан VFG-2R Ду 100, Kvs 125, Ру 16</t>
        </is>
      </c>
      <c r="C36" s="276" t="inlineStr">
        <is>
          <t>шт</t>
        </is>
      </c>
      <c r="D36" s="276" t="n">
        <v>2</v>
      </c>
      <c r="E36" s="277" t="inlineStr"/>
      <c r="F36" s="277" t="inlineStr"/>
      <c r="G36" s="277" t="inlineStr"/>
      <c r="H36" s="277" t="n"/>
      <c r="I36" s="276">
        <f>D36*H36</f>
        <v/>
      </c>
    </row>
    <row r="37">
      <c r="A37" s="276" t="inlineStr">
        <is>
          <t>1.3/7</t>
        </is>
      </c>
      <c r="B37" s="276" t="inlineStr">
        <is>
          <t>Регулирующий клапан Ридан VFG-2R Ду 32, Kvs 16,  Ру 16</t>
        </is>
      </c>
      <c r="C37" s="276" t="inlineStr">
        <is>
          <t>шт</t>
        </is>
      </c>
      <c r="D37" s="276" t="n">
        <v>4</v>
      </c>
      <c r="E37" s="276" t="inlineStr">
        <is>
          <t>АО «Энерготехномаш» (ИНН 0323085570)</t>
        </is>
      </c>
      <c r="F37" s="276" t="inlineStr">
        <is>
          <t>Россия</t>
        </is>
      </c>
      <c r="G37" s="276" t="inlineStr">
        <is>
          <t>10789125</t>
        </is>
      </c>
      <c r="H37" s="277" t="n"/>
      <c r="I37" s="276">
        <f>D37*H37</f>
        <v/>
      </c>
    </row>
    <row r="38">
      <c r="A38" s="276" t="inlineStr">
        <is>
          <t>1.3/8</t>
        </is>
      </c>
      <c r="B38" s="276" t="inlineStr">
        <is>
          <t>регулирующий клапан Ридан VFG-2R Ду 80, Kvs 80,  Ру 16</t>
        </is>
      </c>
      <c r="C38" s="276" t="inlineStr">
        <is>
          <t>шт</t>
        </is>
      </c>
      <c r="D38" s="276" t="n">
        <v>2</v>
      </c>
      <c r="E38" s="277" t="inlineStr"/>
      <c r="F38" s="277" t="inlineStr"/>
      <c r="G38" s="277" t="inlineStr"/>
      <c r="H38" s="277" t="n"/>
      <c r="I38" s="276">
        <f>D38*H38</f>
        <v/>
      </c>
    </row>
    <row r="39">
      <c r="A39" s="276" t="inlineStr">
        <is>
          <t>1.3/9</t>
        </is>
      </c>
      <c r="B39" s="276" t="inlineStr">
        <is>
          <t>Регулятор давления РД-НО (Нормально открытый) Ду 25 Ру 16</t>
        </is>
      </c>
      <c r="C39" s="276" t="inlineStr">
        <is>
          <t>шт</t>
        </is>
      </c>
      <c r="D39" s="276" t="n">
        <v>2</v>
      </c>
      <c r="E39" s="276" t="inlineStr">
        <is>
          <t>АО «Энерготехномаш» (ИНН 0323085570)</t>
        </is>
      </c>
      <c r="F39" s="276" t="inlineStr">
        <is>
          <t>Россия</t>
        </is>
      </c>
      <c r="G39" s="276" t="inlineStr">
        <is>
          <t>10789125</t>
        </is>
      </c>
      <c r="H39" s="277" t="n"/>
      <c r="I39" s="276">
        <f>D39*H39</f>
        <v/>
      </c>
    </row>
    <row r="40">
      <c r="A40" s="276" t="inlineStr">
        <is>
          <t>1.3/10</t>
        </is>
      </c>
      <c r="B40" s="276" t="inlineStr">
        <is>
          <t>Регулятор давления РД-НО (Нормально открытый) Ду 32 Ру 16</t>
        </is>
      </c>
      <c r="C40" s="276" t="inlineStr">
        <is>
          <t>шт</t>
        </is>
      </c>
      <c r="D40" s="276" t="n">
        <v>1</v>
      </c>
      <c r="E40" s="276" t="inlineStr">
        <is>
          <t>АО «Энерготехномаш» (ИНН 0323085570)</t>
        </is>
      </c>
      <c r="F40" s="276" t="inlineStr">
        <is>
          <t>Россия</t>
        </is>
      </c>
      <c r="G40" s="276" t="inlineStr">
        <is>
          <t>10789125</t>
        </is>
      </c>
      <c r="H40" s="277" t="n"/>
      <c r="I40" s="276">
        <f>D40*H40</f>
        <v/>
      </c>
    </row>
    <row r="41">
      <c r="A41" s="276" t="inlineStr">
        <is>
          <t>1.3/11</t>
        </is>
      </c>
      <c r="B41" s="276" t="inlineStr">
        <is>
          <t>Регулятор давления РД-НО (Нормально открытый) Ду 50 Ру 16</t>
        </is>
      </c>
      <c r="C41" s="276" t="inlineStr">
        <is>
          <t>шт</t>
        </is>
      </c>
      <c r="D41" s="276" t="n">
        <v>3</v>
      </c>
      <c r="E41" s="276" t="inlineStr">
        <is>
          <t>АО «Энерготехномаш» (ИНН 0323085570)</t>
        </is>
      </c>
      <c r="F41" s="276" t="inlineStr">
        <is>
          <t>Россия</t>
        </is>
      </c>
      <c r="G41" s="276" t="inlineStr">
        <is>
          <t>10789125</t>
        </is>
      </c>
      <c r="H41" s="277" t="n"/>
      <c r="I41" s="276">
        <f>D41*H41</f>
        <v/>
      </c>
    </row>
    <row r="42">
      <c r="A42" s="276" t="inlineStr">
        <is>
          <t>1.3/12</t>
        </is>
      </c>
      <c r="B42" s="276" t="inlineStr">
        <is>
          <t>Регулятор давления РД-НО (Нормально открытый) Ду 80 Ру 16</t>
        </is>
      </c>
      <c r="C42" s="276" t="inlineStr">
        <is>
          <t>шт</t>
        </is>
      </c>
      <c r="D42" s="276" t="n">
        <v>3</v>
      </c>
      <c r="E42" s="276" t="inlineStr">
        <is>
          <t>АО «Энерготехномаш» (ИНН 0323085570)</t>
        </is>
      </c>
      <c r="F42" s="276" t="inlineStr">
        <is>
          <t>Россия</t>
        </is>
      </c>
      <c r="G42" s="276" t="inlineStr">
        <is>
          <t>10789125</t>
        </is>
      </c>
      <c r="H42" s="277" t="n"/>
      <c r="I42" s="276">
        <f>D42*H42</f>
        <v/>
      </c>
    </row>
    <row r="43">
      <c r="A43" s="276" t="inlineStr">
        <is>
          <t>1.3/13</t>
        </is>
      </c>
      <c r="B43" s="276" t="inlineStr">
        <is>
          <t>Регулирующий блок после себя AFD Ду 15-250 с диапазоном настройки Ру 25</t>
        </is>
      </c>
      <c r="C43" s="276" t="inlineStr">
        <is>
          <t>шт</t>
        </is>
      </c>
      <c r="D43" s="276" t="n">
        <v>2</v>
      </c>
      <c r="E43" s="277" t="inlineStr"/>
      <c r="F43" s="277" t="inlineStr"/>
      <c r="G43" s="277" t="inlineStr"/>
      <c r="H43" s="277" t="n"/>
      <c r="I43" s="276">
        <f>D43*H43</f>
        <v/>
      </c>
    </row>
    <row r="44">
      <c r="A44" s="276" t="inlineStr">
        <is>
          <t>1.3/14</t>
        </is>
      </c>
      <c r="B44" s="276" t="inlineStr">
        <is>
          <t>Клапан обратный 19с53нж Ду 80 Ру 40</t>
        </is>
      </c>
      <c r="C44" s="276" t="inlineStr">
        <is>
          <t>шт</t>
        </is>
      </c>
      <c r="D44" s="276" t="n">
        <v>2</v>
      </c>
      <c r="E44" s="276" t="inlineStr">
        <is>
          <t>АО «Пензенский завод трубопроводной арматуры»</t>
        </is>
      </c>
      <c r="F44" s="276" t="inlineStr">
        <is>
          <t>Россия</t>
        </is>
      </c>
      <c r="G44" s="276" t="inlineStr">
        <is>
          <t>10706185</t>
        </is>
      </c>
      <c r="H44" s="277" t="n"/>
      <c r="I44" s="276">
        <f>D44*H44</f>
        <v/>
      </c>
    </row>
    <row r="45">
      <c r="A45" s="276" t="inlineStr">
        <is>
          <t>1.3/15</t>
        </is>
      </c>
      <c r="B45" s="276" t="inlineStr">
        <is>
          <t>Клапан обратный 19с53нж Ду 150 Ру 40</t>
        </is>
      </c>
      <c r="C45" s="276" t="inlineStr">
        <is>
          <t>шт</t>
        </is>
      </c>
      <c r="D45" s="276" t="n">
        <v>2</v>
      </c>
      <c r="E45" s="276" t="inlineStr">
        <is>
          <t>АО «Пензенский завод трубопроводной арматуры»</t>
        </is>
      </c>
      <c r="F45" s="276" t="inlineStr">
        <is>
          <t>Россия</t>
        </is>
      </c>
      <c r="G45" s="276" t="inlineStr">
        <is>
          <t>10706185</t>
        </is>
      </c>
      <c r="H45" s="277" t="n"/>
      <c r="I45" s="276">
        <f>D45*H45</f>
        <v/>
      </c>
    </row>
    <row r="46">
      <c r="A46" s="276" t="inlineStr">
        <is>
          <t>1.3/16</t>
        </is>
      </c>
      <c r="B46" s="276" t="inlineStr">
        <is>
          <t>Клапан обратный межфланцевый 19ч21бр Ду 100 Ру 16</t>
        </is>
      </c>
      <c r="C46" s="276" t="inlineStr">
        <is>
          <t>шт</t>
        </is>
      </c>
      <c r="D46" s="276" t="n">
        <v>4</v>
      </c>
      <c r="E46" s="276" t="inlineStr">
        <is>
          <t>АО «Энергия»</t>
        </is>
      </c>
      <c r="F46" s="276" t="inlineStr">
        <is>
          <t>Россия</t>
        </is>
      </c>
      <c r="G46" s="276" t="inlineStr">
        <is>
          <t>10743786</t>
        </is>
      </c>
      <c r="H46" s="277" t="n"/>
      <c r="I46" s="276">
        <f>D46*H46</f>
        <v/>
      </c>
    </row>
    <row r="47">
      <c r="A47" s="276" t="inlineStr">
        <is>
          <t>1.3/17</t>
        </is>
      </c>
      <c r="B47" s="276" t="inlineStr">
        <is>
          <t>Клапан обратный межфланцевый 19ч21бр Ду 50 Ру 16</t>
        </is>
      </c>
      <c r="C47" s="276" t="inlineStr">
        <is>
          <t>шт</t>
        </is>
      </c>
      <c r="D47" s="276" t="n">
        <v>6</v>
      </c>
      <c r="E47" s="276" t="inlineStr">
        <is>
          <t>АО «Энергия»</t>
        </is>
      </c>
      <c r="F47" s="276" t="inlineStr">
        <is>
          <t>Россия</t>
        </is>
      </c>
      <c r="G47" s="276" t="inlineStr">
        <is>
          <t>10743786</t>
        </is>
      </c>
      <c r="H47" s="277" t="n"/>
      <c r="I47" s="276">
        <f>D47*H47</f>
        <v/>
      </c>
    </row>
    <row r="48">
      <c r="A48" s="276" t="inlineStr">
        <is>
          <t>1.3/18</t>
        </is>
      </c>
      <c r="B48" s="276" t="inlineStr">
        <is>
          <t>Клапан обратный межфланцевый 19ч21бр Ду 80 Ру 16</t>
        </is>
      </c>
      <c r="C48" s="276" t="inlineStr">
        <is>
          <t>шт</t>
        </is>
      </c>
      <c r="D48" s="276" t="n">
        <v>7</v>
      </c>
      <c r="E48" s="276" t="inlineStr">
        <is>
          <t>АО «Энергия»</t>
        </is>
      </c>
      <c r="F48" s="276" t="inlineStr">
        <is>
          <t>Россия</t>
        </is>
      </c>
      <c r="G48" s="276" t="inlineStr">
        <is>
          <t>10743786</t>
        </is>
      </c>
      <c r="H48" s="277" t="n"/>
      <c r="I48" s="276">
        <f>D48*H48</f>
        <v/>
      </c>
    </row>
    <row r="49">
      <c r="A49" s="276" t="inlineStr">
        <is>
          <t>1.3/19</t>
        </is>
      </c>
      <c r="B49" s="276" t="inlineStr">
        <is>
          <t>Клапан обратный двухстворчатый DENDOR 010C Ду 100 Ру 16</t>
        </is>
      </c>
      <c r="C49" s="276" t="inlineStr">
        <is>
          <t>шт</t>
        </is>
      </c>
      <c r="D49" s="276" t="n">
        <v>5</v>
      </c>
      <c r="E49" s="276" t="inlineStr">
        <is>
          <t>АО «Энергия» (ИНН 7805499441)</t>
        </is>
      </c>
      <c r="F49" s="276" t="inlineStr">
        <is>
          <t>Россия</t>
        </is>
      </c>
      <c r="G49" s="276" t="inlineStr">
        <is>
          <t>10743786</t>
        </is>
      </c>
      <c r="H49" s="277" t="n"/>
      <c r="I49" s="276">
        <f>D49*H49</f>
        <v/>
      </c>
    </row>
    <row r="50">
      <c r="A50" s="276" t="inlineStr">
        <is>
          <t>1.3/20</t>
        </is>
      </c>
      <c r="B50" s="276" t="inlineStr">
        <is>
          <t>Клапан обратный двухстворчатый DENDOR 010C Ду 200 Ру 16</t>
        </is>
      </c>
      <c r="C50" s="276" t="inlineStr">
        <is>
          <t>шт</t>
        </is>
      </c>
      <c r="D50" s="276" t="n">
        <v>5</v>
      </c>
      <c r="E50" s="276" t="inlineStr">
        <is>
          <t>АО «Энергия» (ИНН 7805499441)</t>
        </is>
      </c>
      <c r="F50" s="276" t="inlineStr">
        <is>
          <t>Россия</t>
        </is>
      </c>
      <c r="G50" s="276" t="inlineStr">
        <is>
          <t>10743786</t>
        </is>
      </c>
      <c r="H50" s="277" t="n"/>
      <c r="I50" s="276">
        <f>D50*H50</f>
        <v/>
      </c>
    </row>
    <row r="51">
      <c r="A51" s="276" t="inlineStr">
        <is>
          <t>1.3/21</t>
        </is>
      </c>
      <c r="B51" s="276" t="inlineStr">
        <is>
          <t>Клапан обратный фланцевый Ду 50 Ру 40</t>
        </is>
      </c>
      <c r="C51" s="276" t="inlineStr">
        <is>
          <t>шт</t>
        </is>
      </c>
      <c r="D51" s="276" t="n">
        <v>1</v>
      </c>
      <c r="E51" s="276" t="inlineStr">
        <is>
          <t>АО «Пензенский завод трубопроводной арматуры»</t>
        </is>
      </c>
      <c r="F51" s="276" t="inlineStr">
        <is>
          <t>Россия</t>
        </is>
      </c>
      <c r="G51" s="276" t="inlineStr">
        <is>
          <t>10706185</t>
        </is>
      </c>
      <c r="H51" s="277" t="n"/>
      <c r="I51" s="276">
        <f>D51*H51</f>
        <v/>
      </c>
    </row>
    <row r="52">
      <c r="A52" s="276" t="inlineStr">
        <is>
          <t>1.3/22</t>
        </is>
      </c>
      <c r="B52" s="276" t="inlineStr">
        <is>
          <t>Обратный клапан «Гранлок» серии CV16 Ду 150 Ру 16</t>
        </is>
      </c>
      <c r="C52" s="276" t="inlineStr">
        <is>
          <t>шт</t>
        </is>
      </c>
      <c r="D52" s="276" t="n">
        <v>4</v>
      </c>
      <c r="E52" s="276" t="inlineStr">
        <is>
          <t>ООО «Торговый Дом АДЛ» (ИНН 7718625072)</t>
        </is>
      </c>
      <c r="F52" s="276" t="inlineStr">
        <is>
          <t>Россия</t>
        </is>
      </c>
      <c r="G52" s="276" t="inlineStr">
        <is>
          <t>10618660</t>
        </is>
      </c>
      <c r="H52" s="277" t="n"/>
      <c r="I52" s="276">
        <f>D52*H52</f>
        <v/>
      </c>
    </row>
    <row r="53">
      <c r="A53" s="276" t="inlineStr">
        <is>
          <t>1.3/23</t>
        </is>
      </c>
      <c r="B53" s="276" t="inlineStr">
        <is>
          <t>Клапан обратный 16нж10нж Ду 50 Ру 16</t>
        </is>
      </c>
      <c r="C53" s="276" t="inlineStr">
        <is>
          <t>шт</t>
        </is>
      </c>
      <c r="D53" s="276" t="n">
        <v>2</v>
      </c>
      <c r="E53" s="276" t="inlineStr">
        <is>
          <t>ООО «ПТЗ» (Пермь)</t>
        </is>
      </c>
      <c r="F53" s="276" t="inlineStr">
        <is>
          <t>Россия</t>
        </is>
      </c>
      <c r="G53" s="276" t="inlineStr">
        <is>
          <t>10746921</t>
        </is>
      </c>
      <c r="H53" s="277" t="n"/>
      <c r="I53" s="276">
        <f>D53*H53</f>
        <v/>
      </c>
    </row>
    <row r="54">
      <c r="A54" s="276" t="inlineStr">
        <is>
          <t>1.3/24</t>
        </is>
      </c>
      <c r="B54" s="276" t="inlineStr">
        <is>
          <t>Клапан обратный 16нж10нж Ду 32 Ру16</t>
        </is>
      </c>
      <c r="C54" s="276" t="inlineStr">
        <is>
          <t>шт</t>
        </is>
      </c>
      <c r="D54" s="276" t="n">
        <v>5</v>
      </c>
      <c r="E54" s="276" t="inlineStr">
        <is>
          <t>ООО «ПТЗ» (Пермь)</t>
        </is>
      </c>
      <c r="F54" s="276" t="inlineStr">
        <is>
          <t>Россия</t>
        </is>
      </c>
      <c r="G54" s="276" t="inlineStr">
        <is>
          <t>10746921</t>
        </is>
      </c>
      <c r="H54" s="277" t="n"/>
      <c r="I54" s="276">
        <f>D54*H54</f>
        <v/>
      </c>
    </row>
    <row r="55">
      <c r="A55" s="276" t="inlineStr">
        <is>
          <t>1.3/25</t>
        </is>
      </c>
      <c r="B55" s="276" t="inlineStr">
        <is>
          <t>Клапан обратный 16ч42р Ду 100 Ру 2,5</t>
        </is>
      </c>
      <c r="C55" s="276" t="inlineStr">
        <is>
          <t>шт</t>
        </is>
      </c>
      <c r="D55" s="276" t="n">
        <v>3</v>
      </c>
      <c r="E55" s="277" t="inlineStr"/>
      <c r="F55" s="277" t="inlineStr"/>
      <c r="G55" s="277" t="inlineStr"/>
      <c r="H55" s="277" t="n"/>
      <c r="I55" s="276">
        <f>D55*H55</f>
        <v/>
      </c>
    </row>
    <row r="56">
      <c r="A56" s="276" t="inlineStr">
        <is>
          <t>1.3/26</t>
        </is>
      </c>
      <c r="B56" s="276" t="inlineStr">
        <is>
          <t>Клапан обратный 19нж76нж Ду 100 Ру 16</t>
        </is>
      </c>
      <c r="C56" s="276" t="inlineStr">
        <is>
          <t>шт</t>
        </is>
      </c>
      <c r="D56" s="276" t="n">
        <v>2</v>
      </c>
      <c r="E56" s="276" t="inlineStr">
        <is>
          <t>АО «Пензенский завод трубопроводной арматуры»</t>
        </is>
      </c>
      <c r="F56" s="276" t="inlineStr">
        <is>
          <t>Россия</t>
        </is>
      </c>
      <c r="G56" s="276" t="inlineStr">
        <is>
          <t>10706185</t>
        </is>
      </c>
      <c r="H56" s="277" t="n"/>
      <c r="I56" s="276">
        <f>D56*H56</f>
        <v/>
      </c>
    </row>
    <row r="57">
      <c r="A57" s="276" t="inlineStr">
        <is>
          <t>1.3/27</t>
        </is>
      </c>
      <c r="B57" s="276" t="inlineStr">
        <is>
          <t>Клапан обратный 19с76нж Ду 80 Ру 16</t>
        </is>
      </c>
      <c r="C57" s="276" t="inlineStr">
        <is>
          <t>шт</t>
        </is>
      </c>
      <c r="D57" s="276" t="n">
        <v>1</v>
      </c>
      <c r="E57" s="276" t="inlineStr">
        <is>
          <t>АО «Благовещенский арматурный завод» (ИНН 0258001489)</t>
        </is>
      </c>
      <c r="F57" s="276" t="inlineStr">
        <is>
          <t>Россия</t>
        </is>
      </c>
      <c r="G57" s="276" t="inlineStr">
        <is>
          <t>10329682</t>
        </is>
      </c>
      <c r="H57" s="277" t="n"/>
      <c r="I57" s="276">
        <f>D57*H57</f>
        <v/>
      </c>
    </row>
    <row r="58">
      <c r="A58" s="276" t="inlineStr">
        <is>
          <t>1.3/28</t>
        </is>
      </c>
      <c r="B58" s="276" t="inlineStr">
        <is>
          <t>Клапан обратный 19с76нж Ду 100 Ру 16</t>
        </is>
      </c>
      <c r="C58" s="276" t="inlineStr">
        <is>
          <t>шт</t>
        </is>
      </c>
      <c r="D58" s="276" t="n">
        <v>2</v>
      </c>
      <c r="E58" s="276" t="inlineStr">
        <is>
          <t>АО «Благовещенский арматурный завод» (ИНН 0258001489)</t>
        </is>
      </c>
      <c r="F58" s="276" t="inlineStr">
        <is>
          <t>Россия</t>
        </is>
      </c>
      <c r="G58" s="276" t="inlineStr">
        <is>
          <t>10329682</t>
        </is>
      </c>
      <c r="H58" s="277" t="n"/>
      <c r="I58" s="276">
        <f>D58*H58</f>
        <v/>
      </c>
    </row>
    <row r="59">
      <c r="A59" s="276" t="inlineStr">
        <is>
          <t>1.3/29</t>
        </is>
      </c>
      <c r="B59" s="276" t="inlineStr">
        <is>
          <t>Клапан обратный 19с76нж Ду 50 Ру 16</t>
        </is>
      </c>
      <c r="C59" s="276" t="inlineStr">
        <is>
          <t>шт</t>
        </is>
      </c>
      <c r="D59" s="276" t="n">
        <v>2</v>
      </c>
      <c r="E59" s="276" t="inlineStr">
        <is>
          <t>АО «Благовещенский арматурный завод» (ИНН 0258001489)</t>
        </is>
      </c>
      <c r="F59" s="276" t="inlineStr">
        <is>
          <t>Россия</t>
        </is>
      </c>
      <c r="G59" s="276" t="inlineStr">
        <is>
          <t>10329682</t>
        </is>
      </c>
      <c r="H59" s="277" t="n"/>
      <c r="I59" s="276">
        <f>D59*H59</f>
        <v/>
      </c>
    </row>
    <row r="60">
      <c r="A60" s="276" t="inlineStr">
        <is>
          <t>1.3/30</t>
        </is>
      </c>
      <c r="B60" s="276" t="inlineStr">
        <is>
          <t>Клапан обратный межфланцевый пружинный тарельчатый NVD-802R Ду 125 Ру 16</t>
        </is>
      </c>
      <c r="C60" s="276" t="inlineStr">
        <is>
          <t>шт</t>
        </is>
      </c>
      <c r="D60" s="276" t="n">
        <v>2</v>
      </c>
      <c r="E60" s="276" t="inlineStr">
        <is>
          <t>АО «Энергия»</t>
        </is>
      </c>
      <c r="F60" s="276" t="inlineStr">
        <is>
          <t>Россия</t>
        </is>
      </c>
      <c r="G60" s="276" t="inlineStr">
        <is>
          <t>10743786</t>
        </is>
      </c>
      <c r="H60" s="277" t="n"/>
      <c r="I60" s="276">
        <f>D60*H60</f>
        <v/>
      </c>
    </row>
    <row r="61">
      <c r="A61" s="276" t="inlineStr">
        <is>
          <t>1.3/31</t>
        </is>
      </c>
      <c r="B61" s="276" t="inlineStr">
        <is>
          <t>Клапан обратный межфланцевый пружинный тарельчатый NVD-802R Ду 150 Ру 16</t>
        </is>
      </c>
      <c r="C61" s="276" t="inlineStr">
        <is>
          <t>шт</t>
        </is>
      </c>
      <c r="D61" s="276" t="n">
        <v>10</v>
      </c>
      <c r="E61" s="276" t="inlineStr">
        <is>
          <t>АО «Энергия»</t>
        </is>
      </c>
      <c r="F61" s="276" t="inlineStr">
        <is>
          <t>Россия</t>
        </is>
      </c>
      <c r="G61" s="276" t="inlineStr">
        <is>
          <t>10743786</t>
        </is>
      </c>
      <c r="H61" s="277" t="n"/>
      <c r="I61" s="276">
        <f>D61*H61</f>
        <v/>
      </c>
    </row>
    <row r="62">
      <c r="A62" s="276" t="inlineStr">
        <is>
          <t>1.3/32</t>
        </is>
      </c>
      <c r="B62" s="276" t="inlineStr">
        <is>
          <t>Клапан обратный фланцевый пружинный с аксиальным затвором NVD-402R Ду 100 Ру 16</t>
        </is>
      </c>
      <c r="C62" s="276" t="inlineStr">
        <is>
          <t>шт</t>
        </is>
      </c>
      <c r="D62" s="276" t="n">
        <v>2</v>
      </c>
      <c r="E62" s="276" t="inlineStr">
        <is>
          <t>ООО «Ридан»</t>
        </is>
      </c>
      <c r="F62" s="277" t="inlineStr"/>
      <c r="G62" s="277" t="inlineStr"/>
      <c r="H62" s="277" t="n"/>
      <c r="I62" s="276">
        <f>D62*H62</f>
        <v/>
      </c>
    </row>
    <row r="63">
      <c r="A63" s="276" t="inlineStr">
        <is>
          <t>1.3/33</t>
        </is>
      </c>
      <c r="B63" s="276" t="inlineStr">
        <is>
          <t>Клапан обратный фланцевый пружинный с аксиальным затвором NVD-402R Ду 150 Ру 16</t>
        </is>
      </c>
      <c r="C63" s="276" t="inlineStr">
        <is>
          <t>шт</t>
        </is>
      </c>
      <c r="D63" s="276" t="n">
        <v>5</v>
      </c>
      <c r="E63" s="277" t="inlineStr"/>
      <c r="F63" s="277" t="inlineStr"/>
      <c r="G63" s="277" t="inlineStr"/>
      <c r="H63" s="277" t="n"/>
      <c r="I63" s="276">
        <f>D63*H63</f>
        <v/>
      </c>
    </row>
    <row r="64">
      <c r="A64" s="276" t="inlineStr">
        <is>
          <t>1.3/34</t>
        </is>
      </c>
      <c r="B64" s="276" t="inlineStr">
        <is>
          <t>Клапан обратный фланцевый пружинный с аксиальным затвором NVD-402R Ду 200 Ру 16</t>
        </is>
      </c>
      <c r="C64" s="276" t="inlineStr">
        <is>
          <t>шт</t>
        </is>
      </c>
      <c r="D64" s="276" t="n">
        <v>4</v>
      </c>
      <c r="E64" s="276" t="inlineStr">
        <is>
          <t>ООО «Ридан»</t>
        </is>
      </c>
      <c r="F64" s="277" t="inlineStr"/>
      <c r="G64" s="277" t="inlineStr"/>
      <c r="H64" s="277" t="n"/>
      <c r="I64" s="276">
        <f>D64*H64</f>
        <v/>
      </c>
    </row>
    <row r="65">
      <c r="A65" s="276" t="inlineStr">
        <is>
          <t>1.3/35</t>
        </is>
      </c>
      <c r="B65" s="276" t="inlineStr">
        <is>
          <t>Обратный клапан пружинный NVD-812R Ду 150 Ру 40</t>
        </is>
      </c>
      <c r="C65" s="276" t="inlineStr">
        <is>
          <t>шт</t>
        </is>
      </c>
      <c r="D65" s="276" t="n">
        <v>1</v>
      </c>
      <c r="E65" s="276" t="inlineStr">
        <is>
          <t>ООО «Ридан»</t>
        </is>
      </c>
      <c r="F65" s="277" t="inlineStr"/>
      <c r="G65" s="277" t="inlineStr"/>
      <c r="H65" s="277" t="n"/>
      <c r="I65" s="276">
        <f>D65*H65</f>
        <v/>
      </c>
    </row>
    <row r="66">
      <c r="A66" s="276" t="inlineStr">
        <is>
          <t>1.3/36</t>
        </is>
      </c>
      <c r="B66" s="276" t="inlineStr">
        <is>
          <t>Предохранительный клапан ARI-SAFE 12.903 Ду 32/50 Ру 16</t>
        </is>
      </c>
      <c r="C66" s="276" t="inlineStr">
        <is>
          <t>шт</t>
        </is>
      </c>
      <c r="D66" s="276" t="n">
        <v>2</v>
      </c>
      <c r="E66" s="276" t="inlineStr">
        <is>
          <t>ООО «Торговый Дом АДЛ» (ИНН 7718625072)</t>
        </is>
      </c>
      <c r="F66" s="276" t="inlineStr">
        <is>
          <t>Россия</t>
        </is>
      </c>
      <c r="G66" s="276" t="inlineStr">
        <is>
          <t>10535129</t>
        </is>
      </c>
      <c r="H66" s="277" t="n"/>
      <c r="I66" s="276">
        <f>D66*H66</f>
        <v/>
      </c>
    </row>
    <row r="67">
      <c r="A67" s="276" t="inlineStr">
        <is>
          <t>1.3/37</t>
        </is>
      </c>
      <c r="B67" s="276" t="inlineStr">
        <is>
          <t>Предохранительный клапан ARI-SAFE 12.903 Ду 25/40 Ру 16</t>
        </is>
      </c>
      <c r="C67" s="276" t="inlineStr">
        <is>
          <t>шт</t>
        </is>
      </c>
      <c r="D67" s="276" t="n">
        <v>2</v>
      </c>
      <c r="E67" s="276" t="inlineStr">
        <is>
          <t>ООО «Торговый Дом АДЛ» (ИНН 7718625072)</t>
        </is>
      </c>
      <c r="F67" s="276" t="inlineStr">
        <is>
          <t>Россия</t>
        </is>
      </c>
      <c r="G67" s="276" t="inlineStr">
        <is>
          <t>10535148</t>
        </is>
      </c>
      <c r="H67" s="277" t="n"/>
      <c r="I67" s="276">
        <f>D67*H67</f>
        <v/>
      </c>
    </row>
    <row r="68">
      <c r="A68" s="276" t="inlineStr">
        <is>
          <t>1.3/38</t>
        </is>
      </c>
      <c r="B68" s="276" t="inlineStr">
        <is>
          <t>Предохранительный клапан ARI-SAFE 12.903 Ду 25/40 Ру 16</t>
        </is>
      </c>
      <c r="C68" s="276" t="inlineStr">
        <is>
          <t>шт</t>
        </is>
      </c>
      <c r="D68" s="276" t="n">
        <v>2</v>
      </c>
      <c r="E68" s="276" t="inlineStr">
        <is>
          <t>ООО «Торговый Дом АДЛ» (ИНН 7718625072)</t>
        </is>
      </c>
      <c r="F68" s="276" t="inlineStr">
        <is>
          <t>Россия</t>
        </is>
      </c>
      <c r="G68" s="276" t="inlineStr">
        <is>
          <t>10535148</t>
        </is>
      </c>
      <c r="H68" s="277" t="n"/>
      <c r="I68" s="276">
        <f>D68*H68</f>
        <v/>
      </c>
    </row>
    <row r="69">
      <c r="A69" s="276" t="inlineStr">
        <is>
          <t>1.3/39</t>
        </is>
      </c>
      <c r="B69" s="276" t="inlineStr">
        <is>
          <t>Кран для манометра трехходовой Ду 15 Ру 16</t>
        </is>
      </c>
      <c r="C69" s="276" t="inlineStr">
        <is>
          <t>шт</t>
        </is>
      </c>
      <c r="D69" s="276" t="n">
        <v>34</v>
      </c>
      <c r="E69" s="277" t="inlineStr"/>
      <c r="F69" s="277" t="inlineStr"/>
      <c r="G69" s="277" t="inlineStr"/>
      <c r="H69" s="277" t="n"/>
      <c r="I69" s="276">
        <f>D69*H69</f>
        <v/>
      </c>
    </row>
    <row r="70">
      <c r="A70" s="276" t="inlineStr">
        <is>
          <t>1.3/40</t>
        </is>
      </c>
      <c r="B70" s="276" t="inlineStr">
        <is>
          <t>Клапан 22б16п (15б34бк1) запорный вакуумный сильфонный Ду6 Ру16</t>
        </is>
      </c>
      <c r="C70" s="276" t="inlineStr">
        <is>
          <t>шт</t>
        </is>
      </c>
      <c r="D70" s="276" t="n">
        <v>2</v>
      </c>
      <c r="E70" s="276" t="inlineStr">
        <is>
          <t>Компания «Арматон»</t>
        </is>
      </c>
      <c r="F70" s="277" t="inlineStr"/>
      <c r="G70" s="277" t="inlineStr"/>
      <c r="H70" s="277" t="n"/>
      <c r="I70" s="276">
        <f>D70*H70</f>
        <v/>
      </c>
    </row>
    <row r="71">
      <c r="A71" s="276" t="inlineStr">
        <is>
          <t>1.3/41</t>
        </is>
      </c>
      <c r="B71" s="276" t="inlineStr">
        <is>
          <t>Клапан ВДХ Ду 80 Ру 10</t>
        </is>
      </c>
      <c r="C71" s="276" t="inlineStr">
        <is>
          <t>шт</t>
        </is>
      </c>
      <c r="D71" s="276" t="n">
        <v>2</v>
      </c>
      <c r="E71" s="276" t="inlineStr">
        <is>
          <t>АО «Благовещенский арматурный завод»</t>
        </is>
      </c>
      <c r="F71" s="277" t="inlineStr"/>
      <c r="G71" s="277" t="inlineStr"/>
      <c r="H71" s="277" t="n"/>
      <c r="I71" s="276">
        <f>D71*H71</f>
        <v/>
      </c>
    </row>
    <row r="72">
      <c r="A72" s="276" t="inlineStr">
        <is>
          <t>1.3/42</t>
        </is>
      </c>
      <c r="B72" s="276" t="inlineStr">
        <is>
          <t>Клапан диафрагменный химический ВДХ Ду 150 Ру 16</t>
        </is>
      </c>
      <c r="C72" s="276" t="inlineStr">
        <is>
          <t>шт</t>
        </is>
      </c>
      <c r="D72" s="276" t="n">
        <v>1</v>
      </c>
      <c r="E72" s="276" t="inlineStr">
        <is>
          <t>АО «Благовещенский арматурный завод»</t>
        </is>
      </c>
      <c r="F72" s="277" t="inlineStr"/>
      <c r="G72" s="277" t="inlineStr"/>
      <c r="H72" s="277" t="n"/>
      <c r="I72" s="276">
        <f>D72*H72</f>
        <v/>
      </c>
    </row>
    <row r="73">
      <c r="A73" s="276" t="inlineStr">
        <is>
          <t>1.3/43</t>
        </is>
      </c>
      <c r="B73" s="276" t="inlineStr">
        <is>
          <t>Клапан диафрагменный химический ВДХ Ду 50, Ру 16</t>
        </is>
      </c>
      <c r="C73" s="276" t="inlineStr">
        <is>
          <t>шт</t>
        </is>
      </c>
      <c r="D73" s="276" t="n">
        <v>1</v>
      </c>
      <c r="E73" s="276" t="inlineStr">
        <is>
          <t>АО «Благовещенский арматурный завод»</t>
        </is>
      </c>
      <c r="F73" s="277" t="inlineStr"/>
      <c r="G73" s="277" t="inlineStr"/>
      <c r="H73" s="277" t="n"/>
      <c r="I73" s="276">
        <f>D73*H73</f>
        <v/>
      </c>
    </row>
    <row r="74">
      <c r="A74" s="276" t="inlineStr">
        <is>
          <t>1.3/44</t>
        </is>
      </c>
      <c r="B74" s="276" t="inlineStr">
        <is>
          <t>Клапан диафрагменный химический ВДХ Ду 80 Ру 16</t>
        </is>
      </c>
      <c r="C74" s="276" t="inlineStr">
        <is>
          <t>шт</t>
        </is>
      </c>
      <c r="D74" s="276" t="n">
        <v>3</v>
      </c>
      <c r="E74" s="276" t="inlineStr">
        <is>
          <t>АО «Благовещенский арматурный завод»</t>
        </is>
      </c>
      <c r="F74" s="277" t="inlineStr"/>
      <c r="G74" s="277" t="inlineStr"/>
      <c r="H74" s="277" t="n"/>
      <c r="I74" s="276">
        <f>D74*H74</f>
        <v/>
      </c>
    </row>
    <row r="75">
      <c r="A75" s="276" t="inlineStr">
        <is>
          <t>1.3/45</t>
        </is>
      </c>
      <c r="B75" s="276" t="inlineStr">
        <is>
          <t>Клапан запорный 14нж17п Ду 15 Ру 10 цапковый</t>
        </is>
      </c>
      <c r="C75" s="276" t="inlineStr">
        <is>
          <t>шт</t>
        </is>
      </c>
      <c r="D75" s="276" t="n">
        <v>2</v>
      </c>
      <c r="E75" s="276" t="inlineStr">
        <is>
          <t>ООО «Нижегородский завод «Старт»</t>
        </is>
      </c>
      <c r="F75" s="277" t="inlineStr"/>
      <c r="G75" s="277" t="inlineStr"/>
      <c r="H75" s="277" t="n"/>
      <c r="I75" s="276">
        <f>D75*H75</f>
        <v/>
      </c>
    </row>
    <row r="76">
      <c r="A76" s="276" t="inlineStr">
        <is>
          <t>1.3/46</t>
        </is>
      </c>
      <c r="B76" s="276" t="inlineStr">
        <is>
          <t>Клапан запорный 14нж17п Ду 25 Ру 10 цапковый</t>
        </is>
      </c>
      <c r="C76" s="276" t="inlineStr">
        <is>
          <t>шт</t>
        </is>
      </c>
      <c r="D76" s="276" t="n">
        <v>2</v>
      </c>
      <c r="E76" s="276" t="inlineStr">
        <is>
          <t>ООО «Нижегородский завод «Старт»</t>
        </is>
      </c>
      <c r="F76" s="277" t="inlineStr"/>
      <c r="G76" s="277" t="inlineStr"/>
      <c r="H76" s="277" t="n"/>
      <c r="I76" s="276">
        <f>D76*H76</f>
        <v/>
      </c>
    </row>
    <row r="77">
      <c r="A77" s="276" t="inlineStr">
        <is>
          <t>1.3/47</t>
        </is>
      </c>
      <c r="B77" s="276" t="inlineStr">
        <is>
          <t>Клапан запорный 14нж17п Ду 32 Ру 10 цапковый</t>
        </is>
      </c>
      <c r="C77" s="276" t="inlineStr">
        <is>
          <t>шт</t>
        </is>
      </c>
      <c r="D77" s="276" t="n">
        <v>1</v>
      </c>
      <c r="E77" s="276" t="inlineStr">
        <is>
          <t>ООО «Нижегородский завод «Старт»</t>
        </is>
      </c>
      <c r="F77" s="277" t="inlineStr"/>
      <c r="G77" s="277" t="inlineStr"/>
      <c r="H77" s="277" t="n"/>
      <c r="I77" s="276">
        <f>D77*H77</f>
        <v/>
      </c>
    </row>
    <row r="78">
      <c r="A78" s="276" t="inlineStr">
        <is>
          <t>1.3/48</t>
        </is>
      </c>
      <c r="B78" s="276" t="inlineStr">
        <is>
          <t>Клапан запорный 15б1п Ду 15 Ру16</t>
        </is>
      </c>
      <c r="C78" s="276" t="inlineStr">
        <is>
          <t>шт</t>
        </is>
      </c>
      <c r="D78" s="276" t="n">
        <v>45</v>
      </c>
      <c r="E78" s="276" t="inlineStr">
        <is>
          <t>ООО «Бологовский арматурный завод» (ИНН 6908017634)</t>
        </is>
      </c>
      <c r="F78" s="276" t="inlineStr">
        <is>
          <t>Россия</t>
        </is>
      </c>
      <c r="G78" s="276" t="inlineStr">
        <is>
          <t>10895023</t>
        </is>
      </c>
      <c r="H78" s="277" t="n"/>
      <c r="I78" s="276">
        <f>D78*H78</f>
        <v/>
      </c>
    </row>
    <row r="79">
      <c r="A79" s="276" t="inlineStr">
        <is>
          <t>1.3/49</t>
        </is>
      </c>
      <c r="B79" s="276" t="inlineStr">
        <is>
          <t>Клапан запорный 15б1п Ду 20 Ру16</t>
        </is>
      </c>
      <c r="C79" s="276" t="inlineStr">
        <is>
          <t>шт</t>
        </is>
      </c>
      <c r="D79" s="276" t="n">
        <v>15</v>
      </c>
      <c r="E79" s="276" t="inlineStr">
        <is>
          <t>ООО «Бологовский арматурный завод» (ИНН 6908017634)</t>
        </is>
      </c>
      <c r="F79" s="276" t="inlineStr">
        <is>
          <t>Россия</t>
        </is>
      </c>
      <c r="G79" s="276" t="inlineStr">
        <is>
          <t>10895023</t>
        </is>
      </c>
      <c r="H79" s="277" t="n"/>
      <c r="I79" s="276">
        <f>D79*H79</f>
        <v/>
      </c>
    </row>
    <row r="80">
      <c r="A80" s="276" t="inlineStr">
        <is>
          <t>1.3/50</t>
        </is>
      </c>
      <c r="B80" s="276" t="inlineStr">
        <is>
          <t>Клапан запорный 15б1п Ду 25 Ру16</t>
        </is>
      </c>
      <c r="C80" s="276" t="inlineStr">
        <is>
          <t>шт</t>
        </is>
      </c>
      <c r="D80" s="276" t="n">
        <v>10</v>
      </c>
      <c r="E80" s="276" t="inlineStr">
        <is>
          <t>ООО «Бологовский арматурный завод» (ИНН 6908017634)</t>
        </is>
      </c>
      <c r="F80" s="276" t="inlineStr">
        <is>
          <t>Россия</t>
        </is>
      </c>
      <c r="G80" s="276" t="inlineStr">
        <is>
          <t>10895023</t>
        </is>
      </c>
      <c r="H80" s="277" t="n"/>
      <c r="I80" s="276">
        <f>D80*H80</f>
        <v/>
      </c>
    </row>
    <row r="81">
      <c r="A81" s="276" t="inlineStr">
        <is>
          <t>1.3/51</t>
        </is>
      </c>
      <c r="B81" s="276" t="inlineStr">
        <is>
          <t>Клапан запорный 15б1п Ду 32 Ру16</t>
        </is>
      </c>
      <c r="C81" s="276" t="inlineStr">
        <is>
          <t>шт</t>
        </is>
      </c>
      <c r="D81" s="276" t="n">
        <v>10</v>
      </c>
      <c r="E81" s="276" t="inlineStr">
        <is>
          <t>ООО «Бологовский арматурный завод» (ИНН 6908017634)</t>
        </is>
      </c>
      <c r="F81" s="276" t="inlineStr">
        <is>
          <t>Россия</t>
        </is>
      </c>
      <c r="G81" s="276" t="inlineStr">
        <is>
          <t>10895022</t>
        </is>
      </c>
      <c r="H81" s="277" t="n"/>
      <c r="I81" s="276">
        <f>D81*H81</f>
        <v/>
      </c>
    </row>
    <row r="82">
      <c r="A82" s="276" t="inlineStr">
        <is>
          <t>1.3/52</t>
        </is>
      </c>
      <c r="B82" s="276" t="inlineStr">
        <is>
          <t>Клапан запорный 15б1п Ду 40 Ру16</t>
        </is>
      </c>
      <c r="C82" s="276" t="inlineStr">
        <is>
          <t>шт</t>
        </is>
      </c>
      <c r="D82" s="276" t="n">
        <v>5</v>
      </c>
      <c r="E82" s="276" t="inlineStr">
        <is>
          <t>ООО «Бологовский арматурный завод» (ИНН 6908017634)</t>
        </is>
      </c>
      <c r="F82" s="276" t="inlineStr">
        <is>
          <t>Россия</t>
        </is>
      </c>
      <c r="G82" s="276" t="inlineStr">
        <is>
          <t>10895022</t>
        </is>
      </c>
      <c r="H82" s="277" t="n"/>
      <c r="I82" s="276">
        <f>D82*H82</f>
        <v/>
      </c>
    </row>
    <row r="83">
      <c r="A83" s="276" t="inlineStr">
        <is>
          <t>1.3/53</t>
        </is>
      </c>
      <c r="B83" s="276" t="inlineStr">
        <is>
          <t>Клапан запорный 15б1п Ду 50 Ру16</t>
        </is>
      </c>
      <c r="C83" s="276" t="inlineStr">
        <is>
          <t>шт</t>
        </is>
      </c>
      <c r="D83" s="276" t="n">
        <v>7</v>
      </c>
      <c r="E83" s="276" t="inlineStr">
        <is>
          <t>ООО «Бологовский арматурный завод» (ИНН 6908017634)</t>
        </is>
      </c>
      <c r="F83" s="276" t="inlineStr">
        <is>
          <t>Россия</t>
        </is>
      </c>
      <c r="G83" s="276" t="inlineStr">
        <is>
          <t>10895022</t>
        </is>
      </c>
      <c r="H83" s="277" t="n"/>
      <c r="I83" s="276">
        <f>D83*H83</f>
        <v/>
      </c>
    </row>
    <row r="84">
      <c r="A84" s="276" t="inlineStr">
        <is>
          <t>1.3/54</t>
        </is>
      </c>
      <c r="B84" s="276" t="inlineStr">
        <is>
          <t>Клапан запорны 15нж65нж Ду 80 Ру 16 фланцевый</t>
        </is>
      </c>
      <c r="C84" s="276" t="inlineStr">
        <is>
          <t>шт</t>
        </is>
      </c>
      <c r="D84" s="276" t="n">
        <v>2</v>
      </c>
      <c r="E84" s="276" t="inlineStr">
        <is>
          <t>ООО «Восточная арматурная компания»</t>
        </is>
      </c>
      <c r="F84" s="276" t="inlineStr">
        <is>
          <t>Россия</t>
        </is>
      </c>
      <c r="G84" s="276" t="inlineStr">
        <is>
          <t>10811565</t>
        </is>
      </c>
      <c r="H84" s="277" t="n"/>
      <c r="I84" s="276">
        <f>D84*H84</f>
        <v/>
      </c>
    </row>
    <row r="85">
      <c r="A85" s="276" t="inlineStr">
        <is>
          <t>1.3/55</t>
        </is>
      </c>
      <c r="B85" s="276" t="inlineStr">
        <is>
          <t>Клапан запорны 15нж65нж Ду 100 Ру 16 фланцевый</t>
        </is>
      </c>
      <c r="C85" s="276" t="inlineStr">
        <is>
          <t>шт</t>
        </is>
      </c>
      <c r="D85" s="276" t="n">
        <v>9</v>
      </c>
      <c r="E85" s="276" t="inlineStr">
        <is>
          <t>ООО «Восточная арматурная компания»</t>
        </is>
      </c>
      <c r="F85" s="276" t="inlineStr">
        <is>
          <t>Россия</t>
        </is>
      </c>
      <c r="G85" s="276" t="inlineStr">
        <is>
          <t>10811565</t>
        </is>
      </c>
      <c r="H85" s="277" t="n"/>
      <c r="I85" s="276">
        <f>D85*H85</f>
        <v/>
      </c>
    </row>
    <row r="86">
      <c r="A86" s="276" t="inlineStr">
        <is>
          <t>1.3/56</t>
        </is>
      </c>
      <c r="B86" s="276" t="inlineStr">
        <is>
          <t>Клапан запорны 15нж65нж Ду 125 Ру 16 фланцевый</t>
        </is>
      </c>
      <c r="C86" s="276" t="inlineStr">
        <is>
          <t>шт</t>
        </is>
      </c>
      <c r="D86" s="276" t="n">
        <v>1</v>
      </c>
      <c r="E86" s="277" t="inlineStr"/>
      <c r="F86" s="277" t="inlineStr"/>
      <c r="G86" s="277" t="inlineStr"/>
      <c r="H86" s="277" t="n"/>
      <c r="I86" s="276">
        <f>D86*H86</f>
        <v/>
      </c>
    </row>
    <row r="87">
      <c r="A87" s="276" t="inlineStr">
        <is>
          <t>1.3/57</t>
        </is>
      </c>
      <c r="B87" s="276" t="inlineStr">
        <is>
          <t>Клапан запорны 15нж65нж Ду 150 Ру 16 фланцевый</t>
        </is>
      </c>
      <c r="C87" s="276" t="inlineStr">
        <is>
          <t>шт</t>
        </is>
      </c>
      <c r="D87" s="276" t="n">
        <v>3</v>
      </c>
      <c r="E87" s="277" t="inlineStr"/>
      <c r="F87" s="277" t="inlineStr"/>
      <c r="G87" s="277" t="inlineStr"/>
      <c r="H87" s="277" t="n"/>
      <c r="I87" s="276">
        <f>D87*H87</f>
        <v/>
      </c>
    </row>
    <row r="88">
      <c r="A88" s="276" t="inlineStr">
        <is>
          <t>1.3/58</t>
        </is>
      </c>
      <c r="B88" s="276" t="inlineStr">
        <is>
          <t>Клапан запорны 15нж65нж Ду 32 Ру 16 фланцевый</t>
        </is>
      </c>
      <c r="C88" s="276" t="inlineStr">
        <is>
          <t>шт</t>
        </is>
      </c>
      <c r="D88" s="276" t="n">
        <v>4</v>
      </c>
      <c r="E88" s="276" t="inlineStr">
        <is>
          <t>ООО «Восточная арматурная компания»</t>
        </is>
      </c>
      <c r="F88" s="276" t="inlineStr">
        <is>
          <t>Россия</t>
        </is>
      </c>
      <c r="G88" s="276" t="inlineStr">
        <is>
          <t>10811565</t>
        </is>
      </c>
      <c r="H88" s="277" t="n"/>
      <c r="I88" s="276">
        <f>D88*H88</f>
        <v/>
      </c>
    </row>
    <row r="89">
      <c r="A89" s="276" t="inlineStr">
        <is>
          <t>1.3/59</t>
        </is>
      </c>
      <c r="B89" s="276" t="inlineStr">
        <is>
          <t>Клапан запорны 15нж65нж Ду 50 Ру 16 фланцевый</t>
        </is>
      </c>
      <c r="C89" s="276" t="inlineStr">
        <is>
          <t>шт</t>
        </is>
      </c>
      <c r="D89" s="276" t="n">
        <v>4</v>
      </c>
      <c r="E89" s="276" t="inlineStr">
        <is>
          <t>ООО «Восточная арматурная компания»</t>
        </is>
      </c>
      <c r="F89" s="276" t="inlineStr">
        <is>
          <t>Россия</t>
        </is>
      </c>
      <c r="G89" s="276" t="inlineStr">
        <is>
          <t>10811565</t>
        </is>
      </c>
      <c r="H89" s="277" t="n"/>
      <c r="I89" s="276">
        <f>D89*H89</f>
        <v/>
      </c>
    </row>
    <row r="90">
      <c r="A90" s="276" t="inlineStr">
        <is>
          <t>1.3/60</t>
        </is>
      </c>
      <c r="B90" s="276" t="inlineStr">
        <is>
          <t>Клапан запорный 15с22нж Ду 32 Ру 40</t>
        </is>
      </c>
      <c r="C90" s="276" t="inlineStr">
        <is>
          <t>шт</t>
        </is>
      </c>
      <c r="D90" s="276" t="n">
        <v>2</v>
      </c>
      <c r="E90" s="276" t="inlineStr">
        <is>
          <t>ООО «Восточная арматурная компания»</t>
        </is>
      </c>
      <c r="F90" s="276" t="inlineStr">
        <is>
          <t>Россия</t>
        </is>
      </c>
      <c r="G90" s="276" t="inlineStr">
        <is>
          <t>10811565</t>
        </is>
      </c>
      <c r="H90" s="277" t="n"/>
      <c r="I90" s="276">
        <f>D90*H90</f>
        <v/>
      </c>
    </row>
    <row r="91">
      <c r="A91" s="276" t="inlineStr">
        <is>
          <t>1.3/61</t>
        </is>
      </c>
      <c r="B91" s="276" t="inlineStr">
        <is>
          <t>Клапан запорный 15с22нж Ду 50 Ру 40</t>
        </is>
      </c>
      <c r="C91" s="276" t="inlineStr">
        <is>
          <t>шт</t>
        </is>
      </c>
      <c r="D91" s="276" t="n">
        <v>9</v>
      </c>
      <c r="E91" s="276" t="inlineStr">
        <is>
          <t>ООО «Восточная арматурная компания»</t>
        </is>
      </c>
      <c r="F91" s="276" t="inlineStr">
        <is>
          <t>Россия</t>
        </is>
      </c>
      <c r="G91" s="276" t="inlineStr">
        <is>
          <t>10811565</t>
        </is>
      </c>
      <c r="H91" s="277" t="n"/>
      <c r="I91" s="276">
        <f>D91*H91</f>
        <v/>
      </c>
    </row>
    <row r="92">
      <c r="A92" s="276" t="inlineStr">
        <is>
          <t>1.3/62</t>
        </is>
      </c>
      <c r="B92" s="276" t="inlineStr">
        <is>
          <t>Клапан запорный 15с22нж Ду 80 Ру 40</t>
        </is>
      </c>
      <c r="C92" s="276" t="inlineStr">
        <is>
          <t>шт</t>
        </is>
      </c>
      <c r="D92" s="276" t="n">
        <v>6</v>
      </c>
      <c r="E92" s="276" t="inlineStr">
        <is>
          <t>ООО «Восточная арматурная компания»</t>
        </is>
      </c>
      <c r="F92" s="276" t="inlineStr">
        <is>
          <t>Россия</t>
        </is>
      </c>
      <c r="G92" s="276" t="inlineStr">
        <is>
          <t>10811565</t>
        </is>
      </c>
      <c r="H92" s="277" t="n"/>
      <c r="I92" s="276">
        <f>D92*H92</f>
        <v/>
      </c>
    </row>
    <row r="93">
      <c r="A93" s="276" t="inlineStr">
        <is>
          <t>1.3/63</t>
        </is>
      </c>
      <c r="B93" s="276" t="inlineStr">
        <is>
          <t>Клапан запорный 15с52нж11 Ду 20 Ру 63 под приварку</t>
        </is>
      </c>
      <c r="C93" s="276" t="inlineStr">
        <is>
          <t>шт</t>
        </is>
      </c>
      <c r="D93" s="276" t="n">
        <v>6</v>
      </c>
      <c r="E93" s="276" t="inlineStr">
        <is>
          <t>ООО «Восточная арматурная компания»</t>
        </is>
      </c>
      <c r="F93" s="276" t="inlineStr">
        <is>
          <t>Россия</t>
        </is>
      </c>
      <c r="G93" s="276" t="inlineStr">
        <is>
          <t>10811565</t>
        </is>
      </c>
      <c r="H93" s="277" t="n"/>
      <c r="I93" s="276">
        <f>D93*H93</f>
        <v/>
      </c>
    </row>
    <row r="94">
      <c r="A94" s="276" t="inlineStr">
        <is>
          <t>1.3/64</t>
        </is>
      </c>
      <c r="B94" s="276" t="inlineStr">
        <is>
          <t>Клапан запорный 15ч75п2 Ду 25 Ру10</t>
        </is>
      </c>
      <c r="C94" s="276" t="inlineStr">
        <is>
          <t>шт</t>
        </is>
      </c>
      <c r="D94" s="276" t="n">
        <v>3</v>
      </c>
      <c r="E94" s="277" t="inlineStr"/>
      <c r="F94" s="277" t="inlineStr"/>
      <c r="G94" s="277" t="inlineStr"/>
      <c r="H94" s="277" t="n"/>
      <c r="I94" s="276">
        <f>D94*H94</f>
        <v/>
      </c>
    </row>
    <row r="95">
      <c r="A95" s="276" t="inlineStr">
        <is>
          <t>1.3/65</t>
        </is>
      </c>
      <c r="B95" s="276" t="inlineStr">
        <is>
          <t>Клапан запорный 15ч75п2 Ду 50 Ру10</t>
        </is>
      </c>
      <c r="C95" s="276" t="inlineStr">
        <is>
          <t>шт</t>
        </is>
      </c>
      <c r="D95" s="276" t="n">
        <v>9</v>
      </c>
      <c r="E95" s="277" t="inlineStr"/>
      <c r="F95" s="277" t="inlineStr"/>
      <c r="G95" s="277" t="inlineStr"/>
      <c r="H95" s="277" t="n"/>
      <c r="I95" s="276">
        <f>D95*H95</f>
        <v/>
      </c>
    </row>
    <row r="96">
      <c r="A96" s="276" t="inlineStr">
        <is>
          <t>1.3/66</t>
        </is>
      </c>
      <c r="B96" s="276" t="inlineStr">
        <is>
          <t>Клапан запорный 15ч76п2 Ду 80 Ру 6,3</t>
        </is>
      </c>
      <c r="C96" s="276" t="inlineStr">
        <is>
          <t>шт</t>
        </is>
      </c>
      <c r="D96" s="276" t="n">
        <v>3</v>
      </c>
      <c r="E96" s="277" t="inlineStr"/>
      <c r="F96" s="277" t="inlineStr"/>
      <c r="G96" s="277" t="inlineStr"/>
      <c r="H96" s="277" t="n"/>
      <c r="I96" s="276">
        <f>D96*H96</f>
        <v/>
      </c>
    </row>
    <row r="97">
      <c r="A97" s="276" t="inlineStr">
        <is>
          <t>1.3/67</t>
        </is>
      </c>
      <c r="B97" s="276" t="inlineStr">
        <is>
          <t>Клапан запорный 15ч93эм Ду 20 Ру 16</t>
        </is>
      </c>
      <c r="C97" s="276" t="inlineStr">
        <is>
          <t>шт</t>
        </is>
      </c>
      <c r="D97" s="276" t="n">
        <v>2</v>
      </c>
      <c r="E97" s="276" t="inlineStr">
        <is>
          <t>АО «Благовещенский арматурный завод»</t>
        </is>
      </c>
      <c r="F97" s="277" t="inlineStr"/>
      <c r="G97" s="277" t="inlineStr"/>
      <c r="H97" s="277" t="n"/>
      <c r="I97" s="276">
        <f>D97*H97</f>
        <v/>
      </c>
    </row>
    <row r="98">
      <c r="A98" s="276" t="inlineStr">
        <is>
          <t>1.3/68</t>
        </is>
      </c>
      <c r="B98" s="276" t="inlineStr">
        <is>
          <t>Задвижка 30нж41нж DN 100 PN 16 1исп. САЗ</t>
        </is>
      </c>
      <c r="C98" s="276" t="inlineStr">
        <is>
          <t>шт</t>
        </is>
      </c>
      <c r="D98" s="276" t="n">
        <v>2</v>
      </c>
      <c r="E98" s="276" t="inlineStr">
        <is>
          <t>ООО «Пермский трубопроводный завод» (ИНН 5904173655)</t>
        </is>
      </c>
      <c r="F98" s="276" t="inlineStr">
        <is>
          <t>Россия</t>
        </is>
      </c>
      <c r="G98" s="276" t="inlineStr">
        <is>
          <t>10698940</t>
        </is>
      </c>
      <c r="H98" s="277" t="n"/>
      <c r="I98" s="276">
        <f>D98*H98</f>
        <v/>
      </c>
    </row>
    <row r="99">
      <c r="A99" s="276" t="inlineStr">
        <is>
          <t>1.3/69</t>
        </is>
      </c>
      <c r="B99" s="276" t="inlineStr">
        <is>
          <t>Задвижка 30нж41нж DN 150 PN 16 1исп. САЗ</t>
        </is>
      </c>
      <c r="C99" s="276" t="inlineStr">
        <is>
          <t>шт</t>
        </is>
      </c>
      <c r="D99" s="276" t="n">
        <v>2</v>
      </c>
      <c r="E99" s="276" t="inlineStr">
        <is>
          <t>ООО «Пермский трубопроводный завод» (ИНН 5904173655)</t>
        </is>
      </c>
      <c r="F99" s="276" t="inlineStr">
        <is>
          <t>Россия</t>
        </is>
      </c>
      <c r="G99" s="276" t="inlineStr">
        <is>
          <t>10698940</t>
        </is>
      </c>
      <c r="H99" s="277" t="n"/>
      <c r="I99" s="276">
        <f>D99*H99</f>
        <v/>
      </c>
    </row>
    <row r="100">
      <c r="A100" s="276" t="inlineStr">
        <is>
          <t>1.3/70</t>
        </is>
      </c>
      <c r="B100" s="276" t="inlineStr">
        <is>
          <t>Задвижка 30нж41нж DN 200 PN 16 1исп. САЗ</t>
        </is>
      </c>
      <c r="C100" s="276" t="inlineStr">
        <is>
          <t>шт</t>
        </is>
      </c>
      <c r="D100" s="276" t="n">
        <v>2</v>
      </c>
      <c r="E100" s="276" t="inlineStr">
        <is>
          <t>ООО «Пермский трубопроводный завод» (ИНН 5904173655)</t>
        </is>
      </c>
      <c r="F100" s="276" t="inlineStr">
        <is>
          <t>Россия</t>
        </is>
      </c>
      <c r="G100" s="276" t="inlineStr">
        <is>
          <t>10698940</t>
        </is>
      </c>
      <c r="H100" s="277" t="n"/>
      <c r="I100" s="276">
        <f>D100*H100</f>
        <v/>
      </c>
    </row>
    <row r="101">
      <c r="A101" s="276" t="inlineStr">
        <is>
          <t>1.3/71</t>
        </is>
      </c>
      <c r="B101" s="276" t="inlineStr">
        <is>
          <t>Задвижка 30нж41нж DN 50 PN 16 1исп. САЗ</t>
        </is>
      </c>
      <c r="C101" s="276" t="inlineStr">
        <is>
          <t>шт</t>
        </is>
      </c>
      <c r="D101" s="276" t="n">
        <v>2</v>
      </c>
      <c r="E101" s="276" t="inlineStr">
        <is>
          <t>ООО «Пермский трубопроводный завод» (ИНН 5904173655)</t>
        </is>
      </c>
      <c r="F101" s="276" t="inlineStr">
        <is>
          <t>Россия</t>
        </is>
      </c>
      <c r="G101" s="276" t="inlineStr">
        <is>
          <t>10698940</t>
        </is>
      </c>
      <c r="H101" s="277" t="n"/>
      <c r="I101" s="276">
        <f>D101*H101</f>
        <v/>
      </c>
    </row>
    <row r="102">
      <c r="A102" s="276" t="inlineStr">
        <is>
          <t>1.3/72</t>
        </is>
      </c>
      <c r="B102" s="276" t="inlineStr">
        <is>
          <t>Задвижка 30нж41нж DN 80 PN 16 1исп. САЗ</t>
        </is>
      </c>
      <c r="C102" s="276" t="inlineStr">
        <is>
          <t>шт</t>
        </is>
      </c>
      <c r="D102" s="276" t="n">
        <v>2</v>
      </c>
      <c r="E102" s="276" t="inlineStr">
        <is>
          <t>ООО «Пермский трубопроводный завод» (ИНН 5904173655)</t>
        </is>
      </c>
      <c r="F102" s="276" t="inlineStr">
        <is>
          <t>Россия</t>
        </is>
      </c>
      <c r="G102" s="276" t="inlineStr">
        <is>
          <t>10698940</t>
        </is>
      </c>
      <c r="H102" s="277" t="n"/>
      <c r="I102" s="276">
        <f>D102*H102</f>
        <v/>
      </c>
    </row>
    <row r="103">
      <c r="A103" s="276" t="inlineStr">
        <is>
          <t>1.3/73</t>
        </is>
      </c>
      <c r="B103" s="276" t="inlineStr">
        <is>
          <t>Задвижка 30с41нж Ду 50 Ру 16</t>
        </is>
      </c>
      <c r="C103" s="276" t="inlineStr">
        <is>
          <t>шт</t>
        </is>
      </c>
      <c r="D103" s="276" t="n">
        <v>6</v>
      </c>
      <c r="E103" s="276" t="inlineStr">
        <is>
          <t>АО «Благовещенский арматурный завод»</t>
        </is>
      </c>
      <c r="F103" s="276" t="inlineStr">
        <is>
          <t>Россия</t>
        </is>
      </c>
      <c r="G103" s="276" t="inlineStr">
        <is>
          <t>10306805</t>
        </is>
      </c>
      <c r="H103" s="277" t="n"/>
      <c r="I103" s="276">
        <f>D103*H103</f>
        <v/>
      </c>
    </row>
    <row r="104">
      <c r="A104" s="276" t="inlineStr">
        <is>
          <t>1.3/74</t>
        </is>
      </c>
      <c r="B104" s="276" t="inlineStr">
        <is>
          <t>Задвижка 30с41нж Ду 80 Ру 16</t>
        </is>
      </c>
      <c r="C104" s="276" t="inlineStr">
        <is>
          <t>шт</t>
        </is>
      </c>
      <c r="D104" s="276" t="n">
        <v>12</v>
      </c>
      <c r="E104" s="276" t="inlineStr">
        <is>
          <t>ООО «Пермский трубопроводный завод» (ИНН 5904173655)</t>
        </is>
      </c>
      <c r="F104" s="276" t="inlineStr">
        <is>
          <t>Россия</t>
        </is>
      </c>
      <c r="G104" s="276" t="inlineStr">
        <is>
          <t>10698940</t>
        </is>
      </c>
      <c r="H104" s="277" t="n"/>
      <c r="I104" s="276">
        <f>D104*H104</f>
        <v/>
      </c>
    </row>
    <row r="105">
      <c r="A105" s="276" t="inlineStr">
        <is>
          <t>1.3/75</t>
        </is>
      </c>
      <c r="B105" s="276" t="inlineStr">
        <is>
          <t>Задвижка 30с41нж Ду 100 Ру 16</t>
        </is>
      </c>
      <c r="C105" s="276" t="inlineStr">
        <is>
          <t>шт</t>
        </is>
      </c>
      <c r="D105" s="276" t="n">
        <v>2</v>
      </c>
      <c r="E105" s="276" t="inlineStr">
        <is>
          <t>АО «Благовещенский арматурный завод»</t>
        </is>
      </c>
      <c r="F105" s="276" t="inlineStr">
        <is>
          <t>Россия</t>
        </is>
      </c>
      <c r="G105" s="276" t="inlineStr">
        <is>
          <t>10306805</t>
        </is>
      </c>
      <c r="H105" s="277" t="n"/>
      <c r="I105" s="276">
        <f>D105*H105</f>
        <v/>
      </c>
    </row>
    <row r="106">
      <c r="A106" s="276" t="inlineStr">
        <is>
          <t>1.3/76</t>
        </is>
      </c>
      <c r="B106" s="276" t="inlineStr">
        <is>
          <t>Задвижка 30с41нж Ду 150 Ру 16</t>
        </is>
      </c>
      <c r="C106" s="276" t="inlineStr">
        <is>
          <t>шт</t>
        </is>
      </c>
      <c r="D106" s="276" t="n">
        <v>5</v>
      </c>
      <c r="E106" s="276" t="inlineStr">
        <is>
          <t>АО «Благовещенский арматурный завод»</t>
        </is>
      </c>
      <c r="F106" s="276" t="inlineStr">
        <is>
          <t>Россия</t>
        </is>
      </c>
      <c r="G106" s="276" t="inlineStr">
        <is>
          <t>10306805</t>
        </is>
      </c>
      <c r="H106" s="277" t="n"/>
      <c r="I106" s="276">
        <f>D106*H106</f>
        <v/>
      </c>
    </row>
    <row r="107">
      <c r="A107" s="276" t="inlineStr">
        <is>
          <t>1.3/77</t>
        </is>
      </c>
      <c r="B107" s="276" t="inlineStr">
        <is>
          <t>Задвижка 30с564нж Ду 400 Ру 25</t>
        </is>
      </c>
      <c r="C107" s="276" t="inlineStr">
        <is>
          <t>шт</t>
        </is>
      </c>
      <c r="D107" s="276" t="n">
        <v>3</v>
      </c>
      <c r="E107" s="276" t="inlineStr">
        <is>
          <t>ООО «Пермский трубопроводный завод» (ИНН 5904173655)</t>
        </is>
      </c>
      <c r="F107" s="276" t="inlineStr">
        <is>
          <t>Россия</t>
        </is>
      </c>
      <c r="G107" s="276" t="inlineStr">
        <is>
          <t>10698940</t>
        </is>
      </c>
      <c r="H107" s="277" t="n"/>
      <c r="I107" s="276">
        <f>D107*H107</f>
        <v/>
      </c>
    </row>
    <row r="108">
      <c r="A108" s="276" t="inlineStr">
        <is>
          <t>1.3/78</t>
        </is>
      </c>
      <c r="B108" s="276" t="inlineStr">
        <is>
          <t>Задвижка 30с64нж Ду 50 Ру 25</t>
        </is>
      </c>
      <c r="C108" s="276" t="inlineStr">
        <is>
          <t>шт</t>
        </is>
      </c>
      <c r="D108" s="276" t="n">
        <v>5</v>
      </c>
      <c r="E108" s="276" t="inlineStr">
        <is>
          <t>ООО «Пермский трубопроводный завод» (ИНН 5904173655)</t>
        </is>
      </c>
      <c r="F108" s="276" t="inlineStr">
        <is>
          <t>Россия</t>
        </is>
      </c>
      <c r="G108" s="276" t="inlineStr">
        <is>
          <t>10698940</t>
        </is>
      </c>
      <c r="H108" s="277" t="n"/>
      <c r="I108" s="276">
        <f>D108*H108</f>
        <v/>
      </c>
    </row>
    <row r="109">
      <c r="A109" s="276" t="inlineStr">
        <is>
          <t>1.3/79</t>
        </is>
      </c>
      <c r="B109" s="276" t="inlineStr">
        <is>
          <t>Задвижка 30с64нж Ду 80 Ру 25</t>
        </is>
      </c>
      <c r="C109" s="276" t="inlineStr">
        <is>
          <t>шт</t>
        </is>
      </c>
      <c r="D109" s="276" t="n">
        <v>3</v>
      </c>
      <c r="E109" s="276" t="inlineStr">
        <is>
          <t>ООО «Пермский трубопроводный завод» (ИНН 5904173655)</t>
        </is>
      </c>
      <c r="F109" s="276" t="inlineStr">
        <is>
          <t>Россия</t>
        </is>
      </c>
      <c r="G109" s="276" t="inlineStr">
        <is>
          <t>10698940</t>
        </is>
      </c>
      <c r="H109" s="277" t="n"/>
      <c r="I109" s="276">
        <f>D109*H109</f>
        <v/>
      </c>
    </row>
    <row r="110">
      <c r="A110" s="276" t="inlineStr">
        <is>
          <t>1.3/80</t>
        </is>
      </c>
      <c r="B110" s="276" t="inlineStr">
        <is>
          <t>Задвижка 30с64нж Ду 100 Ру 25</t>
        </is>
      </c>
      <c r="C110" s="276" t="inlineStr">
        <is>
          <t>шт</t>
        </is>
      </c>
      <c r="D110" s="276" t="n">
        <v>20</v>
      </c>
      <c r="E110" s="276" t="inlineStr">
        <is>
          <t>ООО «Пермский трубопроводный завод» (ИНН 5904173655)</t>
        </is>
      </c>
      <c r="F110" s="276" t="inlineStr">
        <is>
          <t>Россия</t>
        </is>
      </c>
      <c r="G110" s="276" t="inlineStr">
        <is>
          <t>10698940</t>
        </is>
      </c>
      <c r="H110" s="277" t="n"/>
      <c r="I110" s="276">
        <f>D110*H110</f>
        <v/>
      </c>
    </row>
    <row r="111">
      <c r="A111" s="276" t="inlineStr">
        <is>
          <t>1.3/81</t>
        </is>
      </c>
      <c r="B111" s="276" t="inlineStr">
        <is>
          <t>Задвижка 30с64нж Ду 150 Ру 25</t>
        </is>
      </c>
      <c r="C111" s="276" t="inlineStr">
        <is>
          <t>шт</t>
        </is>
      </c>
      <c r="D111" s="276" t="n">
        <v>18</v>
      </c>
      <c r="E111" s="276" t="inlineStr">
        <is>
          <t>ООО «Пермский трубопроводный завод» (ИНН 5904173655)</t>
        </is>
      </c>
      <c r="F111" s="276" t="inlineStr">
        <is>
          <t>Россия</t>
        </is>
      </c>
      <c r="G111" s="276" t="inlineStr">
        <is>
          <t>10698940</t>
        </is>
      </c>
      <c r="H111" s="277" t="n"/>
      <c r="I111" s="276">
        <f>D111*H111</f>
        <v/>
      </c>
    </row>
    <row r="112">
      <c r="A112" s="276" t="inlineStr">
        <is>
          <t>1.3/82</t>
        </is>
      </c>
      <c r="B112" s="276" t="inlineStr">
        <is>
          <t>Задвижка 30с64нж Ду 200 Ру 25</t>
        </is>
      </c>
      <c r="C112" s="276" t="inlineStr">
        <is>
          <t>шт</t>
        </is>
      </c>
      <c r="D112" s="276" t="n">
        <v>9</v>
      </c>
      <c r="E112" s="276" t="inlineStr">
        <is>
          <t>ООО «Пермский трубопроводный завод» (ИНН 5904173655)</t>
        </is>
      </c>
      <c r="F112" s="276" t="inlineStr">
        <is>
          <t>Россия</t>
        </is>
      </c>
      <c r="G112" s="276" t="inlineStr">
        <is>
          <t>10698940</t>
        </is>
      </c>
      <c r="H112" s="277" t="n"/>
      <c r="I112" s="276">
        <f>D112*H112</f>
        <v/>
      </c>
    </row>
    <row r="113">
      <c r="A113" s="276" t="inlineStr">
        <is>
          <t>1.3/83</t>
        </is>
      </c>
      <c r="B113" s="276" t="inlineStr">
        <is>
          <t>Задвижка 30с64нж Ду 250 Ру 25</t>
        </is>
      </c>
      <c r="C113" s="276" t="inlineStr">
        <is>
          <t>шт</t>
        </is>
      </c>
      <c r="D113" s="276" t="n">
        <v>2</v>
      </c>
      <c r="E113" s="276" t="inlineStr">
        <is>
          <t>ООО «Пермский трубопроводный завод» (ИНН 5904173655)</t>
        </is>
      </c>
      <c r="F113" s="276" t="inlineStr">
        <is>
          <t>Россия</t>
        </is>
      </c>
      <c r="G113" s="276" t="inlineStr">
        <is>
          <t>10698940</t>
        </is>
      </c>
      <c r="H113" s="277" t="n"/>
      <c r="I113" s="276">
        <f>D113*H113</f>
        <v/>
      </c>
    </row>
    <row r="114">
      <c r="A114" s="276" t="inlineStr">
        <is>
          <t>1.3/84</t>
        </is>
      </c>
      <c r="B114" s="276" t="inlineStr">
        <is>
          <t>Задвижка 30с64нж Ду 300 Ру 25</t>
        </is>
      </c>
      <c r="C114" s="276" t="inlineStr">
        <is>
          <t>шт</t>
        </is>
      </c>
      <c r="D114" s="276" t="n">
        <v>3</v>
      </c>
      <c r="E114" s="276" t="inlineStr">
        <is>
          <t>ООО «Пермский трубопроводный завод» (ИНН 5904173655)</t>
        </is>
      </c>
      <c r="F114" s="276" t="inlineStr">
        <is>
          <t>Россия</t>
        </is>
      </c>
      <c r="G114" s="276" t="inlineStr">
        <is>
          <t>10698940</t>
        </is>
      </c>
      <c r="H114" s="277" t="n"/>
      <c r="I114" s="276">
        <f>D114*H114</f>
        <v/>
      </c>
    </row>
    <row r="115">
      <c r="A115" s="276" t="inlineStr">
        <is>
          <t>1.3/85</t>
        </is>
      </c>
      <c r="B115" s="276" t="inlineStr">
        <is>
          <t>Задвижка 30с76нж Ду 200 Ру 63</t>
        </is>
      </c>
      <c r="C115" s="276" t="inlineStr">
        <is>
          <t>шт</t>
        </is>
      </c>
      <c r="D115" s="276" t="n">
        <v>1</v>
      </c>
      <c r="E115" s="276" t="inlineStr">
        <is>
          <t>АО «Благовещенский арматурный завод»</t>
        </is>
      </c>
      <c r="F115" s="276" t="inlineStr">
        <is>
          <t>Россия</t>
        </is>
      </c>
      <c r="G115" s="276" t="inlineStr">
        <is>
          <t>10306806</t>
        </is>
      </c>
      <c r="H115" s="277" t="n"/>
      <c r="I115" s="276">
        <f>D115*H115</f>
        <v/>
      </c>
    </row>
    <row r="116">
      <c r="A116" s="276" t="inlineStr">
        <is>
          <t>1.3/86</t>
        </is>
      </c>
      <c r="B116" s="276" t="inlineStr">
        <is>
          <t>Задвижка 30с927нж Ду 250 Ру 25 с электроприводом</t>
        </is>
      </c>
      <c r="C116" s="276" t="inlineStr">
        <is>
          <t>шт</t>
        </is>
      </c>
      <c r="D116" s="276" t="n">
        <v>2</v>
      </c>
      <c r="E116" s="276" t="inlineStr">
        <is>
          <t>АО «Благовещенский арматурный завод»</t>
        </is>
      </c>
      <c r="F116" s="276" t="inlineStr">
        <is>
          <t>Россия</t>
        </is>
      </c>
      <c r="G116" s="276" t="inlineStr">
        <is>
          <t>10306805</t>
        </is>
      </c>
      <c r="H116" s="277" t="n"/>
      <c r="I116" s="276">
        <f>D116*H116</f>
        <v/>
      </c>
    </row>
    <row r="117">
      <c r="A117" s="276" t="inlineStr">
        <is>
          <t>1.3/87</t>
        </is>
      </c>
      <c r="B117" s="276" t="inlineStr">
        <is>
          <t>Задвижка 30с941нж Ду 150 Ру 16 с электроприводом</t>
        </is>
      </c>
      <c r="C117" s="276" t="inlineStr">
        <is>
          <t>шт</t>
        </is>
      </c>
      <c r="D117" s="276" t="n">
        <v>6</v>
      </c>
      <c r="E117" s="276" t="inlineStr">
        <is>
          <t>ООО «Пермский трубопроводный завод» (ИНН 5904173655)</t>
        </is>
      </c>
      <c r="F117" s="276" t="inlineStr">
        <is>
          <t>Россия</t>
        </is>
      </c>
      <c r="G117" s="276" t="inlineStr">
        <is>
          <t>10698940</t>
        </is>
      </c>
      <c r="H117" s="277" t="n"/>
      <c r="I117" s="276">
        <f>D117*H117</f>
        <v/>
      </c>
    </row>
    <row r="118">
      <c r="A118" s="276" t="inlineStr">
        <is>
          <t>1.3/88</t>
        </is>
      </c>
      <c r="B118" s="276" t="inlineStr">
        <is>
          <t>Задвижка 30с964нж Ду 150 Ру 25 с электроприводом</t>
        </is>
      </c>
      <c r="C118" s="276" t="inlineStr">
        <is>
          <t>шт</t>
        </is>
      </c>
      <c r="D118" s="276" t="n">
        <v>1</v>
      </c>
      <c r="E118" s="276" t="inlineStr">
        <is>
          <t>ООО «Пермский трубопроводный завод» (ИНН 5904173655)</t>
        </is>
      </c>
      <c r="F118" s="276" t="inlineStr">
        <is>
          <t>Россия</t>
        </is>
      </c>
      <c r="G118" s="276" t="inlineStr">
        <is>
          <t>10698940</t>
        </is>
      </c>
      <c r="H118" s="277" t="n"/>
      <c r="I118" s="276">
        <f>D118*H118</f>
        <v/>
      </c>
    </row>
    <row r="119">
      <c r="A119" s="276" t="inlineStr">
        <is>
          <t>1.3/89</t>
        </is>
      </c>
      <c r="B119" s="276" t="inlineStr">
        <is>
          <t>Задвижка 30с964нж Ду 400 Ру 25</t>
        </is>
      </c>
      <c r="C119" s="276" t="inlineStr">
        <is>
          <t>шт</t>
        </is>
      </c>
      <c r="D119" s="276" t="n">
        <v>4</v>
      </c>
      <c r="E119" s="276" t="inlineStr">
        <is>
          <t>ООО «Пермский трубопроводный завод» (ИНН 5904173655)</t>
        </is>
      </c>
      <c r="F119" s="276" t="inlineStr">
        <is>
          <t>Россия</t>
        </is>
      </c>
      <c r="G119" s="276" t="inlineStr">
        <is>
          <t>10698940</t>
        </is>
      </c>
      <c r="H119" s="277" t="n"/>
      <c r="I119" s="276">
        <f>D119*H119</f>
        <v/>
      </c>
    </row>
    <row r="120">
      <c r="A120" s="276" t="inlineStr">
        <is>
          <t>1.3/90</t>
        </is>
      </c>
      <c r="B120" s="276" t="inlineStr">
        <is>
          <t>Задвижка стальная 30с964нж Ду 100 Ру 25 с электроприводом  МТ-100-220, 220В</t>
        </is>
      </c>
      <c r="C120" s="276" t="inlineStr">
        <is>
          <t>шт</t>
        </is>
      </c>
      <c r="D120" s="276" t="n">
        <v>3</v>
      </c>
      <c r="E120" s="276" t="inlineStr">
        <is>
          <t>ООО «Пермский трубопроводный завод» (ИНН 5904173655)</t>
        </is>
      </c>
      <c r="F120" s="276" t="inlineStr">
        <is>
          <t>Россия</t>
        </is>
      </c>
      <c r="G120" s="276" t="inlineStr">
        <is>
          <t>10698940</t>
        </is>
      </c>
      <c r="H120" s="277" t="n"/>
      <c r="I120" s="276">
        <f>D120*H120</f>
        <v/>
      </c>
    </row>
    <row r="121">
      <c r="A121" s="276" t="inlineStr">
        <is>
          <t>1.3/91</t>
        </is>
      </c>
      <c r="B121" s="276" t="inlineStr">
        <is>
          <t>Задвижка 30с99нж Ду 50 Ру 25</t>
        </is>
      </c>
      <c r="C121" s="276" t="inlineStr">
        <is>
          <t>шт</t>
        </is>
      </c>
      <c r="D121" s="276" t="n">
        <v>1</v>
      </c>
      <c r="E121" s="276" t="inlineStr">
        <is>
          <t>ООО «Пермский трубопроводный завод» (ИНН 5904173655)</t>
        </is>
      </c>
      <c r="F121" s="276" t="inlineStr">
        <is>
          <t>Россия</t>
        </is>
      </c>
      <c r="G121" s="276" t="inlineStr">
        <is>
          <t>10698940</t>
        </is>
      </c>
      <c r="H121" s="277" t="n"/>
      <c r="I121" s="276">
        <f>D121*H121</f>
        <v/>
      </c>
    </row>
    <row r="122">
      <c r="A122" s="276" t="inlineStr">
        <is>
          <t>1.3/92</t>
        </is>
      </c>
      <c r="B122" s="276" t="inlineStr">
        <is>
          <t>Задвижка 30с99нж Ду 80 Ру 25</t>
        </is>
      </c>
      <c r="C122" s="276" t="inlineStr">
        <is>
          <t>шт</t>
        </is>
      </c>
      <c r="D122" s="276" t="n">
        <v>1</v>
      </c>
      <c r="E122" s="276" t="inlineStr">
        <is>
          <t>ООО «Пермский трубопроводный завод» (ИНН 5904173655)</t>
        </is>
      </c>
      <c r="F122" s="276" t="inlineStr">
        <is>
          <t>Россия</t>
        </is>
      </c>
      <c r="G122" s="276" t="inlineStr">
        <is>
          <t>10698940</t>
        </is>
      </c>
      <c r="H122" s="277" t="n"/>
      <c r="I122" s="276">
        <f>D122*H122</f>
        <v/>
      </c>
    </row>
    <row r="123">
      <c r="A123" s="276" t="inlineStr">
        <is>
          <t>1.3/93</t>
        </is>
      </c>
      <c r="B123" s="276" t="inlineStr">
        <is>
          <t>Задвижка 30ч6бр Ду 50 Ру 10</t>
        </is>
      </c>
      <c r="C123" s="276" t="inlineStr">
        <is>
          <t>шт</t>
        </is>
      </c>
      <c r="D123" s="276" t="n">
        <v>8</v>
      </c>
      <c r="E123" s="276" t="inlineStr">
        <is>
          <t>ООО ПИК «АЛГРУПП»</t>
        </is>
      </c>
      <c r="F123" s="276" t="inlineStr">
        <is>
          <t>Россия</t>
        </is>
      </c>
      <c r="G123" s="276" t="inlineStr">
        <is>
          <t>10716626</t>
        </is>
      </c>
      <c r="H123" s="277" t="n"/>
      <c r="I123" s="276">
        <f>D123*H123</f>
        <v/>
      </c>
    </row>
    <row r="124">
      <c r="A124" s="276" t="inlineStr">
        <is>
          <t>1.3/94</t>
        </is>
      </c>
      <c r="B124" s="276" t="inlineStr">
        <is>
          <t>Задвижка 30ч6бр Ду 80 Ру 10</t>
        </is>
      </c>
      <c r="C124" s="276" t="inlineStr">
        <is>
          <t>шт</t>
        </is>
      </c>
      <c r="D124" s="276" t="n">
        <v>14</v>
      </c>
      <c r="E124" s="276" t="inlineStr">
        <is>
          <t>ООО ПИК «АЛГРУПП»</t>
        </is>
      </c>
      <c r="F124" s="276" t="inlineStr">
        <is>
          <t>Россия</t>
        </is>
      </c>
      <c r="G124" s="276" t="inlineStr">
        <is>
          <t>10716626</t>
        </is>
      </c>
      <c r="H124" s="277" t="n"/>
      <c r="I124" s="276">
        <f>D124*H124</f>
        <v/>
      </c>
    </row>
    <row r="125">
      <c r="A125" s="276" t="inlineStr">
        <is>
          <t>1.3/95</t>
        </is>
      </c>
      <c r="B125" s="276" t="inlineStr">
        <is>
          <t>Задвижка 30ч6бр Ду 100 Ру 10</t>
        </is>
      </c>
      <c r="C125" s="276" t="inlineStr">
        <is>
          <t>шт</t>
        </is>
      </c>
      <c r="D125" s="276" t="n">
        <v>19</v>
      </c>
      <c r="E125" s="276" t="inlineStr">
        <is>
          <t>ООО ПИК «АЛГРУПП»</t>
        </is>
      </c>
      <c r="F125" s="276" t="inlineStr">
        <is>
          <t>Россия</t>
        </is>
      </c>
      <c r="G125" s="276" t="inlineStr">
        <is>
          <t>10716626</t>
        </is>
      </c>
      <c r="H125" s="277" t="n"/>
      <c r="I125" s="276">
        <f>D125*H125</f>
        <v/>
      </c>
    </row>
    <row r="126">
      <c r="A126" s="276" t="inlineStr">
        <is>
          <t>1.3/96</t>
        </is>
      </c>
      <c r="B126" s="276" t="inlineStr">
        <is>
          <t>Задвижка 30ч6бр Ду 150 Ру 10</t>
        </is>
      </c>
      <c r="C126" s="276" t="inlineStr">
        <is>
          <t>шт</t>
        </is>
      </c>
      <c r="D126" s="276" t="n">
        <v>19</v>
      </c>
      <c r="E126" s="276" t="inlineStr">
        <is>
          <t>ООО ПИК «АЛГРУПП»</t>
        </is>
      </c>
      <c r="F126" s="276" t="inlineStr">
        <is>
          <t>Россия</t>
        </is>
      </c>
      <c r="G126" s="276" t="inlineStr">
        <is>
          <t>10716626</t>
        </is>
      </c>
      <c r="H126" s="277" t="n"/>
      <c r="I126" s="276">
        <f>D126*H126</f>
        <v/>
      </c>
    </row>
    <row r="127">
      <c r="A127" s="276" t="inlineStr">
        <is>
          <t>1.3/97</t>
        </is>
      </c>
      <c r="B127" s="276" t="inlineStr">
        <is>
          <t>Задвижка 30ч6бр Ду 200 Ру 10</t>
        </is>
      </c>
      <c r="C127" s="276" t="inlineStr">
        <is>
          <t>шт</t>
        </is>
      </c>
      <c r="D127" s="276" t="n">
        <v>13</v>
      </c>
      <c r="E127" s="276" t="inlineStr">
        <is>
          <t>ООО ПИК «АЛГРУПП»</t>
        </is>
      </c>
      <c r="F127" s="276" t="inlineStr">
        <is>
          <t>Россия</t>
        </is>
      </c>
      <c r="G127" s="276" t="inlineStr">
        <is>
          <t>10716626</t>
        </is>
      </c>
      <c r="H127" s="277" t="n"/>
      <c r="I127" s="276">
        <f>D127*H127</f>
        <v/>
      </c>
    </row>
    <row r="128">
      <c r="A128" s="276" t="inlineStr">
        <is>
          <t>1.3/98</t>
        </is>
      </c>
      <c r="B128" s="276" t="inlineStr">
        <is>
          <t>Задвижка 30ч6бр Ду 250 Ру 10</t>
        </is>
      </c>
      <c r="C128" s="276" t="inlineStr">
        <is>
          <t>шт</t>
        </is>
      </c>
      <c r="D128" s="276" t="n">
        <v>4</v>
      </c>
      <c r="E128" s="276" t="inlineStr">
        <is>
          <t>ООО ПИК «АЛГРУПП»</t>
        </is>
      </c>
      <c r="F128" s="276" t="inlineStr">
        <is>
          <t>Россия</t>
        </is>
      </c>
      <c r="G128" s="276" t="inlineStr">
        <is>
          <t>10716626</t>
        </is>
      </c>
      <c r="H128" s="277" t="n"/>
      <c r="I128" s="276">
        <f>D128*H128</f>
        <v/>
      </c>
    </row>
    <row r="129">
      <c r="A129" s="276" t="inlineStr">
        <is>
          <t>1.3/99</t>
        </is>
      </c>
      <c r="B129" s="276" t="inlineStr">
        <is>
          <t>Задвижка 30ч6бр Ду 300 Ру 10</t>
        </is>
      </c>
      <c r="C129" s="276" t="inlineStr">
        <is>
          <t>шт</t>
        </is>
      </c>
      <c r="D129" s="276" t="n">
        <v>4</v>
      </c>
      <c r="E129" s="276" t="inlineStr">
        <is>
          <t>ООО ПИК «АЛГРУПП»</t>
        </is>
      </c>
      <c r="F129" s="276" t="inlineStr">
        <is>
          <t>Россия</t>
        </is>
      </c>
      <c r="G129" s="276" t="inlineStr">
        <is>
          <t>10716626</t>
        </is>
      </c>
      <c r="H129" s="277" t="n"/>
      <c r="I129" s="276">
        <f>D129*H129</f>
        <v/>
      </c>
    </row>
    <row r="130">
      <c r="A130" s="276" t="inlineStr">
        <is>
          <t>1.3/100</t>
        </is>
      </c>
      <c r="B130" s="276" t="inlineStr">
        <is>
          <t>Кран 11б27п(м) Ду 15 Ру 16 3-х ходовой для манометров</t>
        </is>
      </c>
      <c r="C130" s="276" t="inlineStr">
        <is>
          <t>шт</t>
        </is>
      </c>
      <c r="D130" s="276" t="n">
        <v>4</v>
      </c>
      <c r="E130" s="277" t="inlineStr"/>
      <c r="F130" s="277" t="inlineStr"/>
      <c r="G130" s="277" t="inlineStr"/>
      <c r="H130" s="277" t="n"/>
      <c r="I130" s="276">
        <f>D130*H130</f>
        <v/>
      </c>
    </row>
    <row r="131">
      <c r="A131" s="276" t="inlineStr">
        <is>
          <t>1.3/101</t>
        </is>
      </c>
      <c r="B131" s="276" t="inlineStr">
        <is>
          <t>Кран шаровой 11б27п1 Ду 15 Ру 16</t>
        </is>
      </c>
      <c r="C131" s="276" t="inlineStr">
        <is>
          <t>шт</t>
        </is>
      </c>
      <c r="D131" s="276" t="n">
        <v>110</v>
      </c>
      <c r="E131" s="276" t="inlineStr">
        <is>
          <t>ООО «ЛД Прайд» (ИНН 7449114775)</t>
        </is>
      </c>
      <c r="F131" s="276" t="inlineStr">
        <is>
          <t>Россия</t>
        </is>
      </c>
      <c r="G131" s="276" t="inlineStr">
        <is>
          <t>10826766</t>
        </is>
      </c>
      <c r="H131" s="277" t="n"/>
      <c r="I131" s="276">
        <f>D131*H131</f>
        <v/>
      </c>
    </row>
    <row r="132">
      <c r="A132" s="276" t="inlineStr">
        <is>
          <t>1.3/102</t>
        </is>
      </c>
      <c r="B132" s="276" t="inlineStr">
        <is>
          <t>Кран шаровой 11б27п1 Ду 20 Ру 16</t>
        </is>
      </c>
      <c r="C132" s="276" t="inlineStr">
        <is>
          <t>шт</t>
        </is>
      </c>
      <c r="D132" s="276" t="n">
        <v>57</v>
      </c>
      <c r="E132" s="276" t="inlineStr">
        <is>
          <t>ООО «ЛД Прайд» (ИНН 7449114775)</t>
        </is>
      </c>
      <c r="F132" s="276" t="inlineStr">
        <is>
          <t>Россия</t>
        </is>
      </c>
      <c r="G132" s="276" t="inlineStr">
        <is>
          <t>10826766</t>
        </is>
      </c>
      <c r="H132" s="277" t="n"/>
      <c r="I132" s="276">
        <f>D132*H132</f>
        <v/>
      </c>
    </row>
    <row r="133">
      <c r="A133" s="276" t="inlineStr">
        <is>
          <t>1.3/103</t>
        </is>
      </c>
      <c r="B133" s="276" t="inlineStr">
        <is>
          <t>Кран шаровой 11б27п1 Ду 25 Ру 16</t>
        </is>
      </c>
      <c r="C133" s="276" t="inlineStr">
        <is>
          <t>шт</t>
        </is>
      </c>
      <c r="D133" s="276" t="n">
        <v>29</v>
      </c>
      <c r="E133" s="276" t="inlineStr">
        <is>
          <t>ООО «ЛД Прайд» (ИНН 7449114775)</t>
        </is>
      </c>
      <c r="F133" s="276" t="inlineStr">
        <is>
          <t>Россия</t>
        </is>
      </c>
      <c r="G133" s="276" t="inlineStr">
        <is>
          <t>10826766</t>
        </is>
      </c>
      <c r="H133" s="277" t="n"/>
      <c r="I133" s="276">
        <f>D133*H133</f>
        <v/>
      </c>
    </row>
    <row r="134">
      <c r="A134" s="276" t="inlineStr">
        <is>
          <t>1.3/104</t>
        </is>
      </c>
      <c r="B134" s="276" t="inlineStr">
        <is>
          <t>Кран шаровой 11б27п1 Ду 32 Ру 16</t>
        </is>
      </c>
      <c r="C134" s="276" t="inlineStr">
        <is>
          <t>шт</t>
        </is>
      </c>
      <c r="D134" s="276" t="n">
        <v>47</v>
      </c>
      <c r="E134" s="276" t="inlineStr">
        <is>
          <t>ООО «ЛД Прайд» (ИНН 7449114775)</t>
        </is>
      </c>
      <c r="F134" s="276" t="inlineStr">
        <is>
          <t>Россия</t>
        </is>
      </c>
      <c r="G134" s="276" t="inlineStr">
        <is>
          <t>10826766</t>
        </is>
      </c>
      <c r="H134" s="277" t="n"/>
      <c r="I134" s="276">
        <f>D134*H134</f>
        <v/>
      </c>
    </row>
    <row r="135">
      <c r="A135" s="276" t="inlineStr">
        <is>
          <t>1.3/105</t>
        </is>
      </c>
      <c r="B135" s="276" t="inlineStr">
        <is>
          <t>Кран шаровой 11б27п1 Ду 50 Ру 16</t>
        </is>
      </c>
      <c r="C135" s="276" t="inlineStr">
        <is>
          <t>шт</t>
        </is>
      </c>
      <c r="D135" s="276" t="n">
        <v>24</v>
      </c>
      <c r="E135" s="276" t="inlineStr">
        <is>
          <t>ООО «ЛД Прайд» (ИНН 7449114775)</t>
        </is>
      </c>
      <c r="F135" s="276" t="inlineStr">
        <is>
          <t>Россия</t>
        </is>
      </c>
      <c r="G135" s="276" t="inlineStr">
        <is>
          <t>10826766</t>
        </is>
      </c>
      <c r="H135" s="277" t="n"/>
      <c r="I135" s="276">
        <f>D135*H135</f>
        <v/>
      </c>
    </row>
    <row r="136">
      <c r="A136" s="276" t="inlineStr">
        <is>
          <t>1.3/106</t>
        </is>
      </c>
      <c r="B136" s="276" t="inlineStr">
        <is>
          <t>Кран шаровой фланцевый 11с22п Ду 50 Ру 16</t>
        </is>
      </c>
      <c r="C136" s="276" t="inlineStr">
        <is>
          <t>шт</t>
        </is>
      </c>
      <c r="D136" s="276" t="n">
        <v>7</v>
      </c>
      <c r="E136" s="276" t="inlineStr">
        <is>
          <t>ООО «ЧелябинскСпецГражданСтрой» (ИНН 7451211335)</t>
        </is>
      </c>
      <c r="F136" s="276" t="inlineStr">
        <is>
          <t>Россия</t>
        </is>
      </c>
      <c r="G136" s="276" t="inlineStr">
        <is>
          <t>10655491</t>
        </is>
      </c>
      <c r="H136" s="277" t="n"/>
      <c r="I136" s="276">
        <f>D136*H136</f>
        <v/>
      </c>
    </row>
    <row r="137">
      <c r="A137" s="276" t="inlineStr">
        <is>
          <t>1.3/107</t>
        </is>
      </c>
      <c r="B137" s="276" t="inlineStr">
        <is>
          <t>Кран шаровой фланцевый 11с22п Ду 80 Ру 16</t>
        </is>
      </c>
      <c r="C137" s="276" t="inlineStr">
        <is>
          <t>шт</t>
        </is>
      </c>
      <c r="D137" s="276" t="n">
        <v>8</v>
      </c>
      <c r="E137" s="276" t="inlineStr">
        <is>
          <t>ООО «ЧелябинскСпецГражданСтрой» (ИНН 7451211335)</t>
        </is>
      </c>
      <c r="F137" s="276" t="inlineStr">
        <is>
          <t>Россия</t>
        </is>
      </c>
      <c r="G137" s="276" t="inlineStr">
        <is>
          <t>10655491</t>
        </is>
      </c>
      <c r="H137" s="277" t="n"/>
      <c r="I137" s="276">
        <f>D137*H137</f>
        <v/>
      </c>
    </row>
    <row r="138">
      <c r="A138" s="276" t="inlineStr">
        <is>
          <t>1.3/108</t>
        </is>
      </c>
      <c r="B138" s="276" t="inlineStr">
        <is>
          <t>Кран шаровой фланцевый 11с22п Ду 100 Ру 16</t>
        </is>
      </c>
      <c r="C138" s="276" t="inlineStr">
        <is>
          <t>шт</t>
        </is>
      </c>
      <c r="D138" s="276" t="n">
        <v>8</v>
      </c>
      <c r="E138" s="276" t="inlineStr">
        <is>
          <t>ООО «ЧелябинскСпецГражданСтрой» (ИНН 7451211335)</t>
        </is>
      </c>
      <c r="F138" s="276" t="inlineStr">
        <is>
          <t>Россия</t>
        </is>
      </c>
      <c r="G138" s="276" t="inlineStr">
        <is>
          <t>10655491</t>
        </is>
      </c>
      <c r="H138" s="277" t="n"/>
      <c r="I138" s="276">
        <f>D138*H138</f>
        <v/>
      </c>
    </row>
    <row r="139">
      <c r="A139" s="276" t="inlineStr">
        <is>
          <t>1.3/109</t>
        </is>
      </c>
      <c r="B139" s="276" t="inlineStr">
        <is>
          <t>Кран шаровой 11С67П Ду 100 Ру 16</t>
        </is>
      </c>
      <c r="C139" s="276" t="inlineStr">
        <is>
          <t>шт</t>
        </is>
      </c>
      <c r="D139" s="276" t="n">
        <v>2</v>
      </c>
      <c r="E139" s="276" t="inlineStr">
        <is>
          <t>ООО «ЧелябинскСпецГражданСтрой» (ИНН 7451211335)</t>
        </is>
      </c>
      <c r="F139" s="276" t="inlineStr">
        <is>
          <t>Россия</t>
        </is>
      </c>
      <c r="G139" s="276" t="inlineStr">
        <is>
          <t>10655491</t>
        </is>
      </c>
      <c r="H139" s="277" t="n"/>
      <c r="I139" s="276">
        <f>D139*H139</f>
        <v/>
      </c>
    </row>
    <row r="140">
      <c r="A140" s="276" t="inlineStr">
        <is>
          <t>1.3/110</t>
        </is>
      </c>
      <c r="B140" s="276" t="inlineStr">
        <is>
          <t>Кран шаровой 11С67П Ду 150 Ру 16</t>
        </is>
      </c>
      <c r="C140" s="276" t="inlineStr">
        <is>
          <t>шт</t>
        </is>
      </c>
      <c r="D140" s="276" t="n">
        <v>2</v>
      </c>
      <c r="E140" s="276" t="inlineStr">
        <is>
          <t>ООО «ЧелябинскСпецГражданСтрой» (ИНН 7451211335)</t>
        </is>
      </c>
      <c r="F140" s="276" t="inlineStr">
        <is>
          <t>Россия</t>
        </is>
      </c>
      <c r="G140" s="276" t="inlineStr">
        <is>
          <t>10655491</t>
        </is>
      </c>
      <c r="H140" s="277" t="n"/>
      <c r="I140" s="276">
        <f>D140*H140</f>
        <v/>
      </c>
    </row>
    <row r="141">
      <c r="A141" s="276" t="inlineStr">
        <is>
          <t>1.3/111</t>
        </is>
      </c>
      <c r="B141" s="276" t="inlineStr">
        <is>
          <t>Кран шаровой 11С67П Ду 200 Ру 16</t>
        </is>
      </c>
      <c r="C141" s="276" t="inlineStr">
        <is>
          <t>шт</t>
        </is>
      </c>
      <c r="D141" s="276" t="n">
        <v>2</v>
      </c>
      <c r="E141" s="277" t="inlineStr"/>
      <c r="F141" s="277" t="inlineStr"/>
      <c r="G141" s="277" t="inlineStr"/>
      <c r="H141" s="277" t="n"/>
      <c r="I141" s="276">
        <f>D141*H141</f>
        <v/>
      </c>
    </row>
    <row r="142">
      <c r="A142" s="276" t="inlineStr">
        <is>
          <t>1.3/112</t>
        </is>
      </c>
      <c r="B142" s="276" t="inlineStr">
        <is>
          <t>Кран шаровой 11С67П Ду 80 Ру 16</t>
        </is>
      </c>
      <c r="C142" s="276" t="inlineStr">
        <is>
          <t>шт</t>
        </is>
      </c>
      <c r="D142" s="276" t="n">
        <v>2</v>
      </c>
      <c r="E142" s="276" t="inlineStr">
        <is>
          <t>ООО «ЧелябинскСпецГражданСтрой» (ИНН 7451211335)</t>
        </is>
      </c>
      <c r="F142" s="276" t="inlineStr">
        <is>
          <t>Россия</t>
        </is>
      </c>
      <c r="G142" s="276" t="inlineStr">
        <is>
          <t>10655491</t>
        </is>
      </c>
      <c r="H142" s="277" t="n"/>
      <c r="I142" s="276">
        <f>D142*H142</f>
        <v/>
      </c>
    </row>
    <row r="143">
      <c r="A143" s="276" t="inlineStr">
        <is>
          <t>1.3/113</t>
        </is>
      </c>
      <c r="B143" s="276" t="inlineStr">
        <is>
          <t>Кран шаровой 11с67п Ду 15 Ру 25 цельносварной под приварку</t>
        </is>
      </c>
      <c r="C143" s="276" t="inlineStr">
        <is>
          <t>шт</t>
        </is>
      </c>
      <c r="D143" s="276" t="n">
        <v>62</v>
      </c>
      <c r="E143" s="276" t="inlineStr">
        <is>
          <t>ООО «ЧелябинскСпецГражданСтрой» (ИНН 7451211335)</t>
        </is>
      </c>
      <c r="F143" s="276" t="inlineStr">
        <is>
          <t>Россия</t>
        </is>
      </c>
      <c r="G143" s="276" t="inlineStr">
        <is>
          <t>10655491</t>
        </is>
      </c>
      <c r="H143" s="277" t="n"/>
      <c r="I143" s="276">
        <f>D143*H143</f>
        <v/>
      </c>
    </row>
    <row r="144">
      <c r="A144" s="276" t="inlineStr">
        <is>
          <t>1.3/114</t>
        </is>
      </c>
      <c r="B144" s="276" t="inlineStr">
        <is>
          <t>Кран шаровой 11с67п Ду 25 Ру 25 цельносварной под приварку</t>
        </is>
      </c>
      <c r="C144" s="276" t="inlineStr">
        <is>
          <t>шт</t>
        </is>
      </c>
      <c r="D144" s="276" t="n">
        <v>48</v>
      </c>
      <c r="E144" s="276" t="inlineStr">
        <is>
          <t>ООО «ЧелябинскСпецГражданСтрой» (ИНН 7451211335)</t>
        </is>
      </c>
      <c r="F144" s="276" t="inlineStr">
        <is>
          <t>Россия</t>
        </is>
      </c>
      <c r="G144" s="276" t="inlineStr">
        <is>
          <t>10655491</t>
        </is>
      </c>
      <c r="H144" s="277" t="n"/>
      <c r="I144" s="276">
        <f>D144*H144</f>
        <v/>
      </c>
    </row>
    <row r="145">
      <c r="A145" s="276" t="inlineStr">
        <is>
          <t>1.3/115</t>
        </is>
      </c>
      <c r="B145" s="276" t="inlineStr">
        <is>
          <t>Кран шаровой 11с67п Ду 32 Ру 25 цельносварной под приварку</t>
        </is>
      </c>
      <c r="C145" s="276" t="inlineStr">
        <is>
          <t>шт</t>
        </is>
      </c>
      <c r="D145" s="276" t="n">
        <v>40</v>
      </c>
      <c r="E145" s="277" t="inlineStr"/>
      <c r="F145" s="277" t="inlineStr"/>
      <c r="G145" s="277" t="inlineStr"/>
      <c r="H145" s="277" t="n"/>
      <c r="I145" s="276">
        <f>D145*H145</f>
        <v/>
      </c>
    </row>
    <row r="146">
      <c r="A146" s="276" t="inlineStr">
        <is>
          <t>1.3/116</t>
        </is>
      </c>
      <c r="B146" s="276" t="inlineStr">
        <is>
          <t>Кран шаровой 11с67п Ду 40 Ру 25 цельносварной под приварку</t>
        </is>
      </c>
      <c r="C146" s="276" t="inlineStr">
        <is>
          <t>шт</t>
        </is>
      </c>
      <c r="D146" s="276" t="n">
        <v>38</v>
      </c>
      <c r="E146" s="276" t="inlineStr">
        <is>
          <t>ООО «ЧелябинскСпецГражданСтрой» (ИНН 7451211335)</t>
        </is>
      </c>
      <c r="F146" s="276" t="inlineStr">
        <is>
          <t>Россия</t>
        </is>
      </c>
      <c r="G146" s="276" t="inlineStr">
        <is>
          <t>10655491</t>
        </is>
      </c>
      <c r="H146" s="277" t="n"/>
      <c r="I146" s="276">
        <f>D146*H146</f>
        <v/>
      </c>
    </row>
    <row r="147">
      <c r="A147" s="276" t="inlineStr">
        <is>
          <t>1.3/117</t>
        </is>
      </c>
      <c r="B147" s="276" t="inlineStr">
        <is>
          <t>Кран шаровой 11с67п Ду 50 Ру 25 цельносварной под приварку</t>
        </is>
      </c>
      <c r="C147" s="276" t="inlineStr">
        <is>
          <t>шт</t>
        </is>
      </c>
      <c r="D147" s="276" t="n">
        <v>44</v>
      </c>
      <c r="E147" s="277" t="inlineStr"/>
      <c r="F147" s="277" t="inlineStr"/>
      <c r="G147" s="277" t="inlineStr"/>
      <c r="H147" s="277" t="n"/>
      <c r="I147" s="276">
        <f>D147*H147</f>
        <v/>
      </c>
    </row>
    <row r="148">
      <c r="A148" s="276" t="inlineStr">
        <is>
          <t>1.3/118</t>
        </is>
      </c>
      <c r="B148" s="276" t="inlineStr">
        <is>
          <t>Кран шаровой 11с67п Ду 80 Ру 25 цельносварной под приварку</t>
        </is>
      </c>
      <c r="C148" s="276" t="inlineStr">
        <is>
          <t>шт</t>
        </is>
      </c>
      <c r="D148" s="276" t="n">
        <v>26</v>
      </c>
      <c r="E148" s="277" t="inlineStr"/>
      <c r="F148" s="277" t="inlineStr"/>
      <c r="G148" s="277" t="inlineStr"/>
      <c r="H148" s="277" t="n"/>
      <c r="I148" s="276">
        <f>D148*H148</f>
        <v/>
      </c>
    </row>
    <row r="149">
      <c r="A149" s="276" t="inlineStr">
        <is>
          <t>1.3/119</t>
        </is>
      </c>
      <c r="B149" s="276" t="inlineStr">
        <is>
          <t>Кран шаровой 11с67п Ду 100 Ру 25 цельносварной под приварку</t>
        </is>
      </c>
      <c r="C149" s="276" t="inlineStr">
        <is>
          <t>шт</t>
        </is>
      </c>
      <c r="D149" s="276" t="n">
        <v>24</v>
      </c>
      <c r="E149" s="277" t="inlineStr"/>
      <c r="F149" s="277" t="inlineStr"/>
      <c r="G149" s="277" t="inlineStr"/>
      <c r="H149" s="277" t="n"/>
      <c r="I149" s="276">
        <f>D149*H149</f>
        <v/>
      </c>
    </row>
    <row r="150">
      <c r="A150" s="276" t="inlineStr">
        <is>
          <t>1.3/120</t>
        </is>
      </c>
      <c r="B150" s="276" t="inlineStr">
        <is>
          <t>Кран шаровой 11с67п Ду 150 Ру 25 цельносварной под приварку</t>
        </is>
      </c>
      <c r="C150" s="276" t="inlineStr">
        <is>
          <t>шт</t>
        </is>
      </c>
      <c r="D150" s="276" t="n">
        <v>22</v>
      </c>
      <c r="E150" s="276" t="inlineStr">
        <is>
          <t>ООО «ЧелябинскСпецГражданСтрой» (ИНН 7451211335)</t>
        </is>
      </c>
      <c r="F150" s="276" t="inlineStr">
        <is>
          <t>Россия</t>
        </is>
      </c>
      <c r="G150" s="276" t="inlineStr">
        <is>
          <t>10655491</t>
        </is>
      </c>
      <c r="H150" s="277" t="n"/>
      <c r="I150" s="276">
        <f>D150*H150</f>
        <v/>
      </c>
    </row>
    <row r="151">
      <c r="A151" s="276" t="inlineStr">
        <is>
          <t>1.3/121</t>
        </is>
      </c>
      <c r="B151" s="276" t="inlineStr">
        <is>
          <t>Кран шаровой 11с67п Ду 200 Ру 25 цельносварной под приварку</t>
        </is>
      </c>
      <c r="C151" s="276" t="inlineStr">
        <is>
          <t>шт</t>
        </is>
      </c>
      <c r="D151" s="276" t="n">
        <v>10</v>
      </c>
      <c r="E151" s="277" t="inlineStr"/>
      <c r="F151" s="277" t="inlineStr"/>
      <c r="G151" s="277" t="inlineStr"/>
      <c r="H151" s="277" t="n"/>
      <c r="I151" s="276">
        <f>D151*H151</f>
        <v/>
      </c>
    </row>
    <row r="152">
      <c r="A152" s="276" t="inlineStr">
        <is>
          <t>1.3/122</t>
        </is>
      </c>
      <c r="B152" s="276" t="inlineStr">
        <is>
          <t>Кран шаровой 11с67п Ду 15 Ру 25 полнопрох. с КОФ (КЗШС41нж)</t>
        </is>
      </c>
      <c r="C152" s="276" t="inlineStr">
        <is>
          <t>шт</t>
        </is>
      </c>
      <c r="D152" s="276" t="n">
        <v>3</v>
      </c>
      <c r="E152" s="276" t="inlineStr">
        <is>
          <t>ООО «ЧелябинскСпецГражданСтрой» (ИНН 7451211335)</t>
        </is>
      </c>
      <c r="F152" s="276" t="inlineStr">
        <is>
          <t>Россия</t>
        </is>
      </c>
      <c r="G152" s="276" t="inlineStr">
        <is>
          <t>10655491</t>
        </is>
      </c>
      <c r="H152" s="277" t="n"/>
      <c r="I152" s="276">
        <f>D152*H152</f>
        <v/>
      </c>
    </row>
    <row r="153">
      <c r="A153" s="276" t="inlineStr">
        <is>
          <t>1.3/123</t>
        </is>
      </c>
      <c r="B153" s="276" t="inlineStr">
        <is>
          <t>Кран шаровой 11с67п Ду 25 Ру 25 полнопрох. с КОФ (КЗШС41нж)</t>
        </is>
      </c>
      <c r="C153" s="276" t="inlineStr">
        <is>
          <t>шт</t>
        </is>
      </c>
      <c r="D153" s="276" t="n">
        <v>6</v>
      </c>
      <c r="E153" s="276" t="inlineStr">
        <is>
          <t>ООО «ЧелябинскСпецГражданСтрой» (ИНН 7451211335)</t>
        </is>
      </c>
      <c r="F153" s="276" t="inlineStr">
        <is>
          <t>Россия</t>
        </is>
      </c>
      <c r="G153" s="276" t="inlineStr">
        <is>
          <t>10655491</t>
        </is>
      </c>
      <c r="H153" s="277" t="n"/>
      <c r="I153" s="276">
        <f>D153*H153</f>
        <v/>
      </c>
    </row>
    <row r="154">
      <c r="A154" s="276" t="inlineStr">
        <is>
          <t>1.3/124</t>
        </is>
      </c>
      <c r="B154" s="276" t="inlineStr">
        <is>
          <t>Кран шаровой 11с67п Ду 32 Ру 25 полнопрох. с КОФ (КЗШС41нж)</t>
        </is>
      </c>
      <c r="C154" s="276" t="inlineStr">
        <is>
          <t>шт</t>
        </is>
      </c>
      <c r="D154" s="276" t="n">
        <v>10</v>
      </c>
      <c r="E154" s="276" t="inlineStr">
        <is>
          <t>ООО «ЧелябинскСпецГражданСтрой» (ИНН 7451211335)</t>
        </is>
      </c>
      <c r="F154" s="276" t="inlineStr">
        <is>
          <t>Россия</t>
        </is>
      </c>
      <c r="G154" s="276" t="inlineStr">
        <is>
          <t>10655491</t>
        </is>
      </c>
      <c r="H154" s="277" t="n"/>
      <c r="I154" s="276">
        <f>D154*H154</f>
        <v/>
      </c>
    </row>
    <row r="155">
      <c r="A155" s="276" t="inlineStr">
        <is>
          <t>1.3/125</t>
        </is>
      </c>
      <c r="B155" s="276" t="inlineStr">
        <is>
          <t>Кран шаровой 11с67п Ду 50 Ру 25 полнопрох. с КОФ (КЗШС41нж)</t>
        </is>
      </c>
      <c r="C155" s="276" t="inlineStr">
        <is>
          <t>шт</t>
        </is>
      </c>
      <c r="D155" s="276" t="n">
        <v>6</v>
      </c>
      <c r="E155" s="276" t="inlineStr">
        <is>
          <t>ООО «ЧелябинскСпецГражданСтрой» (ИНН 7451211335)</t>
        </is>
      </c>
      <c r="F155" s="276" t="inlineStr">
        <is>
          <t>Россия</t>
        </is>
      </c>
      <c r="G155" s="276" t="inlineStr">
        <is>
          <t>10655491</t>
        </is>
      </c>
      <c r="H155" s="277" t="n"/>
      <c r="I155" s="276">
        <f>D155*H155</f>
        <v/>
      </c>
    </row>
    <row r="156">
      <c r="A156" s="276" t="inlineStr">
        <is>
          <t>1.3/126</t>
        </is>
      </c>
      <c r="B156" s="276" t="inlineStr">
        <is>
          <t>Кран шаровой 11с67п Ду 80 Ру 25 полнопрох. с КОФ (КЗШС41нж)</t>
        </is>
      </c>
      <c r="C156" s="276" t="inlineStr">
        <is>
          <t>шт</t>
        </is>
      </c>
      <c r="D156" s="276" t="n">
        <v>4</v>
      </c>
      <c r="E156" s="276" t="inlineStr">
        <is>
          <t>ООО «ЧелябинскСпецГражданСтрой» (ИНН 7451211335)</t>
        </is>
      </c>
      <c r="F156" s="276" t="inlineStr">
        <is>
          <t>Россия</t>
        </is>
      </c>
      <c r="G156" s="276" t="inlineStr">
        <is>
          <t>10655491</t>
        </is>
      </c>
      <c r="H156" s="277" t="n"/>
      <c r="I156" s="276">
        <f>D156*H156</f>
        <v/>
      </c>
    </row>
    <row r="157">
      <c r="A157" s="276" t="inlineStr">
        <is>
          <t>1.3/127</t>
        </is>
      </c>
      <c r="B157" s="276" t="inlineStr">
        <is>
          <t>Кран шаровой 11с67п Ду 100 Ру 16 ЦУФ.001 КШ укороченный полнопроходной фланцевый с рукояткой</t>
        </is>
      </c>
      <c r="C157" s="276" t="inlineStr">
        <is>
          <t>шт</t>
        </is>
      </c>
      <c r="D157" s="276" t="n">
        <v>91</v>
      </c>
      <c r="E157" s="276" t="inlineStr">
        <is>
          <t>ООО «ЧелябинскСпецГражданСтрой» (ИНН 7451211335)</t>
        </is>
      </c>
      <c r="F157" s="276" t="inlineStr">
        <is>
          <t>Россия</t>
        </is>
      </c>
      <c r="G157" s="276" t="inlineStr">
        <is>
          <t>10655491</t>
        </is>
      </c>
      <c r="H157" s="277" t="n"/>
      <c r="I157" s="276">
        <f>D157*H157</f>
        <v/>
      </c>
    </row>
    <row r="158">
      <c r="A158" s="276" t="inlineStr">
        <is>
          <t>1.3/128</t>
        </is>
      </c>
      <c r="B158" s="276" t="inlineStr">
        <is>
          <t>Кран шаровой 11с67п Ду 125 Ру 16 ЦУФ.001 КШ укороченный полнопроходной фланцевый с рукояткой</t>
        </is>
      </c>
      <c r="C158" s="276" t="inlineStr">
        <is>
          <t>шт</t>
        </is>
      </c>
      <c r="D158" s="276" t="n">
        <v>10</v>
      </c>
      <c r="E158" s="276" t="inlineStr">
        <is>
          <t>ООО «ЧелябинскСпецГражданСтрой» (ИНН 7451211335)</t>
        </is>
      </c>
      <c r="F158" s="276" t="inlineStr">
        <is>
          <t>Россия</t>
        </is>
      </c>
      <c r="G158" s="276" t="inlineStr">
        <is>
          <t>10655491</t>
        </is>
      </c>
      <c r="H158" s="277" t="n"/>
      <c r="I158" s="276">
        <f>D158*H158</f>
        <v/>
      </c>
    </row>
    <row r="159">
      <c r="A159" s="276" t="inlineStr">
        <is>
          <t>1.3/129</t>
        </is>
      </c>
      <c r="B159" s="276" t="inlineStr">
        <is>
          <t>Кран шаровой 11с67п Ду 150 Ру 16 ЦУФ.001 КШ укороченный полнопроходной фланцевый с рукояткой</t>
        </is>
      </c>
      <c r="C159" s="276" t="inlineStr">
        <is>
          <t>шт</t>
        </is>
      </c>
      <c r="D159" s="276" t="n">
        <v>59</v>
      </c>
      <c r="E159" s="276" t="inlineStr">
        <is>
          <t>ООО «ЧелябинскСпецГражданСтрой» (ИНН 7451211335)</t>
        </is>
      </c>
      <c r="F159" s="276" t="inlineStr">
        <is>
          <t>Россия</t>
        </is>
      </c>
      <c r="G159" s="276" t="inlineStr">
        <is>
          <t>10655491</t>
        </is>
      </c>
      <c r="H159" s="277" t="n"/>
      <c r="I159" s="276">
        <f>D159*H159</f>
        <v/>
      </c>
    </row>
    <row r="160">
      <c r="A160" s="276" t="inlineStr">
        <is>
          <t>1.3/130</t>
        </is>
      </c>
      <c r="B160" s="276" t="inlineStr">
        <is>
          <t>Кран шаровой 11с67п Ду 200 Ру 16 ЦУФ.001 КШ укороченный полнопроходной фланцевый с рукояткой</t>
        </is>
      </c>
      <c r="C160" s="276" t="inlineStr">
        <is>
          <t>шт</t>
        </is>
      </c>
      <c r="D160" s="276" t="n">
        <v>45</v>
      </c>
      <c r="E160" s="277" t="inlineStr"/>
      <c r="F160" s="277" t="inlineStr"/>
      <c r="G160" s="277" t="inlineStr"/>
      <c r="H160" s="277" t="n"/>
      <c r="I160" s="276">
        <f>D160*H160</f>
        <v/>
      </c>
    </row>
    <row r="161">
      <c r="A161" s="276" t="inlineStr">
        <is>
          <t>1.3/131</t>
        </is>
      </c>
      <c r="B161" s="276" t="inlineStr">
        <is>
          <t>Кран шаровой 11с67п Ду 40 Ру 16 ЦУФ.001 КШ укороченный полнопроходной фланцевый с рукояткой</t>
        </is>
      </c>
      <c r="C161" s="276" t="inlineStr">
        <is>
          <t>шт</t>
        </is>
      </c>
      <c r="D161" s="276" t="n">
        <v>8</v>
      </c>
      <c r="E161" s="276" t="inlineStr">
        <is>
          <t>ООО «ЧелябинскСпецГражданСтрой» (ИНН 7451211335)</t>
        </is>
      </c>
      <c r="F161" s="276" t="inlineStr">
        <is>
          <t>Россия</t>
        </is>
      </c>
      <c r="G161" s="276" t="inlineStr">
        <is>
          <t>10655491</t>
        </is>
      </c>
      <c r="H161" s="277" t="n"/>
      <c r="I161" s="276">
        <f>D161*H161</f>
        <v/>
      </c>
    </row>
    <row r="162">
      <c r="A162" s="276" t="inlineStr">
        <is>
          <t>1.3/132</t>
        </is>
      </c>
      <c r="B162" s="276" t="inlineStr">
        <is>
          <t>Кран шаровой 11с67п Ду 50 Ру 16 ЦУФ.001 КШ укороченный полнопроходной фланцевый с рукояткой</t>
        </is>
      </c>
      <c r="C162" s="276" t="inlineStr">
        <is>
          <t>шт</t>
        </is>
      </c>
      <c r="D162" s="276" t="n">
        <v>80</v>
      </c>
      <c r="E162" s="276" t="inlineStr">
        <is>
          <t>ООО «ЧелябинскСпецГражданСтрой» (ИНН 7451211335)</t>
        </is>
      </c>
      <c r="F162" s="276" t="inlineStr">
        <is>
          <t>Россия</t>
        </is>
      </c>
      <c r="G162" s="276" t="inlineStr">
        <is>
          <t>10655491</t>
        </is>
      </c>
      <c r="H162" s="277" t="n"/>
      <c r="I162" s="276">
        <f>D162*H162</f>
        <v/>
      </c>
    </row>
    <row r="163">
      <c r="A163" s="276" t="inlineStr">
        <is>
          <t>1.3/133</t>
        </is>
      </c>
      <c r="B163" s="276" t="inlineStr">
        <is>
          <t>Кран шаровой 11с67п Ду 65 Ру 16 ЦУФ.001 КШ укороченный полнопроходной фланцевый с рукояткой</t>
        </is>
      </c>
      <c r="C163" s="276" t="inlineStr">
        <is>
          <t>шт</t>
        </is>
      </c>
      <c r="D163" s="276" t="n">
        <v>6</v>
      </c>
      <c r="E163" s="276" t="inlineStr">
        <is>
          <t>ООО «ЧелябинскСпецГражданСтрой» (ИНН 7451211335)</t>
        </is>
      </c>
      <c r="F163" s="276" t="inlineStr">
        <is>
          <t>Россия</t>
        </is>
      </c>
      <c r="G163" s="276" t="inlineStr">
        <is>
          <t>10655491</t>
        </is>
      </c>
      <c r="H163" s="277" t="n"/>
      <c r="I163" s="276">
        <f>D163*H163</f>
        <v/>
      </c>
    </row>
    <row r="164">
      <c r="A164" s="276" t="inlineStr">
        <is>
          <t>1.3/134</t>
        </is>
      </c>
      <c r="B164" s="276" t="inlineStr">
        <is>
          <t>Кран шаровой 11с67п Ду 80 Ру 16 ЦУФ.001 КШ укороченный полнопроходной фланцевый с рукояткой</t>
        </is>
      </c>
      <c r="C164" s="276" t="inlineStr">
        <is>
          <t>шт</t>
        </is>
      </c>
      <c r="D164" s="276" t="n">
        <v>92</v>
      </c>
      <c r="E164" s="276" t="inlineStr">
        <is>
          <t>ООО «ЧелябинскСпецГражданСтрой» (ИНН 7451211335)</t>
        </is>
      </c>
      <c r="F164" s="276" t="inlineStr">
        <is>
          <t>Россия</t>
        </is>
      </c>
      <c r="G164" s="276" t="inlineStr">
        <is>
          <t>10655491</t>
        </is>
      </c>
      <c r="H164" s="277" t="n"/>
      <c r="I164" s="276">
        <f>D164*H164</f>
        <v/>
      </c>
    </row>
    <row r="165">
      <c r="A165" s="276" t="inlineStr">
        <is>
          <t>1.3/135</t>
        </is>
      </c>
      <c r="B165" s="276" t="inlineStr">
        <is>
          <t>Кран шаровой нержавеющий G1/2" муфтовый, полнопроходной, Ду 15 Ру 63</t>
        </is>
      </c>
      <c r="C165" s="276" t="inlineStr">
        <is>
          <t>шт</t>
        </is>
      </c>
      <c r="D165" s="276" t="n">
        <v>19</v>
      </c>
      <c r="E165" s="276" t="inlineStr">
        <is>
          <t>ЗАО «Арматурная Компания «ФОБОС»</t>
        </is>
      </c>
      <c r="F165" s="277" t="inlineStr"/>
      <c r="G165" s="277" t="inlineStr"/>
      <c r="H165" s="277" t="n"/>
      <c r="I165" s="276">
        <f>D165*H165</f>
        <v/>
      </c>
    </row>
    <row r="166">
      <c r="A166" s="276" t="inlineStr">
        <is>
          <t>1.3/136</t>
        </is>
      </c>
      <c r="B166" s="276" t="inlineStr">
        <is>
          <t>Кран шаровый LD неполнопроходной 11с67п КШЦФ Ду 200 Ру 16 с КОФ</t>
        </is>
      </c>
      <c r="C166" s="276" t="inlineStr">
        <is>
          <t>шт</t>
        </is>
      </c>
      <c r="D166" s="276" t="n">
        <v>14</v>
      </c>
      <c r="E166" s="276" t="inlineStr">
        <is>
          <t>ООО «ЧелябинскСпецГражданСтрой» (ИНН 7451211335)</t>
        </is>
      </c>
      <c r="F166" s="276" t="inlineStr">
        <is>
          <t>Россия</t>
        </is>
      </c>
      <c r="G166" s="276" t="inlineStr">
        <is>
          <t>10655491</t>
        </is>
      </c>
      <c r="H166" s="277" t="n"/>
      <c r="I166" s="276">
        <f>D166*H166</f>
        <v/>
      </c>
    </row>
    <row r="167">
      <c r="A167" s="276" t="inlineStr">
        <is>
          <t>1.3/137</t>
        </is>
      </c>
      <c r="B167" s="276" t="inlineStr">
        <is>
          <t>Кран шаровый LD полнопроходной 11с67п КШРФ Ду 100 Ру 16 с КОФ</t>
        </is>
      </c>
      <c r="C167" s="276" t="inlineStr">
        <is>
          <t>шт</t>
        </is>
      </c>
      <c r="D167" s="276" t="n">
        <v>29</v>
      </c>
      <c r="E167" s="276" t="inlineStr">
        <is>
          <t>ООО «ЧелябинскСпецГражданСтрой» (ИНН 7451211335)</t>
        </is>
      </c>
      <c r="F167" s="276" t="inlineStr">
        <is>
          <t>Россия</t>
        </is>
      </c>
      <c r="G167" s="276" t="inlineStr">
        <is>
          <t>10714005</t>
        </is>
      </c>
      <c r="H167" s="277" t="n"/>
      <c r="I167" s="276">
        <f>D167*H167</f>
        <v/>
      </c>
    </row>
    <row r="168">
      <c r="A168" s="276" t="inlineStr">
        <is>
          <t>1.3/138</t>
        </is>
      </c>
      <c r="B168" s="276" t="inlineStr">
        <is>
          <t>Кран шаровый LD полнопроходной 11с67п КШРФ Ду 125 Ру 16 с КОФ</t>
        </is>
      </c>
      <c r="C168" s="276" t="inlineStr">
        <is>
          <t>шт</t>
        </is>
      </c>
      <c r="D168" s="276" t="n">
        <v>6</v>
      </c>
      <c r="E168" s="276" t="inlineStr">
        <is>
          <t>ООО «ЧелябинскСпецГражданСтрой» (ИНН 7451211335)</t>
        </is>
      </c>
      <c r="F168" s="276" t="inlineStr">
        <is>
          <t>Россия</t>
        </is>
      </c>
      <c r="G168" s="276" t="inlineStr">
        <is>
          <t>10714005</t>
        </is>
      </c>
      <c r="H168" s="277" t="n"/>
      <c r="I168" s="276">
        <f>D168*H168</f>
        <v/>
      </c>
    </row>
    <row r="169">
      <c r="A169" s="276" t="inlineStr">
        <is>
          <t>1.3/139</t>
        </is>
      </c>
      <c r="B169" s="276" t="inlineStr">
        <is>
          <t>Кран шаровый LD полнопроходной 11с67п КШРФ Ду 150 Ру 16 с КОФ</t>
        </is>
      </c>
      <c r="C169" s="276" t="inlineStr">
        <is>
          <t>шт</t>
        </is>
      </c>
      <c r="D169" s="276" t="n">
        <v>31</v>
      </c>
      <c r="E169" s="276" t="inlineStr">
        <is>
          <t>ООО «ЧелябинскСпецГражданСтрой» (ИНН 7451211335)</t>
        </is>
      </c>
      <c r="F169" s="276" t="inlineStr">
        <is>
          <t>Россия</t>
        </is>
      </c>
      <c r="G169" s="276" t="inlineStr">
        <is>
          <t>10714005</t>
        </is>
      </c>
      <c r="H169" s="277" t="n"/>
      <c r="I169" s="276">
        <f>D169*H169</f>
        <v/>
      </c>
    </row>
    <row r="170">
      <c r="A170" s="276" t="inlineStr">
        <is>
          <t>1.3/140</t>
        </is>
      </c>
      <c r="B170" s="276" t="inlineStr">
        <is>
          <t>Кран шаровый LD полнопроходной 11с67п КШРФ Ду 25 Ру 16 с КОФ</t>
        </is>
      </c>
      <c r="C170" s="276" t="inlineStr">
        <is>
          <t>шт</t>
        </is>
      </c>
      <c r="D170" s="276" t="n">
        <v>8</v>
      </c>
      <c r="E170" s="276" t="inlineStr">
        <is>
          <t>ООО «ЧелябинскСпецГражданСтрой» (ИНН 7451211335)</t>
        </is>
      </c>
      <c r="F170" s="276" t="inlineStr">
        <is>
          <t>Россия</t>
        </is>
      </c>
      <c r="G170" s="276" t="inlineStr">
        <is>
          <t>10714005</t>
        </is>
      </c>
      <c r="H170" s="277" t="n"/>
      <c r="I170" s="276">
        <f>D170*H170</f>
        <v/>
      </c>
    </row>
    <row r="171">
      <c r="A171" s="276" t="inlineStr">
        <is>
          <t>1.3/141</t>
        </is>
      </c>
      <c r="B171" s="276" t="inlineStr">
        <is>
          <t>Кран шаровый LD полнопроходной 11с67п КШРФ Ду 32 Ру 16 с КОФ</t>
        </is>
      </c>
      <c r="C171" s="276" t="inlineStr">
        <is>
          <t>шт</t>
        </is>
      </c>
      <c r="D171" s="276" t="n">
        <v>8</v>
      </c>
      <c r="E171" s="276" t="inlineStr">
        <is>
          <t>ООО «ЧелябинскСпецГражданСтрой» (ИНН 7451211335)</t>
        </is>
      </c>
      <c r="F171" s="276" t="inlineStr">
        <is>
          <t>Россия</t>
        </is>
      </c>
      <c r="G171" s="276" t="inlineStr">
        <is>
          <t>10714005</t>
        </is>
      </c>
      <c r="H171" s="277" t="n"/>
      <c r="I171" s="276">
        <f>D171*H171</f>
        <v/>
      </c>
    </row>
    <row r="172">
      <c r="A172" s="276" t="inlineStr">
        <is>
          <t>1.3/142</t>
        </is>
      </c>
      <c r="B172" s="276" t="inlineStr">
        <is>
          <t>Кран шаровый LD полнопроходной 11с67п КШРФ Ду 40 Ру 16 с КОФ</t>
        </is>
      </c>
      <c r="C172" s="276" t="inlineStr">
        <is>
          <t>шт</t>
        </is>
      </c>
      <c r="D172" s="276" t="n">
        <v>8</v>
      </c>
      <c r="E172" s="276" t="inlineStr">
        <is>
          <t>ООО «ЧелябинскСпецГражданСтрой» (ИНН 7451211335)</t>
        </is>
      </c>
      <c r="F172" s="276" t="inlineStr">
        <is>
          <t>Россия</t>
        </is>
      </c>
      <c r="G172" s="276" t="inlineStr">
        <is>
          <t>10714005</t>
        </is>
      </c>
      <c r="H172" s="277" t="n"/>
      <c r="I172" s="276">
        <f>D172*H172</f>
        <v/>
      </c>
    </row>
    <row r="173">
      <c r="A173" s="276" t="inlineStr">
        <is>
          <t>1.3/143</t>
        </is>
      </c>
      <c r="B173" s="276" t="inlineStr">
        <is>
          <t>Кран шаровый LD полнопроходной 11с67п КШРФ Ду 50 Ру 16 с КОФ</t>
        </is>
      </c>
      <c r="C173" s="276" t="inlineStr">
        <is>
          <t>шт</t>
        </is>
      </c>
      <c r="D173" s="276" t="n">
        <v>112</v>
      </c>
      <c r="E173" s="276" t="inlineStr">
        <is>
          <t>ООО «ЧелябинскСпецГражданСтрой» (ИНН 7451211335)</t>
        </is>
      </c>
      <c r="F173" s="276" t="inlineStr">
        <is>
          <t>Россия</t>
        </is>
      </c>
      <c r="G173" s="276" t="inlineStr">
        <is>
          <t>10714005</t>
        </is>
      </c>
      <c r="H173" s="277" t="n"/>
      <c r="I173" s="276">
        <f>D173*H173</f>
        <v/>
      </c>
    </row>
    <row r="174">
      <c r="A174" s="276" t="inlineStr">
        <is>
          <t>1.3/144</t>
        </is>
      </c>
      <c r="B174" s="276" t="inlineStr">
        <is>
          <t>Кран шаровый LD полнопроходной 11с67п КШРФ Ду 65 Ру 16 с КОФ</t>
        </is>
      </c>
      <c r="C174" s="276" t="inlineStr">
        <is>
          <t>шт</t>
        </is>
      </c>
      <c r="D174" s="276" t="n">
        <v>6</v>
      </c>
      <c r="E174" s="276" t="inlineStr">
        <is>
          <t>ООО «ЧелябинскСпецГражданСтрой» (ИНН 7451211335)</t>
        </is>
      </c>
      <c r="F174" s="276" t="inlineStr">
        <is>
          <t>Россия</t>
        </is>
      </c>
      <c r="G174" s="276" t="inlineStr">
        <is>
          <t>10714005</t>
        </is>
      </c>
      <c r="H174" s="277" t="n"/>
      <c r="I174" s="276">
        <f>D174*H174</f>
        <v/>
      </c>
    </row>
    <row r="175">
      <c r="A175" s="276" t="inlineStr">
        <is>
          <t>1.3/145</t>
        </is>
      </c>
      <c r="B175" s="276" t="inlineStr">
        <is>
          <t>Кран шаровый LD полнопроходной 11с67п КШРФ Ду 80 Ру 16 МПа с КОФ</t>
        </is>
      </c>
      <c r="C175" s="276" t="inlineStr">
        <is>
          <t>шт</t>
        </is>
      </c>
      <c r="D175" s="276" t="n">
        <v>58</v>
      </c>
      <c r="E175" s="276" t="inlineStr">
        <is>
          <t>ООО «ЧелябинскСпецГражданСтрой» (ИНН 7451211335)</t>
        </is>
      </c>
      <c r="F175" s="276" t="inlineStr">
        <is>
          <t>Россия</t>
        </is>
      </c>
      <c r="G175" s="276" t="inlineStr">
        <is>
          <t>10714005</t>
        </is>
      </c>
      <c r="H175" s="277" t="n"/>
      <c r="I175" s="276">
        <f>D175*H175</f>
        <v/>
      </c>
    </row>
    <row r="176">
      <c r="A176" s="276" t="inlineStr">
        <is>
          <t>1.3/146</t>
        </is>
      </c>
      <c r="B176" s="276" t="inlineStr">
        <is>
          <t>Кран шаровый химический КШХ Ду 50 Ру 16</t>
        </is>
      </c>
      <c r="C176" s="276" t="inlineStr">
        <is>
          <t>шт</t>
        </is>
      </c>
      <c r="D176" s="276" t="n">
        <v>2</v>
      </c>
      <c r="E176" s="277" t="inlineStr"/>
      <c r="F176" s="277" t="inlineStr"/>
      <c r="G176" s="277" t="inlineStr"/>
      <c r="H176" s="277" t="n"/>
      <c r="I176" s="276">
        <f>D176*H176</f>
        <v/>
      </c>
    </row>
    <row r="177">
      <c r="A177" s="276" t="inlineStr">
        <is>
          <t>1.3/147</t>
        </is>
      </c>
      <c r="B177" s="276" t="inlineStr">
        <is>
          <t>Кран шаровый химический КШХ Ду 80 Ру 16</t>
        </is>
      </c>
      <c r="C177" s="276" t="inlineStr">
        <is>
          <t>шт</t>
        </is>
      </c>
      <c r="D177" s="276" t="n">
        <v>4</v>
      </c>
      <c r="E177" s="277" t="inlineStr"/>
      <c r="F177" s="277" t="inlineStr"/>
      <c r="G177" s="277" t="inlineStr"/>
      <c r="H177" s="277" t="n"/>
      <c r="I177" s="276">
        <f>D177*H177</f>
        <v/>
      </c>
    </row>
    <row r="178">
      <c r="A178" s="276" t="inlineStr">
        <is>
          <t>1.3/148</t>
        </is>
      </c>
      <c r="B178" s="276" t="inlineStr">
        <is>
          <t>Кран шаровый разборный полнопроходной 11с67п Ду 250 Ру 16 с КОФ</t>
        </is>
      </c>
      <c r="C178" s="276" t="inlineStr">
        <is>
          <t>шт</t>
        </is>
      </c>
      <c r="D178" s="276" t="n">
        <v>6</v>
      </c>
      <c r="E178" s="277" t="inlineStr"/>
      <c r="F178" s="277" t="inlineStr"/>
      <c r="G178" s="277" t="inlineStr"/>
      <c r="H178" s="277" t="n"/>
      <c r="I178" s="276">
        <f>D178*H178</f>
        <v/>
      </c>
    </row>
    <row r="179">
      <c r="A179" s="276" t="inlineStr">
        <is>
          <t>1.3/149</t>
        </is>
      </c>
      <c r="B179" s="276" t="inlineStr">
        <is>
          <t>Кран шаровый цельносварной неполнопроходной 11с67п Ду 250/200 Ру 16 с КОФ</t>
        </is>
      </c>
      <c r="C179" s="276" t="inlineStr">
        <is>
          <t>шт</t>
        </is>
      </c>
      <c r="D179" s="276" t="n">
        <v>2</v>
      </c>
      <c r="E179" s="277" t="inlineStr"/>
      <c r="F179" s="277" t="inlineStr"/>
      <c r="G179" s="277" t="inlineStr"/>
      <c r="H179" s="277" t="n"/>
      <c r="I179" s="276">
        <f>D179*H179</f>
        <v/>
      </c>
    </row>
    <row r="180">
      <c r="A180" s="276" t="inlineStr">
        <is>
          <t>1.3/150</t>
        </is>
      </c>
      <c r="B180" s="276" t="inlineStr">
        <is>
          <t>Затвор 32нж910р Ду 1000 Ру 10 с эл.приводом</t>
        </is>
      </c>
      <c r="C180" s="276" t="inlineStr">
        <is>
          <t>шт</t>
        </is>
      </c>
      <c r="D180" s="276" t="n">
        <v>1</v>
      </c>
      <c r="E180" s="276" t="inlineStr">
        <is>
          <t>ООО «ПромАрм»</t>
        </is>
      </c>
      <c r="F180" s="276" t="inlineStr">
        <is>
          <t>Россия</t>
        </is>
      </c>
      <c r="G180" s="276" t="inlineStr">
        <is>
          <t>10655456</t>
        </is>
      </c>
      <c r="H180" s="277" t="n"/>
      <c r="I180" s="276">
        <f>D180*H180</f>
        <v/>
      </c>
    </row>
    <row r="181">
      <c r="A181" s="276" t="inlineStr">
        <is>
          <t>1.3/151</t>
        </is>
      </c>
      <c r="B181" s="276" t="inlineStr">
        <is>
          <t>Затвор дисковый поворотный ЗДП-150-6,3-1-М-А-УХЛ1 (не под электропривод) Ду 150 Ру 6,3</t>
        </is>
      </c>
      <c r="C181" s="276" t="inlineStr">
        <is>
          <t>шт</t>
        </is>
      </c>
      <c r="D181" s="276" t="n">
        <v>3</v>
      </c>
      <c r="E181" s="276" t="inlineStr">
        <is>
          <t>ООО «Транс-Энерго» (ИНН 6324029755)</t>
        </is>
      </c>
      <c r="F181" s="276" t="inlineStr">
        <is>
          <t>Россия</t>
        </is>
      </c>
      <c r="G181" s="276" t="inlineStr">
        <is>
          <t>10876723</t>
        </is>
      </c>
      <c r="H181" s="277" t="n"/>
      <c r="I181" s="276">
        <f>D181*H181</f>
        <v/>
      </c>
    </row>
    <row r="182">
      <c r="A182" s="276" t="inlineStr">
        <is>
          <t>1.3/152</t>
        </is>
      </c>
      <c r="B182" s="276" t="inlineStr">
        <is>
          <t>Затвор дисковый поворотный ЗДП-50-6,3-1-М-А-УХЛ1 Ду 50 Ру 6,3</t>
        </is>
      </c>
      <c r="C182" s="276" t="inlineStr">
        <is>
          <t>шт</t>
        </is>
      </c>
      <c r="D182" s="276" t="n">
        <v>10</v>
      </c>
      <c r="E182" s="276" t="inlineStr">
        <is>
          <t>ООО «Транс-Энерго» (ИНН 6324029755)</t>
        </is>
      </c>
      <c r="F182" s="276" t="inlineStr">
        <is>
          <t>Россия</t>
        </is>
      </c>
      <c r="G182" s="276" t="inlineStr">
        <is>
          <t>10876719</t>
        </is>
      </c>
      <c r="H182" s="277" t="n"/>
      <c r="I182" s="276">
        <f>D182*H182</f>
        <v/>
      </c>
    </row>
    <row r="183">
      <c r="A183" s="276" t="inlineStr">
        <is>
          <t>1.3/153</t>
        </is>
      </c>
      <c r="B183" s="276" t="inlineStr">
        <is>
          <t>Затвор дисковый поворотный ЗДП-80-УХЛ1 Ду 80 Ру 6,3</t>
        </is>
      </c>
      <c r="C183" s="276" t="inlineStr">
        <is>
          <t>шт</t>
        </is>
      </c>
      <c r="D183" s="276" t="n">
        <v>3</v>
      </c>
      <c r="E183" s="276" t="inlineStr">
        <is>
          <t>ООО «Транс-Энерго» (ИНН 6324029755)</t>
        </is>
      </c>
      <c r="F183" s="276" t="inlineStr">
        <is>
          <t>Россия</t>
        </is>
      </c>
      <c r="G183" s="276" t="inlineStr">
        <is>
          <t>10876720</t>
        </is>
      </c>
      <c r="H183" s="277" t="n"/>
      <c r="I183" s="276">
        <f>D183*H183</f>
        <v/>
      </c>
    </row>
    <row r="184">
      <c r="A184" s="276" t="inlineStr">
        <is>
          <t>1.3/154</t>
        </is>
      </c>
      <c r="B184" s="276" t="inlineStr">
        <is>
          <t>Затвор дисковый поворотный(ГРЭНВЭЛ) Тип /серия FL(w)-3-MR-E Ду 100, Ру 16</t>
        </is>
      </c>
      <c r="C184" s="276" t="inlineStr">
        <is>
          <t>шт</t>
        </is>
      </c>
      <c r="D184" s="276" t="n">
        <v>4</v>
      </c>
      <c r="E184" s="276" t="inlineStr">
        <is>
          <t>ООО «Торговый Дом АДЛ» (Гранвэл)</t>
        </is>
      </c>
      <c r="F184" s="276" t="inlineStr">
        <is>
          <t>Россия</t>
        </is>
      </c>
      <c r="G184" s="276" t="inlineStr">
        <is>
          <t>10357202</t>
        </is>
      </c>
      <c r="H184" s="277" t="n"/>
      <c r="I184" s="276">
        <f>D184*H184</f>
        <v/>
      </c>
    </row>
    <row r="185">
      <c r="A185" s="276" t="inlineStr">
        <is>
          <t>1.3/155</t>
        </is>
      </c>
      <c r="B185" s="276" t="inlineStr">
        <is>
          <t>Затвор дисковый поворотный(ГРЭНВЭЛ) ЗП ТЛ Ду 100 Ру 16</t>
        </is>
      </c>
      <c r="C185" s="276" t="inlineStr">
        <is>
          <t>шт</t>
        </is>
      </c>
      <c r="D185" s="276" t="n">
        <v>16</v>
      </c>
      <c r="E185" s="276" t="inlineStr">
        <is>
          <t>ООО «Торговый Дом АДЛ» (Гранвэл)</t>
        </is>
      </c>
      <c r="F185" s="276" t="inlineStr">
        <is>
          <t>Россия</t>
        </is>
      </c>
      <c r="G185" s="276" t="inlineStr">
        <is>
          <t>10357202</t>
        </is>
      </c>
      <c r="H185" s="277" t="n"/>
      <c r="I185" s="276">
        <f>D185*H185</f>
        <v/>
      </c>
    </row>
    <row r="186">
      <c r="A186" s="276" t="inlineStr">
        <is>
          <t>1.3/156</t>
        </is>
      </c>
      <c r="B186" s="276" t="inlineStr">
        <is>
          <t>Затвор дисковый поворотный(ГРЭНВЭЛ) ЗП ТЛ Ду 150 Ру 16</t>
        </is>
      </c>
      <c r="C186" s="276" t="inlineStr">
        <is>
          <t>шт</t>
        </is>
      </c>
      <c r="D186" s="276" t="n">
        <v>20</v>
      </c>
      <c r="E186" s="276" t="inlineStr">
        <is>
          <t>ООО «Торговый Дом АДЛ» (Гранвэл)</t>
        </is>
      </c>
      <c r="F186" s="276" t="inlineStr">
        <is>
          <t>Россия</t>
        </is>
      </c>
      <c r="G186" s="276" t="inlineStr">
        <is>
          <t>10837159</t>
        </is>
      </c>
      <c r="H186" s="277" t="n"/>
      <c r="I186" s="276">
        <f>D186*H186</f>
        <v/>
      </c>
    </row>
    <row r="187">
      <c r="A187" s="276" t="inlineStr">
        <is>
          <t>1.3/157</t>
        </is>
      </c>
      <c r="B187" s="276" t="inlineStr">
        <is>
          <t>Затвор дисковый поворотный(ГРЭНВЭЛ) ЗП ТЛ Ду 200 Ру 16</t>
        </is>
      </c>
      <c r="C187" s="276" t="inlineStr">
        <is>
          <t>шт</t>
        </is>
      </c>
      <c r="D187" s="276" t="n">
        <v>16</v>
      </c>
      <c r="E187" s="276" t="inlineStr">
        <is>
          <t>ООО «Торговый Дом АДЛ» (Гранвэл)</t>
        </is>
      </c>
      <c r="F187" s="276" t="inlineStr">
        <is>
          <t>Россия</t>
        </is>
      </c>
      <c r="G187" s="276" t="inlineStr">
        <is>
          <t>10837159</t>
        </is>
      </c>
      <c r="H187" s="277" t="n"/>
      <c r="I187" s="276">
        <f>D187*H187</f>
        <v/>
      </c>
    </row>
    <row r="188">
      <c r="A188" s="276" t="inlineStr">
        <is>
          <t>1.3/158</t>
        </is>
      </c>
      <c r="B188" s="276" t="inlineStr">
        <is>
          <t>Затвор дисковый поворотный(ГРЭНВЭЛ) ЗП ТЛ Ду 80 Ру 16</t>
        </is>
      </c>
      <c r="C188" s="276" t="inlineStr">
        <is>
          <t>шт</t>
        </is>
      </c>
      <c r="D188" s="276" t="n">
        <v>9</v>
      </c>
      <c r="E188" s="276" t="inlineStr">
        <is>
          <t>ООО «Торговый Дом АДЛ» (Гранвэл)</t>
        </is>
      </c>
      <c r="F188" s="276" t="inlineStr">
        <is>
          <t>Россия</t>
        </is>
      </c>
      <c r="G188" s="276" t="inlineStr">
        <is>
          <t>10357205</t>
        </is>
      </c>
      <c r="H188" s="277" t="n"/>
      <c r="I188" s="276">
        <f>D188*H188</f>
        <v/>
      </c>
    </row>
    <row r="189">
      <c r="A189" s="276" t="inlineStr">
        <is>
          <t>1.3/159</t>
        </is>
      </c>
      <c r="B189" s="276" t="inlineStr">
        <is>
          <t>Затвор дисковый поворотный(ГРЭНВЭЛ) Тип /серия FL(w)-3-MR-E Ду 150 Ру 16</t>
        </is>
      </c>
      <c r="C189" s="276" t="inlineStr">
        <is>
          <t>шт</t>
        </is>
      </c>
      <c r="D189" s="276" t="n">
        <v>25</v>
      </c>
      <c r="E189" s="276" t="inlineStr">
        <is>
          <t>ООО «Торговый Дом АДЛ» (Гранвэл)</t>
        </is>
      </c>
      <c r="F189" s="276" t="inlineStr">
        <is>
          <t>Россия</t>
        </is>
      </c>
      <c r="G189" s="276" t="inlineStr">
        <is>
          <t>10837159</t>
        </is>
      </c>
      <c r="H189" s="277" t="n"/>
      <c r="I189" s="276">
        <f>D189*H189</f>
        <v/>
      </c>
    </row>
    <row r="190">
      <c r="A190" s="276" t="inlineStr">
        <is>
          <t>1.3/160</t>
        </is>
      </c>
      <c r="B190" s="276" t="inlineStr">
        <is>
          <t>Затвор дисковый поворотный(ГРЭНВЭЛ) Тип /серия FL(w)-3-MR-E Ду 200 Ру 16</t>
        </is>
      </c>
      <c r="C190" s="276" t="inlineStr">
        <is>
          <t>шт</t>
        </is>
      </c>
      <c r="D190" s="276" t="n">
        <v>6</v>
      </c>
      <c r="E190" s="276" t="inlineStr">
        <is>
          <t>ООО «Торговый Дом АДЛ» (Гранвэл)</t>
        </is>
      </c>
      <c r="F190" s="276" t="inlineStr">
        <is>
          <t>Россия</t>
        </is>
      </c>
      <c r="G190" s="276" t="inlineStr">
        <is>
          <t>10837159</t>
        </is>
      </c>
      <c r="H190" s="277" t="n"/>
      <c r="I190" s="276">
        <f>D190*H190</f>
        <v/>
      </c>
    </row>
    <row r="191">
      <c r="A191" s="276" t="inlineStr">
        <is>
          <t>1.3/161</t>
        </is>
      </c>
      <c r="B191" s="276" t="inlineStr">
        <is>
          <t>Затвор дисковый поворотный(ГРЭНВЭЛ) Тип /серия FL(w)-3-MR-E Ду 80</t>
        </is>
      </c>
      <c r="C191" s="276" t="inlineStr">
        <is>
          <t>шт</t>
        </is>
      </c>
      <c r="D191" s="276" t="n">
        <v>2</v>
      </c>
      <c r="E191" s="276" t="inlineStr">
        <is>
          <t>ООО «Торговый Дом АДЛ» (Гранвэл)</t>
        </is>
      </c>
      <c r="F191" s="276" t="inlineStr">
        <is>
          <t>Россия</t>
        </is>
      </c>
      <c r="G191" s="276" t="inlineStr">
        <is>
          <t>10357205</t>
        </is>
      </c>
      <c r="H191" s="277" t="n"/>
      <c r="I191" s="276">
        <f>D191*H191</f>
        <v/>
      </c>
    </row>
    <row r="192">
      <c r="A192" s="276" t="inlineStr">
        <is>
          <t>1.3/162</t>
        </is>
      </c>
      <c r="B192" s="276" t="inlineStr">
        <is>
          <t>Затвор поворотный дисковый Ду 65 Ру 16  ГРАНВЭЛ тип ЗПВС</t>
        </is>
      </c>
      <c r="C192" s="276" t="inlineStr">
        <is>
          <t>шт</t>
        </is>
      </c>
      <c r="D192" s="276" t="n">
        <v>2</v>
      </c>
      <c r="E192" s="276" t="inlineStr">
        <is>
          <t>ООО «Торговый Дом АДЛ» (Гранвэл)</t>
        </is>
      </c>
      <c r="F192" s="276" t="inlineStr">
        <is>
          <t>Россия</t>
        </is>
      </c>
      <c r="G192" s="276" t="inlineStr">
        <is>
          <t>10357198</t>
        </is>
      </c>
      <c r="H192" s="277" t="n"/>
      <c r="I192" s="276">
        <f>D192*H192</f>
        <v/>
      </c>
    </row>
    <row r="193">
      <c r="A193" s="276" t="inlineStr">
        <is>
          <t>1.3/163</t>
        </is>
      </c>
      <c r="B193" s="276" t="inlineStr">
        <is>
          <t>Электропривод прямоходный Regada SТ0 490.0-00TQV/00</t>
        </is>
      </c>
      <c r="C193" s="276" t="inlineStr">
        <is>
          <t>шт</t>
        </is>
      </c>
      <c r="D193" s="276" t="n">
        <v>1</v>
      </c>
      <c r="E193" s="276" t="inlineStr">
        <is>
          <t>ООО «Арма-Пром»</t>
        </is>
      </c>
      <c r="F193" s="277" t="inlineStr"/>
      <c r="G193" s="277" t="inlineStr"/>
      <c r="H193" s="277" t="n"/>
      <c r="I193" s="276">
        <f>D193*H193</f>
        <v/>
      </c>
    </row>
    <row r="194">
      <c r="A194" s="276" t="inlineStr">
        <is>
          <t>1.4/1</t>
        </is>
      </c>
      <c r="B194" s="276" t="inlineStr">
        <is>
          <t>Рыбозащитное устройство с потокообразователем</t>
        </is>
      </c>
      <c r="C194" s="276" t="inlineStr">
        <is>
          <t>шт</t>
        </is>
      </c>
      <c r="D194" s="276" t="n">
        <v>1</v>
      </c>
      <c r="E194" s="276" t="inlineStr">
        <is>
          <t>ООО «ПКФ «ТЕРМ»</t>
        </is>
      </c>
      <c r="F194" s="277" t="inlineStr"/>
      <c r="G194" s="277" t="inlineStr"/>
      <c r="H194" s="277" t="n"/>
      <c r="I194" s="276">
        <f>D194*H194</f>
        <v/>
      </c>
    </row>
    <row r="195">
      <c r="A195" s="276" t="inlineStr">
        <is>
          <t>1.5/1</t>
        </is>
      </c>
      <c r="B195" s="276" t="inlineStr">
        <is>
          <t>Клапан запорный 15кч18п Ду 25 Ру 16</t>
        </is>
      </c>
      <c r="C195" s="276" t="inlineStr">
        <is>
          <t>шт</t>
        </is>
      </c>
      <c r="D195" s="276" t="n">
        <v>11</v>
      </c>
      <c r="E195" s="277" t="inlineStr"/>
      <c r="F195" s="277" t="inlineStr"/>
      <c r="G195" s="277" t="inlineStr"/>
      <c r="H195" s="277" t="n"/>
      <c r="I195" s="276">
        <f>D195*H195</f>
        <v/>
      </c>
    </row>
    <row r="196">
      <c r="A196" s="276" t="inlineStr">
        <is>
          <t>1.5/2</t>
        </is>
      </c>
      <c r="B196" s="276" t="inlineStr">
        <is>
          <t>Задвижка 30с64нж Ду 50 Ру 25</t>
        </is>
      </c>
      <c r="C196" s="276" t="inlineStr">
        <is>
          <t>шт</t>
        </is>
      </c>
      <c r="D196" s="276" t="n">
        <v>2</v>
      </c>
      <c r="E196" s="276" t="inlineStr">
        <is>
          <t>ООО «Пермский трубопроводный завод» (ИНН 5904173655)</t>
        </is>
      </c>
      <c r="F196" s="276" t="inlineStr">
        <is>
          <t>Россия</t>
        </is>
      </c>
      <c r="G196" s="276" t="inlineStr">
        <is>
          <t>10698940</t>
        </is>
      </c>
      <c r="H196" s="277" t="n"/>
      <c r="I196" s="276">
        <f>D196*H196</f>
        <v/>
      </c>
    </row>
    <row r="197">
      <c r="A197" s="276" t="inlineStr">
        <is>
          <t>1.5/3</t>
        </is>
      </c>
      <c r="B197" s="276" t="inlineStr">
        <is>
          <t>Задвижка 30с64нж Ду 80 Ру 25</t>
        </is>
      </c>
      <c r="C197" s="276" t="inlineStr">
        <is>
          <t>шт</t>
        </is>
      </c>
      <c r="D197" s="276" t="n">
        <v>2</v>
      </c>
      <c r="E197" s="276" t="inlineStr">
        <is>
          <t>ООО «Пермский трубопроводный завод» (ИНН 5904173655)</t>
        </is>
      </c>
      <c r="F197" s="276" t="inlineStr">
        <is>
          <t>Россия</t>
        </is>
      </c>
      <c r="G197" s="276" t="inlineStr">
        <is>
          <t>10698940</t>
        </is>
      </c>
      <c r="H197" s="277" t="n"/>
      <c r="I197" s="276">
        <f>D197*H197</f>
        <v/>
      </c>
    </row>
    <row r="198">
      <c r="A198" s="276" t="inlineStr">
        <is>
          <t>1.5/4</t>
        </is>
      </c>
      <c r="B198" s="276" t="inlineStr">
        <is>
          <t>Кран шаровой 11б27п1 Ду 15 Ру 16</t>
        </is>
      </c>
      <c r="C198" s="276" t="inlineStr">
        <is>
          <t>шт</t>
        </is>
      </c>
      <c r="D198" s="276" t="n">
        <v>28</v>
      </c>
      <c r="E198" s="276" t="inlineStr">
        <is>
          <t>ООО «ЛД Прайд» (ИНН 7449114775)</t>
        </is>
      </c>
      <c r="F198" s="276" t="inlineStr">
        <is>
          <t>Россия</t>
        </is>
      </c>
      <c r="G198" s="276" t="inlineStr">
        <is>
          <t>10826766</t>
        </is>
      </c>
      <c r="H198" s="277" t="n"/>
      <c r="I198" s="276">
        <f>D198*H198</f>
        <v/>
      </c>
    </row>
    <row r="199">
      <c r="A199" s="276" t="inlineStr">
        <is>
          <t>1.5/5</t>
        </is>
      </c>
      <c r="B199" s="276" t="inlineStr">
        <is>
          <t>Кран шаровой 11б27п1 Ду 20 Ру 16</t>
        </is>
      </c>
      <c r="C199" s="276" t="inlineStr">
        <is>
          <t>шт</t>
        </is>
      </c>
      <c r="D199" s="276" t="n">
        <v>16</v>
      </c>
      <c r="E199" s="276" t="inlineStr">
        <is>
          <t>ООО «ЛД Прайд» (ИНН 7449114775)</t>
        </is>
      </c>
      <c r="F199" s="276" t="inlineStr">
        <is>
          <t>Россия</t>
        </is>
      </c>
      <c r="G199" s="276" t="inlineStr">
        <is>
          <t>10826766</t>
        </is>
      </c>
      <c r="H199" s="277" t="n"/>
      <c r="I199" s="276">
        <f>D199*H199</f>
        <v/>
      </c>
    </row>
    <row r="200">
      <c r="A200" s="276" t="inlineStr">
        <is>
          <t>1.5/6</t>
        </is>
      </c>
      <c r="B200" s="276" t="inlineStr">
        <is>
          <t>Кран шаровой 11б27п1 Ду 25 Ру 16</t>
        </is>
      </c>
      <c r="C200" s="276" t="inlineStr">
        <is>
          <t>шт</t>
        </is>
      </c>
      <c r="D200" s="276" t="n">
        <v>16</v>
      </c>
      <c r="E200" s="276" t="inlineStr">
        <is>
          <t>ООО «ЛД Прайд» (ИНН 7449114775)</t>
        </is>
      </c>
      <c r="F200" s="276" t="inlineStr">
        <is>
          <t>Россия</t>
        </is>
      </c>
      <c r="G200" s="276" t="inlineStr">
        <is>
          <t>10826766</t>
        </is>
      </c>
      <c r="H200" s="277" t="n"/>
      <c r="I200" s="276">
        <f>D200*H200</f>
        <v/>
      </c>
    </row>
    <row r="201">
      <c r="A201" s="276" t="inlineStr">
        <is>
          <t>1.5/7</t>
        </is>
      </c>
      <c r="B201" s="276" t="inlineStr">
        <is>
          <t>Кран шаровой 11б27п1 Ду 32 Ру 16</t>
        </is>
      </c>
      <c r="C201" s="276" t="inlineStr">
        <is>
          <t>шт</t>
        </is>
      </c>
      <c r="D201" s="276" t="n">
        <v>6</v>
      </c>
      <c r="E201" s="276" t="inlineStr">
        <is>
          <t>ООО «ЛД Прайд» (ИНН 7449114775)</t>
        </is>
      </c>
      <c r="F201" s="276" t="inlineStr">
        <is>
          <t>Россия</t>
        </is>
      </c>
      <c r="G201" s="276" t="inlineStr">
        <is>
          <t>10826766</t>
        </is>
      </c>
      <c r="H201" s="277" t="n"/>
      <c r="I201" s="276">
        <f>D201*H201</f>
        <v/>
      </c>
    </row>
    <row r="202">
      <c r="A202" s="276" t="inlineStr">
        <is>
          <t>1.5/8</t>
        </is>
      </c>
      <c r="B202" s="276" t="inlineStr">
        <is>
          <t>Кран шаровой 11б27п1 Ду 50 Ру 16</t>
        </is>
      </c>
      <c r="C202" s="276" t="inlineStr">
        <is>
          <t>шт</t>
        </is>
      </c>
      <c r="D202" s="276" t="n">
        <v>6</v>
      </c>
      <c r="E202" s="276" t="inlineStr">
        <is>
          <t>ООО «ЛД Прайд» (ИНН 7449114775)</t>
        </is>
      </c>
      <c r="F202" s="276" t="inlineStr">
        <is>
          <t>Россия</t>
        </is>
      </c>
      <c r="G202" s="276" t="inlineStr">
        <is>
          <t>10826766</t>
        </is>
      </c>
      <c r="H202" s="277" t="n"/>
      <c r="I202" s="276">
        <f>D202*H202</f>
        <v/>
      </c>
    </row>
    <row r="203">
      <c r="A203" s="276" t="inlineStr">
        <is>
          <t>1.5/9</t>
        </is>
      </c>
      <c r="B203" s="276" t="inlineStr">
        <is>
          <t>Кран шаровой 11с22п Ду 50 Ру 16</t>
        </is>
      </c>
      <c r="C203" s="276" t="inlineStr">
        <is>
          <t>шт</t>
        </is>
      </c>
      <c r="D203" s="276" t="n">
        <v>4</v>
      </c>
      <c r="E203" s="276" t="inlineStr">
        <is>
          <t>ООО «ЧелябинскСпецГражданСтрой» (ИНН 7451211335)</t>
        </is>
      </c>
      <c r="F203" s="276" t="inlineStr">
        <is>
          <t>Россия</t>
        </is>
      </c>
      <c r="G203" s="276" t="inlineStr">
        <is>
          <t>10655491</t>
        </is>
      </c>
      <c r="H203" s="277" t="n"/>
      <c r="I203" s="276">
        <f>D203*H203</f>
        <v/>
      </c>
    </row>
    <row r="204">
      <c r="A204" s="276" t="inlineStr">
        <is>
          <t>1.5/10</t>
        </is>
      </c>
      <c r="B204" s="276" t="inlineStr">
        <is>
          <t>Кран шаровой 11с22п Ду 80 Ру 16</t>
        </is>
      </c>
      <c r="C204" s="276" t="inlineStr">
        <is>
          <t>шт</t>
        </is>
      </c>
      <c r="D204" s="276" t="n">
        <v>4</v>
      </c>
      <c r="E204" s="276" t="inlineStr">
        <is>
          <t>ООО «ЧелябинскСпецГражданСтрой» (ИНН 7451211335)</t>
        </is>
      </c>
      <c r="F204" s="276" t="inlineStr">
        <is>
          <t>Россия</t>
        </is>
      </c>
      <c r="G204" s="276" t="inlineStr">
        <is>
          <t>10655491</t>
        </is>
      </c>
      <c r="H204" s="277" t="n"/>
      <c r="I204" s="276">
        <f>D204*H204</f>
        <v/>
      </c>
    </row>
    <row r="205">
      <c r="A205" s="276" t="inlineStr">
        <is>
          <t>1.5/11</t>
        </is>
      </c>
      <c r="B205" s="276" t="inlineStr">
        <is>
          <t>Кран шаровой 11с22п Ду 100 Ру 16</t>
        </is>
      </c>
      <c r="C205" s="276" t="inlineStr">
        <is>
          <t>шт</t>
        </is>
      </c>
      <c r="D205" s="276" t="n">
        <v>2</v>
      </c>
      <c r="E205" s="276" t="inlineStr">
        <is>
          <t>ООО «ЧелябинскСпецГражданСтрой» (ИНН 7451211335)</t>
        </is>
      </c>
      <c r="F205" s="276" t="inlineStr">
        <is>
          <t>Россия</t>
        </is>
      </c>
      <c r="G205" s="276" t="inlineStr">
        <is>
          <t>10655491</t>
        </is>
      </c>
      <c r="H205" s="277" t="n"/>
      <c r="I205" s="276">
        <f>D205*H205</f>
        <v/>
      </c>
    </row>
    <row r="206">
      <c r="A206" s="276" t="inlineStr">
        <is>
          <t>1.5/12</t>
        </is>
      </c>
      <c r="B206" s="276" t="inlineStr">
        <is>
          <t>Кран шаровой 11с67п Ду 15 Ру 25 цельносварной под приварку</t>
        </is>
      </c>
      <c r="C206" s="276" t="inlineStr">
        <is>
          <t>шт</t>
        </is>
      </c>
      <c r="D206" s="276" t="n">
        <v>25</v>
      </c>
      <c r="E206" s="276" t="inlineStr">
        <is>
          <t>ООО «ЧелябинскСпецГражданСтрой» (ИНН 7451211335)</t>
        </is>
      </c>
      <c r="F206" s="276" t="inlineStr">
        <is>
          <t>Россия</t>
        </is>
      </c>
      <c r="G206" s="276" t="inlineStr">
        <is>
          <t>10655491</t>
        </is>
      </c>
      <c r="H206" s="277" t="n"/>
      <c r="I206" s="276">
        <f>D206*H206</f>
        <v/>
      </c>
    </row>
    <row r="207">
      <c r="A207" s="276" t="inlineStr">
        <is>
          <t>1.5/13</t>
        </is>
      </c>
      <c r="B207" s="276" t="inlineStr">
        <is>
          <t>Кран шаровой 11с67п Ду 25 Ру 25 цельносварной под приварку</t>
        </is>
      </c>
      <c r="C207" s="276" t="inlineStr">
        <is>
          <t>шт</t>
        </is>
      </c>
      <c r="D207" s="276" t="n">
        <v>32</v>
      </c>
      <c r="E207" s="276" t="inlineStr">
        <is>
          <t>ООО «ЧелябинскСпецГражданСтрой» (ИНН 7451211335)</t>
        </is>
      </c>
      <c r="F207" s="276" t="inlineStr">
        <is>
          <t>Россия</t>
        </is>
      </c>
      <c r="G207" s="276" t="inlineStr">
        <is>
          <t>10655491</t>
        </is>
      </c>
      <c r="H207" s="277" t="n"/>
      <c r="I207" s="276">
        <f>D207*H207</f>
        <v/>
      </c>
    </row>
    <row r="208">
      <c r="A208" s="276" t="inlineStr">
        <is>
          <t>1.5/14</t>
        </is>
      </c>
      <c r="B208" s="276" t="inlineStr">
        <is>
          <t>Кран шаровой 11с67п Ду 32 Ру 25 цельносварной под приварку</t>
        </is>
      </c>
      <c r="C208" s="276" t="inlineStr">
        <is>
          <t>шт</t>
        </is>
      </c>
      <c r="D208" s="276" t="n">
        <v>15</v>
      </c>
      <c r="E208" s="277" t="inlineStr"/>
      <c r="F208" s="277" t="inlineStr"/>
      <c r="G208" s="277" t="inlineStr"/>
      <c r="H208" s="277" t="n"/>
      <c r="I208" s="276">
        <f>D208*H208</f>
        <v/>
      </c>
    </row>
    <row r="209">
      <c r="A209" s="276" t="inlineStr">
        <is>
          <t>1.5/15</t>
        </is>
      </c>
      <c r="B209" s="276" t="inlineStr">
        <is>
          <t>Кран шаровой 11с67п Ду 40 Ру 25 цельносварной под приварку</t>
        </is>
      </c>
      <c r="C209" s="276" t="inlineStr">
        <is>
          <t>шт</t>
        </is>
      </c>
      <c r="D209" s="276" t="n">
        <v>26</v>
      </c>
      <c r="E209" s="276" t="inlineStr">
        <is>
          <t>ООО «ЧелябинскСпецГражданСтрой» (ИНН 7451211335)</t>
        </is>
      </c>
      <c r="F209" s="276" t="inlineStr">
        <is>
          <t>Россия</t>
        </is>
      </c>
      <c r="G209" s="276" t="inlineStr">
        <is>
          <t>10655491</t>
        </is>
      </c>
      <c r="H209" s="277" t="n"/>
      <c r="I209" s="276">
        <f>D209*H209</f>
        <v/>
      </c>
    </row>
    <row r="210">
      <c r="A210" s="276" t="inlineStr">
        <is>
          <t>1.5/16</t>
        </is>
      </c>
      <c r="B210" s="276" t="inlineStr">
        <is>
          <t>Кран шаровой 11с67п Ду 50 Ру 25 цельносварной под приварку</t>
        </is>
      </c>
      <c r="C210" s="276" t="inlineStr">
        <is>
          <t>шт</t>
        </is>
      </c>
      <c r="D210" s="276" t="n">
        <v>9</v>
      </c>
      <c r="E210" s="277" t="inlineStr"/>
      <c r="F210" s="277" t="inlineStr"/>
      <c r="G210" s="277" t="inlineStr"/>
      <c r="H210" s="277" t="n"/>
      <c r="I210" s="276">
        <f>D210*H210</f>
        <v/>
      </c>
    </row>
    <row r="211">
      <c r="A211" s="276" t="inlineStr">
        <is>
          <t>1.5/17</t>
        </is>
      </c>
      <c r="B211" s="276" t="inlineStr">
        <is>
          <t>Кран шаровой 11с67п Ду 100 Ру 25 цельносварной под приварку</t>
        </is>
      </c>
      <c r="C211" s="276" t="inlineStr">
        <is>
          <t>шт</t>
        </is>
      </c>
      <c r="D211" s="276" t="n">
        <v>4</v>
      </c>
      <c r="E211" s="277" t="inlineStr"/>
      <c r="F211" s="277" t="inlineStr"/>
      <c r="G211" s="277" t="inlineStr"/>
      <c r="H211" s="277" t="n"/>
      <c r="I211" s="276">
        <f>D211*H211</f>
        <v/>
      </c>
    </row>
    <row r="212">
      <c r="A212" s="276" t="inlineStr">
        <is>
          <t>1.5/18</t>
        </is>
      </c>
      <c r="B212" s="276" t="inlineStr">
        <is>
          <t>Кран шаровой 11с67п Ду 150 Ру 25 цельносварной под приварку</t>
        </is>
      </c>
      <c r="C212" s="276" t="inlineStr">
        <is>
          <t>шт</t>
        </is>
      </c>
      <c r="D212" s="276" t="n">
        <v>2</v>
      </c>
      <c r="E212" s="276" t="inlineStr">
        <is>
          <t>ООО «ЧелябинскСпецГражданСтрой» (ИНН 7451211335)</t>
        </is>
      </c>
      <c r="F212" s="276" t="inlineStr">
        <is>
          <t>Россия</t>
        </is>
      </c>
      <c r="G212" s="276" t="inlineStr">
        <is>
          <t>10655491</t>
        </is>
      </c>
      <c r="H212" s="277" t="n"/>
      <c r="I212" s="276">
        <f>D212*H212</f>
        <v/>
      </c>
    </row>
    <row r="213">
      <c r="A213" s="276" t="inlineStr">
        <is>
          <t>1.6/1</t>
        </is>
      </c>
      <c r="B213" s="276" t="inlineStr">
        <is>
          <t>Клапан регулирующий 25с947нж Ду 25 Ру 25 с ЭИМ</t>
        </is>
      </c>
      <c r="C213" s="276" t="inlineStr">
        <is>
          <t>шт</t>
        </is>
      </c>
      <c r="D213" s="276" t="n">
        <v>1</v>
      </c>
      <c r="E213" s="277" t="inlineStr"/>
      <c r="F213" s="277" t="inlineStr"/>
      <c r="G213" s="277" t="inlineStr"/>
      <c r="H213" s="277" t="n"/>
      <c r="I213" s="276">
        <f>D213*H213</f>
        <v/>
      </c>
    </row>
    <row r="214">
      <c r="A214" s="276" t="inlineStr">
        <is>
          <t>1.6/2</t>
        </is>
      </c>
      <c r="B214" s="276" t="inlineStr">
        <is>
          <t>Клапан регулирующий 25с947нж Ду 50 Ру 25 с ЭИМ</t>
        </is>
      </c>
      <c r="C214" s="276" t="inlineStr">
        <is>
          <t>шт</t>
        </is>
      </c>
      <c r="D214" s="276" t="n">
        <v>1</v>
      </c>
      <c r="E214" s="277" t="inlineStr"/>
      <c r="F214" s="277" t="inlineStr"/>
      <c r="G214" s="277" t="inlineStr"/>
      <c r="H214" s="277" t="n"/>
      <c r="I214" s="276">
        <f>D214*H214</f>
        <v/>
      </c>
    </row>
    <row r="215">
      <c r="A215" s="276" t="inlineStr">
        <is>
          <t>1.6/3</t>
        </is>
      </c>
      <c r="B215" s="276" t="inlineStr">
        <is>
          <t>Регулирующий клапан Ридан VFG-2R Ду 80, Kvs 80, Ру 16</t>
        </is>
      </c>
      <c r="C215" s="276" t="inlineStr">
        <is>
          <t>шт</t>
        </is>
      </c>
      <c r="D215" s="276" t="n">
        <v>1</v>
      </c>
      <c r="E215" s="277" t="inlineStr"/>
      <c r="F215" s="277" t="inlineStr"/>
      <c r="G215" s="277" t="inlineStr"/>
      <c r="H215" s="277" t="n"/>
      <c r="I215" s="276">
        <f>D215*H215</f>
        <v/>
      </c>
    </row>
    <row r="216">
      <c r="A216" s="276" t="inlineStr">
        <is>
          <t>1.6/4</t>
        </is>
      </c>
      <c r="B216" s="276" t="inlineStr">
        <is>
          <t>Клапан обратный межфланцевый 19ч21бр Ду 100 Ру 16</t>
        </is>
      </c>
      <c r="C216" s="276" t="inlineStr">
        <is>
          <t>шт</t>
        </is>
      </c>
      <c r="D216" s="276" t="n">
        <v>1</v>
      </c>
      <c r="E216" s="276" t="inlineStr">
        <is>
          <t>АО «Энергия»</t>
        </is>
      </c>
      <c r="F216" s="276" t="inlineStr">
        <is>
          <t>Россия</t>
        </is>
      </c>
      <c r="G216" s="276" t="inlineStr">
        <is>
          <t>10743786</t>
        </is>
      </c>
      <c r="H216" s="277" t="n"/>
      <c r="I216" s="276">
        <f>D216*H216</f>
        <v/>
      </c>
    </row>
    <row r="217">
      <c r="A217" s="276" t="inlineStr">
        <is>
          <t>1.6/5</t>
        </is>
      </c>
      <c r="B217" s="276" t="inlineStr">
        <is>
          <t>Клапан обратный межфланцевый 19ч21бр Ду 50 Ру 16</t>
        </is>
      </c>
      <c r="C217" s="276" t="inlineStr">
        <is>
          <t>шт</t>
        </is>
      </c>
      <c r="D217" s="276" t="n">
        <v>1</v>
      </c>
      <c r="E217" s="276" t="inlineStr">
        <is>
          <t>АО «Энергия»</t>
        </is>
      </c>
      <c r="F217" s="276" t="inlineStr">
        <is>
          <t>Россия</t>
        </is>
      </c>
      <c r="G217" s="276" t="inlineStr">
        <is>
          <t>10743786</t>
        </is>
      </c>
      <c r="H217" s="277" t="n"/>
      <c r="I217" s="276">
        <f>D217*H217</f>
        <v/>
      </c>
    </row>
    <row r="218">
      <c r="A218" s="276" t="inlineStr">
        <is>
          <t>1.6/6</t>
        </is>
      </c>
      <c r="B218" s="276" t="inlineStr">
        <is>
          <t>Клапан обратный межфланцевый 19ч21бр Ду 80 Ру 16</t>
        </is>
      </c>
      <c r="C218" s="276" t="inlineStr">
        <is>
          <t>шт</t>
        </is>
      </c>
      <c r="D218" s="276" t="n">
        <v>2</v>
      </c>
      <c r="E218" s="276" t="inlineStr">
        <is>
          <t>АО «Энергия»</t>
        </is>
      </c>
      <c r="F218" s="276" t="inlineStr">
        <is>
          <t>Россия</t>
        </is>
      </c>
      <c r="G218" s="276" t="inlineStr">
        <is>
          <t>10743786</t>
        </is>
      </c>
      <c r="H218" s="277" t="n"/>
      <c r="I218" s="276">
        <f>D218*H218</f>
        <v/>
      </c>
    </row>
    <row r="219">
      <c r="A219" s="276" t="inlineStr">
        <is>
          <t>1.6/7</t>
        </is>
      </c>
      <c r="B219" s="276" t="inlineStr">
        <is>
          <t>Клапан обратный двухстворчатый DENDOR 010C Ду 100 Ру 16 межфланцевый</t>
        </is>
      </c>
      <c r="C219" s="276" t="inlineStr">
        <is>
          <t>шт</t>
        </is>
      </c>
      <c r="D219" s="276" t="n">
        <v>1</v>
      </c>
      <c r="E219" s="276" t="inlineStr">
        <is>
          <t>АО «Энергия» (ИНН 7805499441)</t>
        </is>
      </c>
      <c r="F219" s="276" t="inlineStr">
        <is>
          <t>Россия</t>
        </is>
      </c>
      <c r="G219" s="276" t="inlineStr">
        <is>
          <t>10743786</t>
        </is>
      </c>
      <c r="H219" s="277" t="n"/>
      <c r="I219" s="276">
        <f>D219*H219</f>
        <v/>
      </c>
    </row>
    <row r="220">
      <c r="A220" s="276" t="inlineStr">
        <is>
          <t>1.6/8</t>
        </is>
      </c>
      <c r="B220" s="276" t="inlineStr">
        <is>
          <t>Клапан обратный двухстворчатый DENDOR 010C Ду 150 Ру 16 межфланцевый</t>
        </is>
      </c>
      <c r="C220" s="276" t="inlineStr">
        <is>
          <t>шт</t>
        </is>
      </c>
      <c r="D220" s="276" t="n">
        <v>1</v>
      </c>
      <c r="E220" s="276" t="inlineStr">
        <is>
          <t>АО «Энергия» (ИНН 7805499441)</t>
        </is>
      </c>
      <c r="F220" s="276" t="inlineStr">
        <is>
          <t>Россия</t>
        </is>
      </c>
      <c r="G220" s="276" t="inlineStr">
        <is>
          <t>10743786</t>
        </is>
      </c>
      <c r="H220" s="277" t="n"/>
      <c r="I220" s="276">
        <f>D220*H220</f>
        <v/>
      </c>
    </row>
    <row r="221">
      <c r="A221" s="276" t="inlineStr">
        <is>
          <t>1.6/9</t>
        </is>
      </c>
      <c r="B221" s="276" t="inlineStr">
        <is>
          <t>Клапан обратный двухстворчатый DENDOR 010C Ду 200 Ру 16 межфланцевый</t>
        </is>
      </c>
      <c r="C221" s="276" t="inlineStr">
        <is>
          <t>шт</t>
        </is>
      </c>
      <c r="D221" s="276" t="n">
        <v>1</v>
      </c>
      <c r="E221" s="276" t="inlineStr">
        <is>
          <t>АО «Энергия» (ИНН 7805499441)</t>
        </is>
      </c>
      <c r="F221" s="276" t="inlineStr">
        <is>
          <t>Россия</t>
        </is>
      </c>
      <c r="G221" s="276" t="inlineStr">
        <is>
          <t>10743786</t>
        </is>
      </c>
      <c r="H221" s="277" t="n"/>
      <c r="I221" s="276">
        <f>D221*H221</f>
        <v/>
      </c>
    </row>
    <row r="222">
      <c r="A222" s="276" t="inlineStr">
        <is>
          <t>1.6/10</t>
        </is>
      </c>
      <c r="B222" s="276" t="inlineStr">
        <is>
          <t>Клапан предохранительный сбросный ПСК 50C/125 Ду 50</t>
        </is>
      </c>
      <c r="C222" s="276" t="inlineStr">
        <is>
          <t>шт</t>
        </is>
      </c>
      <c r="D222" s="276" t="n">
        <v>1</v>
      </c>
      <c r="E222" s="276" t="inlineStr">
        <is>
          <t>ООО ПКФ «Экс-Форма» (ИНН 6455004320)</t>
        </is>
      </c>
      <c r="F222" s="276" t="inlineStr">
        <is>
          <t>Россия</t>
        </is>
      </c>
      <c r="G222" s="276" t="inlineStr">
        <is>
          <t>10538896</t>
        </is>
      </c>
      <c r="H222" s="277" t="n"/>
      <c r="I222" s="276">
        <f>D222*H222</f>
        <v/>
      </c>
    </row>
    <row r="223">
      <c r="A223" s="276" t="inlineStr">
        <is>
          <t>1.6/11</t>
        </is>
      </c>
      <c r="B223" s="276" t="inlineStr">
        <is>
          <t>Клапан предохранительный 17с11нж Ду 25 Ру 16</t>
        </is>
      </c>
      <c r="C223" s="276" t="inlineStr">
        <is>
          <t>шт</t>
        </is>
      </c>
      <c r="D223" s="276" t="n">
        <v>2</v>
      </c>
      <c r="E223" s="276" t="inlineStr">
        <is>
          <t>ООО «Торговый Дом АДЛ»</t>
        </is>
      </c>
      <c r="F223" s="277" t="inlineStr"/>
      <c r="G223" s="277" t="inlineStr"/>
      <c r="H223" s="277" t="n"/>
      <c r="I223" s="276">
        <f>D223*H223</f>
        <v/>
      </c>
    </row>
    <row r="224">
      <c r="A224" s="276" t="inlineStr">
        <is>
          <t>1.6/12</t>
        </is>
      </c>
      <c r="B224" s="276" t="inlineStr">
        <is>
          <t>Клапан предохранительный 17с28нж Ду 50 Ру16 (Рн 10-16)</t>
        </is>
      </c>
      <c r="C224" s="276" t="inlineStr">
        <is>
          <t>шт</t>
        </is>
      </c>
      <c r="D224" s="276" t="n">
        <v>3</v>
      </c>
      <c r="E224" s="276" t="inlineStr">
        <is>
          <t>АО «Благовещенский арматурный завод» (ИНН 0258001489)</t>
        </is>
      </c>
      <c r="F224" s="276" t="inlineStr">
        <is>
          <t>Россия</t>
        </is>
      </c>
      <c r="G224" s="276" t="inlineStr">
        <is>
          <t>10329690</t>
        </is>
      </c>
      <c r="H224" s="277" t="n"/>
      <c r="I224" s="276">
        <f>D224*H224</f>
        <v/>
      </c>
    </row>
    <row r="225">
      <c r="A225" s="276" t="inlineStr">
        <is>
          <t>1.6/13</t>
        </is>
      </c>
      <c r="B225" s="276" t="inlineStr">
        <is>
          <t>Клапан предохранительный 17с6нж Ду 50 Ру 16</t>
        </is>
      </c>
      <c r="C225" s="276" t="inlineStr">
        <is>
          <t>шт</t>
        </is>
      </c>
      <c r="D225" s="276" t="n">
        <v>2</v>
      </c>
      <c r="E225" s="276" t="inlineStr">
        <is>
          <t>АО «Пензенский завод трубопроводной арматуры»</t>
        </is>
      </c>
      <c r="F225" s="276" t="inlineStr">
        <is>
          <t>Россия</t>
        </is>
      </c>
      <c r="G225" s="276" t="inlineStr">
        <is>
          <t>10706186</t>
        </is>
      </c>
      <c r="H225" s="277" t="n"/>
      <c r="I225" s="276">
        <f>D225*H225</f>
        <v/>
      </c>
    </row>
    <row r="226">
      <c r="A226" s="276" t="inlineStr">
        <is>
          <t>1.6/14</t>
        </is>
      </c>
      <c r="B226" s="276" t="inlineStr">
        <is>
          <t>Клапан предохранительный 17с6нж Ду 80 Ру 16</t>
        </is>
      </c>
      <c r="C226" s="276" t="inlineStr">
        <is>
          <t>шт</t>
        </is>
      </c>
      <c r="D226" s="276" t="n">
        <v>1</v>
      </c>
      <c r="E226" s="276" t="inlineStr">
        <is>
          <t>АО «Благовещенский арматурный завод» (ИНН 0258001489)</t>
        </is>
      </c>
      <c r="F226" s="276" t="inlineStr">
        <is>
          <t>Россия</t>
        </is>
      </c>
      <c r="G226" s="276" t="inlineStr">
        <is>
          <t>10329690</t>
        </is>
      </c>
      <c r="H226" s="277" t="n"/>
      <c r="I226" s="276">
        <f>D226*H226</f>
        <v/>
      </c>
    </row>
    <row r="227">
      <c r="A227" s="276" t="inlineStr">
        <is>
          <t>1.6/15</t>
        </is>
      </c>
      <c r="B227" s="276" t="inlineStr">
        <is>
          <t>Клапан 15с18нж Ду 32, Ру 25</t>
        </is>
      </c>
      <c r="C227" s="276" t="inlineStr">
        <is>
          <t>шт</t>
        </is>
      </c>
      <c r="D227" s="276" t="n">
        <v>1</v>
      </c>
      <c r="E227" s="276" t="inlineStr">
        <is>
          <t>ООО «Пермский трубопроводный завод» (ИНН 5904173655)</t>
        </is>
      </c>
      <c r="F227" s="276" t="inlineStr">
        <is>
          <t>Россия</t>
        </is>
      </c>
      <c r="G227" s="276" t="inlineStr">
        <is>
          <t>10698937</t>
        </is>
      </c>
      <c r="H227" s="277" t="n"/>
      <c r="I227" s="276">
        <f>D227*H227</f>
        <v/>
      </c>
    </row>
    <row r="228">
      <c r="A228" s="276" t="inlineStr">
        <is>
          <t>1.6/16</t>
        </is>
      </c>
      <c r="B228" s="276" t="inlineStr">
        <is>
          <t>Кран для манометра трехходовой Ду 15 Ру 16</t>
        </is>
      </c>
      <c r="C228" s="276" t="inlineStr">
        <is>
          <t>шт</t>
        </is>
      </c>
      <c r="D228" s="276" t="n">
        <v>2</v>
      </c>
      <c r="E228" s="277" t="inlineStr"/>
      <c r="F228" s="277" t="inlineStr"/>
      <c r="G228" s="277" t="inlineStr"/>
      <c r="H228" s="277" t="n"/>
      <c r="I228" s="276">
        <f>D228*H228</f>
        <v/>
      </c>
    </row>
    <row r="229">
      <c r="A229" s="276" t="inlineStr">
        <is>
          <t>1.6/17</t>
        </is>
      </c>
      <c r="B229" s="276" t="inlineStr">
        <is>
          <t>Клапан запорный муфтовый 15б1п Ду 15 Ру 16</t>
        </is>
      </c>
      <c r="C229" s="276" t="inlineStr">
        <is>
          <t>шт</t>
        </is>
      </c>
      <c r="D229" s="276" t="n">
        <v>8</v>
      </c>
      <c r="E229" s="276" t="inlineStr">
        <is>
          <t>ООО «Бологовский арматурный завод» (ИНН 6908017634)</t>
        </is>
      </c>
      <c r="F229" s="276" t="inlineStr">
        <is>
          <t>Россия</t>
        </is>
      </c>
      <c r="G229" s="276" t="inlineStr">
        <is>
          <t>10895023</t>
        </is>
      </c>
      <c r="H229" s="277" t="n"/>
      <c r="I229" s="276">
        <f>D229*H229</f>
        <v/>
      </c>
    </row>
    <row r="230">
      <c r="A230" s="276" t="inlineStr">
        <is>
          <t>1.6/18</t>
        </is>
      </c>
      <c r="B230" s="276" t="inlineStr">
        <is>
          <t>Клапан запорный муфтовый 15б1п Ду 20 Ру 16</t>
        </is>
      </c>
      <c r="C230" s="276" t="inlineStr">
        <is>
          <t>шт</t>
        </is>
      </c>
      <c r="D230" s="276" t="n">
        <v>14</v>
      </c>
      <c r="E230" s="276" t="inlineStr">
        <is>
          <t>ООО «Бологовский арматурный завод» (ИНН 6908017634)</t>
        </is>
      </c>
      <c r="F230" s="276" t="inlineStr">
        <is>
          <t>Россия</t>
        </is>
      </c>
      <c r="G230" s="276" t="inlineStr">
        <is>
          <t>10895023</t>
        </is>
      </c>
      <c r="H230" s="277" t="n"/>
      <c r="I230" s="276">
        <f>D230*H230</f>
        <v/>
      </c>
    </row>
    <row r="231">
      <c r="A231" s="276" t="inlineStr">
        <is>
          <t>1.6/19</t>
        </is>
      </c>
      <c r="B231" s="276" t="inlineStr">
        <is>
          <t>Клапан запорный муфтовый 15б1п Ду 25 Ру 16</t>
        </is>
      </c>
      <c r="C231" s="276" t="inlineStr">
        <is>
          <t>шт</t>
        </is>
      </c>
      <c r="D231" s="276" t="n">
        <v>12</v>
      </c>
      <c r="E231" s="276" t="inlineStr">
        <is>
          <t>ООО «Бологовский арматурный завод» (ИНН 6908017634)</t>
        </is>
      </c>
      <c r="F231" s="276" t="inlineStr">
        <is>
          <t>Россия</t>
        </is>
      </c>
      <c r="G231" s="276" t="inlineStr">
        <is>
          <t>10895023</t>
        </is>
      </c>
      <c r="H231" s="277" t="n"/>
      <c r="I231" s="276">
        <f>D231*H231</f>
        <v/>
      </c>
    </row>
    <row r="232">
      <c r="A232" s="276" t="inlineStr">
        <is>
          <t>1.6/20</t>
        </is>
      </c>
      <c r="B232" s="276" t="inlineStr">
        <is>
          <t>Клапан запорный 15кч12пМ Ду 25 Ру 25</t>
        </is>
      </c>
      <c r="C232" s="276" t="inlineStr">
        <is>
          <t>шт</t>
        </is>
      </c>
      <c r="D232" s="276" t="n">
        <v>1</v>
      </c>
      <c r="E232" s="276" t="inlineStr">
        <is>
          <t>АО «Благовещенский арматурный завод»</t>
        </is>
      </c>
      <c r="F232" s="277" t="inlineStr"/>
      <c r="G232" s="277" t="inlineStr"/>
      <c r="H232" s="277" t="n"/>
      <c r="I232" s="276">
        <f>D232*H232</f>
        <v/>
      </c>
    </row>
    <row r="233">
      <c r="A233" s="276" t="inlineStr">
        <is>
          <t>1.6/21</t>
        </is>
      </c>
      <c r="B233" s="276" t="inlineStr">
        <is>
          <t>Клапан запорный 15кч16п1 Ду 32 Ру 25</t>
        </is>
      </c>
      <c r="C233" s="276" t="inlineStr">
        <is>
          <t>шт</t>
        </is>
      </c>
      <c r="D233" s="276" t="n">
        <v>7</v>
      </c>
      <c r="E233" s="277" t="inlineStr"/>
      <c r="F233" s="277" t="inlineStr"/>
      <c r="G233" s="277" t="inlineStr"/>
      <c r="H233" s="277" t="n"/>
      <c r="I233" s="276">
        <f>D233*H233</f>
        <v/>
      </c>
    </row>
    <row r="234">
      <c r="A234" s="276" t="inlineStr">
        <is>
          <t>1.6/22</t>
        </is>
      </c>
      <c r="B234" s="276" t="inlineStr">
        <is>
          <t>Клапан запорный 15кч16п1 Ду 40 Ру 25</t>
        </is>
      </c>
      <c r="C234" s="276" t="inlineStr">
        <is>
          <t>шт</t>
        </is>
      </c>
      <c r="D234" s="276" t="n">
        <v>4</v>
      </c>
      <c r="E234" s="277" t="inlineStr"/>
      <c r="F234" s="277" t="inlineStr"/>
      <c r="G234" s="277" t="inlineStr"/>
      <c r="H234" s="277" t="n"/>
      <c r="I234" s="276">
        <f>D234*H234</f>
        <v/>
      </c>
    </row>
    <row r="235">
      <c r="A235" s="276" t="inlineStr">
        <is>
          <t>1.6/23</t>
        </is>
      </c>
      <c r="B235" s="276" t="inlineStr">
        <is>
          <t>Клапан запорный 15кч16п1 Ду 50 Ру 25</t>
        </is>
      </c>
      <c r="C235" s="276" t="inlineStr">
        <is>
          <t>шт</t>
        </is>
      </c>
      <c r="D235" s="276" t="n">
        <v>5</v>
      </c>
      <c r="E235" s="277" t="inlineStr"/>
      <c r="F235" s="277" t="inlineStr"/>
      <c r="G235" s="277" t="inlineStr"/>
      <c r="H235" s="277" t="n"/>
      <c r="I235" s="276">
        <f>D235*H235</f>
        <v/>
      </c>
    </row>
    <row r="236">
      <c r="A236" s="276" t="inlineStr">
        <is>
          <t>1.6/24</t>
        </is>
      </c>
      <c r="B236" s="276" t="inlineStr">
        <is>
          <t>Клапан запорный 15кч19п Ду 25 Ру 16</t>
        </is>
      </c>
      <c r="C236" s="276" t="inlineStr">
        <is>
          <t>шт</t>
        </is>
      </c>
      <c r="D236" s="276" t="n">
        <v>2</v>
      </c>
      <c r="E236" s="277" t="inlineStr"/>
      <c r="F236" s="277" t="inlineStr"/>
      <c r="G236" s="277" t="inlineStr"/>
      <c r="H236" s="277" t="n"/>
      <c r="I236" s="276">
        <f>D236*H236</f>
        <v/>
      </c>
    </row>
    <row r="237">
      <c r="A237" s="276" t="inlineStr">
        <is>
          <t>1.6/25</t>
        </is>
      </c>
      <c r="B237" s="276" t="inlineStr">
        <is>
          <t>Клапан запорный 15кч19п Ду 50 Ру 16</t>
        </is>
      </c>
      <c r="C237" s="276" t="inlineStr">
        <is>
          <t>шт</t>
        </is>
      </c>
      <c r="D237" s="276" t="n">
        <v>5</v>
      </c>
      <c r="E237" s="277" t="inlineStr"/>
      <c r="F237" s="277" t="inlineStr"/>
      <c r="G237" s="277" t="inlineStr"/>
      <c r="H237" s="277" t="n"/>
      <c r="I237" s="276">
        <f>D237*H237</f>
        <v/>
      </c>
    </row>
    <row r="238">
      <c r="A238" s="276" t="inlineStr">
        <is>
          <t>1.6/26</t>
        </is>
      </c>
      <c r="B238" s="276" t="inlineStr">
        <is>
          <t>Клапан запорный 15нж65нж Ду 80 Ру 16</t>
        </is>
      </c>
      <c r="C238" s="276" t="inlineStr">
        <is>
          <t>шт</t>
        </is>
      </c>
      <c r="D238" s="276" t="n">
        <v>1</v>
      </c>
      <c r="E238" s="276" t="inlineStr">
        <is>
          <t>ООО «Пермский трубопроводный завод» (ИНН 5904173655)</t>
        </is>
      </c>
      <c r="F238" s="276" t="inlineStr">
        <is>
          <t>Россия</t>
        </is>
      </c>
      <c r="G238" s="276" t="inlineStr">
        <is>
          <t>10698937</t>
        </is>
      </c>
      <c r="H238" s="277" t="n"/>
      <c r="I238" s="276">
        <f>D238*H238</f>
        <v/>
      </c>
    </row>
    <row r="239">
      <c r="A239" s="276" t="inlineStr">
        <is>
          <t>1.6/27</t>
        </is>
      </c>
      <c r="B239" s="276" t="inlineStr">
        <is>
          <t>Клапан запорный 15нж65нж Ду 100 Ру 16</t>
        </is>
      </c>
      <c r="C239" s="276" t="inlineStr">
        <is>
          <t>шт</t>
        </is>
      </c>
      <c r="D239" s="276" t="n">
        <v>1</v>
      </c>
      <c r="E239" s="276" t="inlineStr">
        <is>
          <t>ООО «Пермский трубопроводный завод» (ИНН 5904173655)</t>
        </is>
      </c>
      <c r="F239" s="276" t="inlineStr">
        <is>
          <t>Россия</t>
        </is>
      </c>
      <c r="G239" s="276" t="inlineStr">
        <is>
          <t>10698937</t>
        </is>
      </c>
      <c r="H239" s="277" t="n"/>
      <c r="I239" s="276">
        <f>D239*H239</f>
        <v/>
      </c>
    </row>
    <row r="240">
      <c r="A240" s="276" t="inlineStr">
        <is>
          <t>1.6/28</t>
        </is>
      </c>
      <c r="B240" s="276" t="inlineStr">
        <is>
          <t>Клапан запорный 15нж65нж Ду 32 Ру 16</t>
        </is>
      </c>
      <c r="C240" s="276" t="inlineStr">
        <is>
          <t>шт</t>
        </is>
      </c>
      <c r="D240" s="276" t="n">
        <v>1</v>
      </c>
      <c r="E240" s="276" t="inlineStr">
        <is>
          <t>ООО «Пермский трубопроводный завод» (ИНН 5904173655)</t>
        </is>
      </c>
      <c r="F240" s="276" t="inlineStr">
        <is>
          <t>Россия</t>
        </is>
      </c>
      <c r="G240" s="276" t="inlineStr">
        <is>
          <t>10698937</t>
        </is>
      </c>
      <c r="H240" s="277" t="n"/>
      <c r="I240" s="276">
        <f>D240*H240</f>
        <v/>
      </c>
    </row>
    <row r="241">
      <c r="A241" s="276" t="inlineStr">
        <is>
          <t>1.6/29</t>
        </is>
      </c>
      <c r="B241" s="276" t="inlineStr">
        <is>
          <t>Клапан стальной запорный фланцевый 15с18нж Ду 32 Ру 16</t>
        </is>
      </c>
      <c r="C241" s="276" t="inlineStr">
        <is>
          <t>шт</t>
        </is>
      </c>
      <c r="D241" s="276" t="n">
        <v>2</v>
      </c>
      <c r="E241" s="276" t="inlineStr">
        <is>
          <t>ООО «Пермский трубопроводный завод» (ИНН 5904173655)</t>
        </is>
      </c>
      <c r="F241" s="276" t="inlineStr">
        <is>
          <t>Россия</t>
        </is>
      </c>
      <c r="G241" s="276" t="inlineStr">
        <is>
          <t>10698937</t>
        </is>
      </c>
      <c r="H241" s="277" t="n"/>
      <c r="I241" s="276">
        <f>D241*H241</f>
        <v/>
      </c>
    </row>
    <row r="242">
      <c r="A242" s="276" t="inlineStr">
        <is>
          <t>1.6/30</t>
        </is>
      </c>
      <c r="B242" s="276" t="inlineStr">
        <is>
          <t>Клапан запорный 15с18п Ду 80 Ру 25</t>
        </is>
      </c>
      <c r="C242" s="276" t="inlineStr">
        <is>
          <t>шт</t>
        </is>
      </c>
      <c r="D242" s="276" t="n">
        <v>1</v>
      </c>
      <c r="E242" s="276" t="inlineStr">
        <is>
          <t>ООО «Пермский трубопроводный завод» (ИНН 5904173655)</t>
        </is>
      </c>
      <c r="F242" s="276" t="inlineStr">
        <is>
          <t>Россия</t>
        </is>
      </c>
      <c r="G242" s="276" t="inlineStr">
        <is>
          <t>10698937</t>
        </is>
      </c>
      <c r="H242" s="277" t="n"/>
      <c r="I242" s="276">
        <f>D242*H242</f>
        <v/>
      </c>
    </row>
    <row r="243">
      <c r="A243" s="276" t="inlineStr">
        <is>
          <t>1.6/31</t>
        </is>
      </c>
      <c r="B243" s="276" t="inlineStr">
        <is>
          <t>Клапан запорный 15с18п Ду 100 Ру 25</t>
        </is>
      </c>
      <c r="C243" s="276" t="inlineStr">
        <is>
          <t>шт</t>
        </is>
      </c>
      <c r="D243" s="276" t="n">
        <v>1</v>
      </c>
      <c r="E243" s="276" t="inlineStr">
        <is>
          <t>ООО «Пермский трубопроводный завод» (ИНН 5904173655)</t>
        </is>
      </c>
      <c r="F243" s="276" t="inlineStr">
        <is>
          <t>Россия</t>
        </is>
      </c>
      <c r="G243" s="276" t="inlineStr">
        <is>
          <t>10698937</t>
        </is>
      </c>
      <c r="H243" s="277" t="n"/>
      <c r="I243" s="276">
        <f>D243*H243</f>
        <v/>
      </c>
    </row>
    <row r="244">
      <c r="A244" s="276" t="inlineStr">
        <is>
          <t>1.6/32</t>
        </is>
      </c>
      <c r="B244" s="276" t="inlineStr">
        <is>
          <t>Клапан запорный 15с22нж Ду 25 Ру 40</t>
        </is>
      </c>
      <c r="C244" s="276" t="inlineStr">
        <is>
          <t>шт</t>
        </is>
      </c>
      <c r="D244" s="276" t="n">
        <v>1</v>
      </c>
      <c r="E244" s="276" t="inlineStr">
        <is>
          <t>ООО «Восточная арматурная компания»</t>
        </is>
      </c>
      <c r="F244" s="276" t="inlineStr">
        <is>
          <t>Россия</t>
        </is>
      </c>
      <c r="G244" s="276" t="inlineStr">
        <is>
          <t>10811565</t>
        </is>
      </c>
      <c r="H244" s="277" t="n"/>
      <c r="I244" s="276">
        <f>D244*H244</f>
        <v/>
      </c>
    </row>
    <row r="245">
      <c r="A245" s="276" t="inlineStr">
        <is>
          <t>1.6/33</t>
        </is>
      </c>
      <c r="B245" s="276" t="inlineStr">
        <is>
          <t>Клапан запорный 15с22нж Ду 32 Ру 40</t>
        </is>
      </c>
      <c r="C245" s="276" t="inlineStr">
        <is>
          <t>шт</t>
        </is>
      </c>
      <c r="D245" s="276" t="n">
        <v>5</v>
      </c>
      <c r="E245" s="276" t="inlineStr">
        <is>
          <t>ООО «Восточная арматурная компания»</t>
        </is>
      </c>
      <c r="F245" s="276" t="inlineStr">
        <is>
          <t>Россия</t>
        </is>
      </c>
      <c r="G245" s="276" t="inlineStr">
        <is>
          <t>10811565</t>
        </is>
      </c>
      <c r="H245" s="277" t="n"/>
      <c r="I245" s="276">
        <f>D245*H245</f>
        <v/>
      </c>
    </row>
    <row r="246">
      <c r="A246" s="276" t="inlineStr">
        <is>
          <t>1.6/34</t>
        </is>
      </c>
      <c r="B246" s="276" t="inlineStr">
        <is>
          <t>Клапан запорный 15с22нж Ду 40 Ру 40</t>
        </is>
      </c>
      <c r="C246" s="276" t="inlineStr">
        <is>
          <t>шт</t>
        </is>
      </c>
      <c r="D246" s="276" t="n">
        <v>2</v>
      </c>
      <c r="E246" s="276" t="inlineStr">
        <is>
          <t>ООО «Восточная арматурная компания»</t>
        </is>
      </c>
      <c r="F246" s="276" t="inlineStr">
        <is>
          <t>Россия</t>
        </is>
      </c>
      <c r="G246" s="276" t="inlineStr">
        <is>
          <t>10811565</t>
        </is>
      </c>
      <c r="H246" s="277" t="n"/>
      <c r="I246" s="276">
        <f>D246*H246</f>
        <v/>
      </c>
    </row>
    <row r="247">
      <c r="A247" s="276" t="inlineStr">
        <is>
          <t>1.6/35</t>
        </is>
      </c>
      <c r="B247" s="276" t="inlineStr">
        <is>
          <t>Клапан запорный 15с22нж Ду 50 Ру 40</t>
        </is>
      </c>
      <c r="C247" s="276" t="inlineStr">
        <is>
          <t>шт</t>
        </is>
      </c>
      <c r="D247" s="276" t="n">
        <v>4</v>
      </c>
      <c r="E247" s="276" t="inlineStr">
        <is>
          <t>ООО «Восточная арматурная компания»</t>
        </is>
      </c>
      <c r="F247" s="276" t="inlineStr">
        <is>
          <t>Россия</t>
        </is>
      </c>
      <c r="G247" s="276" t="inlineStr">
        <is>
          <t>10811565</t>
        </is>
      </c>
      <c r="H247" s="277" t="n"/>
      <c r="I247" s="276">
        <f>D247*H247</f>
        <v/>
      </c>
    </row>
    <row r="248">
      <c r="A248" s="276" t="inlineStr">
        <is>
          <t>1.6/36</t>
        </is>
      </c>
      <c r="B248" s="276" t="inlineStr">
        <is>
          <t>Клапан запорный 15с22нж Ду 80 Ру 40</t>
        </is>
      </c>
      <c r="C248" s="276" t="inlineStr">
        <is>
          <t>шт</t>
        </is>
      </c>
      <c r="D248" s="276" t="n">
        <v>2</v>
      </c>
      <c r="E248" s="276" t="inlineStr">
        <is>
          <t>ООО «Восточная арматурная компания»</t>
        </is>
      </c>
      <c r="F248" s="276" t="inlineStr">
        <is>
          <t>Россия</t>
        </is>
      </c>
      <c r="G248" s="276" t="inlineStr">
        <is>
          <t>10811565</t>
        </is>
      </c>
      <c r="H248" s="277" t="n"/>
      <c r="I248" s="276">
        <f>D248*H248</f>
        <v/>
      </c>
    </row>
    <row r="249">
      <c r="A249" s="276" t="inlineStr">
        <is>
          <t>1.6/37</t>
        </is>
      </c>
      <c r="B249" s="276" t="inlineStr">
        <is>
          <t>Клапан запорный 15с65нж Ду 100 Ру 16 с КОФ</t>
        </is>
      </c>
      <c r="C249" s="276" t="inlineStr">
        <is>
          <t>шт</t>
        </is>
      </c>
      <c r="D249" s="276" t="n">
        <v>1</v>
      </c>
      <c r="E249" s="276" t="inlineStr">
        <is>
          <t>ООО «Восточная арматурная компания»</t>
        </is>
      </c>
      <c r="F249" s="276" t="inlineStr">
        <is>
          <t>Россия</t>
        </is>
      </c>
      <c r="G249" s="276" t="inlineStr">
        <is>
          <t>10811565</t>
        </is>
      </c>
      <c r="H249" s="277" t="n"/>
      <c r="I249" s="276">
        <f>D249*H249</f>
        <v/>
      </c>
    </row>
    <row r="250">
      <c r="A250" s="276" t="inlineStr">
        <is>
          <t>1.6/38</t>
        </is>
      </c>
      <c r="B250" s="276" t="inlineStr">
        <is>
          <t>Клапан запорный 15с65нж Ду 25 Ру 16 с КОФ</t>
        </is>
      </c>
      <c r="C250" s="276" t="inlineStr">
        <is>
          <t>шт</t>
        </is>
      </c>
      <c r="D250" s="276" t="n">
        <v>1</v>
      </c>
      <c r="E250" s="276" t="inlineStr">
        <is>
          <t>ООО «Восточная арматурная компания»</t>
        </is>
      </c>
      <c r="F250" s="276" t="inlineStr">
        <is>
          <t>Россия</t>
        </is>
      </c>
      <c r="G250" s="276" t="inlineStr">
        <is>
          <t>10811565</t>
        </is>
      </c>
      <c r="H250" s="277" t="n"/>
      <c r="I250" s="276">
        <f>D250*H250</f>
        <v/>
      </c>
    </row>
    <row r="251">
      <c r="A251" s="276" t="inlineStr">
        <is>
          <t>1.6/39</t>
        </is>
      </c>
      <c r="B251" s="276" t="inlineStr">
        <is>
          <t>Клапан запорный 15с65нж Ду 40 Ру 16 с КОФ</t>
        </is>
      </c>
      <c r="C251" s="276" t="inlineStr">
        <is>
          <t>шт</t>
        </is>
      </c>
      <c r="D251" s="276" t="n">
        <v>1</v>
      </c>
      <c r="E251" s="276" t="inlineStr">
        <is>
          <t>ООО «Восточная арматурная компания»</t>
        </is>
      </c>
      <c r="F251" s="276" t="inlineStr">
        <is>
          <t>Россия</t>
        </is>
      </c>
      <c r="G251" s="276" t="inlineStr">
        <is>
          <t>10811565</t>
        </is>
      </c>
      <c r="H251" s="277" t="n"/>
      <c r="I251" s="276">
        <f>D251*H251</f>
        <v/>
      </c>
    </row>
    <row r="252">
      <c r="A252" s="276" t="inlineStr">
        <is>
          <t>1.6/40</t>
        </is>
      </c>
      <c r="B252" s="276" t="inlineStr">
        <is>
          <t>Клапан запорный 15с65нж Ду 50 Ру 16 с КОФ</t>
        </is>
      </c>
      <c r="C252" s="276" t="inlineStr">
        <is>
          <t>шт</t>
        </is>
      </c>
      <c r="D252" s="276" t="n">
        <v>2</v>
      </c>
      <c r="E252" s="276" t="inlineStr">
        <is>
          <t>ООО «Восточная арматурная компания»</t>
        </is>
      </c>
      <c r="F252" s="276" t="inlineStr">
        <is>
          <t>Россия</t>
        </is>
      </c>
      <c r="G252" s="276" t="inlineStr">
        <is>
          <t>10811565</t>
        </is>
      </c>
      <c r="H252" s="277" t="n"/>
      <c r="I252" s="276">
        <f>D252*H252</f>
        <v/>
      </c>
    </row>
    <row r="253">
      <c r="A253" s="276" t="inlineStr">
        <is>
          <t>1.6/41</t>
        </is>
      </c>
      <c r="B253" s="276" t="inlineStr">
        <is>
          <t>Задвижка 30нж41нж Ду 80 Ру 16 1исп. САЗ</t>
        </is>
      </c>
      <c r="C253" s="276" t="inlineStr">
        <is>
          <t>шт</t>
        </is>
      </c>
      <c r="D253" s="276" t="n">
        <v>1</v>
      </c>
      <c r="E253" s="276" t="inlineStr">
        <is>
          <t>ООО «Пермский трубопроводный завод» (ИНН 5904173655)</t>
        </is>
      </c>
      <c r="F253" s="276" t="inlineStr">
        <is>
          <t>Россия</t>
        </is>
      </c>
      <c r="G253" s="276" t="inlineStr">
        <is>
          <t>10698940</t>
        </is>
      </c>
      <c r="H253" s="277" t="n"/>
      <c r="I253" s="276">
        <f>D253*H253</f>
        <v/>
      </c>
    </row>
    <row r="254">
      <c r="A254" s="276" t="inlineStr">
        <is>
          <t>1.6/42</t>
        </is>
      </c>
      <c r="B254" s="276" t="inlineStr">
        <is>
          <t>Задвижка 30с41нж Ду 50 Ру 16</t>
        </is>
      </c>
      <c r="C254" s="276" t="inlineStr">
        <is>
          <t>шт</t>
        </is>
      </c>
      <c r="D254" s="276" t="n">
        <v>14</v>
      </c>
      <c r="E254" s="276" t="inlineStr">
        <is>
          <t>ООО «Пермский трубопроводный завод» (ИНН 5904173655)</t>
        </is>
      </c>
      <c r="F254" s="276" t="inlineStr">
        <is>
          <t>Россия</t>
        </is>
      </c>
      <c r="G254" s="276" t="inlineStr">
        <is>
          <t>10698940</t>
        </is>
      </c>
      <c r="H254" s="277" t="n"/>
      <c r="I254" s="276">
        <f>D254*H254</f>
        <v/>
      </c>
    </row>
    <row r="255">
      <c r="A255" s="276" t="inlineStr">
        <is>
          <t>1.6/43</t>
        </is>
      </c>
      <c r="B255" s="276" t="inlineStr">
        <is>
          <t>Задвижка 30с41нж Ду 80 Ру 16</t>
        </is>
      </c>
      <c r="C255" s="276" t="inlineStr">
        <is>
          <t>шт</t>
        </is>
      </c>
      <c r="D255" s="276" t="n">
        <v>11</v>
      </c>
      <c r="E255" s="276" t="inlineStr">
        <is>
          <t>ООО «Пермский трубопроводный завод» (ИНН 5904173655)</t>
        </is>
      </c>
      <c r="F255" s="276" t="inlineStr">
        <is>
          <t>Россия</t>
        </is>
      </c>
      <c r="G255" s="276" t="inlineStr">
        <is>
          <t>10698940</t>
        </is>
      </c>
      <c r="H255" s="277" t="n"/>
      <c r="I255" s="276">
        <f>D255*H255</f>
        <v/>
      </c>
    </row>
    <row r="256">
      <c r="A256" s="276" t="inlineStr">
        <is>
          <t>1.6/44</t>
        </is>
      </c>
      <c r="B256" s="276" t="inlineStr">
        <is>
          <t>Задвижка 30с41нж Ду 100 Ру 16</t>
        </is>
      </c>
      <c r="C256" s="276" t="inlineStr">
        <is>
          <t>шт</t>
        </is>
      </c>
      <c r="D256" s="276" t="n">
        <v>10</v>
      </c>
      <c r="E256" s="276" t="inlineStr">
        <is>
          <t>ООО «Пермский трубопроводный завод» (ИНН 5904173655)</t>
        </is>
      </c>
      <c r="F256" s="276" t="inlineStr">
        <is>
          <t>Россия</t>
        </is>
      </c>
      <c r="G256" s="276" t="inlineStr">
        <is>
          <t>10698940</t>
        </is>
      </c>
      <c r="H256" s="277" t="n"/>
      <c r="I256" s="276">
        <f>D256*H256</f>
        <v/>
      </c>
    </row>
    <row r="257">
      <c r="A257" s="276" t="inlineStr">
        <is>
          <t>1.6/45</t>
        </is>
      </c>
      <c r="B257" s="276" t="inlineStr">
        <is>
          <t>Задвижка 30с41нж Ду 150 Ру 16</t>
        </is>
      </c>
      <c r="C257" s="276" t="inlineStr">
        <is>
          <t>шт</t>
        </is>
      </c>
      <c r="D257" s="276" t="n">
        <v>7</v>
      </c>
      <c r="E257" s="276" t="inlineStr">
        <is>
          <t>ООО «Пермский трубопроводный завод» (ИНН 5904173655)</t>
        </is>
      </c>
      <c r="F257" s="276" t="inlineStr">
        <is>
          <t>Россия</t>
        </is>
      </c>
      <c r="G257" s="276" t="inlineStr">
        <is>
          <t>10698940</t>
        </is>
      </c>
      <c r="H257" s="277" t="n"/>
      <c r="I257" s="276">
        <f>D257*H257</f>
        <v/>
      </c>
    </row>
    <row r="258">
      <c r="A258" s="276" t="inlineStr">
        <is>
          <t>1.6/46</t>
        </is>
      </c>
      <c r="B258" s="276" t="inlineStr">
        <is>
          <t>Задвижка 30с41нж Ду 200 Ру 16</t>
        </is>
      </c>
      <c r="C258" s="276" t="inlineStr">
        <is>
          <t>шт</t>
        </is>
      </c>
      <c r="D258" s="276" t="n">
        <v>2</v>
      </c>
      <c r="E258" s="276" t="inlineStr">
        <is>
          <t>ООО «Пермский трубопроводный завод» (ИНН 5904173655)</t>
        </is>
      </c>
      <c r="F258" s="276" t="inlineStr">
        <is>
          <t>Россия</t>
        </is>
      </c>
      <c r="G258" s="276" t="inlineStr">
        <is>
          <t>10698940</t>
        </is>
      </c>
      <c r="H258" s="277" t="n"/>
      <c r="I258" s="276">
        <f>D258*H258</f>
        <v/>
      </c>
    </row>
    <row r="259">
      <c r="A259" s="276" t="inlineStr">
        <is>
          <t>1.6/47</t>
        </is>
      </c>
      <c r="B259" s="276" t="inlineStr">
        <is>
          <t>Задвижка 30ч6бр Ду 50 Ру 10</t>
        </is>
      </c>
      <c r="C259" s="276" t="inlineStr">
        <is>
          <t>шт</t>
        </is>
      </c>
      <c r="D259" s="276" t="n">
        <v>9</v>
      </c>
      <c r="E259" s="276" t="inlineStr">
        <is>
          <t>ООО ПИК «АЛГРУПП»</t>
        </is>
      </c>
      <c r="F259" s="276" t="inlineStr">
        <is>
          <t>Россия</t>
        </is>
      </c>
      <c r="G259" s="276" t="inlineStr">
        <is>
          <t>10716626</t>
        </is>
      </c>
      <c r="H259" s="277" t="n"/>
      <c r="I259" s="276">
        <f>D259*H259</f>
        <v/>
      </c>
    </row>
    <row r="260">
      <c r="A260" s="276" t="inlineStr">
        <is>
          <t>1.6/48</t>
        </is>
      </c>
      <c r="B260" s="276" t="inlineStr">
        <is>
          <t>Задвижка 30ч6бр Ду 80 Ру 10</t>
        </is>
      </c>
      <c r="C260" s="276" t="inlineStr">
        <is>
          <t>шт</t>
        </is>
      </c>
      <c r="D260" s="276" t="n">
        <v>3</v>
      </c>
      <c r="E260" s="276" t="inlineStr">
        <is>
          <t>ООО ПИК «АЛГРУПП»</t>
        </is>
      </c>
      <c r="F260" s="276" t="inlineStr">
        <is>
          <t>Россия</t>
        </is>
      </c>
      <c r="G260" s="276" t="inlineStr">
        <is>
          <t>10716626</t>
        </is>
      </c>
      <c r="H260" s="277" t="n"/>
      <c r="I260" s="276">
        <f>D260*H260</f>
        <v/>
      </c>
    </row>
    <row r="261">
      <c r="A261" s="276" t="inlineStr">
        <is>
          <t>1.6/49</t>
        </is>
      </c>
      <c r="B261" s="276" t="inlineStr">
        <is>
          <t>Задвижка 30ч6бр Ду 100 Ру 10</t>
        </is>
      </c>
      <c r="C261" s="276" t="inlineStr">
        <is>
          <t>шт</t>
        </is>
      </c>
      <c r="D261" s="276" t="n">
        <v>3</v>
      </c>
      <c r="E261" s="276" t="inlineStr">
        <is>
          <t>ООО ПИК «АЛГРУПП»</t>
        </is>
      </c>
      <c r="F261" s="276" t="inlineStr">
        <is>
          <t>Россия</t>
        </is>
      </c>
      <c r="G261" s="276" t="inlineStr">
        <is>
          <t>10716626</t>
        </is>
      </c>
      <c r="H261" s="277" t="n"/>
      <c r="I261" s="276">
        <f>D261*H261</f>
        <v/>
      </c>
    </row>
    <row r="262">
      <c r="A262" s="276" t="inlineStr">
        <is>
          <t>1.6/50</t>
        </is>
      </c>
      <c r="B262" s="276" t="inlineStr">
        <is>
          <t>Кран шаровой 11б27п(м) Ду 015 Ру16 3-х ходовой для манометров</t>
        </is>
      </c>
      <c r="C262" s="276" t="inlineStr">
        <is>
          <t>шт</t>
        </is>
      </c>
      <c r="D262" s="276" t="n">
        <v>132</v>
      </c>
      <c r="E262" s="277" t="inlineStr"/>
      <c r="F262" s="277" t="inlineStr"/>
      <c r="G262" s="277" t="inlineStr"/>
      <c r="H262" s="277" t="n"/>
      <c r="I262" s="276">
        <f>D262*H262</f>
        <v/>
      </c>
    </row>
    <row r="263">
      <c r="A263" s="276" t="inlineStr">
        <is>
          <t>1.6/51</t>
        </is>
      </c>
      <c r="B263" s="276" t="inlineStr">
        <is>
          <t>Кран шаровой 11б27п1 Ду 15 Ру 16</t>
        </is>
      </c>
      <c r="C263" s="276" t="inlineStr">
        <is>
          <t>шт</t>
        </is>
      </c>
      <c r="D263" s="276" t="n">
        <v>47</v>
      </c>
      <c r="E263" s="276" t="inlineStr">
        <is>
          <t>ООО «ЛД Прайд» (ИНН 7449114775)</t>
        </is>
      </c>
      <c r="F263" s="276" t="inlineStr">
        <is>
          <t>Россия</t>
        </is>
      </c>
      <c r="G263" s="276" t="inlineStr">
        <is>
          <t>10826766</t>
        </is>
      </c>
      <c r="H263" s="277" t="n"/>
      <c r="I263" s="276">
        <f>D263*H263</f>
        <v/>
      </c>
    </row>
    <row r="264">
      <c r="A264" s="276" t="inlineStr">
        <is>
          <t>1.6/52</t>
        </is>
      </c>
      <c r="B264" s="276" t="inlineStr">
        <is>
          <t>Кран шаровой 11б27п1 Ду 20 Ру 16</t>
        </is>
      </c>
      <c r="C264" s="276" t="inlineStr">
        <is>
          <t>шт</t>
        </is>
      </c>
      <c r="D264" s="276" t="n">
        <v>63</v>
      </c>
      <c r="E264" s="276" t="inlineStr">
        <is>
          <t>ООО «ЛД Прайд» (ИНН 7449114775)</t>
        </is>
      </c>
      <c r="F264" s="276" t="inlineStr">
        <is>
          <t>Россия</t>
        </is>
      </c>
      <c r="G264" s="276" t="inlineStr">
        <is>
          <t>10826766</t>
        </is>
      </c>
      <c r="H264" s="277" t="n"/>
      <c r="I264" s="276">
        <f>D264*H264</f>
        <v/>
      </c>
    </row>
    <row r="265">
      <c r="A265" s="276" t="inlineStr">
        <is>
          <t>1.6/53</t>
        </is>
      </c>
      <c r="B265" s="276" t="inlineStr">
        <is>
          <t>Кран шаровой 11б27п1 Ду 25 Ру 16</t>
        </is>
      </c>
      <c r="C265" s="276" t="inlineStr">
        <is>
          <t>шт</t>
        </is>
      </c>
      <c r="D265" s="276" t="n">
        <v>40</v>
      </c>
      <c r="E265" s="276" t="inlineStr">
        <is>
          <t>ООО «ЛД Прайд» (ИНН 7449114775)</t>
        </is>
      </c>
      <c r="F265" s="276" t="inlineStr">
        <is>
          <t>Россия</t>
        </is>
      </c>
      <c r="G265" s="276" t="inlineStr">
        <is>
          <t>10826766</t>
        </is>
      </c>
      <c r="H265" s="277" t="n"/>
      <c r="I265" s="276">
        <f>D265*H265</f>
        <v/>
      </c>
    </row>
    <row r="266">
      <c r="A266" s="276" t="inlineStr">
        <is>
          <t>1.6/54</t>
        </is>
      </c>
      <c r="B266" s="276" t="inlineStr">
        <is>
          <t>Кран шаровой 11б27п1 Ду 32 Ру 16</t>
        </is>
      </c>
      <c r="C266" s="276" t="inlineStr">
        <is>
          <t>шт</t>
        </is>
      </c>
      <c r="D266" s="276" t="n">
        <v>77</v>
      </c>
      <c r="E266" s="276" t="inlineStr">
        <is>
          <t>ООО «ЛД Прайд» (ИНН 7449114775)</t>
        </is>
      </c>
      <c r="F266" s="276" t="inlineStr">
        <is>
          <t>Россия</t>
        </is>
      </c>
      <c r="G266" s="276" t="inlineStr">
        <is>
          <t>10826766</t>
        </is>
      </c>
      <c r="H266" s="277" t="n"/>
      <c r="I266" s="276">
        <f>D266*H266</f>
        <v/>
      </c>
    </row>
    <row r="267">
      <c r="A267" s="276" t="inlineStr">
        <is>
          <t>1.6/55</t>
        </is>
      </c>
      <c r="B267" s="276" t="inlineStr">
        <is>
          <t>Кран шаровой 11б27п1 Ду 40 Ру 16</t>
        </is>
      </c>
      <c r="C267" s="276" t="inlineStr">
        <is>
          <t>шт</t>
        </is>
      </c>
      <c r="D267" s="276" t="n">
        <v>2</v>
      </c>
      <c r="E267" s="276" t="inlineStr">
        <is>
          <t>ООО «ЛД Прайд» (ИНН 7449114775)</t>
        </is>
      </c>
      <c r="F267" s="276" t="inlineStr">
        <is>
          <t>Россия</t>
        </is>
      </c>
      <c r="G267" s="276" t="inlineStr">
        <is>
          <t>10826766</t>
        </is>
      </c>
      <c r="H267" s="277" t="n"/>
      <c r="I267" s="276">
        <f>D267*H267</f>
        <v/>
      </c>
    </row>
    <row r="268">
      <c r="A268" s="276" t="inlineStr">
        <is>
          <t>1.6/56</t>
        </is>
      </c>
      <c r="B268" s="276" t="inlineStr">
        <is>
          <t>Кран шаровой 11б27п1 Ду 50 Ру 16</t>
        </is>
      </c>
      <c r="C268" s="276" t="inlineStr">
        <is>
          <t>шт</t>
        </is>
      </c>
      <c r="D268" s="276" t="n">
        <v>6</v>
      </c>
      <c r="E268" s="276" t="inlineStr">
        <is>
          <t>ООО «ЛД Прайд» (ИНН 7449114775)</t>
        </is>
      </c>
      <c r="F268" s="276" t="inlineStr">
        <is>
          <t>Россия</t>
        </is>
      </c>
      <c r="G268" s="276" t="inlineStr">
        <is>
          <t>10826766</t>
        </is>
      </c>
      <c r="H268" s="277" t="n"/>
      <c r="I268" s="276">
        <f>D268*H268</f>
        <v/>
      </c>
    </row>
    <row r="269">
      <c r="A269" s="276" t="inlineStr">
        <is>
          <t>1.6/57</t>
        </is>
      </c>
      <c r="B269" s="276" t="inlineStr">
        <is>
          <t>Кран шаровой 11с22п Ду 32 Ру 16</t>
        </is>
      </c>
      <c r="C269" s="276" t="inlineStr">
        <is>
          <t>шт</t>
        </is>
      </c>
      <c r="D269" s="276" t="n">
        <v>55</v>
      </c>
      <c r="E269" s="276" t="inlineStr">
        <is>
          <t>ООО «ЧелябинскСпецГражданСтрой» (ИНН 7451211335)</t>
        </is>
      </c>
      <c r="F269" s="276" t="inlineStr">
        <is>
          <t>Россия</t>
        </is>
      </c>
      <c r="G269" s="276" t="inlineStr">
        <is>
          <t>10655491</t>
        </is>
      </c>
      <c r="H269" s="277" t="n"/>
      <c r="I269" s="276">
        <f>D269*H269</f>
        <v/>
      </c>
    </row>
    <row r="270">
      <c r="A270" s="276" t="inlineStr">
        <is>
          <t>1.6/58</t>
        </is>
      </c>
      <c r="B270" s="276" t="inlineStr">
        <is>
          <t>Кран шаровой 11с22п Ду 50 Ру 16</t>
        </is>
      </c>
      <c r="C270" s="276" t="inlineStr">
        <is>
          <t>шт</t>
        </is>
      </c>
      <c r="D270" s="276" t="n">
        <v>35</v>
      </c>
      <c r="E270" s="276" t="inlineStr">
        <is>
          <t>ООО «ЧелябинскСпецГражданСтрой» (ИНН 7451211335)</t>
        </is>
      </c>
      <c r="F270" s="276" t="inlineStr">
        <is>
          <t>Россия</t>
        </is>
      </c>
      <c r="G270" s="276" t="inlineStr">
        <is>
          <t>10655491</t>
        </is>
      </c>
      <c r="H270" s="277" t="n"/>
      <c r="I270" s="276">
        <f>D270*H270</f>
        <v/>
      </c>
    </row>
    <row r="271">
      <c r="A271" s="276" t="inlineStr">
        <is>
          <t>1.6/59</t>
        </is>
      </c>
      <c r="B271" s="276" t="inlineStr">
        <is>
          <t>Кран шаровой 11с22п Ду 80 Ру 16</t>
        </is>
      </c>
      <c r="C271" s="276" t="inlineStr">
        <is>
          <t>шт</t>
        </is>
      </c>
      <c r="D271" s="276" t="n">
        <v>24</v>
      </c>
      <c r="E271" s="276" t="inlineStr">
        <is>
          <t>ООО «ЧелябинскСпецГражданСтрой» (ИНН 7451211335)</t>
        </is>
      </c>
      <c r="F271" s="276" t="inlineStr">
        <is>
          <t>Россия</t>
        </is>
      </c>
      <c r="G271" s="276" t="inlineStr">
        <is>
          <t>10655491</t>
        </is>
      </c>
      <c r="H271" s="277" t="n"/>
      <c r="I271" s="276">
        <f>D271*H271</f>
        <v/>
      </c>
    </row>
    <row r="272">
      <c r="A272" s="276" t="inlineStr">
        <is>
          <t>1.6/60</t>
        </is>
      </c>
      <c r="B272" s="276" t="inlineStr">
        <is>
          <t>Кран шаровой 11с22п Ду 100 Ру 16</t>
        </is>
      </c>
      <c r="C272" s="276" t="inlineStr">
        <is>
          <t>шт</t>
        </is>
      </c>
      <c r="D272" s="276" t="n">
        <v>27</v>
      </c>
      <c r="E272" s="276" t="inlineStr">
        <is>
          <t>ООО «ЧелябинскСпецГражданСтрой» (ИНН 7451211335)</t>
        </is>
      </c>
      <c r="F272" s="276" t="inlineStr">
        <is>
          <t>Россия</t>
        </is>
      </c>
      <c r="G272" s="276" t="inlineStr">
        <is>
          <t>10655491</t>
        </is>
      </c>
      <c r="H272" s="277" t="n"/>
      <c r="I272" s="276">
        <f>D272*H272</f>
        <v/>
      </c>
    </row>
    <row r="273">
      <c r="A273" s="276" t="inlineStr">
        <is>
          <t>1.6/61</t>
        </is>
      </c>
      <c r="B273" s="276" t="inlineStr">
        <is>
          <t>Кран шаровой 11с22п Ду 150 Ру 16</t>
        </is>
      </c>
      <c r="C273" s="276" t="inlineStr">
        <is>
          <t>шт</t>
        </is>
      </c>
      <c r="D273" s="276" t="n">
        <v>13</v>
      </c>
      <c r="E273" s="276" t="inlineStr">
        <is>
          <t>ООО «ЧелябинскСпецГражданСтрой» (ИНН 7451211335)</t>
        </is>
      </c>
      <c r="F273" s="276" t="inlineStr">
        <is>
          <t>Россия</t>
        </is>
      </c>
      <c r="G273" s="276" t="inlineStr">
        <is>
          <t>10655491</t>
        </is>
      </c>
      <c r="H273" s="277" t="n"/>
      <c r="I273" s="276">
        <f>D273*H273</f>
        <v/>
      </c>
    </row>
    <row r="274">
      <c r="A274" s="276" t="inlineStr">
        <is>
          <t>1.6/62</t>
        </is>
      </c>
      <c r="B274" s="276" t="inlineStr">
        <is>
          <t>Кран шаровой 11с22п Ду 200 Ру 16</t>
        </is>
      </c>
      <c r="C274" s="276" t="inlineStr">
        <is>
          <t>шт</t>
        </is>
      </c>
      <c r="D274" s="276" t="n">
        <v>3</v>
      </c>
      <c r="E274" s="276" t="inlineStr">
        <is>
          <t>ООО «ЧелябинскСпецГражданСтрой» (ИНН 7451211335)</t>
        </is>
      </c>
      <c r="F274" s="276" t="inlineStr">
        <is>
          <t>Россия</t>
        </is>
      </c>
      <c r="G274" s="276" t="inlineStr">
        <is>
          <t>10655491</t>
        </is>
      </c>
      <c r="H274" s="277" t="n"/>
      <c r="I274" s="276">
        <f>D274*H274</f>
        <v/>
      </c>
    </row>
    <row r="275">
      <c r="A275" s="276" t="inlineStr">
        <is>
          <t>1.6/63</t>
        </is>
      </c>
      <c r="B275" s="276" t="inlineStr">
        <is>
          <t>Кран запорный шаровой 11С67П Ду 100 Ру 16</t>
        </is>
      </c>
      <c r="C275" s="276" t="inlineStr">
        <is>
          <t>шт</t>
        </is>
      </c>
      <c r="D275" s="276" t="n">
        <v>25</v>
      </c>
      <c r="E275" s="276" t="inlineStr">
        <is>
          <t>ООО «ЧелябинскСпецГражданСтрой» (ИНН 7451211335)</t>
        </is>
      </c>
      <c r="F275" s="276" t="inlineStr">
        <is>
          <t>Россия</t>
        </is>
      </c>
      <c r="G275" s="276" t="inlineStr">
        <is>
          <t>10655491</t>
        </is>
      </c>
      <c r="H275" s="277" t="n"/>
      <c r="I275" s="276">
        <f>D275*H275</f>
        <v/>
      </c>
    </row>
    <row r="276">
      <c r="A276" s="276" t="inlineStr">
        <is>
          <t>1.6/64</t>
        </is>
      </c>
      <c r="B276" s="276" t="inlineStr">
        <is>
          <t>Кран запорный шаровой 11С67П Ду 150 Ру 16</t>
        </is>
      </c>
      <c r="C276" s="276" t="inlineStr">
        <is>
          <t>шт</t>
        </is>
      </c>
      <c r="D276" s="276" t="n">
        <v>9</v>
      </c>
      <c r="E276" s="276" t="inlineStr">
        <is>
          <t>ООО «ЧелябинскСпецГражданСтрой» (ИНН 7451211335)</t>
        </is>
      </c>
      <c r="F276" s="276" t="inlineStr">
        <is>
          <t>Россия</t>
        </is>
      </c>
      <c r="G276" s="276" t="inlineStr">
        <is>
          <t>10655491</t>
        </is>
      </c>
      <c r="H276" s="277" t="n"/>
      <c r="I276" s="276">
        <f>D276*H276</f>
        <v/>
      </c>
    </row>
    <row r="277">
      <c r="A277" s="276" t="inlineStr">
        <is>
          <t>1.6/65</t>
        </is>
      </c>
      <c r="B277" s="276" t="inlineStr">
        <is>
          <t>Кран запорный шаровой 11С67П Ду 200 Ру 16</t>
        </is>
      </c>
      <c r="C277" s="276" t="inlineStr">
        <is>
          <t>шт</t>
        </is>
      </c>
      <c r="D277" s="276" t="n">
        <v>2</v>
      </c>
      <c r="E277" s="276" t="inlineStr">
        <is>
          <t>ООО «ЧелябинскСпецГражданСтрой» (ИНН 7451211335)</t>
        </is>
      </c>
      <c r="F277" s="276" t="inlineStr">
        <is>
          <t>Россия</t>
        </is>
      </c>
      <c r="G277" s="276" t="inlineStr">
        <is>
          <t>10655491</t>
        </is>
      </c>
      <c r="H277" s="277" t="n"/>
      <c r="I277" s="276">
        <f>D277*H277</f>
        <v/>
      </c>
    </row>
    <row r="278">
      <c r="A278" s="276" t="inlineStr">
        <is>
          <t>1.6/66</t>
        </is>
      </c>
      <c r="B278" s="276" t="inlineStr">
        <is>
          <t>Кран запорный шаровой 11С67П Ду 50 Ру 16</t>
        </is>
      </c>
      <c r="C278" s="276" t="inlineStr">
        <is>
          <t>шт</t>
        </is>
      </c>
      <c r="D278" s="276" t="n">
        <v>25</v>
      </c>
      <c r="E278" s="276" t="inlineStr">
        <is>
          <t>ООО «ЧелябинскСпецГражданСтрой» (ИНН 7451211335)</t>
        </is>
      </c>
      <c r="F278" s="276" t="inlineStr">
        <is>
          <t>Россия</t>
        </is>
      </c>
      <c r="G278" s="276" t="inlineStr">
        <is>
          <t>10655491</t>
        </is>
      </c>
      <c r="H278" s="277" t="n"/>
      <c r="I278" s="276">
        <f>D278*H278</f>
        <v/>
      </c>
    </row>
    <row r="279">
      <c r="A279" s="276" t="inlineStr">
        <is>
          <t>1.6/67</t>
        </is>
      </c>
      <c r="B279" s="276" t="inlineStr">
        <is>
          <t>Кран запорный шаровой 11С67П Ду 80 Ру 16</t>
        </is>
      </c>
      <c r="C279" s="276" t="inlineStr">
        <is>
          <t>шт</t>
        </is>
      </c>
      <c r="D279" s="276" t="n">
        <v>22</v>
      </c>
      <c r="E279" s="276" t="inlineStr">
        <is>
          <t>ООО «ЧелябинскСпецГражданСтрой» (ИНН 7451211335)</t>
        </is>
      </c>
      <c r="F279" s="276" t="inlineStr">
        <is>
          <t>Россия</t>
        </is>
      </c>
      <c r="G279" s="276" t="inlineStr">
        <is>
          <t>10655491</t>
        </is>
      </c>
      <c r="H279" s="277" t="n"/>
      <c r="I279" s="276">
        <f>D279*H279</f>
        <v/>
      </c>
    </row>
    <row r="280">
      <c r="A280" s="276" t="inlineStr">
        <is>
          <t>1.6/68</t>
        </is>
      </c>
      <c r="B280" s="276" t="inlineStr">
        <is>
          <t>Кран шаровой 11с67п Ду 25 Ру 25 цельносварной под приварку</t>
        </is>
      </c>
      <c r="C280" s="276" t="inlineStr">
        <is>
          <t>шт</t>
        </is>
      </c>
      <c r="D280" s="276" t="n">
        <v>36</v>
      </c>
      <c r="E280" s="276" t="inlineStr">
        <is>
          <t>ООО «ЧелябинскСпецГражданСтрой» (ИНН 7451211335)</t>
        </is>
      </c>
      <c r="F280" s="276" t="inlineStr">
        <is>
          <t>Россия</t>
        </is>
      </c>
      <c r="G280" s="276" t="inlineStr">
        <is>
          <t>10655491</t>
        </is>
      </c>
      <c r="H280" s="277" t="n"/>
      <c r="I280" s="276">
        <f>D280*H280</f>
        <v/>
      </c>
    </row>
    <row r="281">
      <c r="A281" s="276" t="inlineStr">
        <is>
          <t>1.6/69</t>
        </is>
      </c>
      <c r="B281" s="276" t="inlineStr">
        <is>
          <t>Кран шаровой 11с67п Ду 32 Ру 25 цельносварной под приварку</t>
        </is>
      </c>
      <c r="C281" s="276" t="inlineStr">
        <is>
          <t>шт</t>
        </is>
      </c>
      <c r="D281" s="276" t="n">
        <v>6</v>
      </c>
      <c r="E281" s="276" t="inlineStr">
        <is>
          <t>ООО «ЧелябинскСпецГражданСтрой» (ИНН 7451211335)</t>
        </is>
      </c>
      <c r="F281" s="276" t="inlineStr">
        <is>
          <t>Россия</t>
        </is>
      </c>
      <c r="G281" s="276" t="inlineStr">
        <is>
          <t>10655491</t>
        </is>
      </c>
      <c r="H281" s="277" t="n"/>
      <c r="I281" s="276">
        <f>D281*H281</f>
        <v/>
      </c>
    </row>
    <row r="282">
      <c r="A282" s="276" t="inlineStr">
        <is>
          <t>1.6/70</t>
        </is>
      </c>
      <c r="B282" s="276" t="inlineStr">
        <is>
          <t>Кран шаровой 11с67п Ду 40 Ру 25 цельносварной под приварку</t>
        </is>
      </c>
      <c r="C282" s="276" t="inlineStr">
        <is>
          <t>шт</t>
        </is>
      </c>
      <c r="D282" s="276" t="n">
        <v>10</v>
      </c>
      <c r="E282" s="276" t="inlineStr">
        <is>
          <t>ООО «ЧелябинскСпецГражданСтрой» (ИНН 7451211335)</t>
        </is>
      </c>
      <c r="F282" s="276" t="inlineStr">
        <is>
          <t>Россия</t>
        </is>
      </c>
      <c r="G282" s="276" t="inlineStr">
        <is>
          <t>10655491</t>
        </is>
      </c>
      <c r="H282" s="277" t="n"/>
      <c r="I282" s="276">
        <f>D282*H282</f>
        <v/>
      </c>
    </row>
    <row r="283">
      <c r="A283" s="276" t="inlineStr">
        <is>
          <t>1.6/71</t>
        </is>
      </c>
      <c r="B283" s="276" t="inlineStr">
        <is>
          <t>Кран шаровой 11с67п Ду 20 Ру 25 полнопрох. с КОФ (КЗШС41нж)</t>
        </is>
      </c>
      <c r="C283" s="276" t="inlineStr">
        <is>
          <t>шт</t>
        </is>
      </c>
      <c r="D283" s="276" t="n">
        <v>2</v>
      </c>
      <c r="E283" s="277" t="inlineStr"/>
      <c r="F283" s="277" t="inlineStr"/>
      <c r="G283" s="277" t="inlineStr"/>
      <c r="H283" s="277" t="n"/>
      <c r="I283" s="276">
        <f>D283*H283</f>
        <v/>
      </c>
    </row>
    <row r="284">
      <c r="A284" s="276" t="inlineStr">
        <is>
          <t>1.6/72</t>
        </is>
      </c>
      <c r="B284" s="276" t="inlineStr">
        <is>
          <t>Кран шаровой 11с67п Ду 25 Ру 25 полнопрох. с КОФ (КЗШС41нж)</t>
        </is>
      </c>
      <c r="C284" s="276" t="inlineStr">
        <is>
          <t>шт</t>
        </is>
      </c>
      <c r="D284" s="276" t="n">
        <v>9</v>
      </c>
      <c r="E284" s="277" t="inlineStr"/>
      <c r="F284" s="277" t="inlineStr"/>
      <c r="G284" s="277" t="inlineStr"/>
      <c r="H284" s="277" t="n"/>
      <c r="I284" s="276">
        <f>D284*H284</f>
        <v/>
      </c>
    </row>
    <row r="285">
      <c r="A285" s="276" t="inlineStr">
        <is>
          <t>1.6/73</t>
        </is>
      </c>
      <c r="B285" s="276" t="inlineStr">
        <is>
          <t>Кран шаровой 11с67п Ду 32 Ру 25 полнопрох. с КОФ (КЗШС41нж)</t>
        </is>
      </c>
      <c r="C285" s="276" t="inlineStr">
        <is>
          <t>шт</t>
        </is>
      </c>
      <c r="D285" s="276" t="n">
        <v>10</v>
      </c>
      <c r="E285" s="277" t="inlineStr"/>
      <c r="F285" s="277" t="inlineStr"/>
      <c r="G285" s="277" t="inlineStr"/>
      <c r="H285" s="277" t="n"/>
      <c r="I285" s="276">
        <f>D285*H285</f>
        <v/>
      </c>
    </row>
    <row r="286">
      <c r="A286" s="276" t="inlineStr">
        <is>
          <t>1.6/74</t>
        </is>
      </c>
      <c r="B286" s="276" t="inlineStr">
        <is>
          <t>Кран шаровой 11с67п Ду 40 Ру 25 полнопрох. с КОФ (КЗШС41нж)</t>
        </is>
      </c>
      <c r="C286" s="276" t="inlineStr">
        <is>
          <t>шт</t>
        </is>
      </c>
      <c r="D286" s="276" t="n">
        <v>2</v>
      </c>
      <c r="E286" s="277" t="inlineStr"/>
      <c r="F286" s="277" t="inlineStr"/>
      <c r="G286" s="277" t="inlineStr"/>
      <c r="H286" s="277" t="n"/>
      <c r="I286" s="276">
        <f>D286*H286</f>
        <v/>
      </c>
    </row>
    <row r="287">
      <c r="A287" s="276" t="inlineStr">
        <is>
          <t>1.6/75</t>
        </is>
      </c>
      <c r="B287" s="276" t="inlineStr">
        <is>
          <t>Кран шаровой 11с67п Ду 50 Ру 25 полнопрох. с КОФ (КЗШС41нж)</t>
        </is>
      </c>
      <c r="C287" s="276" t="inlineStr">
        <is>
          <t>шт</t>
        </is>
      </c>
      <c r="D287" s="276" t="n">
        <v>9</v>
      </c>
      <c r="E287" s="277" t="inlineStr"/>
      <c r="F287" s="277" t="inlineStr"/>
      <c r="G287" s="277" t="inlineStr"/>
      <c r="H287" s="277" t="n"/>
      <c r="I287" s="276">
        <f>D287*H287</f>
        <v/>
      </c>
    </row>
    <row r="288">
      <c r="A288" s="276" t="inlineStr">
        <is>
          <t>1.6/76</t>
        </is>
      </c>
      <c r="B288" s="276" t="inlineStr">
        <is>
          <t>Кран шаровой 11с67п Ду 80 Ру 25 полнопрох. с КОФ (КЗШС41нж)</t>
        </is>
      </c>
      <c r="C288" s="276" t="inlineStr">
        <is>
          <t>шт</t>
        </is>
      </c>
      <c r="D288" s="276" t="n">
        <v>9</v>
      </c>
      <c r="E288" s="277" t="inlineStr"/>
      <c r="F288" s="277" t="inlineStr"/>
      <c r="G288" s="277" t="inlineStr"/>
      <c r="H288" s="277" t="n"/>
      <c r="I288" s="276">
        <f>D288*H288</f>
        <v/>
      </c>
    </row>
    <row r="289">
      <c r="A289" s="276" t="inlineStr">
        <is>
          <t>1.6/77</t>
        </is>
      </c>
      <c r="B289" s="276" t="inlineStr">
        <is>
          <t>Кран шаровой 11с67п Ду 100 Ру 16 ЦУФ.001 КШ укороченный полнопроходной фланцевый с рукояткой</t>
        </is>
      </c>
      <c r="C289" s="276" t="inlineStr">
        <is>
          <t>шт</t>
        </is>
      </c>
      <c r="D289" s="276" t="n">
        <v>4</v>
      </c>
      <c r="E289" s="276" t="inlineStr">
        <is>
          <t>ООО «ЧелябинскСпецГражданСтрой» (ИНН 7451211335)</t>
        </is>
      </c>
      <c r="F289" s="276" t="inlineStr">
        <is>
          <t>Россия</t>
        </is>
      </c>
      <c r="G289" s="276" t="inlineStr">
        <is>
          <t>10655491</t>
        </is>
      </c>
      <c r="H289" s="277" t="n"/>
      <c r="I289" s="276">
        <f>D289*H289</f>
        <v/>
      </c>
    </row>
    <row r="290">
      <c r="A290" s="276" t="inlineStr">
        <is>
          <t>1.6/78</t>
        </is>
      </c>
      <c r="B290" s="276" t="inlineStr">
        <is>
          <t>Кран шаровой 11с67п Ду 32 Ру 16 ЦУФ.001 КШ укороченный полнопроходной фланцевый с рукояткой</t>
        </is>
      </c>
      <c r="C290" s="276" t="inlineStr">
        <is>
          <t>шт</t>
        </is>
      </c>
      <c r="D290" s="276" t="n">
        <v>1</v>
      </c>
      <c r="E290" s="276" t="inlineStr">
        <is>
          <t>ООО «ЧелябинскСпецГражданСтрой» (ИНН 7451211335)</t>
        </is>
      </c>
      <c r="F290" s="276" t="inlineStr">
        <is>
          <t>Россия</t>
        </is>
      </c>
      <c r="G290" s="276" t="inlineStr">
        <is>
          <t>10655491</t>
        </is>
      </c>
      <c r="H290" s="277" t="n"/>
      <c r="I290" s="276">
        <f>D290*H290</f>
        <v/>
      </c>
    </row>
    <row r="291">
      <c r="A291" s="276" t="inlineStr">
        <is>
          <t>1.6/79</t>
        </is>
      </c>
      <c r="B291" s="276" t="inlineStr">
        <is>
          <t>Кран шаровой 11с67п Ду 40 Ру 16 ЦУФ.001 КШ укороченный полнопроходной фланцевый с рукояткой</t>
        </is>
      </c>
      <c r="C291" s="276" t="inlineStr">
        <is>
          <t>шт</t>
        </is>
      </c>
      <c r="D291" s="276" t="n">
        <v>1</v>
      </c>
      <c r="E291" s="276" t="inlineStr">
        <is>
          <t>ООО «ЧелябинскСпецГражданСтрой» (ИНН 7451211335)</t>
        </is>
      </c>
      <c r="F291" s="276" t="inlineStr">
        <is>
          <t>Россия</t>
        </is>
      </c>
      <c r="G291" s="276" t="inlineStr">
        <is>
          <t>10655491</t>
        </is>
      </c>
      <c r="H291" s="277" t="n"/>
      <c r="I291" s="276">
        <f>D291*H291</f>
        <v/>
      </c>
    </row>
    <row r="292">
      <c r="A292" s="276" t="inlineStr">
        <is>
          <t>1.6/80</t>
        </is>
      </c>
      <c r="B292" s="276" t="inlineStr">
        <is>
          <t>Кран шаровой 11с67п Ду 50 Ру 16 ЦУФ.001 КШ укороченный полнопроходной фланцевый с рукояткой</t>
        </is>
      </c>
      <c r="C292" s="276" t="inlineStr">
        <is>
          <t>шт</t>
        </is>
      </c>
      <c r="D292" s="276" t="n">
        <v>3</v>
      </c>
      <c r="E292" s="276" t="inlineStr">
        <is>
          <t>ООО «ЧелябинскСпецГражданСтрой» (ИНН 7451211335)</t>
        </is>
      </c>
      <c r="F292" s="276" t="inlineStr">
        <is>
          <t>Россия</t>
        </is>
      </c>
      <c r="G292" s="276" t="inlineStr">
        <is>
          <t>10655491</t>
        </is>
      </c>
      <c r="H292" s="277" t="n"/>
      <c r="I292" s="276">
        <f>D292*H292</f>
        <v/>
      </c>
    </row>
    <row r="293">
      <c r="A293" s="276" t="inlineStr">
        <is>
          <t>1.6/81</t>
        </is>
      </c>
      <c r="B293" s="276" t="inlineStr">
        <is>
          <t>Кран шаровой 11с67п Ду 80 Ру 16 ЦУФ.001 КШ укороченный полнопроходной фланцевый с рукояткой</t>
        </is>
      </c>
      <c r="C293" s="276" t="inlineStr">
        <is>
          <t>шт</t>
        </is>
      </c>
      <c r="D293" s="276" t="n">
        <v>6</v>
      </c>
      <c r="E293" s="276" t="inlineStr">
        <is>
          <t>ООО «ЧелябинскСпецГражданСтрой» (ИНН 7451211335)</t>
        </is>
      </c>
      <c r="F293" s="276" t="inlineStr">
        <is>
          <t>Россия</t>
        </is>
      </c>
      <c r="G293" s="276" t="inlineStr">
        <is>
          <t>10655491</t>
        </is>
      </c>
      <c r="H293" s="277" t="n"/>
      <c r="I293" s="276">
        <f>D293*H293</f>
        <v/>
      </c>
    </row>
    <row r="294">
      <c r="A294" s="276" t="inlineStr">
        <is>
          <t>1.6/82</t>
        </is>
      </c>
      <c r="B294" s="276" t="inlineStr">
        <is>
          <t>Кран шаровой TEMPER 28020025 муфтовый, Ду 25, Ру 40</t>
        </is>
      </c>
      <c r="C294" s="276" t="inlineStr">
        <is>
          <t>шт</t>
        </is>
      </c>
      <c r="D294" s="276" t="n">
        <v>2</v>
      </c>
      <c r="E294" s="277" t="inlineStr"/>
      <c r="F294" s="277" t="inlineStr"/>
      <c r="G294" s="277" t="inlineStr"/>
      <c r="H294" s="277" t="n"/>
      <c r="I294" s="276">
        <f>D294*H294</f>
        <v/>
      </c>
    </row>
    <row r="295">
      <c r="A295" s="276" t="inlineStr">
        <is>
          <t>1.6/83</t>
        </is>
      </c>
      <c r="B295" s="276" t="inlineStr">
        <is>
          <t>Кран шаровый LD полнопроходной 11с67п КШРФ Ду 100 Ру 16 с КОФ</t>
        </is>
      </c>
      <c r="C295" s="276" t="inlineStr">
        <is>
          <t>шт</t>
        </is>
      </c>
      <c r="D295" s="276" t="n">
        <v>3</v>
      </c>
      <c r="E295" s="276" t="inlineStr">
        <is>
          <t>ООО «ЧелябинскСпецГражданСтрой» (ИНН 7451211335)</t>
        </is>
      </c>
      <c r="F295" s="276" t="inlineStr">
        <is>
          <t>Россия</t>
        </is>
      </c>
      <c r="G295" s="276" t="inlineStr">
        <is>
          <t>10714005</t>
        </is>
      </c>
      <c r="H295" s="277" t="n"/>
      <c r="I295" s="276">
        <f>D295*H295</f>
        <v/>
      </c>
    </row>
    <row r="296">
      <c r="A296" s="276" t="inlineStr">
        <is>
          <t>1.6/84</t>
        </is>
      </c>
      <c r="B296" s="276" t="inlineStr">
        <is>
          <t>Кран шаровый LD полнопроходной 11с67п КШРФ Ду 150 Ру 16 с КОФ</t>
        </is>
      </c>
      <c r="C296" s="276" t="inlineStr">
        <is>
          <t>шт</t>
        </is>
      </c>
      <c r="D296" s="276" t="n">
        <v>1</v>
      </c>
      <c r="E296" s="276" t="inlineStr">
        <is>
          <t>ООО «ЧелябинскСпецГражданСтрой» (ИНН 7451211335)</t>
        </is>
      </c>
      <c r="F296" s="276" t="inlineStr">
        <is>
          <t>Россия</t>
        </is>
      </c>
      <c r="G296" s="276" t="inlineStr">
        <is>
          <t>10714005</t>
        </is>
      </c>
      <c r="H296" s="277" t="n"/>
      <c r="I296" s="276">
        <f>D296*H296</f>
        <v/>
      </c>
    </row>
    <row r="297">
      <c r="A297" s="276" t="inlineStr">
        <is>
          <t>1.6/85</t>
        </is>
      </c>
      <c r="B297" s="276" t="inlineStr">
        <is>
          <t>Кран шаровый LD полнопроходной 11с67п КШРФ Ду 25 Ру 16 с КОФ</t>
        </is>
      </c>
      <c r="C297" s="276" t="inlineStr">
        <is>
          <t>шт</t>
        </is>
      </c>
      <c r="D297" s="276" t="n">
        <v>2</v>
      </c>
      <c r="E297" s="276" t="inlineStr">
        <is>
          <t>ООО «ЧелябинскСпецГражданСтрой» (ИНН 7451211335)</t>
        </is>
      </c>
      <c r="F297" s="276" t="inlineStr">
        <is>
          <t>Россия</t>
        </is>
      </c>
      <c r="G297" s="276" t="inlineStr">
        <is>
          <t>10714005</t>
        </is>
      </c>
      <c r="H297" s="277" t="n"/>
      <c r="I297" s="276">
        <f>D297*H297</f>
        <v/>
      </c>
    </row>
    <row r="298">
      <c r="A298" s="276" t="inlineStr">
        <is>
          <t>1.6/86</t>
        </is>
      </c>
      <c r="B298" s="276" t="inlineStr">
        <is>
          <t>Кран шаровый LD полнопроходной 11с67п КШРФ Ду 40 Ру 16 с КОФ</t>
        </is>
      </c>
      <c r="C298" s="276" t="inlineStr">
        <is>
          <t>шт</t>
        </is>
      </c>
      <c r="D298" s="276" t="n">
        <v>6</v>
      </c>
      <c r="E298" s="276" t="inlineStr">
        <is>
          <t>ООО «ЧелябинскСпецГражданСтрой» (ИНН 7451211335)</t>
        </is>
      </c>
      <c r="F298" s="276" t="inlineStr">
        <is>
          <t>Россия</t>
        </is>
      </c>
      <c r="G298" s="276" t="inlineStr">
        <is>
          <t>10714005</t>
        </is>
      </c>
      <c r="H298" s="277" t="n"/>
      <c r="I298" s="276">
        <f>D298*H298</f>
        <v/>
      </c>
    </row>
    <row r="299">
      <c r="A299" s="276" t="inlineStr">
        <is>
          <t>1.6/87</t>
        </is>
      </c>
      <c r="B299" s="276" t="inlineStr">
        <is>
          <t>Кран шаровый LD полнопроходной 11с67п КШРФ Ду 50 Ру 16 с КОФ</t>
        </is>
      </c>
      <c r="C299" s="276" t="inlineStr">
        <is>
          <t>шт</t>
        </is>
      </c>
      <c r="D299" s="276" t="n">
        <v>5</v>
      </c>
      <c r="E299" s="276" t="inlineStr">
        <is>
          <t>ООО «ЧелябинскСпецГражданСтрой» (ИНН 7451211335)</t>
        </is>
      </c>
      <c r="F299" s="276" t="inlineStr">
        <is>
          <t>Россия</t>
        </is>
      </c>
      <c r="G299" s="276" t="inlineStr">
        <is>
          <t>10714005</t>
        </is>
      </c>
      <c r="H299" s="277" t="n"/>
      <c r="I299" s="276">
        <f>D299*H299</f>
        <v/>
      </c>
    </row>
    <row r="300">
      <c r="A300" s="276" t="inlineStr">
        <is>
          <t>1.6/88</t>
        </is>
      </c>
      <c r="B300" s="276" t="inlineStr">
        <is>
          <t>Кран шаровый LD полнопроходной 11с67п КШРФ Ду 80 Ру 16 с КОФ</t>
        </is>
      </c>
      <c r="C300" s="276" t="inlineStr">
        <is>
          <t>шт</t>
        </is>
      </c>
      <c r="D300" s="276" t="n">
        <v>6</v>
      </c>
      <c r="E300" s="276" t="inlineStr">
        <is>
          <t>ООО «ЧелябинскСпецГражданСтрой» (ИНН 7451211335)</t>
        </is>
      </c>
      <c r="F300" s="276" t="inlineStr">
        <is>
          <t>Россия</t>
        </is>
      </c>
      <c r="G300" s="276" t="inlineStr">
        <is>
          <t>10714005</t>
        </is>
      </c>
      <c r="H300" s="277" t="n"/>
      <c r="I300" s="276">
        <f>D300*H300</f>
        <v/>
      </c>
    </row>
    <row r="301">
      <c r="A301" s="276" t="inlineStr">
        <is>
          <t>1.6/89</t>
        </is>
      </c>
      <c r="B301" s="276" t="inlineStr">
        <is>
          <t>Затвор дисковый поворотный(ГРЭНВЭЛ) ЗП ТЛ Ду 100, Ру 16</t>
        </is>
      </c>
      <c r="C301" s="276" t="inlineStr">
        <is>
          <t>шт</t>
        </is>
      </c>
      <c r="D301" s="276" t="n">
        <v>2</v>
      </c>
      <c r="E301" s="276" t="inlineStr">
        <is>
          <t>ООО «Торговый Дом АДЛ» (Гранвэл)</t>
        </is>
      </c>
      <c r="F301" s="276" t="inlineStr">
        <is>
          <t>Россия</t>
        </is>
      </c>
      <c r="G301" s="276" t="inlineStr">
        <is>
          <t>10357202</t>
        </is>
      </c>
      <c r="H301" s="277" t="n"/>
      <c r="I301" s="276">
        <f>D301*H301</f>
        <v/>
      </c>
    </row>
    <row r="302">
      <c r="A302" s="276" t="inlineStr">
        <is>
          <t>1.6/90</t>
        </is>
      </c>
      <c r="B302" s="276" t="inlineStr">
        <is>
          <t>Затвор дисковый поворотный(ГРЭНВЭЛ) ЗП ТЛ Ду 80 Ру 16</t>
        </is>
      </c>
      <c r="C302" s="276" t="inlineStr">
        <is>
          <t>шт</t>
        </is>
      </c>
      <c r="D302" s="276" t="n">
        <v>1</v>
      </c>
      <c r="E302" s="276" t="inlineStr">
        <is>
          <t>ООО «Торговый Дом АДЛ» (Гранвэл)</t>
        </is>
      </c>
      <c r="F302" s="276" t="inlineStr">
        <is>
          <t>Россия</t>
        </is>
      </c>
      <c r="G302" s="276" t="inlineStr">
        <is>
          <t>10357205</t>
        </is>
      </c>
      <c r="H302" s="277" t="n"/>
      <c r="I302" s="276">
        <f>D302*H302</f>
        <v/>
      </c>
    </row>
    <row r="303">
      <c r="A303" s="276" t="inlineStr">
        <is>
          <t>1.6/91</t>
        </is>
      </c>
      <c r="B303" s="276" t="inlineStr">
        <is>
          <t>Затвор дисковый поворотный(ГРЭНВЭЛ) Тип /серия FL(w)-3-MR-E Ду 80 Ру 16</t>
        </is>
      </c>
      <c r="C303" s="276" t="inlineStr">
        <is>
          <t>шт</t>
        </is>
      </c>
      <c r="D303" s="276" t="n">
        <v>1</v>
      </c>
      <c r="E303" s="276" t="inlineStr">
        <is>
          <t>ООО «Торговый Дом АДЛ» (Гранвэл)</t>
        </is>
      </c>
      <c r="F303" s="276" t="inlineStr">
        <is>
          <t>Россия</t>
        </is>
      </c>
      <c r="G303" s="276" t="inlineStr">
        <is>
          <t>10357205</t>
        </is>
      </c>
      <c r="H303" s="277" t="n"/>
      <c r="I303" s="276">
        <f>D303*H303</f>
        <v/>
      </c>
    </row>
    <row r="304">
      <c r="A304" s="276" t="inlineStr">
        <is>
          <t>1.6/92</t>
        </is>
      </c>
      <c r="B304" s="276" t="inlineStr">
        <is>
          <t>Газовый клапан Dungs LGV 507/5 230 V, 119271</t>
        </is>
      </c>
      <c r="C304" s="276" t="inlineStr">
        <is>
          <t>шт</t>
        </is>
      </c>
      <c r="D304" s="276" t="n">
        <v>2</v>
      </c>
      <c r="E304" s="276" t="inlineStr">
        <is>
          <t>ТЕД Газовые системы</t>
        </is>
      </c>
      <c r="F304" s="277" t="inlineStr"/>
      <c r="G304" s="277" t="inlineStr"/>
      <c r="H304" s="277" t="n"/>
      <c r="I304" s="276">
        <f>D304*H304</f>
        <v/>
      </c>
    </row>
    <row r="305">
      <c r="A305" s="276" t="inlineStr">
        <is>
          <t>1.6/93</t>
        </is>
      </c>
      <c r="B305" s="276" t="inlineStr">
        <is>
          <t>Электропривод Esbe 95 - 12051900</t>
        </is>
      </c>
      <c r="C305" s="276" t="inlineStr">
        <is>
          <t>шт</t>
        </is>
      </c>
      <c r="D305" s="276" t="n">
        <v>1</v>
      </c>
      <c r="E305" s="276" t="inlineStr">
        <is>
          <t>АО «АБС ЗЭиМ Автоматизация»</t>
        </is>
      </c>
      <c r="F305" s="277" t="inlineStr"/>
      <c r="G305" s="277" t="inlineStr"/>
      <c r="H305" s="277" t="n"/>
      <c r="I305" s="276">
        <f>D305*H305</f>
        <v/>
      </c>
    </row>
    <row r="306">
      <c r="A306" s="276" t="inlineStr">
        <is>
          <t>1.7/1</t>
        </is>
      </c>
      <c r="B306" s="276" t="inlineStr">
        <is>
          <t>АРТ-85 Ду 50 Ру 16 "после себя"</t>
        </is>
      </c>
      <c r="C306" s="276" t="inlineStr">
        <is>
          <t>шт</t>
        </is>
      </c>
      <c r="D306" s="276" t="n">
        <v>1</v>
      </c>
      <c r="E306" s="276" t="inlineStr">
        <is>
          <t>ООО «Ридан»</t>
        </is>
      </c>
      <c r="F306" s="277" t="inlineStr"/>
      <c r="G306" s="277" t="inlineStr"/>
      <c r="H306" s="277" t="n"/>
      <c r="I306" s="276">
        <f>D306*H306</f>
        <v/>
      </c>
    </row>
    <row r="307">
      <c r="A307" s="276" t="inlineStr">
        <is>
          <t>1.7/2</t>
        </is>
      </c>
      <c r="B307" s="276" t="inlineStr">
        <is>
          <t>Кран шаровой 11с67п Ду 25 Ру 25 цельносварной под приварку</t>
        </is>
      </c>
      <c r="C307" s="276" t="inlineStr">
        <is>
          <t>шт</t>
        </is>
      </c>
      <c r="D307" s="276" t="n">
        <v>12</v>
      </c>
      <c r="E307" s="276" t="inlineStr">
        <is>
          <t>ООО «ЧелябинскСпецГражданСтрой» (ИНН 7451211335)</t>
        </is>
      </c>
      <c r="F307" s="276" t="inlineStr">
        <is>
          <t>Россия</t>
        </is>
      </c>
      <c r="G307" s="276" t="inlineStr">
        <is>
          <t>10655491</t>
        </is>
      </c>
      <c r="H307" s="277" t="n"/>
      <c r="I307" s="276">
        <f>D307*H307</f>
        <v/>
      </c>
    </row>
    <row r="308">
      <c r="A308" s="276" t="inlineStr">
        <is>
          <t>1.7/3</t>
        </is>
      </c>
      <c r="B308" s="276" t="inlineStr">
        <is>
          <t>Кран шаровой 11с67п Ду 32 Ру 25 цельносварной под приварку</t>
        </is>
      </c>
      <c r="C308" s="276" t="inlineStr">
        <is>
          <t>шт</t>
        </is>
      </c>
      <c r="D308" s="276" t="n">
        <v>12</v>
      </c>
      <c r="E308" s="276" t="inlineStr">
        <is>
          <t>ООО «ЧелябинскСпецГражданСтрой» (ИНН 7451211335)</t>
        </is>
      </c>
      <c r="F308" s="276" t="inlineStr">
        <is>
          <t>Россия</t>
        </is>
      </c>
      <c r="G308" s="276" t="inlineStr">
        <is>
          <t>10655491</t>
        </is>
      </c>
      <c r="H308" s="277" t="n"/>
      <c r="I308" s="276">
        <f>D308*H308</f>
        <v/>
      </c>
    </row>
    <row r="309">
      <c r="A309" s="276" t="inlineStr">
        <is>
          <t>1.7/4</t>
        </is>
      </c>
      <c r="B309" s="276" t="inlineStr">
        <is>
          <t>Кран шаровой 11с67п Ду 40 Ру 25 цельносварной под приварку</t>
        </is>
      </c>
      <c r="C309" s="276" t="inlineStr">
        <is>
          <t>шт</t>
        </is>
      </c>
      <c r="D309" s="276" t="n">
        <v>10</v>
      </c>
      <c r="E309" s="276" t="inlineStr">
        <is>
          <t>ООО «ЧелябинскСпецГражданСтрой» (ИНН 7451211335)</t>
        </is>
      </c>
      <c r="F309" s="276" t="inlineStr">
        <is>
          <t>Россия</t>
        </is>
      </c>
      <c r="G309" s="276" t="inlineStr">
        <is>
          <t>10655491</t>
        </is>
      </c>
      <c r="H309" s="277" t="n"/>
      <c r="I309" s="276">
        <f>D309*H309</f>
        <v/>
      </c>
    </row>
    <row r="310">
      <c r="A310" s="276" t="inlineStr">
        <is>
          <t>1.8/1</t>
        </is>
      </c>
      <c r="B310" s="276" t="inlineStr">
        <is>
          <t>Задвижка 30нж41нж Ду 80 Ру 16 1исп. САЗ</t>
        </is>
      </c>
      <c r="C310" s="276" t="inlineStr">
        <is>
          <t>шт</t>
        </is>
      </c>
      <c r="D310" s="276" t="n">
        <v>1</v>
      </c>
      <c r="E310" s="276" t="inlineStr">
        <is>
          <t>ООО «Пермский трубопроводный завод» (ИНН 5904173655)</t>
        </is>
      </c>
      <c r="F310" s="276" t="inlineStr">
        <is>
          <t>Россия</t>
        </is>
      </c>
      <c r="G310" s="276" t="inlineStr">
        <is>
          <t>10698940</t>
        </is>
      </c>
      <c r="H310" s="277" t="n"/>
      <c r="I310" s="276">
        <f>D310*H310</f>
        <v/>
      </c>
    </row>
    <row r="311">
      <c r="A311" s="276" t="inlineStr">
        <is>
          <t>1.8/2</t>
        </is>
      </c>
      <c r="B311" s="276" t="inlineStr">
        <is>
          <t>Кран шаровой 10нж45фт 2ЦФ Ду 20 Ру 16</t>
        </is>
      </c>
      <c r="C311" s="276" t="inlineStr">
        <is>
          <t>шт</t>
        </is>
      </c>
      <c r="D311" s="276" t="n">
        <v>2</v>
      </c>
      <c r="E311" s="276" t="inlineStr">
        <is>
          <t>ООО «ЧелябинскСпецГражданСтрой» (ИНН 7451211335)</t>
        </is>
      </c>
      <c r="F311" s="276" t="inlineStr">
        <is>
          <t>Россия</t>
        </is>
      </c>
      <c r="G311" s="276" t="inlineStr">
        <is>
          <t>10657717</t>
        </is>
      </c>
      <c r="H311" s="277" t="n"/>
      <c r="I311" s="276">
        <f>D311*H311</f>
        <v/>
      </c>
    </row>
    <row r="312">
      <c r="A312" s="276" t="inlineStr">
        <is>
          <t>1.8/3</t>
        </is>
      </c>
      <c r="B312" s="276" t="inlineStr">
        <is>
          <t>Кран шаровой 10нж45фт 2ЦФ Ду 25 Ру 16</t>
        </is>
      </c>
      <c r="C312" s="276" t="inlineStr">
        <is>
          <t>шт</t>
        </is>
      </c>
      <c r="D312" s="276" t="n">
        <v>2</v>
      </c>
      <c r="E312" s="276" t="inlineStr">
        <is>
          <t>ООО «ЧелябинскСпецГражданСтрой» (ИНН 7451211335)</t>
        </is>
      </c>
      <c r="F312" s="276" t="inlineStr">
        <is>
          <t>Россия</t>
        </is>
      </c>
      <c r="G312" s="276" t="inlineStr">
        <is>
          <t>10657717</t>
        </is>
      </c>
      <c r="H312" s="277" t="n"/>
      <c r="I312" s="276">
        <f>D312*H312</f>
        <v/>
      </c>
    </row>
    <row r="313">
      <c r="A313" s="276" t="inlineStr">
        <is>
          <t>1.8/4</t>
        </is>
      </c>
      <c r="B313" s="276" t="inlineStr">
        <is>
          <t>Кран шаровой 10нж45фт 2ЦФ Ду 32 Ру 16</t>
        </is>
      </c>
      <c r="C313" s="276" t="inlineStr">
        <is>
          <t>шт</t>
        </is>
      </c>
      <c r="D313" s="276" t="n">
        <v>2</v>
      </c>
      <c r="E313" s="276" t="inlineStr">
        <is>
          <t>ООО «ЧелябинскСпецГражданСтрой» (ИНН 7451211335)</t>
        </is>
      </c>
      <c r="F313" s="276" t="inlineStr">
        <is>
          <t>Россия</t>
        </is>
      </c>
      <c r="G313" s="276" t="inlineStr">
        <is>
          <t>10657717</t>
        </is>
      </c>
      <c r="H313" s="277" t="n"/>
      <c r="I313" s="276">
        <f>D313*H313</f>
        <v/>
      </c>
    </row>
    <row r="314">
      <c r="A314" s="276" t="inlineStr">
        <is>
          <t>1.8/5</t>
        </is>
      </c>
      <c r="B314" s="276" t="inlineStr">
        <is>
          <t>Кран шаровой 11с22п Ду 80 Ру 16</t>
        </is>
      </c>
      <c r="C314" s="276" t="inlineStr">
        <is>
          <t>шт</t>
        </is>
      </c>
      <c r="D314" s="276" t="n">
        <v>2</v>
      </c>
      <c r="E314" s="276" t="inlineStr">
        <is>
          <t>ООО «ЧелябинскСпецГражданСтрой» (ИНН 7451211335)</t>
        </is>
      </c>
      <c r="F314" s="276" t="inlineStr">
        <is>
          <t>Россия</t>
        </is>
      </c>
      <c r="G314" s="276" t="inlineStr">
        <is>
          <t>10655491</t>
        </is>
      </c>
      <c r="H314" s="277" t="n"/>
      <c r="I314" s="276">
        <f>D314*H314</f>
        <v/>
      </c>
    </row>
    <row r="315">
      <c r="A315" s="276" t="inlineStr">
        <is>
          <t>1.8/6</t>
        </is>
      </c>
      <c r="B315" s="276" t="inlineStr">
        <is>
          <t>Кран шаровой 11с22п Ду 100 Ру 16</t>
        </is>
      </c>
      <c r="C315" s="276" t="inlineStr">
        <is>
          <t>шт</t>
        </is>
      </c>
      <c r="D315" s="276" t="n">
        <v>1</v>
      </c>
      <c r="E315" s="276" t="inlineStr">
        <is>
          <t>ООО «ЧелябинскСпецГражданСтрой» (ИНН 7451211335)</t>
        </is>
      </c>
      <c r="F315" s="276" t="inlineStr">
        <is>
          <t>Россия</t>
        </is>
      </c>
      <c r="G315" s="276" t="inlineStr">
        <is>
          <t>10655491</t>
        </is>
      </c>
      <c r="H315" s="277" t="n"/>
      <c r="I315" s="276">
        <f>D315*H315</f>
        <v/>
      </c>
    </row>
    <row r="316">
      <c r="A316" s="276" t="inlineStr">
        <is>
          <t>1.8/7</t>
        </is>
      </c>
      <c r="B316" s="276" t="inlineStr">
        <is>
          <t>Кран шаровой 11с67п Ду 50 Ру 25 полнопрох. с КОФ (КЗШС41нж)</t>
        </is>
      </c>
      <c r="C316" s="276" t="inlineStr">
        <is>
          <t>шт</t>
        </is>
      </c>
      <c r="D316" s="276" t="n">
        <v>4</v>
      </c>
      <c r="E316" s="276" t="inlineStr">
        <is>
          <t>ООО «ЧелябинскСпецГражданСтрой» (ИНН 7451211335)</t>
        </is>
      </c>
      <c r="F316" s="276" t="inlineStr">
        <is>
          <t>Россия</t>
        </is>
      </c>
      <c r="G316" s="276" t="inlineStr">
        <is>
          <t>10655491</t>
        </is>
      </c>
      <c r="H316" s="277" t="n"/>
      <c r="I316" s="276">
        <f>D316*H316</f>
        <v/>
      </c>
    </row>
  </sheetData>
  <autoFilter ref="A1:I3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Бартенев Артем Николаевич</dc:creator>
  <dc:language xmlns:dc="http://purl.org/dc/elements/1.1/">en-US</dc:language>
  <dcterms:created xmlns:dcterms="http://purl.org/dc/terms/" xmlns:xsi="http://www.w3.org/2001/XMLSchema-instance" xsi:type="dcterms:W3CDTF">2022-05-26T10:46:38Z</dcterms:created>
  <dcterms:modified xmlns:dcterms="http://purl.org/dc/terms/" xmlns:xsi="http://www.w3.org/2001/XMLSchema-instance" xsi:type="dcterms:W3CDTF">2026-10-28T23:40:19Z</dcterms:modified>
  <cp:lastModifiedBy>Волкова Людмила Леонидовна</cp:lastModifiedBy>
  <cp:revision>61</cp:revision>
</cp:coreProperties>
</file>