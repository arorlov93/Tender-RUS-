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1" activeTab="1" autoFilterDateGrouping="1"/>
  </bookViews>
  <sheets>
    <sheet xmlns:r="http://schemas.openxmlformats.org/officeDocument/2006/relationships" name="Итог" sheetId="1" state="visible" r:id="rId1"/>
    <sheet xmlns:r="http://schemas.openxmlformats.org/officeDocument/2006/relationships" name="Прил.1 — предложение участника" sheetId="2" state="visible" r:id="rId2"/>
    <sheet xmlns:r="http://schemas.openxmlformats.org/officeDocument/2006/relationships" name="Выбор поставщика" sheetId="3" state="visible" r:id="rId3"/>
    <sheet xmlns:r="http://schemas.openxmlformats.org/officeDocument/2006/relationships" name="Для КП (ТТ п. 1.5)" sheetId="4" state="visible" r:id="rId4"/>
  </sheets>
  <definedNames>
    <definedName name="_xlnm._FilterDatabase" localSheetId="2" hidden="1">'Выбор поставщика'!$A$1:$L$316</definedName>
    <definedName name="_xlnm._FilterDatabase" localSheetId="3" hidden="1">'Для КП (ТТ п. 1.5)'!$A$1:$I$316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0"/>
  </numFmts>
  <fonts count="47">
    <font>
      <name val="Calibri"/>
      <family val="2"/>
      <color rgb="FF000000"/>
      <sz val="11"/>
    </font>
    <font>
      <name val="Arial"/>
      <family val="0"/>
      <sz val="10"/>
    </font>
    <font>
      <name val="Arial"/>
      <family val="0"/>
      <sz val="10"/>
    </font>
    <font>
      <name val="Arial"/>
      <family val="0"/>
      <sz val="10"/>
    </font>
    <font>
      <name val="Calibri"/>
      <charset val="1"/>
      <family val="2"/>
      <color rgb="FF000000"/>
      <sz val="11"/>
    </font>
    <font>
      <name val="Calibri"/>
      <family val="2"/>
      <sz val="11"/>
    </font>
    <font>
      <name val="Times New Roman"/>
      <family val="1"/>
      <sz val="11"/>
    </font>
    <font>
      <name val="Times New Roman"/>
      <family val="1"/>
      <b val="1"/>
      <sz val="11"/>
    </font>
    <font>
      <name val="Calibri"/>
      <family val="2"/>
      <b val="1"/>
      <i val="1"/>
      <sz val="12"/>
    </font>
    <font>
      <name val="Times New Roman"/>
      <family val="1"/>
      <i val="1"/>
      <sz val="11"/>
    </font>
    <font>
      <name val="Calibri"/>
      <family val="2"/>
      <i val="1"/>
      <sz val="11"/>
    </font>
    <font>
      <name val="Times New Roman"/>
      <family val="1"/>
      <b val="1"/>
      <sz val="10"/>
    </font>
    <font>
      <name val="Times New Roman"/>
      <family val="1"/>
      <b val="1"/>
      <sz val="12"/>
    </font>
    <font>
      <name val="Times New Roman"/>
      <family val="1"/>
      <sz val="12"/>
    </font>
    <font>
      <name val="Times New Roman"/>
      <family val="1"/>
      <color rgb="FF000000"/>
      <sz val="10"/>
    </font>
    <font>
      <name val="Times New Roman"/>
      <family val="1"/>
      <color rgb="FF000000"/>
      <sz val="11"/>
    </font>
    <font>
      <name val="Times New Roman"/>
      <family val="1"/>
      <color rgb="FF000000"/>
      <sz val="11"/>
      <vertAlign val="superscript"/>
    </font>
    <font>
      <name val="Times New Roman"/>
      <family val="1"/>
      <b val="1"/>
      <color rgb="FFFF0000"/>
      <sz val="11"/>
    </font>
    <font>
      <name val="Times New Roman"/>
      <family val="1"/>
      <color rgb="FFFF0000"/>
      <sz val="11"/>
    </font>
    <font>
      <name val="Times New Roman"/>
      <family val="1"/>
      <i val="1"/>
      <color rgb="FF000000"/>
      <sz val="11"/>
    </font>
    <font>
      <name val="Times New Roman"/>
      <family val="1"/>
      <b val="1"/>
      <color rgb="FF000000"/>
      <sz val="12"/>
    </font>
    <font>
      <name val="Times New Roman"/>
      <family val="1"/>
      <sz val="10"/>
    </font>
    <font>
      <name val="Times New Roman"/>
      <family val="1"/>
      <b val="1"/>
      <color rgb="FF000000"/>
      <sz val="11"/>
    </font>
    <font>
      <name val="Times New Roman"/>
      <family val="1"/>
      <b val="1"/>
      <color rgb="FF000000"/>
      <sz val="14"/>
    </font>
    <font>
      <name val="Times New Roman"/>
      <charset val="1"/>
      <family val="1"/>
      <color rgb="FF000000"/>
      <sz val="11"/>
    </font>
    <font>
      <name val="Times New Roman"/>
      <charset val="1"/>
      <family val="0"/>
      <sz val="10"/>
    </font>
    <font>
      <name val="Times New Roman"/>
      <charset val="1"/>
      <family val="0"/>
      <color rgb="FF000000"/>
      <sz val="10"/>
    </font>
    <font>
      <name val="Times New Roman"/>
      <charset val="1"/>
      <family val="0"/>
      <i val="1"/>
      <color rgb="FF000000"/>
      <sz val="10"/>
    </font>
    <font>
      <name val="Times New Roman"/>
      <charset val="1"/>
      <family val="0"/>
      <i val="1"/>
      <color rgb="FF000000"/>
      <sz val="10"/>
      <vertAlign val="superscript"/>
    </font>
    <font>
      <name val="Times New Roman"/>
      <charset val="1"/>
      <family val="1"/>
      <sz val="11"/>
    </font>
    <font>
      <name val="Times New Roman"/>
      <family val="0"/>
      <sz val="10"/>
    </font>
    <font>
      <name val="Times New Roman"/>
      <charset val="1"/>
      <family val="1"/>
      <color rgb="FF000000"/>
      <sz val="10"/>
    </font>
    <font>
      <name val="Times New Roman"/>
      <charset val="1"/>
      <family val="1"/>
      <i val="1"/>
      <color rgb="FF000000"/>
      <sz val="11"/>
    </font>
    <font>
      <name val="Times New Roman"/>
      <charset val="1"/>
      <family val="0"/>
      <i val="1"/>
      <sz val="10"/>
    </font>
    <font>
      <name val="DejaVu Sans"/>
      <family val="1"/>
      <sz val="10"/>
    </font>
    <font>
      <name val="Calibri"/>
      <charset val="1"/>
      <family val="1"/>
      <color rgb="FF000000"/>
      <sz val="10"/>
    </font>
    <font>
      <name val="Tinos"/>
      <charset val="1"/>
      <family val="0"/>
      <color rgb="FF000000"/>
      <sz val="10"/>
    </font>
    <font>
      <name val="Times New Roman"/>
      <charset val="1"/>
      <family val="1"/>
      <sz val="10"/>
    </font>
    <font>
      <name val="Times New Roman"/>
      <charset val="1"/>
      <family val="1"/>
      <i val="1"/>
      <color rgb="FF000000"/>
      <sz val="10"/>
    </font>
    <font>
      <name val="Times New Roman"/>
      <family val="1"/>
      <color rgb="FF000000"/>
      <sz val="12"/>
    </font>
    <font>
      <name val="Tinos"/>
      <charset val="1"/>
      <family val="0"/>
      <sz val="10"/>
    </font>
    <font>
      <name val="Tinos"/>
      <charset val="1"/>
      <family val="0"/>
      <color rgb="FF272727"/>
      <sz val="10"/>
    </font>
    <font>
      <name val="Tinos"/>
      <charset val="1"/>
      <family val="0"/>
      <i val="1"/>
      <color rgb="FF000000"/>
      <sz val="10"/>
    </font>
    <font>
      <name val="Tinos"/>
      <charset val="1"/>
      <family val="0"/>
      <i val="1"/>
      <color rgb="FF323232"/>
      <sz val="10"/>
    </font>
    <font>
      <name val="Times New Roman"/>
      <charset val="1"/>
      <family val="1"/>
      <b val="1"/>
      <sz val="12"/>
    </font>
    <font>
      <b val="1"/>
      <color rgb="00FFFFFF"/>
    </font>
    <font>
      <b val="1"/>
      <sz val="12"/>
    </font>
  </fonts>
  <fills count="12">
    <fill>
      <patternFill/>
    </fill>
    <fill>
      <patternFill patternType="gray125"/>
    </fill>
    <fill>
      <patternFill patternType="solid">
        <fgColor rgb="FFFFFFFF"/>
        <bgColor rgb="FFFFFFCC"/>
      </patternFill>
    </fill>
    <fill>
      <patternFill patternType="solid">
        <fgColor rgb="FF8FAADC"/>
        <bgColor rgb="FF969696"/>
      </patternFill>
    </fill>
    <fill>
      <patternFill patternType="solid">
        <fgColor rgb="FFF8CBAD"/>
        <bgColor rgb="FFC5E0B4"/>
      </patternFill>
    </fill>
    <fill>
      <patternFill patternType="solid">
        <fgColor rgb="FFC5E0B4"/>
        <bgColor rgb="FFCCFFCC"/>
      </patternFill>
    </fill>
    <fill>
      <patternFill patternType="solid">
        <fgColor rgb="FFFF0000"/>
        <bgColor rgb="FF993300"/>
      </patternFill>
    </fill>
    <fill>
      <patternFill patternType="solid">
        <fgColor rgb="00E2EFDA"/>
      </patternFill>
    </fill>
    <fill>
      <patternFill patternType="solid">
        <fgColor rgb="00FFF2CC"/>
      </patternFill>
    </fill>
    <fill>
      <patternFill patternType="solid">
        <fgColor rgb="00F8CBAD"/>
      </patternFill>
    </fill>
    <fill>
      <patternFill patternType="solid">
        <fgColor rgb="00FCE4D6"/>
      </patternFill>
    </fill>
    <fill>
      <patternFill patternType="solid">
        <fgColor rgb="00305496"/>
      </patternFill>
    </fill>
  </fills>
  <borders count="31">
    <border>
      <left/>
      <right/>
      <top/>
      <bottom/>
      <diagonal/>
    </border>
    <border>
      <left style="thin"/>
      <right style="thin"/>
      <top style="thin"/>
      <bottom style="thin"/>
      <diagonal/>
    </border>
    <border>
      <left style="thin"/>
      <right style="thin"/>
      <top style="thin"/>
      <bottom/>
      <diagonal/>
    </border>
    <border>
      <left style="thin"/>
      <right style="medium"/>
      <top style="thin"/>
      <bottom style="thin"/>
      <diagonal/>
    </border>
    <border>
      <left style="medium"/>
      <right style="thin"/>
      <top style="thin"/>
      <bottom style="thin"/>
      <diagonal/>
    </border>
    <border>
      <left style="hair"/>
      <right style="thin"/>
      <top style="thin"/>
      <bottom style="hair"/>
      <diagonal/>
    </border>
    <border>
      <left style="hair"/>
      <right style="thin"/>
      <top style="hair"/>
      <bottom style="hair"/>
      <diagonal/>
    </border>
    <border>
      <left style="medium"/>
      <right style="medium"/>
      <top style="thin"/>
      <bottom style="thin"/>
      <diagonal/>
    </border>
    <border>
      <left style="hair"/>
      <right/>
      <top/>
      <bottom style="hair"/>
      <diagonal/>
    </border>
    <border>
      <left style="hair"/>
      <right style="hair"/>
      <top style="hair"/>
      <bottom style="hair"/>
      <diagonal/>
    </border>
    <border>
      <left/>
      <right style="medium"/>
      <top/>
      <bottom style="thin"/>
      <diagonal/>
    </border>
    <border>
      <left style="thin"/>
      <right style="thin"/>
      <top/>
      <bottom style="thin"/>
      <diagonal/>
    </border>
    <border>
      <left/>
      <right/>
      <top/>
      <bottom style="thin"/>
      <diagonal/>
    </border>
    <border>
      <left style="thin"/>
      <right/>
      <top style="thin"/>
      <bottom style="thin"/>
      <diagonal/>
    </border>
    <border>
      <left/>
      <right style="thin"/>
      <top/>
      <bottom style="thin"/>
      <diagonal/>
    </border>
    <border>
      <left style="hair"/>
      <right/>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top/>
      <bottom/>
      <diagonal/>
    </border>
    <border>
      <left style="thin"/>
      <right style="thin"/>
      <top/>
      <bottom/>
      <diagonal/>
    </border>
    <border>
      <left/>
      <right style="medium"/>
      <top style="thin"/>
      <bottom/>
      <diagonal/>
    </border>
    <border>
      <left/>
      <right style="medium"/>
      <top style="thin"/>
      <bottom style="thin"/>
      <diagonal/>
    </border>
    <border>
      <left style="medium"/>
      <right/>
      <top/>
      <bottom/>
      <diagonal/>
    </border>
    <border>
      <left style="medium"/>
      <right style="thin"/>
      <top/>
      <bottom/>
      <diagonal/>
    </border>
    <border>
      <left style="medium"/>
      <right style="thin"/>
      <top/>
      <bottom style="thin"/>
      <diagonal/>
    </border>
    <border>
      <left style="thin"/>
      <right style="medium"/>
      <top/>
      <bottom/>
      <diagonal/>
    </border>
    <border>
      <left style="thin"/>
      <right style="medium"/>
      <top/>
      <bottom style="thin"/>
      <diagonal/>
    </border>
    <border>
      <left/>
      <right style="medium"/>
      <top/>
      <bottom/>
      <diagonal/>
    </border>
    <border>
      <left style="thin">
        <color rgb="00BFBFBF"/>
      </left>
      <right style="thin">
        <color rgb="00BFBFBF"/>
      </right>
      <top style="thin">
        <color rgb="00BFBFBF"/>
      </top>
      <bottom style="thin">
        <color rgb="00BFBFBF"/>
      </bottom>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4" fillId="0" borderId="0" applyAlignment="1">
      <alignment horizontal="general" vertical="bottom"/>
    </xf>
  </cellStyleXfs>
  <cellXfs count="278">
    <xf numFmtId="0" fontId="0"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center" vertical="bottom" wrapText="1"/>
    </xf>
    <xf numFmtId="0" fontId="6" fillId="0" borderId="0" applyAlignment="1" pivotButton="0" quotePrefix="0" xfId="0">
      <alignment horizontal="center" vertical="bottom"/>
    </xf>
    <xf numFmtId="0" fontId="5" fillId="2" borderId="0" applyAlignment="1" pivotButton="0" quotePrefix="0" xfId="0">
      <alignment horizontal="center" vertical="bottom" wrapText="1"/>
    </xf>
    <xf numFmtId="0" fontId="5" fillId="2" borderId="0" applyAlignment="1" pivotButton="0" quotePrefix="0" xfId="0">
      <alignment horizontal="center" vertical="center" wrapText="1"/>
    </xf>
    <xf numFmtId="0" fontId="6" fillId="2" borderId="0" applyAlignment="1" pivotButton="0" quotePrefix="0" xfId="0">
      <alignment horizontal="center" vertical="center" wrapText="1"/>
    </xf>
    <xf numFmtId="0" fontId="7" fillId="2" borderId="0" applyAlignment="1" pivotButton="0" quotePrefix="0" xfId="0">
      <alignment horizontal="center" vertical="center" wrapText="1"/>
    </xf>
    <xf numFmtId="0" fontId="6" fillId="0" borderId="0" applyAlignment="1" pivotButton="0" quotePrefix="0" xfId="0">
      <alignment horizontal="center" vertical="center" wrapText="1"/>
    </xf>
    <xf numFmtId="0" fontId="8" fillId="2" borderId="0" applyAlignment="1" pivotButton="0" quotePrefix="0" xfId="0">
      <alignment horizontal="center" vertical="bottom" wrapText="1"/>
    </xf>
    <xf numFmtId="0" fontId="9" fillId="2" borderId="0" applyAlignment="1" pivotButton="0" quotePrefix="0" xfId="0">
      <alignment horizontal="center" vertical="center" wrapText="1"/>
    </xf>
    <xf numFmtId="0" fontId="10" fillId="2" borderId="1" applyAlignment="1" pivotButton="0" quotePrefix="0" xfId="0">
      <alignment horizontal="center" vertical="bottom" wrapText="1"/>
    </xf>
    <xf numFmtId="0" fontId="9"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6" fillId="0" borderId="0" applyAlignment="1" pivotButton="0" quotePrefix="0" xfId="0">
      <alignment horizontal="general" vertical="bottom"/>
    </xf>
    <xf numFmtId="0" fontId="11"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12" fillId="3" borderId="1" applyAlignment="1" pivotButton="0" quotePrefix="0" xfId="0">
      <alignment horizontal="general" vertical="center"/>
    </xf>
    <xf numFmtId="0" fontId="12" fillId="3" borderId="1" applyAlignment="1" pivotButton="0" quotePrefix="0" xfId="0">
      <alignment horizontal="general" vertical="center" wrapText="1"/>
    </xf>
    <xf numFmtId="0" fontId="6" fillId="3" borderId="1" applyAlignment="1" pivotButton="0" quotePrefix="0" xfId="0">
      <alignment horizontal="center" vertical="center" wrapText="1"/>
    </xf>
    <xf numFmtId="0" fontId="6" fillId="3" borderId="1" applyAlignment="1" pivotButton="0" quotePrefix="0" xfId="0">
      <alignment horizontal="center" vertical="center"/>
    </xf>
    <xf numFmtId="1" fontId="12" fillId="4" borderId="1" applyAlignment="1" pivotButton="0" quotePrefix="0" xfId="0">
      <alignment horizontal="general" vertical="center" wrapText="1"/>
    </xf>
    <xf numFmtId="0" fontId="12" fillId="4" borderId="1" applyAlignment="1" pivotButton="0" quotePrefix="0" xfId="0">
      <alignment horizontal="general" vertical="center" wrapText="1"/>
    </xf>
    <xf numFmtId="0" fontId="13" fillId="4" borderId="1" applyAlignment="1" pivotButton="0" quotePrefix="0" xfId="0">
      <alignment horizontal="general" vertical="center" wrapText="1"/>
    </xf>
    <xf numFmtId="0" fontId="12" fillId="4" borderId="1" applyAlignment="1" pivotButton="0" quotePrefix="0" xfId="0">
      <alignment horizontal="center" vertical="center" wrapText="1"/>
    </xf>
    <xf numFmtId="0" fontId="13"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5" fillId="5" borderId="0" applyAlignment="1" pivotButton="0" quotePrefix="0" xfId="0">
      <alignment horizontal="general" vertical="bottom"/>
    </xf>
    <xf numFmtId="0" fontId="6" fillId="4" borderId="1" applyAlignment="1" pivotButton="0" quotePrefix="0" xfId="0">
      <alignment horizontal="center" vertical="bottom" wrapText="1"/>
    </xf>
    <xf numFmtId="0" fontId="6" fillId="4" borderId="1" applyAlignment="1" pivotButton="0" quotePrefix="0" xfId="0">
      <alignment horizontal="general" vertical="bottom" wrapText="1"/>
    </xf>
    <xf numFmtId="0" fontId="5" fillId="4" borderId="1" applyAlignment="1" pivotButton="0" quotePrefix="0" xfId="0">
      <alignment horizontal="general" vertical="bottom" wrapText="1"/>
    </xf>
    <xf numFmtId="0" fontId="12" fillId="3" borderId="1" applyAlignment="1" pivotButton="0" quotePrefix="0" xfId="0">
      <alignment horizontal="center" vertical="center" wrapText="1"/>
    </xf>
    <xf numFmtId="0" fontId="13" fillId="0" borderId="1" applyAlignment="1" pivotButton="0" quotePrefix="0" xfId="0">
      <alignment horizontal="general" vertical="center" wrapText="1"/>
    </xf>
    <xf numFmtId="0" fontId="13"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0" applyAlignment="1" pivotButton="0" quotePrefix="0" xfId="0">
      <alignment horizontal="general" vertical="bottom" wrapText="1"/>
    </xf>
    <xf numFmtId="0" fontId="5" fillId="0" borderId="0" applyAlignment="1" pivotButton="0" quotePrefix="0" xfId="0">
      <alignment horizontal="general" vertical="bottom" wrapText="1"/>
    </xf>
    <xf numFmtId="2" fontId="14" fillId="4" borderId="1" applyAlignment="1" pivotButton="0" quotePrefix="0" xfId="0">
      <alignment horizontal="center" vertical="center" wrapText="1"/>
    </xf>
    <xf numFmtId="4" fontId="6" fillId="4" borderId="1" applyAlignment="1" pivotButton="0" quotePrefix="0" xfId="0">
      <alignment horizontal="center" vertical="center" wrapText="1"/>
    </xf>
    <xf numFmtId="0" fontId="6" fillId="4" borderId="0" applyAlignment="1" pivotButton="0" quotePrefix="0" xfId="0">
      <alignment horizontal="center" vertical="bottom"/>
    </xf>
    <xf numFmtId="0" fontId="15" fillId="0" borderId="1" applyAlignment="1" pivotButton="0" quotePrefix="0" xfId="0">
      <alignment horizontal="center" vertical="center" wrapText="1"/>
    </xf>
    <xf numFmtId="0" fontId="15" fillId="0" borderId="1" applyAlignment="1" pivotButton="0" quotePrefix="0" xfId="0">
      <alignment horizontal="center" vertical="center"/>
    </xf>
    <xf numFmtId="0" fontId="17" fillId="4" borderId="1" applyAlignment="1" pivotButton="0" quotePrefix="0" xfId="0">
      <alignment horizontal="center" vertical="center" wrapText="1"/>
    </xf>
    <xf numFmtId="0" fontId="6" fillId="6" borderId="1" applyAlignment="1" pivotButton="0" quotePrefix="0" xfId="0">
      <alignment horizontal="center" vertical="center" wrapText="1"/>
    </xf>
    <xf numFmtId="0" fontId="15" fillId="0" borderId="0" applyAlignment="1" pivotButton="0" quotePrefix="0" xfId="0">
      <alignment horizontal="center" vertical="center" wrapText="1"/>
    </xf>
    <xf numFmtId="49" fontId="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5" fillId="4" borderId="0" applyAlignment="1" pivotButton="0" quotePrefix="0" xfId="0">
      <alignment horizontal="general" vertical="bottom"/>
    </xf>
    <xf numFmtId="0" fontId="6" fillId="4" borderId="0" applyAlignment="1" pivotButton="0" quotePrefix="0" xfId="0">
      <alignment horizontal="general" vertical="bottom" wrapText="1"/>
    </xf>
    <xf numFmtId="0" fontId="6" fillId="4" borderId="0" applyAlignment="1" pivotButton="0" quotePrefix="0" xfId="0">
      <alignment horizontal="center" vertical="bottom" wrapText="1"/>
    </xf>
    <xf numFmtId="0" fontId="18" fillId="4" borderId="1" applyAlignment="1" pivotButton="0" quotePrefix="0" xfId="0">
      <alignment horizontal="center" vertical="center" wrapText="1"/>
    </xf>
    <xf numFmtId="0" fontId="19" fillId="0" borderId="1" applyAlignment="1" pivotButton="0" quotePrefix="0" xfId="20">
      <alignment horizontal="center" vertical="center" wrapText="1"/>
    </xf>
    <xf numFmtId="0" fontId="19" fillId="0" borderId="1" applyAlignment="1" pivotButton="0" quotePrefix="0" xfId="0">
      <alignment horizontal="center" vertical="center" wrapText="1"/>
    </xf>
    <xf numFmtId="0" fontId="15" fillId="0" borderId="1" applyAlignment="1" pivotButton="0" quotePrefix="0" xfId="20">
      <alignment horizontal="center" vertical="center" wrapText="1"/>
    </xf>
    <xf numFmtId="164" fontId="6" fillId="0" borderId="1" applyAlignment="1" pivotButton="0" quotePrefix="0" xfId="0">
      <alignment horizontal="center" vertical="center" wrapText="1"/>
    </xf>
    <xf numFmtId="0" fontId="0" fillId="0" borderId="0" applyAlignment="1" pivotButton="0" quotePrefix="0" xfId="0">
      <alignment horizontal="general" vertical="bottom" wrapText="1"/>
    </xf>
    <xf numFmtId="0" fontId="18" fillId="4" borderId="1" applyAlignment="1" pivotButton="0" quotePrefix="0" xfId="0">
      <alignment horizontal="center" vertical="center"/>
    </xf>
    <xf numFmtId="1" fontId="20" fillId="4" borderId="1" applyAlignment="1" pivotButton="0" quotePrefix="0" xfId="0">
      <alignment horizontal="general" vertical="center" wrapText="1"/>
    </xf>
    <xf numFmtId="0" fontId="20" fillId="4" borderId="1" applyAlignment="1" pivotButton="0" quotePrefix="0" xfId="0">
      <alignment horizontal="general" vertical="center" wrapText="1"/>
    </xf>
    <xf numFmtId="0" fontId="20" fillId="4" borderId="1" applyAlignment="1" pivotButton="0" quotePrefix="0" xfId="0">
      <alignment horizontal="center" vertical="center" wrapText="1"/>
    </xf>
    <xf numFmtId="0" fontId="15" fillId="4" borderId="1" applyAlignment="1" pivotButton="0" quotePrefix="0" xfId="0">
      <alignment horizontal="center" vertical="center" wrapText="1"/>
    </xf>
    <xf numFmtId="0" fontId="0" fillId="4" borderId="0" applyAlignment="1" pivotButton="0" quotePrefix="0" xfId="0">
      <alignment horizontal="general" vertical="bottom" wrapText="1"/>
    </xf>
    <xf numFmtId="0" fontId="15" fillId="0" borderId="0" applyAlignment="1" pivotButton="0" quotePrefix="0" xfId="0">
      <alignment horizontal="general" vertical="bottom" wrapText="1"/>
    </xf>
    <xf numFmtId="0" fontId="21"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19" fillId="0" borderId="2" applyAlignment="1" pivotButton="0" quotePrefix="0" xfId="0">
      <alignment horizontal="center" vertical="center" wrapText="1"/>
    </xf>
    <xf numFmtId="0" fontId="19" fillId="0" borderId="2" applyAlignment="1" pivotButton="0" quotePrefix="0" xfId="20">
      <alignment horizontal="center" vertical="center" wrapText="1"/>
    </xf>
    <xf numFmtId="0" fontId="15" fillId="0" borderId="2" applyAlignment="1" pivotButton="0" quotePrefix="0" xfId="20">
      <alignment horizontal="center" vertical="center" wrapText="1"/>
    </xf>
    <xf numFmtId="164" fontId="6" fillId="0" borderId="2" applyAlignment="1" pivotButton="0" quotePrefix="0" xfId="0">
      <alignment horizontal="center" vertical="center"/>
    </xf>
    <xf numFmtId="164" fontId="6" fillId="0" borderId="2" applyAlignment="1" pivotButton="0" quotePrefix="0" xfId="0">
      <alignment horizontal="center" vertical="center" wrapText="1"/>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14" fillId="0"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0" applyAlignment="1" pivotButton="0" quotePrefix="0" xfId="0">
      <alignment horizontal="general" vertical="bottom"/>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0" borderId="1" applyAlignment="1" pivotButton="0" quotePrefix="0" xfId="0">
      <alignment horizontal="center" vertical="top" wrapText="1"/>
    </xf>
    <xf numFmtId="0" fontId="15" fillId="0" borderId="10" applyAlignment="1" pivotButton="0" quotePrefix="0" xfId="0">
      <alignment horizontal="center" vertical="top"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2"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1" fillId="0" borderId="9"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0"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36" fillId="0" borderId="1" applyAlignment="1" pivotButton="0" quotePrefix="0" xfId="0">
      <alignment horizontal="center" vertical="center" wrapText="1"/>
    </xf>
    <xf numFmtId="0" fontId="0" fillId="0" borderId="0" applyAlignment="1" pivotButton="0" quotePrefix="0" xfId="0">
      <alignment horizontal="general" vertical="bottom"/>
    </xf>
    <xf numFmtId="0" fontId="36"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5" applyAlignment="1" pivotButton="0" quotePrefix="0" xfId="0">
      <alignment horizontal="left" vertical="center" wrapText="1"/>
    </xf>
    <xf numFmtId="0" fontId="0" fillId="0" borderId="0" pivotButton="0" quotePrefix="0" xfId="0"/>
    <xf numFmtId="0" fontId="46" fillId="0" borderId="0" pivotButton="0" quotePrefix="0" xfId="0"/>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0" fillId="0" borderId="19" pivotButton="0" quotePrefix="0" xfId="0"/>
    <xf numFmtId="0" fontId="7" fillId="0" borderId="3" applyAlignment="1" pivotButton="0" quotePrefix="0" xfId="0">
      <alignment horizontal="center" vertical="center" wrapText="1"/>
    </xf>
    <xf numFmtId="0" fontId="0" fillId="0" borderId="18" pivotButton="0" quotePrefix="0" xfId="0"/>
    <xf numFmtId="0" fontId="0" fillId="0" borderId="23" pivotButton="0" quotePrefix="0" xfId="0"/>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11" pivotButton="0" quotePrefix="0" xfId="0"/>
    <xf numFmtId="0" fontId="0" fillId="0" borderId="26" pivotButton="0" quotePrefix="0" xfId="0"/>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7" borderId="1" applyAlignment="1" pivotButton="0" quotePrefix="0" xfId="0">
      <alignment horizontal="center" vertical="top" wrapText="1"/>
    </xf>
    <xf numFmtId="0" fontId="15" fillId="0" borderId="3" applyAlignment="1" pivotButton="0" quotePrefix="0" xfId="0">
      <alignment horizontal="center" vertical="top" wrapText="1"/>
    </xf>
    <xf numFmtId="0" fontId="14" fillId="8"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21" pivotButton="0" quotePrefix="0" xfId="0"/>
    <xf numFmtId="0" fontId="0" fillId="0" borderId="27" pivotButton="0" quotePrefix="0" xfId="0"/>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0" fontId="0" fillId="0" borderId="28" pivotButton="0" quotePrefix="0" xfId="0"/>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8" borderId="1" applyAlignment="1" pivotButton="0" quotePrefix="0" xfId="0">
      <alignment horizontal="center" vertical="top" wrapText="1"/>
    </xf>
    <xf numFmtId="0" fontId="15" fillId="0" borderId="10" applyAlignment="1" pivotButton="0" quotePrefix="0" xfId="0">
      <alignment horizontal="center" vertical="top" wrapText="1"/>
    </xf>
    <xf numFmtId="0" fontId="0" fillId="0" borderId="29" pivotButton="0" quotePrefix="0" xfId="0"/>
    <xf numFmtId="0" fontId="0" fillId="0" borderId="10" pivotButton="0" quotePrefix="0" xfId="0"/>
    <xf numFmtId="0" fontId="15" fillId="9" borderId="1" applyAlignment="1" pivotButton="0" quotePrefix="0" xfId="0">
      <alignment horizontal="center" vertical="top"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14" fillId="0" borderId="6"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8" borderId="1" applyAlignment="1" pivotButton="0" quotePrefix="0" xfId="0">
      <alignment horizontal="center" vertical="center" wrapText="1"/>
    </xf>
    <xf numFmtId="0" fontId="31" fillId="8"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9" borderId="1" applyAlignment="1" pivotButton="0" quotePrefix="0" xfId="0">
      <alignment horizontal="center" vertical="top" wrapText="1"/>
    </xf>
    <xf numFmtId="0" fontId="24" fillId="8"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0" fontId="15" fillId="8" borderId="1" applyAlignment="1" pivotButton="0" quotePrefix="0" xfId="0">
      <alignment horizontal="center" vertical="top" wrapText="1"/>
    </xf>
    <xf numFmtId="0" fontId="15" fillId="8" borderId="1"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24" fillId="7" borderId="1" applyAlignment="1" pivotButton="0" quotePrefix="0" xfId="0">
      <alignment horizontal="center" vertical="top" wrapText="1"/>
    </xf>
    <xf numFmtId="0" fontId="24" fillId="10" borderId="1" applyAlignment="1" pivotButton="0" quotePrefix="0" xfId="0">
      <alignment horizontal="center" vertical="top" wrapText="1"/>
    </xf>
    <xf numFmtId="0" fontId="24" fillId="0" borderId="15" applyAlignment="1" pivotButton="0" quotePrefix="0" xfId="0">
      <alignment horizontal="left" vertical="center" wrapText="1"/>
    </xf>
    <xf numFmtId="0" fontId="45" fillId="11" borderId="0" applyAlignment="1" pivotButton="0" quotePrefix="0" xfId="0">
      <alignment vertical="center" wrapText="1"/>
    </xf>
    <xf numFmtId="0" fontId="0" fillId="0" borderId="30" applyAlignment="1" pivotButton="0" quotePrefix="0" xfId="0">
      <alignment vertical="top" wrapText="1"/>
    </xf>
    <xf numFmtId="0" fontId="0" fillId="8" borderId="30" applyAlignment="1" pivotButton="0" quotePrefix="0" xfId="0">
      <alignment vertical="top"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Обычный 2" xfId="6"/>
  </cellStyles>
  <dxfs count="6">
    <dxf>
      <fill>
        <patternFill patternType="solid">
          <fgColor rgb="FF8FAADC"/>
          <bgColor rgb="FF000000"/>
        </patternFill>
      </fill>
    </dxf>
    <dxf>
      <fill>
        <patternFill patternType="solid">
          <fgColor rgb="FFF8CBAD"/>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8FAADC"/>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272727"/>
      <rgbColor rgb="FF993300"/>
      <rgbColor rgb="FF993366"/>
      <rgbColor rgb="FF333399"/>
      <rgbColor rgb="FF3232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60" customWidth="1" style="169" min="1" max="1"/>
    <col width="10" customWidth="1" style="169" min="2" max="2"/>
  </cols>
  <sheetData>
    <row r="1">
      <c r="A1" s="170" t="inlineStr">
        <is>
          <t>Камчатскэнерго 32616346943 — финальная таблица для заполнения заявки</t>
        </is>
      </c>
    </row>
    <row r="2">
      <c r="A2" t="inlineStr">
        <is>
          <t>Лист «Прил.1 — предложение участника» — официальная форма ТТ (столбцы 1–18 «Предложение участника»): зелёное — по ТЗ, подтверждено; оранжевое — значение завода (эквивалент); жёлтое — заполнить по ответу завода; красное — не закрыто.</t>
        </is>
      </c>
    </row>
    <row r="3">
      <c r="A3" t="inlineStr">
        <is>
          <t>Лист «Для КП» — производитель, страна, № реестровой записи по каждой позиции (ТТ п. 1.5.1–1.5.3); цену вносить после ответов. Номера — открытое зеркало реестра, перед подачей сверить с выписками ГИСП.</t>
        </is>
      </c>
    </row>
    <row r="5">
      <c r="A5" t="inlineStr">
        <is>
          <t>Источник</t>
        </is>
      </c>
      <c r="B5" t="inlineStr">
        <is>
          <t>Позиций</t>
        </is>
      </c>
    </row>
    <row r="6">
      <c r="A6" t="inlineStr">
        <is>
          <t>завод (новый запрос КП)</t>
        </is>
      </c>
      <c r="B6" t="n">
        <v>128</v>
      </c>
    </row>
    <row r="7">
      <c r="A7" t="inlineStr">
        <is>
          <t>завод вместо ДН.РУ</t>
        </is>
      </c>
      <c r="B7" t="n">
        <v>117</v>
      </c>
    </row>
    <row r="8">
      <c r="A8" t="inlineStr">
        <is>
          <t>НЕ ЗАКРЫТО</t>
        </is>
      </c>
      <c r="B8" t="n">
        <v>29</v>
      </c>
    </row>
    <row r="9">
      <c r="A9" t="inlineStr">
        <is>
          <t>текущий поставщик (номера записи нет)</t>
        </is>
      </c>
      <c r="B9" t="n">
        <v>21</v>
      </c>
    </row>
    <row r="10">
      <c r="A10" t="inlineStr">
        <is>
          <t>текущий поставщик</t>
        </is>
      </c>
      <c r="B10" t="n">
        <v>20</v>
      </c>
    </row>
    <row r="12">
      <c r="A12" t="inlineStr">
        <is>
          <t>Проверка ТЗ</t>
        </is>
      </c>
      <c r="B12" t="inlineStr">
        <is>
          <t>Позиций</t>
        </is>
      </c>
    </row>
    <row r="13">
      <c r="A13" t="inlineStr">
        <is>
          <t>не подтверждено</t>
        </is>
      </c>
      <c r="B13" t="n">
        <v>113</v>
      </c>
    </row>
    <row r="14">
      <c r="A14" t="inlineStr">
        <is>
          <t>ок</t>
        </is>
      </c>
      <c r="B14" t="n">
        <v>96</v>
      </c>
    </row>
    <row r="15">
      <c r="A15" t="inlineStr">
        <is>
          <t>не проверено построчно</t>
        </is>
      </c>
      <c r="B15" t="n">
        <v>53</v>
      </c>
    </row>
    <row r="16">
      <c r="A16" t="inlineStr">
        <is>
          <t>нет поставщика с записью ПП 719 и соотве</t>
        </is>
      </c>
      <c r="B16" t="n">
        <v>29</v>
      </c>
    </row>
    <row r="17">
      <c r="A17" t="inlineStr">
        <is>
          <t>нет записи ПП 719 — не проходит нацрежим</t>
        </is>
      </c>
      <c r="B17" t="n">
        <v>21</v>
      </c>
    </row>
    <row r="18">
      <c r="A18" t="inlineStr">
        <is>
          <t>подтвердить: дороже на +26%</t>
        </is>
      </c>
      <c r="B18" t="n">
        <v>1</v>
      </c>
    </row>
    <row r="19">
      <c r="A19" t="inlineStr">
        <is>
          <t>подтвердить: дороже на +13%</t>
        </is>
      </c>
      <c r="B19" t="n">
        <v>1</v>
      </c>
    </row>
    <row r="20">
      <c r="A20" t="inlineStr">
        <is>
          <t>подтвердить: КНР/импорт — номер в реестр</t>
        </is>
      </c>
      <c r="B20" t="n">
        <v>1</v>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I3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625" defaultRowHeight="15" zeroHeight="0" outlineLevelRow="0"/>
  <cols>
    <col width="8.85" customWidth="1" style="171" min="1" max="1"/>
    <col width="30.7" customWidth="1" style="171" min="2" max="2"/>
    <col width="15.41" customWidth="1" style="171" min="3" max="3"/>
    <col width="10.13" customWidth="1" style="172" min="4" max="4"/>
    <col width="11.28" customWidth="1" style="171" min="5" max="5"/>
    <col width="8.56" customWidth="1" style="171" min="6" max="7"/>
    <col width="17.99" customWidth="1" style="171" min="8" max="8"/>
    <col width="12.99" customWidth="1" style="171" min="9" max="9"/>
    <col width="28.99" customWidth="1" style="171" min="10" max="10"/>
    <col width="15.85" customWidth="1" style="171" min="11" max="11"/>
    <col width="12.14" customWidth="1" style="171" min="12" max="12"/>
    <col width="30.99" customWidth="1" style="171" min="13" max="13"/>
    <col width="16.28" customWidth="1" style="171" min="14" max="14"/>
    <col width="44.41" customWidth="1" style="171" min="15" max="15"/>
    <col width="17.7" customWidth="1" style="171" min="16" max="16"/>
    <col width="41.28" customWidth="1" style="171" min="17" max="17"/>
    <col width="8.41" customWidth="1" style="171" min="18" max="18"/>
    <col width="30.7" customWidth="1" style="171" min="19" max="19"/>
    <col width="15.41" customWidth="1" style="171" min="20" max="20"/>
    <col width="10.13" customWidth="1" style="171" min="21" max="21"/>
    <col width="8.56" customWidth="1" style="171" min="22" max="24"/>
    <col width="17.99" customWidth="1" style="171" min="25" max="25"/>
    <col width="12.99" customWidth="1" style="171" min="26" max="26"/>
    <col width="28.99" customWidth="1" style="171" min="27" max="27"/>
    <col width="15.85" customWidth="1" style="171" min="28" max="28"/>
    <col width="12.14" customWidth="1" style="171" min="29" max="29"/>
    <col width="30.99" customWidth="1" style="171" min="30" max="30"/>
    <col width="8.56" customWidth="1" style="171" min="31" max="31"/>
    <col width="44.41" customWidth="1" style="171" min="32" max="32"/>
    <col width="17.7" customWidth="1" style="171" min="33" max="33"/>
    <col width="29.28" customWidth="1" style="171" min="34" max="34"/>
    <col width="19.14" customWidth="1" style="173" min="35" max="35"/>
    <col width="8.56" customWidth="1" style="171" min="36" max="257"/>
  </cols>
  <sheetData>
    <row r="1" ht="15" customHeight="1" s="169">
      <c r="A1" s="174" t="n"/>
      <c r="B1" s="174" t="n"/>
      <c r="C1" s="174" t="n"/>
      <c r="D1" s="175" t="n"/>
      <c r="E1" s="174" t="n"/>
      <c r="F1" s="174" t="n"/>
      <c r="G1" s="174" t="n"/>
      <c r="H1" s="174" t="n"/>
      <c r="I1" s="174" t="n"/>
      <c r="J1" s="174" t="n"/>
      <c r="K1" s="174" t="n"/>
      <c r="L1" s="174" t="n"/>
      <c r="M1" s="174" t="n"/>
      <c r="N1" s="174" t="n"/>
      <c r="O1" s="176" t="inlineStr">
        <is>
          <t>Приложение 1 к Техническим требованиям</t>
        </is>
      </c>
      <c r="R1" s="174" t="inlineStr">
        <is>
          <t>Предложение участника по характеристикам (заполнено ООО «ГИДРОПАС»: зелёное — по ТЗ, подтверждено; оранжевое — значение завода; жёлтое — заполнить по ответу завода; красное — не закрыто)</t>
        </is>
      </c>
      <c r="S1" s="177" t="inlineStr">
        <is>
          <t>Предложение участника по характеристикам и параметрам</t>
        </is>
      </c>
    </row>
    <row r="2" ht="15" customHeight="1" s="169">
      <c r="A2" s="178" t="inlineStr">
        <is>
          <t>№ п/п</t>
        </is>
      </c>
      <c r="B2" s="178" t="inlineStr">
        <is>
          <t>Наименование</t>
        </is>
      </c>
      <c r="C2" s="179" t="inlineStr">
        <is>
          <t>ГОСТ/ТУ</t>
        </is>
      </c>
      <c r="D2" s="179" t="inlineStr">
        <is>
          <t>Диаметр номинальный Ду, мм</t>
        </is>
      </c>
      <c r="E2" s="179" t="inlineStr">
        <is>
          <t>Проход</t>
        </is>
      </c>
      <c r="F2" s="179" t="inlineStr">
        <is>
          <t>Давление  Мпа</t>
        </is>
      </c>
      <c r="G2" s="179" t="inlineStr">
        <is>
          <t>Температура t, гр. С</t>
        </is>
      </c>
      <c r="H2" s="179" t="inlineStr">
        <is>
          <t>Среда</t>
        </is>
      </c>
      <c r="I2" s="179" t="inlineStr">
        <is>
          <t>Материал корпуса</t>
        </is>
      </c>
      <c r="J2" s="179" t="inlineStr">
        <is>
          <t>Климатическое исполнение</t>
        </is>
      </c>
      <c r="K2" s="179" t="inlineStr">
        <is>
          <t>Тип присоединения к трубопроводу</t>
        </is>
      </c>
      <c r="L2" s="179" t="inlineStr">
        <is>
          <t>Приводное устройство</t>
        </is>
      </c>
      <c r="M2" s="180" t="n"/>
      <c r="N2" s="181" t="inlineStr">
        <is>
          <t>Дополнительные требования</t>
        </is>
      </c>
      <c r="O2" s="182" t="n"/>
      <c r="P2" s="182" t="n"/>
      <c r="Q2" s="183" t="n"/>
      <c r="R2" s="184" t="inlineStr">
        <is>
          <t>№ п/п</t>
        </is>
      </c>
      <c r="S2" s="178" t="inlineStr">
        <is>
          <t>Наименование</t>
        </is>
      </c>
      <c r="T2" s="179" t="inlineStr">
        <is>
          <t>ГОСТ/ТУ</t>
        </is>
      </c>
      <c r="U2" s="179" t="inlineStr">
        <is>
          <t>Диаметр номинальный Ду, мм</t>
        </is>
      </c>
      <c r="V2" s="179" t="inlineStr">
        <is>
          <t>Проход</t>
        </is>
      </c>
      <c r="W2" s="179" t="inlineStr">
        <is>
          <t>Давление  Мпа</t>
        </is>
      </c>
      <c r="X2" s="179" t="inlineStr">
        <is>
          <t>Температура t, гр. С</t>
        </is>
      </c>
      <c r="Y2" s="179" t="inlineStr">
        <is>
          <t>Среда</t>
        </is>
      </c>
      <c r="Z2" s="179" t="inlineStr">
        <is>
          <t>Материал корпуса</t>
        </is>
      </c>
      <c r="AA2" s="179" t="inlineStr">
        <is>
          <t>Климетическое исполнение</t>
        </is>
      </c>
      <c r="AB2" s="179" t="inlineStr">
        <is>
          <t>Тип присоединения к трубопроводу</t>
        </is>
      </c>
      <c r="AC2" s="179" t="inlineStr">
        <is>
          <t>Приводное устройство</t>
        </is>
      </c>
      <c r="AD2" s="180" t="n"/>
      <c r="AE2" s="181" t="inlineStr">
        <is>
          <t>Дополнительные требования</t>
        </is>
      </c>
      <c r="AF2" s="182" t="n"/>
      <c r="AG2" s="182" t="n"/>
      <c r="AH2" s="183" t="n"/>
      <c r="AI2" s="185" t="n"/>
    </row>
    <row r="3" ht="57" customHeight="1" s="169">
      <c r="A3" s="186" t="n"/>
      <c r="B3" s="186" t="n"/>
      <c r="C3" s="186" t="n"/>
      <c r="D3" s="186" t="n"/>
      <c r="E3" s="186" t="n"/>
      <c r="F3" s="186" t="n"/>
      <c r="G3" s="186" t="n"/>
      <c r="H3" s="186" t="n"/>
      <c r="I3" s="186" t="n"/>
      <c r="J3" s="186" t="n"/>
      <c r="K3" s="186" t="n"/>
      <c r="L3" s="179" t="inlineStr">
        <is>
          <t>Наименование</t>
        </is>
      </c>
      <c r="M3" s="179" t="inlineStr">
        <is>
          <t xml:space="preserve">Технические характеристики </t>
        </is>
      </c>
      <c r="N3" s="179" t="inlineStr">
        <is>
          <t>Устанавочное положение</t>
        </is>
      </c>
      <c r="O3" s="179" t="inlineStr">
        <is>
          <t>Материал штока, шара, уплотнения и т.д</t>
        </is>
      </c>
      <c r="P3" s="179" t="inlineStr">
        <is>
          <t>Габариты</t>
        </is>
      </c>
      <c r="Q3" s="181" t="inlineStr">
        <is>
          <t>Примечание</t>
        </is>
      </c>
      <c r="R3" s="187" t="n"/>
      <c r="S3" s="186" t="n"/>
      <c r="T3" s="186" t="n"/>
      <c r="U3" s="186" t="n"/>
      <c r="V3" s="186" t="n"/>
      <c r="W3" s="186" t="n"/>
      <c r="X3" s="186" t="n"/>
      <c r="Y3" s="186" t="n"/>
      <c r="Z3" s="186" t="n"/>
      <c r="AA3" s="186" t="n"/>
      <c r="AB3" s="186" t="n"/>
      <c r="AC3" s="179" t="inlineStr">
        <is>
          <t>Наименование</t>
        </is>
      </c>
      <c r="AD3" s="179" t="inlineStr">
        <is>
          <t xml:space="preserve">Технические характеристики </t>
        </is>
      </c>
      <c r="AE3" s="179" t="inlineStr">
        <is>
          <t>Устанавочное положение</t>
        </is>
      </c>
      <c r="AF3" s="179" t="inlineStr">
        <is>
          <t>Материал штока, шара, уплотнения и т.д</t>
        </is>
      </c>
      <c r="AG3" s="179" t="inlineStr">
        <is>
          <t>Габариты</t>
        </is>
      </c>
      <c r="AH3" s="181" t="inlineStr">
        <is>
          <t>Примечание</t>
        </is>
      </c>
      <c r="AI3" s="188" t="inlineStr">
        <is>
          <t>Гарантийный срок</t>
        </is>
      </c>
    </row>
    <row r="4" ht="15" customHeight="1" s="169">
      <c r="A4" s="178" t="n">
        <v>1</v>
      </c>
      <c r="B4" s="178" t="n">
        <v>2</v>
      </c>
      <c r="C4" s="179" t="n">
        <v>3</v>
      </c>
      <c r="D4" s="179" t="n">
        <v>4</v>
      </c>
      <c r="E4" s="179" t="n">
        <v>5</v>
      </c>
      <c r="F4" s="179" t="n">
        <v>6</v>
      </c>
      <c r="G4" s="179" t="n">
        <v>7</v>
      </c>
      <c r="H4" s="179" t="n">
        <v>8</v>
      </c>
      <c r="I4" s="179" t="n">
        <v>9</v>
      </c>
      <c r="J4" s="179" t="n">
        <v>10</v>
      </c>
      <c r="K4" s="179" t="n">
        <v>11</v>
      </c>
      <c r="L4" s="179" t="n">
        <v>12</v>
      </c>
      <c r="M4" s="179" t="n">
        <v>13</v>
      </c>
      <c r="N4" s="179" t="n">
        <v>14</v>
      </c>
      <c r="O4" s="179" t="n">
        <v>15</v>
      </c>
      <c r="P4" s="179" t="n">
        <v>16</v>
      </c>
      <c r="Q4" s="181" t="n">
        <v>17</v>
      </c>
      <c r="R4" s="184" t="n">
        <v>1</v>
      </c>
      <c r="S4" s="178" t="n">
        <v>2</v>
      </c>
      <c r="T4" s="179" t="n">
        <v>3</v>
      </c>
      <c r="U4" s="179" t="n">
        <v>4</v>
      </c>
      <c r="V4" s="179" t="n">
        <v>5</v>
      </c>
      <c r="W4" s="179" t="n">
        <v>6</v>
      </c>
      <c r="X4" s="179" t="n">
        <v>7</v>
      </c>
      <c r="Y4" s="179" t="n">
        <v>8</v>
      </c>
      <c r="Z4" s="179" t="n">
        <v>9</v>
      </c>
      <c r="AA4" s="179" t="n">
        <v>10</v>
      </c>
      <c r="AB4" s="179" t="n">
        <v>11</v>
      </c>
      <c r="AC4" s="179" t="n">
        <v>12</v>
      </c>
      <c r="AD4" s="179" t="n">
        <v>13</v>
      </c>
      <c r="AE4" s="179" t="n">
        <v>14</v>
      </c>
      <c r="AF4" s="179" t="n">
        <v>15</v>
      </c>
      <c r="AG4" s="179" t="n">
        <v>16</v>
      </c>
      <c r="AH4" s="181" t="n">
        <v>17</v>
      </c>
      <c r="AI4" s="188" t="n">
        <v>18</v>
      </c>
    </row>
    <row r="5" ht="18.75" customHeight="1" s="169">
      <c r="A5" s="189" t="inlineStr">
        <is>
          <t>Спецификация №1, Грузополучатель №1 Таблица 1.1 (филиал Возобновляемая энергетика) по статье затрат – энергоремонтное производство»</t>
        </is>
      </c>
      <c r="B5" s="182" t="n"/>
      <c r="C5" s="182" t="n"/>
      <c r="D5" s="182" t="n"/>
      <c r="E5" s="182" t="n"/>
      <c r="F5" s="182" t="n"/>
      <c r="G5" s="182" t="n"/>
      <c r="H5" s="182" t="n"/>
      <c r="I5" s="182" t="n"/>
      <c r="J5" s="182" t="n"/>
      <c r="K5" s="182" t="n"/>
      <c r="L5" s="182" t="n"/>
      <c r="M5" s="182" t="n"/>
      <c r="N5" s="182" t="n"/>
      <c r="O5" s="182" t="n"/>
      <c r="P5" s="182" t="n"/>
      <c r="Q5" s="183" t="n"/>
      <c r="R5" s="190">
        <f>A5</f>
        <v/>
      </c>
      <c r="S5" s="182" t="n"/>
      <c r="T5" s="182" t="n"/>
      <c r="U5" s="182" t="n"/>
      <c r="V5" s="182" t="n"/>
      <c r="W5" s="182" t="n"/>
      <c r="X5" s="182" t="n"/>
      <c r="Y5" s="182" t="n"/>
      <c r="Z5" s="182" t="n"/>
      <c r="AA5" s="182" t="n"/>
      <c r="AB5" s="182" t="n"/>
      <c r="AC5" s="182" t="n"/>
      <c r="AD5" s="182" t="n"/>
      <c r="AE5" s="182" t="n"/>
      <c r="AF5" s="182" t="n"/>
      <c r="AG5" s="182" t="n"/>
      <c r="AH5" s="183" t="n"/>
      <c r="AI5" s="191" t="n"/>
    </row>
    <row r="6" ht="81.40000000000001" customFormat="1" customHeight="1" s="171">
      <c r="A6" s="192" t="n">
        <v>1</v>
      </c>
      <c r="B6" s="193" t="inlineStr">
        <is>
          <t>Клапан предохранительный 17лс17нж Ду 200-300  Ру 16-6 полноподъемный пружинный фланцевый</t>
        </is>
      </c>
      <c r="C6" s="194" t="inlineStr">
        <is>
          <t>ТУ 3742-001-09212465-2016; ГОСТ 5761-2005, ГОСТ 9544-2015, ГОСТ 16587-71, ГОСТ 356-80</t>
        </is>
      </c>
      <c r="D6" s="194" t="n">
        <v>200</v>
      </c>
      <c r="E6" s="194" t="inlineStr">
        <is>
          <t>стандарт</t>
        </is>
      </c>
      <c r="F6" s="194" t="n">
        <v>1.6</v>
      </c>
      <c r="G6" s="194" t="inlineStr">
        <is>
          <t>От -40 °C до +225°С</t>
        </is>
      </c>
      <c r="H6" s="194" t="inlineStr">
        <is>
          <t>Жидкая и газообразная в которой скорость коррозии сталей не превышает 0,1 мм/год</t>
        </is>
      </c>
      <c r="I6" s="195" t="inlineStr">
        <is>
          <t>Корпус — сталь 20ГЛ ГОСТ 977-88;  Крышка — ст.20</t>
        </is>
      </c>
      <c r="J6" s="194" t="inlineStr">
        <is>
          <t>У1</t>
        </is>
      </c>
      <c r="K6" s="194" t="inlineStr">
        <is>
          <t xml:space="preserve">фланец-фланец </t>
        </is>
      </c>
      <c r="L6" s="195" t="inlineStr">
        <is>
          <t>автоматическое/ручное</t>
        </is>
      </c>
      <c r="M6" s="194" t="inlineStr">
        <is>
          <t>Рукоятка</t>
        </is>
      </c>
      <c r="N6" s="195" t="inlineStr">
        <is>
          <t>вертикально, колпаком вверх с подачей среды под золотник</t>
        </is>
      </c>
      <c r="O6" s="196" t="inlineStr">
        <is>
          <t xml:space="preserve">Седло — ст.20Х13; Золотник — ст.30Х13, Шток — ст.20Х13, Пружина — 50ХФА или 51ХФА. Площадь седла F - 15836 мм2; </t>
        </is>
      </c>
      <c r="P6" s="196" t="inlineStr">
        <is>
          <t>Строительная длина L/L1 мм — 280/320</t>
        </is>
      </c>
      <c r="Q6" s="197" t="n"/>
      <c r="R6" s="198">
        <f>A6</f>
        <v/>
      </c>
      <c r="S6" s="199" t="inlineStr">
        <is>
          <t>СППК4Р 200-16 лс (17лс17нж), корпус 20ГЛ</t>
        </is>
      </c>
      <c r="T6" s="199" t="inlineStr">
        <is>
          <t>ТУ 3742-004-07533604-2008</t>
        </is>
      </c>
      <c r="U6" s="200" t="inlineStr">
        <is>
          <t>200</t>
        </is>
      </c>
      <c r="V6" s="200" t="inlineStr">
        <is>
          <t>стандарт</t>
        </is>
      </c>
      <c r="W6" s="200" t="inlineStr">
        <is>
          <t>1.6</t>
        </is>
      </c>
      <c r="X6" s="200" t="inlineStr">
        <is>
          <t>От -40 °C до +225°С</t>
        </is>
      </c>
      <c r="Y6" s="200" t="inlineStr">
        <is>
          <t>Жидкая и газообразная в которой скорость коррозии сталей не превышает 0,1 мм/год</t>
        </is>
      </c>
      <c r="Z6" s="200" t="inlineStr">
        <is>
          <t>Корпус — сталь 20ГЛ ГОСТ 977-88;  Крышка — ст.20</t>
        </is>
      </c>
      <c r="AA6" s="200" t="inlineStr">
        <is>
          <t>У1</t>
        </is>
      </c>
      <c r="AB6" s="200" t="inlineStr">
        <is>
          <t>фланец-фланец</t>
        </is>
      </c>
      <c r="AC6" s="200" t="inlineStr">
        <is>
          <t>автоматическое/ручное</t>
        </is>
      </c>
      <c r="AD6" s="200" t="inlineStr">
        <is>
          <t>Рукоятка</t>
        </is>
      </c>
      <c r="AE6" s="200" t="inlineStr">
        <is>
          <t>вертикально, колпаком вверх с подачей среды под золотник</t>
        </is>
      </c>
      <c r="AF6" s="200" t="inlineStr">
        <is>
          <t>Седло — ст.20Х13; Золотник — ст.30Х13, Шток — ст.20Х13, Пружина — 50ХФА или 51ХФА. Площадь седла F - 15836 мм2;</t>
        </is>
      </c>
      <c r="AG6" s="200" t="inlineStr">
        <is>
          <t>Строительная длина L/L1 мм — 280/320</t>
        </is>
      </c>
      <c r="AH6" s="201" t="inlineStr">
        <is>
          <t>Производитель: АО «Благовещенский арматурный завод» (ИНН 0258001489); страна происхождения: Россия; № реестровой записи (ПП 719): 10329690, действует до 16.09.2030</t>
        </is>
      </c>
      <c r="AI6" s="202" t="n"/>
    </row>
    <row r="7" ht="51" customFormat="1" customHeight="1" s="171">
      <c r="A7" s="192" t="n">
        <v>2</v>
      </c>
      <c r="B7" s="193" t="inlineStr">
        <is>
          <t>Клапан запорный 15нж65нж Ду 200 Ру 16</t>
        </is>
      </c>
      <c r="C7" s="203" t="inlineStr">
        <is>
          <t>ТУ 3700-001-66364836-2010</t>
        </is>
      </c>
      <c r="D7" s="203" t="n">
        <v>200</v>
      </c>
      <c r="E7" s="203" t="inlineStr">
        <is>
          <t>Полнопроходной</t>
        </is>
      </c>
      <c r="F7" s="203" t="n">
        <v>1.6</v>
      </c>
      <c r="G7" s="204" t="inlineStr">
        <is>
          <t xml:space="preserve"> до +6000С</t>
        </is>
      </c>
      <c r="H7" s="203" t="inlineStr">
        <is>
          <t>вода, пар</t>
        </is>
      </c>
      <c r="I7" s="203" t="inlineStr">
        <is>
          <t>12Х18Н10Т</t>
        </is>
      </c>
      <c r="J7" s="203" t="inlineStr">
        <is>
          <t>УХЛ1</t>
        </is>
      </c>
      <c r="K7" s="203" t="inlineStr">
        <is>
          <t>Фланцевое</t>
        </is>
      </c>
      <c r="L7" s="203" t="inlineStr">
        <is>
          <t xml:space="preserve">Ручное </t>
        </is>
      </c>
      <c r="M7" s="203" t="inlineStr">
        <is>
          <t>Маховик (штурвал)</t>
        </is>
      </c>
      <c r="N7" s="203" t="inlineStr">
        <is>
          <t>любое</t>
        </is>
      </c>
      <c r="O7" s="203" t="inlineStr">
        <is>
          <t>Крышка — 12Х18Н10Т; седло — 12Х18Н10Т; шпиндель — 12Х18Н10Т; диск (золотник) — 12Х18Н10Т; набивка сальниковая (сальник) — ТРГ</t>
        </is>
      </c>
      <c r="P7" s="203" t="inlineStr">
        <is>
          <t>-</t>
        </is>
      </c>
      <c r="Q7" s="203" t="inlineStr">
        <is>
          <t>Класс герметичности по ГОСТ 9544-2015 «А» Поставка клапана с ответными фланцами 12Х18Н10Т</t>
        </is>
      </c>
      <c r="R7" s="198">
        <f>A7</f>
        <v/>
      </c>
      <c r="S7" s="205" t="n"/>
      <c r="T7" s="205" t="n"/>
      <c r="U7" s="205" t="n"/>
      <c r="V7" s="205" t="n"/>
      <c r="W7" s="205" t="n"/>
      <c r="X7" s="205" t="n"/>
      <c r="Y7" s="205" t="n"/>
      <c r="Z7" s="205" t="n"/>
      <c r="AA7" s="205" t="n"/>
      <c r="AB7" s="205" t="n"/>
      <c r="AC7" s="205" t="n"/>
      <c r="AD7" s="205" t="n"/>
      <c r="AE7" s="205" t="n"/>
      <c r="AF7" s="205" t="n"/>
      <c r="AG7" s="205" t="n"/>
      <c r="AH7" s="206" t="n"/>
      <c r="AI7" s="202" t="n"/>
    </row>
    <row r="8" ht="51" customFormat="1" customHeight="1" s="171">
      <c r="A8" s="192" t="n">
        <v>3</v>
      </c>
      <c r="B8" s="193" t="inlineStr">
        <is>
          <t>Клапан запорный15нж65нж Ду 50 Ру 16</t>
        </is>
      </c>
      <c r="C8" s="203" t="inlineStr">
        <is>
          <t>ТУ 3700-001-66364836-2010</t>
        </is>
      </c>
      <c r="D8" s="203" t="n">
        <v>50</v>
      </c>
      <c r="E8" s="203" t="inlineStr">
        <is>
          <t>Полнопроходной</t>
        </is>
      </c>
      <c r="F8" s="203" t="n">
        <v>1.6</v>
      </c>
      <c r="G8" s="204" t="inlineStr">
        <is>
          <t xml:space="preserve"> до +6000С</t>
        </is>
      </c>
      <c r="H8" s="203" t="inlineStr">
        <is>
          <t>вода, пар</t>
        </is>
      </c>
      <c r="I8" s="203" t="inlineStr">
        <is>
          <t>12Х18Н10Т</t>
        </is>
      </c>
      <c r="J8" s="203" t="inlineStr">
        <is>
          <t>УХЛ1</t>
        </is>
      </c>
      <c r="K8" s="203" t="inlineStr">
        <is>
          <t>Фланцевое</t>
        </is>
      </c>
      <c r="L8" s="203" t="inlineStr">
        <is>
          <t xml:space="preserve">Ручное </t>
        </is>
      </c>
      <c r="M8" s="203" t="inlineStr">
        <is>
          <t>Маховик (штурвал)</t>
        </is>
      </c>
      <c r="N8" s="203" t="inlineStr">
        <is>
          <t>любое</t>
        </is>
      </c>
      <c r="O8" s="203" t="inlineStr">
        <is>
          <t>Крышка — 12Х18Н10Т; седло — 12Х18Н10Т; шпиндель — 12Х18Н10Т; диск (золотник) — 12Х18Н10Т; набивка сальниковая (сальник) — ТРГ</t>
        </is>
      </c>
      <c r="P8" s="203" t="inlineStr">
        <is>
          <t>-</t>
        </is>
      </c>
      <c r="Q8" s="203" t="inlineStr">
        <is>
          <t>Класс герметичности по ГОСТ 9544-2015 «А» Поставка клапана с ответными фланцами 12Х18Н10Т</t>
        </is>
      </c>
      <c r="R8" s="198">
        <f>A8</f>
        <v/>
      </c>
      <c r="S8" s="205" t="n"/>
      <c r="T8" s="205" t="n"/>
      <c r="U8" s="205" t="n"/>
      <c r="V8" s="205" t="n"/>
      <c r="W8" s="205" t="n"/>
      <c r="X8" s="205" t="n"/>
      <c r="Y8" s="205" t="n"/>
      <c r="Z8" s="205" t="n"/>
      <c r="AA8" s="205" t="n"/>
      <c r="AB8" s="205" t="n"/>
      <c r="AC8" s="205" t="n"/>
      <c r="AD8" s="205" t="n"/>
      <c r="AE8" s="205" t="n"/>
      <c r="AF8" s="205" t="n"/>
      <c r="AG8" s="205" t="n"/>
      <c r="AH8" s="206" t="n"/>
      <c r="AI8" s="202" t="n"/>
    </row>
    <row r="9" ht="63.75" customFormat="1" customHeight="1" s="171">
      <c r="A9" s="192" t="n">
        <v>4</v>
      </c>
      <c r="B9" s="193" t="inlineStr">
        <is>
          <t>Клапан запорный15с52нж11 Ду 32 Ру 63 под приварку</t>
        </is>
      </c>
      <c r="C9" s="203" t="inlineStr">
        <is>
          <t xml:space="preserve"> ГОСТ 12.2.063-2015 </t>
        </is>
      </c>
      <c r="D9" s="203" t="n">
        <v>32</v>
      </c>
      <c r="E9" s="203" t="inlineStr">
        <is>
          <t xml:space="preserve">стандарт </t>
        </is>
      </c>
      <c r="F9" s="203" t="n">
        <v>6.3</v>
      </c>
      <c r="G9" s="203" t="inlineStr">
        <is>
          <t>До +400</t>
        </is>
      </c>
      <c r="H9" s="203" t="inlineStr">
        <is>
          <t xml:space="preserve">вода пар газ и другие  рабочие среды, неагрессивные к деталям задвижки </t>
        </is>
      </c>
      <c r="I9" s="203" t="inlineStr">
        <is>
          <t>Сталь 20</t>
        </is>
      </c>
      <c r="J9" s="194" t="inlineStr">
        <is>
          <t>У1</t>
        </is>
      </c>
      <c r="K9" s="203" t="inlineStr">
        <is>
          <t xml:space="preserve">под приварку </t>
        </is>
      </c>
      <c r="L9" s="203" t="inlineStr">
        <is>
          <t xml:space="preserve">ручное </t>
        </is>
      </c>
      <c r="M9" s="203" t="inlineStr">
        <is>
          <t>рукоятка</t>
        </is>
      </c>
      <c r="N9" s="203" t="inlineStr">
        <is>
          <t>направленная</t>
        </is>
      </c>
      <c r="O9" s="203" t="inlineStr">
        <is>
          <t xml:space="preserve">корпус сталь 20     золотник сталь 20х13   шпиндель сталь35 сальниковая набивка АГИ </t>
        </is>
      </c>
      <c r="P9" s="203" t="n"/>
      <c r="Q9" s="203" t="n"/>
      <c r="R9" s="198">
        <f>A9</f>
        <v/>
      </c>
      <c r="S9" s="205" t="n"/>
      <c r="T9" s="205" t="n"/>
      <c r="U9" s="205" t="n"/>
      <c r="V9" s="205" t="n"/>
      <c r="W9" s="205" t="n"/>
      <c r="X9" s="205" t="n"/>
      <c r="Y9" s="205" t="n"/>
      <c r="Z9" s="205" t="n"/>
      <c r="AA9" s="205" t="n"/>
      <c r="AB9" s="205" t="n"/>
      <c r="AC9" s="205" t="n"/>
      <c r="AD9" s="205" t="n"/>
      <c r="AE9" s="205" t="n"/>
      <c r="AF9" s="205" t="n"/>
      <c r="AG9" s="205" t="n"/>
      <c r="AH9" s="206" t="n"/>
      <c r="AI9" s="202" t="n"/>
    </row>
    <row r="10" ht="135" customFormat="1" customHeight="1" s="171">
      <c r="A10" s="192" t="n">
        <v>5</v>
      </c>
      <c r="B10" s="193" t="inlineStr">
        <is>
          <t>Задвижка 30нж41нж Ду 150 Ру 16 1исп. САЗ</t>
        </is>
      </c>
      <c r="C10" s="207" t="inlineStr">
        <is>
          <t>ГОСТ 5762-2002</t>
        </is>
      </c>
      <c r="D10" s="207" t="n">
        <v>150</v>
      </c>
      <c r="E10" s="207" t="inlineStr">
        <is>
          <t>стандартный</t>
        </is>
      </c>
      <c r="F10" s="207" t="n">
        <v>1.6</v>
      </c>
      <c r="G10" s="207" t="inlineStr">
        <is>
          <t>от -60 до +560</t>
        </is>
      </c>
      <c r="H10" s="207" t="inlineStr">
        <is>
          <t>Жидкие и газообразные углеводороды, нефть, нефтепродукты, природный газ, газоконденсат, вода пар и другие жидкости и газы</t>
        </is>
      </c>
      <c r="I10" s="207" t="inlineStr">
        <is>
          <t>сталь 12Х18Н9ТЛ</t>
        </is>
      </c>
      <c r="J10" s="207" t="inlineStr">
        <is>
          <t>УХЛ1</t>
        </is>
      </c>
      <c r="K10" s="207" t="inlineStr">
        <is>
          <t>фланцевый</t>
        </is>
      </c>
      <c r="L10" s="207" t="inlineStr">
        <is>
          <t>ручной (маховик)</t>
        </is>
      </c>
      <c r="M10" s="207" t="inlineStr">
        <is>
          <t>-</t>
        </is>
      </c>
      <c r="N10" s="207" t="inlineStr">
        <is>
          <t>любое</t>
        </is>
      </c>
      <c r="O10" s="20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 s="197" t="n"/>
      <c r="Q10" s="197" t="n"/>
      <c r="R10" s="198">
        <f>A10</f>
        <v/>
      </c>
      <c r="S10" s="205" t="n"/>
      <c r="T10" s="205" t="n"/>
      <c r="U10" s="205" t="n"/>
      <c r="V10" s="205" t="n"/>
      <c r="W10" s="205" t="n"/>
      <c r="X10" s="205" t="n"/>
      <c r="Y10" s="205" t="n"/>
      <c r="Z10" s="205" t="n"/>
      <c r="AA10" s="205" t="n"/>
      <c r="AB10" s="205" t="n"/>
      <c r="AC10" s="205" t="n"/>
      <c r="AD10" s="205" t="n"/>
      <c r="AE10" s="205" t="n"/>
      <c r="AF10" s="205" t="n"/>
      <c r="AG10" s="205" t="n"/>
      <c r="AH10" s="206" t="n"/>
      <c r="AI10" s="202" t="n"/>
    </row>
    <row r="11" ht="89.25" customFormat="1" customHeight="1" s="171">
      <c r="A11" s="192" t="n">
        <v>6</v>
      </c>
      <c r="B11" s="193" t="inlineStr">
        <is>
          <t>Задвижка 30нж947нж Ду 1000 Ру 4</t>
        </is>
      </c>
      <c r="C11" s="194" t="inlineStr">
        <is>
          <t>ТУ 3741-001-09212465-2016</t>
        </is>
      </c>
      <c r="D11" s="194" t="n">
        <v>1000</v>
      </c>
      <c r="E11" s="194" t="inlineStr">
        <is>
          <t>стандарт</t>
        </is>
      </c>
      <c r="F11" s="194" t="n">
        <v>0.4</v>
      </c>
      <c r="G11" s="194" t="inlineStr">
        <is>
          <t xml:space="preserve">0т -40°С до 300°С  </t>
        </is>
      </c>
      <c r="H11" s="194" t="inlineStr">
        <is>
          <t>Вода</t>
        </is>
      </c>
      <c r="I11" s="194" t="inlineStr">
        <is>
          <t>Ст.12Х18Н10Т</t>
        </is>
      </c>
      <c r="J11" s="194" t="inlineStr">
        <is>
          <t>У</t>
        </is>
      </c>
      <c r="K11" s="194" t="inlineStr">
        <is>
          <t>фланец-фланец по ГОСТ 33259-2015</t>
        </is>
      </c>
      <c r="L11" s="208" t="inlineStr">
        <is>
          <t>Под привод , тип присоединения: ЦКБ-В/ISO-F25</t>
        </is>
      </c>
      <c r="M11" s="194" t="inlineStr">
        <is>
          <t xml:space="preserve">Максимально крутящий момент: 840Нм; Число оборотов втулки: 141 </t>
        </is>
      </c>
      <c r="N11" s="194" t="inlineStr">
        <is>
          <t>Вертикально</t>
        </is>
      </c>
      <c r="O11" s="209" t="inlineStr">
        <is>
          <t>Корпус — 12Х18Н10Т;                                                       Крышка — 12Х18Н10Т;                                                      Клин- 12Х18Н10Т;                                                               Пошипниковый узел — ст.20;                                           Шпиндель — 20Х13;                                                           Сальниковое уплотнение — набивка из ТРГ;                 Наплавка колец корпуса и клина — ЦН6Л</t>
        </is>
      </c>
      <c r="P11" s="194" t="inlineStr">
        <is>
          <t>Н-3320мм * L-550 мм</t>
        </is>
      </c>
      <c r="Q11" s="197" t="n"/>
      <c r="R11" s="198">
        <f>A11</f>
        <v/>
      </c>
      <c r="S11" s="205" t="n"/>
      <c r="T11" s="205" t="n"/>
      <c r="U11" s="205" t="n"/>
      <c r="V11" s="205" t="n"/>
      <c r="W11" s="205" t="n"/>
      <c r="X11" s="205" t="n"/>
      <c r="Y11" s="205" t="n"/>
      <c r="Z11" s="205" t="n"/>
      <c r="AA11" s="205" t="n"/>
      <c r="AB11" s="205" t="n"/>
      <c r="AC11" s="205" t="n"/>
      <c r="AD11" s="205" t="n"/>
      <c r="AE11" s="205" t="n"/>
      <c r="AF11" s="205" t="n"/>
      <c r="AG11" s="205" t="n"/>
      <c r="AH11" s="206" t="n"/>
      <c r="AI11" s="202" t="n"/>
    </row>
    <row r="12" ht="63.75" customFormat="1" customHeight="1" s="171">
      <c r="A12" s="192" t="n">
        <v>7</v>
      </c>
      <c r="B12" s="193" t="inlineStr">
        <is>
          <t>Задвижка 30с41нж Ду 50 Ру 16</t>
        </is>
      </c>
      <c r="C12" s="210" t="inlineStr">
        <is>
          <t>ТУ 3741–001–24380482–2016</t>
        </is>
      </c>
      <c r="D12" s="210" t="n">
        <v>50</v>
      </c>
      <c r="E12" s="210" t="inlineStr">
        <is>
          <t>стандарт</t>
        </is>
      </c>
      <c r="F12" s="210" t="n">
        <v>1.6</v>
      </c>
      <c r="G12" s="210" t="inlineStr">
        <is>
          <t>до +425</t>
        </is>
      </c>
      <c r="H12" s="210" t="inlineStr">
        <is>
          <t>Вода</t>
        </is>
      </c>
      <c r="I12" s="210" t="inlineStr">
        <is>
          <t>Сталь 25 Л</t>
        </is>
      </c>
      <c r="J12" s="210" t="inlineStr">
        <is>
          <t>У1</t>
        </is>
      </c>
      <c r="K12" s="210" t="inlineStr">
        <is>
          <t>фланец-фланец по ГОСТ 33259-2015</t>
        </is>
      </c>
      <c r="L12" s="210" t="inlineStr">
        <is>
          <t xml:space="preserve">Ручное  </t>
        </is>
      </c>
      <c r="M12" s="210" t="inlineStr">
        <is>
          <t>штурвал</t>
        </is>
      </c>
      <c r="N12" s="210" t="inlineStr">
        <is>
          <t>Любое</t>
        </is>
      </c>
      <c r="O12"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2" s="210" t="inlineStr">
        <is>
          <t>180 *281</t>
        </is>
      </c>
      <c r="Q12" s="211" t="n"/>
      <c r="R12" s="198">
        <f>A12</f>
        <v/>
      </c>
      <c r="S12" s="205" t="n"/>
      <c r="T12" s="205" t="n"/>
      <c r="U12" s="205" t="n"/>
      <c r="V12" s="205" t="n"/>
      <c r="W12" s="205" t="n"/>
      <c r="X12" s="205" t="n"/>
      <c r="Y12" s="205" t="n"/>
      <c r="Z12" s="205" t="n"/>
      <c r="AA12" s="205" t="n"/>
      <c r="AB12" s="205" t="n"/>
      <c r="AC12" s="205" t="n"/>
      <c r="AD12" s="205" t="n"/>
      <c r="AE12" s="205" t="n"/>
      <c r="AF12" s="205" t="n"/>
      <c r="AG12" s="205" t="n"/>
      <c r="AH12" s="206" t="n"/>
      <c r="AI12" s="202" t="n"/>
    </row>
    <row r="13" ht="63.75" customFormat="1" customHeight="1" s="171">
      <c r="A13" s="192" t="n">
        <v>8</v>
      </c>
      <c r="B13" s="193" t="inlineStr">
        <is>
          <t>Задвижка 30с41нж Ду 100 Ру 16</t>
        </is>
      </c>
      <c r="C13" s="210" t="inlineStr">
        <is>
          <t>ТУ 3741–001–24380482–2016</t>
        </is>
      </c>
      <c r="D13" s="210" t="n">
        <v>100</v>
      </c>
      <c r="E13" s="210" t="inlineStr">
        <is>
          <t>стандарт</t>
        </is>
      </c>
      <c r="F13" s="210" t="n">
        <v>1.6</v>
      </c>
      <c r="G13" s="210" t="inlineStr">
        <is>
          <t>до +425</t>
        </is>
      </c>
      <c r="H13" s="210" t="inlineStr">
        <is>
          <t>вода, пар, жидкие неагрессивные среды</t>
        </is>
      </c>
      <c r="I13" s="210" t="inlineStr">
        <is>
          <t>сталь 25Л</t>
        </is>
      </c>
      <c r="J13" s="210" t="inlineStr">
        <is>
          <t>У1</t>
        </is>
      </c>
      <c r="K13" s="210" t="inlineStr">
        <is>
          <t>фланцевый</t>
        </is>
      </c>
      <c r="L13" s="210" t="inlineStr">
        <is>
          <t>ручной (маховик)</t>
        </is>
      </c>
      <c r="M13" s="212" t="inlineStr">
        <is>
          <t>-</t>
        </is>
      </c>
      <c r="N13" s="210" t="inlineStr">
        <is>
          <t>маховиком вверх</t>
        </is>
      </c>
      <c r="O13"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3" s="210" t="inlineStr">
        <is>
          <t>-</t>
        </is>
      </c>
      <c r="Q13" s="210" t="inlineStr">
        <is>
          <t>-</t>
        </is>
      </c>
      <c r="R13" s="198">
        <f>A13</f>
        <v/>
      </c>
      <c r="S13" s="205" t="n"/>
      <c r="T13" s="205" t="n"/>
      <c r="U13" s="205" t="n"/>
      <c r="V13" s="205" t="n"/>
      <c r="W13" s="205" t="n"/>
      <c r="X13" s="205" t="n"/>
      <c r="Y13" s="205" t="n"/>
      <c r="Z13" s="205" t="n"/>
      <c r="AA13" s="205" t="n"/>
      <c r="AB13" s="205" t="n"/>
      <c r="AC13" s="205" t="n"/>
      <c r="AD13" s="205" t="n"/>
      <c r="AE13" s="205" t="n"/>
      <c r="AF13" s="205" t="n"/>
      <c r="AG13" s="205" t="n"/>
      <c r="AH13" s="206" t="n"/>
      <c r="AI13" s="202" t="n"/>
    </row>
    <row r="14" ht="63.75" customFormat="1" customHeight="1" s="171">
      <c r="A14" s="192" t="n">
        <v>9</v>
      </c>
      <c r="B14" s="193" t="inlineStr">
        <is>
          <t>Задвижка 30с41нж Ду 150 Ру 16</t>
        </is>
      </c>
      <c r="C14" s="210" t="inlineStr">
        <is>
          <t>ТУ 3741–001–24380482–2016</t>
        </is>
      </c>
      <c r="D14" s="210" t="n">
        <v>150</v>
      </c>
      <c r="E14" s="210" t="inlineStr">
        <is>
          <t>стандарт</t>
        </is>
      </c>
      <c r="F14" s="210" t="n">
        <v>1.6</v>
      </c>
      <c r="G14" s="210" t="inlineStr">
        <is>
          <t>до +425</t>
        </is>
      </c>
      <c r="H14" s="210" t="inlineStr">
        <is>
          <t>вода, пар, жидкие неагрессивные среды</t>
        </is>
      </c>
      <c r="I14" s="210" t="inlineStr">
        <is>
          <t>сталь 25Л</t>
        </is>
      </c>
      <c r="J14" s="210" t="inlineStr">
        <is>
          <t>У1</t>
        </is>
      </c>
      <c r="K14" s="210" t="inlineStr">
        <is>
          <t>фланцевый</t>
        </is>
      </c>
      <c r="L14" s="210" t="inlineStr">
        <is>
          <t>ручной (маховик)</t>
        </is>
      </c>
      <c r="M14" s="212" t="inlineStr">
        <is>
          <t>-</t>
        </is>
      </c>
      <c r="N14" s="210" t="inlineStr">
        <is>
          <t>маховиком вверх</t>
        </is>
      </c>
      <c r="O1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4" s="210" t="inlineStr">
        <is>
          <t>-</t>
        </is>
      </c>
      <c r="Q14" s="210" t="inlineStr">
        <is>
          <t>-</t>
        </is>
      </c>
      <c r="R14" s="198">
        <f>A14</f>
        <v/>
      </c>
      <c r="S14" s="205" t="n"/>
      <c r="T14" s="205" t="n"/>
      <c r="U14" s="205" t="n"/>
      <c r="V14" s="205" t="n"/>
      <c r="W14" s="205" t="n"/>
      <c r="X14" s="205" t="n"/>
      <c r="Y14" s="205" t="n"/>
      <c r="Z14" s="205" t="n"/>
      <c r="AA14" s="205" t="n"/>
      <c r="AB14" s="205" t="n"/>
      <c r="AC14" s="205" t="n"/>
      <c r="AD14" s="205" t="n"/>
      <c r="AE14" s="205" t="n"/>
      <c r="AF14" s="205" t="n"/>
      <c r="AG14" s="205" t="n"/>
      <c r="AH14" s="206" t="n"/>
      <c r="AI14" s="202" t="n"/>
    </row>
    <row r="15" ht="63.75" customFormat="1" customHeight="1" s="171">
      <c r="A15" s="192" t="n">
        <v>10</v>
      </c>
      <c r="B15" s="193" t="inlineStr">
        <is>
          <t>Задвижка клиновая фланцевая 30с41нж Ду 300 Ру 16 с КОФ</t>
        </is>
      </c>
      <c r="C15" s="194" t="inlineStr">
        <is>
          <t>ТУ3741–001–27104101–2014</t>
        </is>
      </c>
      <c r="D15" s="194" t="n">
        <v>300</v>
      </c>
      <c r="E15" s="194" t="inlineStr">
        <is>
          <t>стандарт</t>
        </is>
      </c>
      <c r="F15" s="194" t="n">
        <v>1.6</v>
      </c>
      <c r="G15" s="210" t="inlineStr">
        <is>
          <t>до +425</t>
        </is>
      </c>
      <c r="H15" s="194" t="inlineStr">
        <is>
          <t>вода / пар/ газы</t>
        </is>
      </c>
      <c r="I15" s="194" t="inlineStr">
        <is>
          <t>сталь 25Л</t>
        </is>
      </c>
      <c r="J15" s="194" t="inlineStr">
        <is>
          <t>У1</t>
        </is>
      </c>
      <c r="K15" s="194" t="inlineStr">
        <is>
          <t xml:space="preserve">фланец-фланец </t>
        </is>
      </c>
      <c r="L15" s="194" t="inlineStr">
        <is>
          <t xml:space="preserve">Ручное  </t>
        </is>
      </c>
      <c r="M15" s="194" t="inlineStr">
        <is>
          <t>штурвал</t>
        </is>
      </c>
      <c r="N15" s="194" t="inlineStr">
        <is>
          <t>Любое</t>
        </is>
      </c>
      <c r="O15" s="209" t="inlineStr">
        <is>
          <t>Материал корпуса — Сталь 25Л;                        Материал клина - Нержавеющая сталь;         Уплотнение - Металл по металлу.</t>
        </is>
      </c>
      <c r="P15" s="209" t="inlineStr">
        <is>
          <t>Габариты ДхШхВ, мм: 500х460х1375       Строительная длина: L 500 мм; Высота 1145 мм</t>
        </is>
      </c>
      <c r="Q15" s="207" t="n"/>
      <c r="R15" s="198">
        <f>A15</f>
        <v/>
      </c>
      <c r="S15" s="205" t="n"/>
      <c r="T15" s="205" t="n"/>
      <c r="U15" s="205" t="n"/>
      <c r="V15" s="205" t="n"/>
      <c r="W15" s="205" t="n"/>
      <c r="X15" s="205" t="n"/>
      <c r="Y15" s="205" t="n"/>
      <c r="Z15" s="205" t="n"/>
      <c r="AA15" s="205" t="n"/>
      <c r="AB15" s="205" t="n"/>
      <c r="AC15" s="205" t="n"/>
      <c r="AD15" s="205" t="n"/>
      <c r="AE15" s="205" t="n"/>
      <c r="AF15" s="205" t="n"/>
      <c r="AG15" s="205" t="n"/>
      <c r="AH15" s="206" t="n"/>
      <c r="AI15" s="202" t="n"/>
    </row>
    <row r="16" ht="178.5" customFormat="1" customHeight="1" s="171">
      <c r="A16" s="192" t="n">
        <v>11</v>
      </c>
      <c r="B16" s="193" t="inlineStr">
        <is>
          <t>Задвижка 30С576НЖ Ду 300 Ру 63 с редуктором РК-Г-1М, в комплекте с крепежом и ответными фланцами.</t>
        </is>
      </c>
      <c r="C16" s="213" t="inlineStr">
        <is>
          <t>ГОСТ 9544-2015</t>
        </is>
      </c>
      <c r="D16" s="203" t="n">
        <v>300</v>
      </c>
      <c r="E16" s="203" t="inlineStr">
        <is>
          <t xml:space="preserve">стандарт </t>
        </is>
      </c>
      <c r="F16" s="203" t="n">
        <v>6.3</v>
      </c>
      <c r="G16" s="210" t="inlineStr">
        <is>
          <t>до +425</t>
        </is>
      </c>
      <c r="H16" s="213" t="inlineStr">
        <is>
          <t>жидкие и газообразные углеводороды, нефть, нефтепродукты, природный газ, газоконденсат, вода, пар, а так же другие агрессивные жидкости и газы, неагрессивные к примененным в задвижке клиновой материалам</t>
        </is>
      </c>
      <c r="I16" s="203" t="inlineStr">
        <is>
          <t>Сталь 25Л</t>
        </is>
      </c>
      <c r="J16" s="194" t="inlineStr">
        <is>
          <t>У1</t>
        </is>
      </c>
      <c r="K16" s="203" t="inlineStr">
        <is>
          <t xml:space="preserve">фланец -фланец под приварку </t>
        </is>
      </c>
      <c r="L16" s="203" t="inlineStr">
        <is>
          <t>редуктор РК-Г1</t>
        </is>
      </c>
      <c r="M16" s="203" t="inlineStr">
        <is>
          <t>РК-Г-1</t>
        </is>
      </c>
      <c r="N16" s="203" t="inlineStr">
        <is>
          <t>любое</t>
        </is>
      </c>
      <c r="O16" s="203" t="inlineStr">
        <is>
          <t xml:space="preserve">    Корпус: сталь 25Л    Крышка: сталь 25Л Клин: сталь 25Л  Шпиндель: сталь 20Х13     Гайка шпинделя: латунь ЛС59    Гайка: сталь 45     Шпилька, болт: сталь 35ХМ     . Болт откидной: сталь 35ХМ      Прокладка: спирально-навитая     • 10. Набивка сальника: ТРГ     • 11. Редуктор: редуктор конический или цилиндрический     • 12. Подшипник: по ГОСТ 7872-89     • 13. Наплавка на кольце в корпусе: сталь 07Х25Н13   Наплавка на клине: сталь 13Х25Т</t>
        </is>
      </c>
      <c r="P16" s="203" t="n"/>
      <c r="Q16" s="203" t="n"/>
      <c r="R16" s="198">
        <f>A16</f>
        <v/>
      </c>
      <c r="S16" s="205" t="n"/>
      <c r="T16" s="205" t="n"/>
      <c r="U16" s="205" t="n"/>
      <c r="V16" s="205" t="n"/>
      <c r="W16" s="205" t="n"/>
      <c r="X16" s="205" t="n"/>
      <c r="Y16" s="205" t="n"/>
      <c r="Z16" s="205" t="n"/>
      <c r="AA16" s="205" t="n"/>
      <c r="AB16" s="205" t="n"/>
      <c r="AC16" s="205" t="n"/>
      <c r="AD16" s="205" t="n"/>
      <c r="AE16" s="205" t="n"/>
      <c r="AF16" s="205" t="n"/>
      <c r="AG16" s="205" t="n"/>
      <c r="AH16" s="206" t="n"/>
      <c r="AI16" s="202" t="n"/>
    </row>
    <row r="17" ht="153" customFormat="1" customHeight="1" s="171">
      <c r="A17" s="192" t="n">
        <v>12</v>
      </c>
      <c r="B17" s="193" t="inlineStr">
        <is>
          <t>Задвижка клиновая фланцевая 30с941нж Ду 500 Ру 16 с КОФ под электропривод Bernard ST-30</t>
        </is>
      </c>
      <c r="C17" s="195" t="inlineStr">
        <is>
          <t>ТУ 28.14.11-001-27709620-2022ТУ 28.14.11-001-27709620-2022</t>
        </is>
      </c>
      <c r="D17" s="194" t="n">
        <v>500</v>
      </c>
      <c r="E17" s="194" t="inlineStr">
        <is>
          <t>стандарт</t>
        </is>
      </c>
      <c r="F17" s="194" t="inlineStr">
        <is>
          <t>1,6 МПа</t>
        </is>
      </c>
      <c r="G17" s="210" t="inlineStr">
        <is>
          <t>до +425</t>
        </is>
      </c>
      <c r="H17" s="195" t="inlineStr">
        <is>
          <t>вода / пар/ газы</t>
        </is>
      </c>
      <c r="I17" s="194" t="inlineStr">
        <is>
          <t>сталь 25Л</t>
        </is>
      </c>
      <c r="J17" s="194" t="inlineStr">
        <is>
          <t>У1</t>
        </is>
      </c>
      <c r="K17" s="194" t="inlineStr">
        <is>
          <t xml:space="preserve">фланец-фланец </t>
        </is>
      </c>
      <c r="L17" s="194" t="inlineStr">
        <is>
          <t>под электропривод</t>
        </is>
      </c>
      <c r="M17" s="194" t="inlineStr">
        <is>
          <t>Bernard ST-30</t>
        </is>
      </c>
      <c r="N17" s="194" t="inlineStr">
        <is>
          <t>Любое</t>
        </is>
      </c>
      <c r="O17" s="196"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7" s="194" t="inlineStr">
        <is>
          <t xml:space="preserve">700 * 1545 </t>
        </is>
      </c>
      <c r="Q17" s="197" t="inlineStr">
        <is>
          <t>Тип присоединения электропривода» — «F16»</t>
        </is>
      </c>
      <c r="R17" s="198">
        <f>A17</f>
        <v/>
      </c>
      <c r="S17" s="205" t="n"/>
      <c r="T17" s="205" t="n"/>
      <c r="U17" s="205" t="n"/>
      <c r="V17" s="205" t="n"/>
      <c r="W17" s="205" t="n"/>
      <c r="X17" s="205" t="n"/>
      <c r="Y17" s="205" t="n"/>
      <c r="Z17" s="205" t="n"/>
      <c r="AA17" s="205" t="n"/>
      <c r="AB17" s="205" t="n"/>
      <c r="AC17" s="205" t="n"/>
      <c r="AD17" s="205" t="n"/>
      <c r="AE17" s="205" t="n"/>
      <c r="AF17" s="205" t="n"/>
      <c r="AG17" s="205" t="n"/>
      <c r="AH17" s="206" t="n"/>
      <c r="AI17" s="202" t="n"/>
    </row>
    <row r="18" ht="60" customFormat="1" customHeight="1" s="171">
      <c r="A18" s="192" t="n">
        <v>13</v>
      </c>
      <c r="B18" s="193" t="inlineStr">
        <is>
          <t>Задвижка 30с964нж Ду 300 Ру 25</t>
        </is>
      </c>
      <c r="C18" s="214" t="inlineStr">
        <is>
          <t>ТУ 3740-002-30995032-2014</t>
        </is>
      </c>
      <c r="D18" s="204" t="n">
        <v>300</v>
      </c>
      <c r="E18" s="207" t="inlineStr">
        <is>
          <t>стандарт</t>
        </is>
      </c>
      <c r="F18" s="204" t="n">
        <v>2.5</v>
      </c>
      <c r="G18" s="207" t="inlineStr">
        <is>
          <t>от −40°С до + 425°С</t>
        </is>
      </c>
      <c r="H18" s="214" t="inlineStr">
        <is>
          <t>вода, пар</t>
        </is>
      </c>
      <c r="I18" s="203" t="inlineStr">
        <is>
          <t>Сталь 25Л</t>
        </is>
      </c>
      <c r="J18" s="194" t="inlineStr">
        <is>
          <t>У1</t>
        </is>
      </c>
      <c r="K18" s="204" t="inlineStr">
        <is>
          <t>Под приварку</t>
        </is>
      </c>
      <c r="L18" s="204" t="inlineStr">
        <is>
          <t>Под привод, ручное</t>
        </is>
      </c>
      <c r="M18" s="204" t="inlineStr">
        <is>
          <t>Фланец тип В (ЦКБА 062-2009)</t>
        </is>
      </c>
      <c r="N18" s="204" t="inlineStr">
        <is>
          <t>Любое, кроме положения электроприводом вниз</t>
        </is>
      </c>
      <c r="O18" s="204" t="inlineStr">
        <is>
          <t>Крышка — 25Л; клин — 25Л; шпиндель — 20Х13; набивка сальниковая (сальник) — ТРГ</t>
        </is>
      </c>
      <c r="P18" s="204" t="inlineStr">
        <is>
          <t>-</t>
        </is>
      </c>
      <c r="Q18" s="204" t="inlineStr">
        <is>
          <t>Класс герметичности по ГОСТ 9544-2015 «А» Под электропривод Н-В-02 У2, фланец тип В (ЦКБА 062-2009)</t>
        </is>
      </c>
      <c r="R18" s="198">
        <f>A18</f>
        <v/>
      </c>
      <c r="S18" s="205" t="n"/>
      <c r="T18" s="205" t="n"/>
      <c r="U18" s="205" t="n"/>
      <c r="V18" s="205" t="n"/>
      <c r="W18" s="205" t="n"/>
      <c r="X18" s="205" t="n"/>
      <c r="Y18" s="205" t="n"/>
      <c r="Z18" s="205" t="n"/>
      <c r="AA18" s="205" t="n"/>
      <c r="AB18" s="205" t="n"/>
      <c r="AC18" s="205" t="n"/>
      <c r="AD18" s="205" t="n"/>
      <c r="AE18" s="205" t="n"/>
      <c r="AF18" s="205" t="n"/>
      <c r="AG18" s="205" t="n"/>
      <c r="AH18" s="206" t="n"/>
      <c r="AI18" s="202" t="n"/>
    </row>
    <row r="19" ht="90" customFormat="1" customHeight="1" s="171">
      <c r="A19" s="192" t="n">
        <v>14</v>
      </c>
      <c r="B19" s="193" t="inlineStr">
        <is>
          <t>Кран шаровой 11б27п1 Ду 15 Ру 16</t>
        </is>
      </c>
      <c r="C19" s="197" t="inlineStr">
        <is>
          <t xml:space="preserve">ГОСТ 9544-2015 ГОСТ 28343 ГОСТ 21345 </t>
        </is>
      </c>
      <c r="D19" s="197" t="n">
        <v>15</v>
      </c>
      <c r="E19" s="197" t="inlineStr">
        <is>
          <t>полный</t>
        </is>
      </c>
      <c r="F19" s="197" t="n">
        <v>1.6</v>
      </c>
      <c r="G19" s="197" t="inlineStr">
        <is>
          <t>От -10 до +90 °С</t>
        </is>
      </c>
      <c r="H19" s="197" t="inlineStr">
        <is>
          <t>вода</t>
        </is>
      </c>
      <c r="I19" s="197" t="inlineStr">
        <is>
          <t>латунь HPb58-2A</t>
        </is>
      </c>
      <c r="J19" s="197" t="inlineStr">
        <is>
          <t>У1</t>
        </is>
      </c>
      <c r="K19" s="197" t="inlineStr">
        <is>
          <t>Муфта-муфта ВР-ВР</t>
        </is>
      </c>
      <c r="L19" s="197" t="inlineStr">
        <is>
          <t xml:space="preserve">Ручное </t>
        </is>
      </c>
      <c r="M19" s="197" t="inlineStr">
        <is>
          <t>рукоятка</t>
        </is>
      </c>
      <c r="N19" s="197" t="inlineStr">
        <is>
          <t>любое</t>
        </is>
      </c>
      <c r="O19"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9" s="197" t="n"/>
      <c r="Q19" s="197" t="inlineStr">
        <is>
          <t xml:space="preserve"> (класс гермитичности "А" по ГОСТ 9544-2015).  </t>
        </is>
      </c>
      <c r="R19" s="198">
        <f>A19</f>
        <v/>
      </c>
      <c r="S19" s="205" t="n"/>
      <c r="T19" s="205" t="n"/>
      <c r="U19" s="205" t="n"/>
      <c r="V19" s="205" t="n"/>
      <c r="W19" s="205" t="n"/>
      <c r="X19" s="205" t="n"/>
      <c r="Y19" s="205" t="n"/>
      <c r="Z19" s="205" t="n"/>
      <c r="AA19" s="205" t="n"/>
      <c r="AB19" s="205" t="n"/>
      <c r="AC19" s="205" t="n"/>
      <c r="AD19" s="205" t="n"/>
      <c r="AE19" s="205" t="n"/>
      <c r="AF19" s="205" t="n"/>
      <c r="AG19" s="205" t="n"/>
      <c r="AH19" s="206" t="n"/>
      <c r="AI19" s="202" t="n"/>
    </row>
    <row r="20" ht="90" customFormat="1" customHeight="1" s="171">
      <c r="A20" s="192" t="n">
        <v>15</v>
      </c>
      <c r="B20" s="193" t="inlineStr">
        <is>
          <t>Кран шаровой 11б27п1 Ду 20 Ру 16</t>
        </is>
      </c>
      <c r="C20" s="197" t="inlineStr">
        <is>
          <t xml:space="preserve">ГОСТ 9544-2015 ГОСТ 28343 ГОСТ 21345 </t>
        </is>
      </c>
      <c r="D20" s="197" t="n">
        <v>20</v>
      </c>
      <c r="E20" s="197" t="inlineStr">
        <is>
          <t>полный</t>
        </is>
      </c>
      <c r="F20" s="197" t="n">
        <v>1.6</v>
      </c>
      <c r="G20" s="197" t="inlineStr">
        <is>
          <t>От -10 до +90 °С</t>
        </is>
      </c>
      <c r="H20" s="197" t="inlineStr">
        <is>
          <t>вода</t>
        </is>
      </c>
      <c r="I20" s="197" t="inlineStr">
        <is>
          <t>латунь HPb58-2A</t>
        </is>
      </c>
      <c r="J20" s="197" t="inlineStr">
        <is>
          <t>У1</t>
        </is>
      </c>
      <c r="K20" s="197" t="inlineStr">
        <is>
          <t>Муфта-муфта ВР-ВР</t>
        </is>
      </c>
      <c r="L20" s="197" t="inlineStr">
        <is>
          <t xml:space="preserve">Ручное </t>
        </is>
      </c>
      <c r="M20" s="197" t="inlineStr">
        <is>
          <t>рукоятка</t>
        </is>
      </c>
      <c r="N20" s="197" t="inlineStr">
        <is>
          <t>любое</t>
        </is>
      </c>
      <c r="O20"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 s="197" t="n"/>
      <c r="Q20" s="197" t="inlineStr">
        <is>
          <t xml:space="preserve"> (класс гермитичности "А" по ГОСТ 9544-2015).</t>
        </is>
      </c>
      <c r="R20" s="198">
        <f>A20</f>
        <v/>
      </c>
      <c r="S20" s="205" t="n"/>
      <c r="T20" s="205" t="n"/>
      <c r="U20" s="205" t="n"/>
      <c r="V20" s="205" t="n"/>
      <c r="W20" s="205" t="n"/>
      <c r="X20" s="205" t="n"/>
      <c r="Y20" s="205" t="n"/>
      <c r="Z20" s="205" t="n"/>
      <c r="AA20" s="205" t="n"/>
      <c r="AB20" s="205" t="n"/>
      <c r="AC20" s="205" t="n"/>
      <c r="AD20" s="205" t="n"/>
      <c r="AE20" s="205" t="n"/>
      <c r="AF20" s="205" t="n"/>
      <c r="AG20" s="205" t="n"/>
      <c r="AH20" s="206" t="n"/>
      <c r="AI20" s="202" t="n"/>
    </row>
    <row r="21" ht="90" customFormat="1" customHeight="1" s="171">
      <c r="A21" s="192" t="n">
        <v>16</v>
      </c>
      <c r="B21" s="193" t="inlineStr">
        <is>
          <t>Кран шаровой 11б27п1 Ду 25 Ру 16</t>
        </is>
      </c>
      <c r="C21" s="197" t="inlineStr">
        <is>
          <t xml:space="preserve">ГОСТ 9544-2015 ГОСТ 28343 ГОСТ 21345 </t>
        </is>
      </c>
      <c r="D21" s="197" t="n">
        <v>25</v>
      </c>
      <c r="E21" s="197" t="inlineStr">
        <is>
          <t>полный</t>
        </is>
      </c>
      <c r="F21" s="197" t="n">
        <v>1.6</v>
      </c>
      <c r="G21" s="197" t="inlineStr">
        <is>
          <t>От -10 до +90 °С</t>
        </is>
      </c>
      <c r="H21" s="197" t="inlineStr">
        <is>
          <t>вода</t>
        </is>
      </c>
      <c r="I21" s="197" t="inlineStr">
        <is>
          <t>латунь HPb58-2A</t>
        </is>
      </c>
      <c r="J21" s="197" t="inlineStr">
        <is>
          <t>У1</t>
        </is>
      </c>
      <c r="K21" s="197" t="inlineStr">
        <is>
          <t>Муфта-муфта ВР-ВР</t>
        </is>
      </c>
      <c r="L21" s="197" t="inlineStr">
        <is>
          <t xml:space="preserve">Ручное </t>
        </is>
      </c>
      <c r="M21" s="197" t="inlineStr">
        <is>
          <t>рукоятка</t>
        </is>
      </c>
      <c r="N21" s="197" t="inlineStr">
        <is>
          <t>любое</t>
        </is>
      </c>
      <c r="O21"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 s="210" t="n"/>
      <c r="Q21" s="210" t="n"/>
      <c r="R21" s="198">
        <f>A21</f>
        <v/>
      </c>
      <c r="S21" s="205" t="n"/>
      <c r="T21" s="205" t="n"/>
      <c r="U21" s="205" t="n"/>
      <c r="V21" s="205" t="n"/>
      <c r="W21" s="205" t="n"/>
      <c r="X21" s="205" t="n"/>
      <c r="Y21" s="205" t="n"/>
      <c r="Z21" s="205" t="n"/>
      <c r="AA21" s="205" t="n"/>
      <c r="AB21" s="205" t="n"/>
      <c r="AC21" s="205" t="n"/>
      <c r="AD21" s="205" t="n"/>
      <c r="AE21" s="205" t="n"/>
      <c r="AF21" s="205" t="n"/>
      <c r="AG21" s="205" t="n"/>
      <c r="AH21" s="206" t="n"/>
      <c r="AI21" s="202" t="n"/>
    </row>
    <row r="22" ht="90" customFormat="1" customHeight="1" s="171">
      <c r="A22" s="192" t="n">
        <v>17</v>
      </c>
      <c r="B22" s="193" t="inlineStr">
        <is>
          <t>Кран шаровой 11б27п1 Ду 32 Ру 16</t>
        </is>
      </c>
      <c r="C22" s="197" t="inlineStr">
        <is>
          <t xml:space="preserve">ГОСТ 9544-2015 ГОСТ 28343 ГОСТ 21345 </t>
        </is>
      </c>
      <c r="D22" s="197" t="n">
        <v>32</v>
      </c>
      <c r="E22" s="197" t="inlineStr">
        <is>
          <t>полный</t>
        </is>
      </c>
      <c r="F22" s="197" t="n">
        <v>1.6</v>
      </c>
      <c r="G22" s="197" t="inlineStr">
        <is>
          <t>От -10 до +90 °С</t>
        </is>
      </c>
      <c r="H22" s="197" t="inlineStr">
        <is>
          <t>вода</t>
        </is>
      </c>
      <c r="I22" s="197" t="inlineStr">
        <is>
          <t>латунь HPb58-2A</t>
        </is>
      </c>
      <c r="J22" s="197" t="inlineStr">
        <is>
          <t>У1</t>
        </is>
      </c>
      <c r="K22" s="197" t="inlineStr">
        <is>
          <t>Муфта-муфта ВР-ВР</t>
        </is>
      </c>
      <c r="L22" s="197" t="inlineStr">
        <is>
          <t xml:space="preserve">Ручное </t>
        </is>
      </c>
      <c r="M22" s="197" t="inlineStr">
        <is>
          <t>рукоятка</t>
        </is>
      </c>
      <c r="N22" s="197" t="inlineStr">
        <is>
          <t>любое</t>
        </is>
      </c>
      <c r="O22"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2" s="197" t="n"/>
      <c r="Q22" s="207" t="inlineStr">
        <is>
          <t xml:space="preserve">(класс гермитичности "А" по ГОСТ 9544-2015). </t>
        </is>
      </c>
      <c r="R22" s="198">
        <f>A22</f>
        <v/>
      </c>
      <c r="S22" s="205" t="n"/>
      <c r="T22" s="205" t="n"/>
      <c r="U22" s="205" t="n"/>
      <c r="V22" s="205" t="n"/>
      <c r="W22" s="205" t="n"/>
      <c r="X22" s="205" t="n"/>
      <c r="Y22" s="205" t="n"/>
      <c r="Z22" s="205" t="n"/>
      <c r="AA22" s="205" t="n"/>
      <c r="AB22" s="205" t="n"/>
      <c r="AC22" s="205" t="n"/>
      <c r="AD22" s="205" t="n"/>
      <c r="AE22" s="205" t="n"/>
      <c r="AF22" s="205" t="n"/>
      <c r="AG22" s="205" t="n"/>
      <c r="AH22" s="206" t="n"/>
      <c r="AI22" s="202" t="n"/>
    </row>
    <row r="23" ht="90" customFormat="1" customHeight="1" s="171">
      <c r="A23" s="192" t="n">
        <v>18</v>
      </c>
      <c r="B23" s="193" t="inlineStr">
        <is>
          <t>Кран шаровой 11б27п1 Ду 40 Ру 16</t>
        </is>
      </c>
      <c r="C23" s="197" t="inlineStr">
        <is>
          <t xml:space="preserve">ГОСТ 9544-2015 ГОСТ 28343 ГОСТ 21345 </t>
        </is>
      </c>
      <c r="D23" s="197" t="n">
        <v>40</v>
      </c>
      <c r="E23" s="197" t="inlineStr">
        <is>
          <t>полный</t>
        </is>
      </c>
      <c r="F23" s="197" t="n">
        <v>1.6</v>
      </c>
      <c r="G23" s="197" t="inlineStr">
        <is>
          <t>От -10 до +90 °С</t>
        </is>
      </c>
      <c r="H23" s="197" t="inlineStr">
        <is>
          <t>вода</t>
        </is>
      </c>
      <c r="I23" s="197" t="inlineStr">
        <is>
          <t>латунь HPb58-2A</t>
        </is>
      </c>
      <c r="J23" s="197" t="inlineStr">
        <is>
          <t>У1</t>
        </is>
      </c>
      <c r="K23" s="197" t="inlineStr">
        <is>
          <t>Муфта-муфта ВР-ВР</t>
        </is>
      </c>
      <c r="L23" s="197" t="inlineStr">
        <is>
          <t xml:space="preserve">Ручное </t>
        </is>
      </c>
      <c r="M23" s="197" t="inlineStr">
        <is>
          <t>рукоятка</t>
        </is>
      </c>
      <c r="N23" s="197" t="inlineStr">
        <is>
          <t>любое</t>
        </is>
      </c>
      <c r="O23"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3" s="207" t="n"/>
      <c r="Q23" s="210" t="n"/>
      <c r="R23" s="198">
        <f>A23</f>
        <v/>
      </c>
      <c r="S23" s="205" t="n"/>
      <c r="T23" s="205" t="n"/>
      <c r="U23" s="205" t="n"/>
      <c r="V23" s="205" t="n"/>
      <c r="W23" s="205" t="n"/>
      <c r="X23" s="205" t="n"/>
      <c r="Y23" s="205" t="n"/>
      <c r="Z23" s="205" t="n"/>
      <c r="AA23" s="205" t="n"/>
      <c r="AB23" s="205" t="n"/>
      <c r="AC23" s="205" t="n"/>
      <c r="AD23" s="205" t="n"/>
      <c r="AE23" s="205" t="n"/>
      <c r="AF23" s="205" t="n"/>
      <c r="AG23" s="205" t="n"/>
      <c r="AH23" s="206" t="n"/>
      <c r="AI23" s="202" t="n"/>
    </row>
    <row r="24" ht="90" customFormat="1" customHeight="1" s="171">
      <c r="A24" s="192" t="n">
        <v>19</v>
      </c>
      <c r="B24" s="193" t="inlineStr">
        <is>
          <t>Кран шаровой 11б27п1 Ду 50 Ру 16</t>
        </is>
      </c>
      <c r="C24" s="197" t="inlineStr">
        <is>
          <t xml:space="preserve">ГОСТ 9544-2015 ГОСТ 28343 ГОСТ 21345 </t>
        </is>
      </c>
      <c r="D24" s="197" t="n">
        <v>50</v>
      </c>
      <c r="E24" s="197" t="inlineStr">
        <is>
          <t>полный</t>
        </is>
      </c>
      <c r="F24" s="197" t="n">
        <v>1.6</v>
      </c>
      <c r="G24" s="197" t="inlineStr">
        <is>
          <t>От -10 до +90 °С</t>
        </is>
      </c>
      <c r="H24" s="197" t="inlineStr">
        <is>
          <t>вода</t>
        </is>
      </c>
      <c r="I24" s="197" t="inlineStr">
        <is>
          <t>латунь HPb58-2A</t>
        </is>
      </c>
      <c r="J24" s="197" t="inlineStr">
        <is>
          <t>У1</t>
        </is>
      </c>
      <c r="K24" s="197" t="inlineStr">
        <is>
          <t>Муфта-муфта ВР-ВР</t>
        </is>
      </c>
      <c r="L24" s="197" t="inlineStr">
        <is>
          <t xml:space="preserve">Ручное </t>
        </is>
      </c>
      <c r="M24" s="197" t="inlineStr">
        <is>
          <t>рукоятка</t>
        </is>
      </c>
      <c r="N24" s="197" t="inlineStr">
        <is>
          <t>любое</t>
        </is>
      </c>
      <c r="O24"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4" s="215" t="inlineStr">
        <is>
          <t>размер b (толщина) согласно ГОСТ 33259-2015: b = 22 мм</t>
        </is>
      </c>
      <c r="Q24" s="197" t="n"/>
      <c r="R24" s="198">
        <f>A24</f>
        <v/>
      </c>
      <c r="S24" s="205" t="n"/>
      <c r="T24" s="205" t="n"/>
      <c r="U24" s="205" t="n"/>
      <c r="V24" s="205" t="n"/>
      <c r="W24" s="205" t="n"/>
      <c r="X24" s="205" t="n"/>
      <c r="Y24" s="205" t="n"/>
      <c r="Z24" s="205" t="n"/>
      <c r="AA24" s="205" t="n"/>
      <c r="AB24" s="205" t="n"/>
      <c r="AC24" s="205" t="n"/>
      <c r="AD24" s="205" t="n"/>
      <c r="AE24" s="205" t="n"/>
      <c r="AF24" s="205" t="n"/>
      <c r="AG24" s="205" t="n"/>
      <c r="AH24" s="206" t="n"/>
      <c r="AI24" s="202" t="n"/>
    </row>
    <row r="25" ht="60" customFormat="1" customHeight="1" s="171">
      <c r="A25" s="192" t="n">
        <v>20</v>
      </c>
      <c r="B25" s="193" t="inlineStr">
        <is>
          <t>Кран шаровой 11с67п Ду 150 Ру 25 цельносварной под приварку</t>
        </is>
      </c>
      <c r="C25" s="197" t="inlineStr">
        <is>
          <t xml:space="preserve">ГОСТ 9544-2015 ГОСТ 28343 ГОСТ 21345 </t>
        </is>
      </c>
      <c r="D25" s="203" t="n">
        <v>150</v>
      </c>
      <c r="E25" s="203" t="inlineStr">
        <is>
          <t>Полнопроходной</t>
        </is>
      </c>
      <c r="F25" s="203" t="n">
        <v>2.5</v>
      </c>
      <c r="G25" s="204" t="inlineStr">
        <is>
          <t>от -400С до +2000С</t>
        </is>
      </c>
      <c r="H25" s="203" t="inlineStr">
        <is>
          <t>вода, пар, ГСМ</t>
        </is>
      </c>
      <c r="I25" s="203" t="inlineStr">
        <is>
          <t>Сталь 20</t>
        </is>
      </c>
      <c r="J25" s="203" t="inlineStr">
        <is>
          <t>У1</t>
        </is>
      </c>
      <c r="K25" s="203" t="inlineStr">
        <is>
          <t>Под приварку</t>
        </is>
      </c>
      <c r="L25" s="203" t="inlineStr">
        <is>
          <t xml:space="preserve">Ручное </t>
        </is>
      </c>
      <c r="M25" s="203" t="inlineStr">
        <is>
          <t>Рычаг</t>
        </is>
      </c>
      <c r="N25" s="203" t="inlineStr">
        <is>
          <t>любое</t>
        </is>
      </c>
      <c r="O25" s="203" t="inlineStr">
        <is>
          <t>Шар — 12Х18Н10Т; шпиндель — 20X13; уплотнение шпинделя , кольцо, седло — фторопласт Ф4ГЗК6, кольцо уплотнительное — резина РТС-002мчп</t>
        </is>
      </c>
      <c r="P25" s="203" t="inlineStr">
        <is>
          <t>-</t>
        </is>
      </c>
      <c r="Q25" s="203" t="inlineStr">
        <is>
          <t>Класс герметичности по ГОСТ 9544-2015 «А»</t>
        </is>
      </c>
      <c r="R25" s="198">
        <f>A25</f>
        <v/>
      </c>
      <c r="S25" s="205" t="n"/>
      <c r="T25" s="205" t="n"/>
      <c r="U25" s="205" t="n"/>
      <c r="V25" s="205" t="n"/>
      <c r="W25" s="205" t="n"/>
      <c r="X25" s="205" t="n"/>
      <c r="Y25" s="205" t="n"/>
      <c r="Z25" s="205" t="n"/>
      <c r="AA25" s="205" t="n"/>
      <c r="AB25" s="205" t="n"/>
      <c r="AC25" s="205" t="n"/>
      <c r="AD25" s="205" t="n"/>
      <c r="AE25" s="205" t="n"/>
      <c r="AF25" s="205" t="n"/>
      <c r="AG25" s="205" t="n"/>
      <c r="AH25" s="206" t="n"/>
      <c r="AI25" s="202" t="n"/>
    </row>
    <row r="26" ht="76.5" customFormat="1" customHeight="1" s="171">
      <c r="A26" s="192" t="n">
        <v>21</v>
      </c>
      <c r="B26" s="193" t="inlineStr">
        <is>
          <t>Кран шаровой 11с67п Ду 200 Ру 16 ЦУФ.001 КШ укороченный полнопроходной фланцевый с рукояткой</t>
        </is>
      </c>
      <c r="C26" s="197" t="inlineStr">
        <is>
          <t xml:space="preserve">ГОСТ 9544-2015 ГОСТ 28343 ГОСТ 21345 </t>
        </is>
      </c>
      <c r="D26" s="216" t="n">
        <v>200</v>
      </c>
      <c r="E26" s="216" t="inlineStr">
        <is>
          <t>полнопроходной</t>
        </is>
      </c>
      <c r="F26" s="216" t="n">
        <v>1.6</v>
      </c>
      <c r="G26" s="216" t="inlineStr">
        <is>
          <t>от –40°С до +200°С</t>
        </is>
      </c>
      <c r="H26" s="216" t="inlineStr">
        <is>
          <t>Вода, газ, нефтепродукты и другие нетоксичные и неагрессивные среды</t>
        </is>
      </c>
      <c r="I26" s="216" t="inlineStr">
        <is>
          <t>Сталь 20</t>
        </is>
      </c>
      <c r="J26" s="216" t="inlineStr">
        <is>
          <t>У1</t>
        </is>
      </c>
      <c r="K26" s="216" t="inlineStr">
        <is>
          <t>Фланец-фланец тип В по ГОСТ 33259</t>
        </is>
      </c>
      <c r="L26" s="216" t="inlineStr">
        <is>
          <t xml:space="preserve">Ручное </t>
        </is>
      </c>
      <c r="M26" s="216" t="inlineStr">
        <is>
          <t>Рычаг</t>
        </is>
      </c>
      <c r="N26" s="216" t="inlineStr">
        <is>
          <t>любое</t>
        </is>
      </c>
      <c r="O26" s="216" t="inlineStr">
        <is>
          <t>Корпус сталь 20, Шар
сталь 08Х13 (AISI 409)
сталь 08Х18Н10 (AISI 304), Кольцо уплотнительное фторопласт Ф4К20</t>
        </is>
      </c>
      <c r="P26" s="216" t="inlineStr">
        <is>
          <t>_</t>
        </is>
      </c>
      <c r="Q26" s="197" t="n"/>
      <c r="R26" s="198">
        <f>A26</f>
        <v/>
      </c>
      <c r="S26" s="205" t="n"/>
      <c r="T26" s="205" t="n"/>
      <c r="U26" s="205" t="n"/>
      <c r="V26" s="205" t="n"/>
      <c r="W26" s="205" t="n"/>
      <c r="X26" s="205" t="n"/>
      <c r="Y26" s="205" t="n"/>
      <c r="Z26" s="205" t="n"/>
      <c r="AA26" s="205" t="n"/>
      <c r="AB26" s="205" t="n"/>
      <c r="AC26" s="205" t="n"/>
      <c r="AD26" s="205" t="n"/>
      <c r="AE26" s="205" t="n"/>
      <c r="AF26" s="205" t="n"/>
      <c r="AG26" s="205" t="n"/>
      <c r="AH26" s="206" t="n"/>
      <c r="AI26" s="202" t="n"/>
    </row>
    <row r="27" ht="89.25" customFormat="1" customHeight="1" s="171">
      <c r="A27" s="192" t="n">
        <v>22</v>
      </c>
      <c r="B27" s="193" t="inlineStr">
        <is>
          <t>Затвор дисковый поворотный межфланцевый Stensel 31070-01 Ду 200 Ру 25</t>
        </is>
      </c>
      <c r="C27" s="194" t="inlineStr">
        <is>
          <t>нет</t>
        </is>
      </c>
      <c r="D27" s="194" t="n">
        <v>200</v>
      </c>
      <c r="E27" s="194" t="inlineStr">
        <is>
          <t>стандарт</t>
        </is>
      </c>
      <c r="F27" s="194" t="n">
        <v>2.5</v>
      </c>
      <c r="G27" s="194" t="inlineStr">
        <is>
          <t xml:space="preserve">0т -40°С до 300°С  </t>
        </is>
      </c>
      <c r="H27" s="209" t="inlineStr">
        <is>
          <t>Вода, воздух, пар, природный газ и газообразные углеводороды, нефть, нефтепродукты, кислоты, щелочи,</t>
        </is>
      </c>
      <c r="I27" s="209" t="inlineStr">
        <is>
          <t>Корпус - нержавеющая сталь</t>
        </is>
      </c>
      <c r="J27" s="194" t="inlineStr">
        <is>
          <t>УХЛ1</t>
        </is>
      </c>
      <c r="K27" s="194" t="inlineStr">
        <is>
          <t>межфланцевое по ГОСТ 33259-2015</t>
        </is>
      </c>
      <c r="L27" s="194" t="inlineStr">
        <is>
          <t>Верхний фланец выполнен по стандарту ISO 5211. под эл.привод</t>
        </is>
      </c>
      <c r="M27" s="194" t="inlineStr">
        <is>
          <t>под Эл. привод AUMA SQ 10.2-F10, t: 8s/90°, М закр. 200-450 Nm, M откр. 200-450 Nm</t>
        </is>
      </c>
      <c r="N27" s="194" t="inlineStr">
        <is>
          <t>любое</t>
        </is>
      </c>
      <c r="O27" s="217" t="inlineStr">
        <is>
          <t xml:space="preserve">Затвор полностью из нержавеющей стали, в том числе и седло, Уплотнение цельнометаллическое, металл по металлу, без применения графита.                                                                          </t>
        </is>
      </c>
      <c r="P27" s="194" t="inlineStr">
        <is>
          <t>L=71 мм</t>
        </is>
      </c>
      <c r="Q27" s="207" t="n"/>
      <c r="R27" s="198">
        <f>A27</f>
        <v/>
      </c>
      <c r="S27" s="205" t="n"/>
      <c r="T27" s="205" t="n"/>
      <c r="U27" s="205" t="n"/>
      <c r="V27" s="205" t="n"/>
      <c r="W27" s="205" t="n"/>
      <c r="X27" s="205" t="n"/>
      <c r="Y27" s="205" t="n"/>
      <c r="Z27" s="205" t="n"/>
      <c r="AA27" s="205" t="n"/>
      <c r="AB27" s="205" t="n"/>
      <c r="AC27" s="205" t="n"/>
      <c r="AD27" s="205" t="n"/>
      <c r="AE27" s="205" t="n"/>
      <c r="AF27" s="205" t="n"/>
      <c r="AG27" s="205" t="n"/>
      <c r="AH27" s="206" t="n"/>
      <c r="AI27" s="202" t="n"/>
    </row>
    <row r="28" ht="178.5" customFormat="1" customHeight="1" s="171">
      <c r="A28" s="192" t="n">
        <v>23</v>
      </c>
      <c r="B28" s="193" t="inlineStr">
        <is>
          <t>Затвор дисковый поворотный межфланцевый ПА954.450.10-05 Ду 450 Ру 10</t>
        </is>
      </c>
      <c r="C28" s="194" t="inlineStr">
        <is>
          <t>ТУ 3700-001-55604618-2013</t>
        </is>
      </c>
      <c r="D28" s="194" t="n">
        <v>450</v>
      </c>
      <c r="E28" s="194" t="inlineStr">
        <is>
          <t>стандарт</t>
        </is>
      </c>
      <c r="F28" s="194" t="n">
        <v>1</v>
      </c>
      <c r="G28" s="194" t="inlineStr">
        <is>
          <t xml:space="preserve">0т 05°С до 425°С  </t>
        </is>
      </c>
      <c r="H28" s="209" t="inlineStr">
        <is>
          <t>Вода, воздух, пар, природный газ и газообразные углеводороды, нефть, нефтепродукты, коксовый газ, аммиак, кислоты, щелочи, спирты</t>
        </is>
      </c>
      <c r="I28" s="209" t="inlineStr">
        <is>
          <t>Корпус - коррозионностойкая молибденосодержащая сталь, применение в условиях особо агрессивной среды и при низких температурах сталь CF8M</t>
        </is>
      </c>
      <c r="J28" s="194" t="inlineStr">
        <is>
          <t>У</t>
        </is>
      </c>
      <c r="K28" s="194" t="inlineStr">
        <is>
          <t>межфланцевое с гладкими проушинами</t>
        </is>
      </c>
      <c r="L28" s="194" t="inlineStr">
        <is>
          <t>Редуктор DN 450</t>
        </is>
      </c>
      <c r="M28" s="194" t="inlineStr">
        <is>
          <t>Штурвал</t>
        </is>
      </c>
      <c r="N28" s="194" t="inlineStr">
        <is>
          <t>любое</t>
        </is>
      </c>
      <c r="O28" s="209" t="inlineStr">
        <is>
          <t xml:space="preserve">Затворы дисковые с тройным эксцентриситетом. Размеры верхнего фланца под привод — В соответствии со стандартом ISO 5211                               1. Корпус - сталь CF8M ASTM A351
2. Диск — сталь WCB по ASTM A216
3. Уплотнение — нержавеющая сталь + графит
4. Прижимное кольцо - сталь CF8M ASTM A351
5. Шток - сталь CF8M ASTM A351
6. Фланец сальника - сталь SS304
7. Сальниковая набивка — сталь SS304 + graphite
</t>
        </is>
      </c>
      <c r="P28" s="209" t="inlineStr">
        <is>
          <t xml:space="preserve">A - 380мм; B-570мм; L-114мм; D1-565мм; n*d-20×26мм </t>
        </is>
      </c>
      <c r="Q28" s="207" t="n"/>
      <c r="R28" s="198">
        <f>A28</f>
        <v/>
      </c>
      <c r="S28" s="205" t="n"/>
      <c r="T28" s="205" t="n"/>
      <c r="U28" s="205" t="n"/>
      <c r="V28" s="205" t="n"/>
      <c r="W28" s="205" t="n"/>
      <c r="X28" s="205" t="n"/>
      <c r="Y28" s="205" t="n"/>
      <c r="Z28" s="205" t="n"/>
      <c r="AA28" s="205" t="n"/>
      <c r="AB28" s="205" t="n"/>
      <c r="AC28" s="205" t="n"/>
      <c r="AD28" s="205" t="n"/>
      <c r="AE28" s="205" t="n"/>
      <c r="AF28" s="205" t="n"/>
      <c r="AG28" s="205" t="n"/>
      <c r="AH28" s="206" t="n"/>
      <c r="AI28" s="202" t="n"/>
    </row>
    <row r="29" ht="51" customFormat="1" customHeight="1" s="171">
      <c r="A29" s="192" t="n">
        <v>24</v>
      </c>
      <c r="B29" s="193" t="inlineStr">
        <is>
          <t>Электропривод общепромышленный Н-В-02 У2</t>
        </is>
      </c>
      <c r="C29" s="203" t="inlineStr">
        <is>
          <t>ТУ 26-07-015-89</t>
        </is>
      </c>
      <c r="D29" s="203" t="inlineStr">
        <is>
          <t>Под задвижку 30с964нж Ду 300</t>
        </is>
      </c>
      <c r="E29" s="203" t="inlineStr">
        <is>
          <t>-</t>
        </is>
      </c>
      <c r="F29" s="203" t="inlineStr">
        <is>
          <t>-</t>
        </is>
      </c>
      <c r="G29" s="203" t="inlineStr">
        <is>
          <t>-</t>
        </is>
      </c>
      <c r="H29" s="203" t="inlineStr">
        <is>
          <t>-</t>
        </is>
      </c>
      <c r="I29" s="203" t="inlineStr">
        <is>
          <t>-</t>
        </is>
      </c>
      <c r="J29" s="203" t="inlineStr">
        <is>
          <t>У2</t>
        </is>
      </c>
      <c r="K29" s="203" t="inlineStr">
        <is>
          <t>-</t>
        </is>
      </c>
      <c r="L29" s="203" t="inlineStr">
        <is>
          <t>Электропривод Н-В-02 У2</t>
        </is>
      </c>
      <c r="M29" s="203" t="inlineStr">
        <is>
          <t>Крутящий момет 250-630 Нм; частота вращения 24 об/мин; эл.двигатель 3,2 кВт, 1400об/мин</t>
        </is>
      </c>
      <c r="N29" s="203" t="inlineStr">
        <is>
          <t>Любое, кроме положения электроприводом вниз</t>
        </is>
      </c>
      <c r="O29" s="203" t="inlineStr">
        <is>
          <t>-</t>
        </is>
      </c>
      <c r="P29" s="203" t="inlineStr">
        <is>
          <t>-</t>
        </is>
      </c>
      <c r="Q29" s="203" t="inlineStr">
        <is>
          <t>Присоединение к задвижке - фланец тип В (ЦКБА 062-2009)</t>
        </is>
      </c>
      <c r="R29" s="198">
        <f>A29</f>
        <v/>
      </c>
      <c r="S29" s="186" t="n"/>
      <c r="T29" s="186" t="n"/>
      <c r="U29" s="186" t="n"/>
      <c r="V29" s="186" t="n"/>
      <c r="W29" s="186" t="n"/>
      <c r="X29" s="186" t="n"/>
      <c r="Y29" s="186" t="n"/>
      <c r="Z29" s="186" t="n"/>
      <c r="AA29" s="186" t="n"/>
      <c r="AB29" s="186" t="n"/>
      <c r="AC29" s="186" t="n"/>
      <c r="AD29" s="186" t="n"/>
      <c r="AE29" s="186" t="n"/>
      <c r="AF29" s="186" t="n"/>
      <c r="AG29" s="186" t="n"/>
      <c r="AH29" s="218" t="n"/>
      <c r="AI29" s="202" t="n"/>
    </row>
    <row r="30" ht="15" customHeight="1" s="169">
      <c r="A30" s="219" t="inlineStr">
        <is>
          <t>Спецификация №2 Грузополучатель №2 Таблица 1.2 (филиал КТЭЦ) — Ремонт арендованного имущества</t>
        </is>
      </c>
      <c r="B30" s="182" t="n"/>
      <c r="C30" s="182" t="n"/>
      <c r="D30" s="182" t="n"/>
      <c r="E30" s="182" t="n"/>
      <c r="F30" s="182" t="n"/>
      <c r="G30" s="182" t="n"/>
      <c r="H30" s="182" t="n"/>
      <c r="I30" s="182" t="n"/>
      <c r="J30" s="182" t="n"/>
      <c r="K30" s="182" t="n"/>
      <c r="L30" s="182" t="n"/>
      <c r="M30" s="182" t="n"/>
      <c r="N30" s="182" t="n"/>
      <c r="O30" s="182" t="n"/>
      <c r="P30" s="182" t="n"/>
      <c r="Q30" s="183" t="n"/>
      <c r="R30" s="220">
        <f>A30</f>
        <v/>
      </c>
      <c r="S30" s="182" t="n"/>
      <c r="T30" s="182" t="n"/>
      <c r="U30" s="182" t="n"/>
      <c r="V30" s="182" t="n"/>
      <c r="W30" s="182" t="n"/>
      <c r="X30" s="182" t="n"/>
      <c r="Y30" s="182" t="n"/>
      <c r="Z30" s="182" t="n"/>
      <c r="AA30" s="182" t="n"/>
      <c r="AB30" s="182" t="n"/>
      <c r="AC30" s="182" t="n"/>
      <c r="AD30" s="182" t="n"/>
      <c r="AE30" s="182" t="n"/>
      <c r="AF30" s="182" t="n"/>
      <c r="AG30" s="182" t="n"/>
      <c r="AH30" s="182" t="n"/>
      <c r="AI30" s="183" t="n"/>
    </row>
    <row r="31" ht="33.75" customFormat="1" customHeight="1" s="171">
      <c r="A31" s="192" t="n">
        <v>1</v>
      </c>
      <c r="B31" s="193" t="inlineStr">
        <is>
          <t>Кран шаровой 11с67п Ду 32 Ру 25 цельносварной под приварку</t>
        </is>
      </c>
      <c r="C31" s="221" t="inlineStr">
        <is>
          <t>ТУ У 04671406-003-1999; ГОСТ 21345-2005</t>
        </is>
      </c>
      <c r="D31" s="222" t="n">
        <v>32</v>
      </c>
      <c r="E31" s="223" t="inlineStr">
        <is>
          <t>стандарт</t>
        </is>
      </c>
      <c r="F31" s="222" t="n">
        <v>2.5</v>
      </c>
      <c r="G31" s="223" t="inlineStr">
        <is>
          <t>от -30 до +180</t>
        </is>
      </c>
      <c r="H31" s="222" t="inlineStr">
        <is>
          <t>природный газ, вода, нефтепродукты, сжиженный  газ и прочие среды</t>
        </is>
      </c>
      <c r="I31" s="223" t="inlineStr">
        <is>
          <t>сталь 20</t>
        </is>
      </c>
      <c r="J31" s="222" t="inlineStr">
        <is>
          <t>У1</t>
        </is>
      </c>
      <c r="K31" s="223" t="inlineStr">
        <is>
          <t>приварной</t>
        </is>
      </c>
      <c r="L31" s="222" t="inlineStr">
        <is>
          <t>ручной (рукоятка)</t>
        </is>
      </c>
      <c r="M31" s="223" t="inlineStr">
        <is>
          <t>-</t>
        </is>
      </c>
      <c r="N31" s="222" t="inlineStr">
        <is>
          <t>любое</t>
        </is>
      </c>
      <c r="O31"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 s="222" t="inlineStr">
        <is>
          <t>-</t>
        </is>
      </c>
      <c r="Q31" s="222" t="inlineStr">
        <is>
          <t>-</t>
        </is>
      </c>
      <c r="R31" s="198" t="n">
        <v>1</v>
      </c>
      <c r="S31" s="199" t="inlineStr">
        <is>
          <t>LD КШЦП (КШ.Ц.П) ст.20 Ду32 Н/П PN4,0</t>
        </is>
      </c>
      <c r="T31" s="224" t="n"/>
      <c r="U31" s="224" t="n"/>
      <c r="V31" s="224" t="n"/>
      <c r="W31" s="224" t="n"/>
      <c r="X31" s="224" t="n"/>
      <c r="Y31" s="224" t="n"/>
      <c r="Z31" s="224" t="n"/>
      <c r="AA31" s="224" t="n"/>
      <c r="AB31" s="224" t="n"/>
      <c r="AC31" s="224" t="n"/>
      <c r="AD31" s="224" t="n"/>
      <c r="AE31" s="224" t="n"/>
      <c r="AF31" s="224" t="n"/>
      <c r="AG31" s="224" t="n"/>
      <c r="AH31" s="225" t="inlineStr">
        <is>
          <t>Производитель: ООО «ЧелябинскСпецГражданСтрой» (ИНН 7451211335); страна происхождения: Россия; № реестровой записи (ПП 719): 10655491, действует до 30.06.2028</t>
        </is>
      </c>
      <c r="AI31" s="202" t="n"/>
    </row>
    <row r="32" ht="51" customHeight="1" s="169">
      <c r="A32" s="192" t="n">
        <v>2</v>
      </c>
      <c r="B32" s="193" t="inlineStr">
        <is>
          <t>Кран шаровой 11с67п Ду 100 Ру 25 цельносварной под приварку</t>
        </is>
      </c>
      <c r="C32" s="210" t="inlineStr">
        <is>
          <t>ГОСТ 21345-2005</t>
        </is>
      </c>
      <c r="D32" s="210" t="n">
        <v>100</v>
      </c>
      <c r="E32" s="210" t="inlineStr">
        <is>
          <t>полнопроходной</t>
        </is>
      </c>
      <c r="F32" s="210" t="n">
        <v>2.5</v>
      </c>
      <c r="G32" s="210" t="inlineStr">
        <is>
          <t>от -40 до +200</t>
        </is>
      </c>
      <c r="H32" s="210" t="inlineStr">
        <is>
          <t>вода</t>
        </is>
      </c>
      <c r="I32" s="210" t="inlineStr">
        <is>
          <t>сталь 20</t>
        </is>
      </c>
      <c r="J32" s="210" t="inlineStr">
        <is>
          <t>У1</t>
        </is>
      </c>
      <c r="K32" s="210" t="inlineStr">
        <is>
          <t>под приварку</t>
        </is>
      </c>
      <c r="L32" s="210" t="inlineStr">
        <is>
          <t>ручное</t>
        </is>
      </c>
      <c r="M32" s="210" t="inlineStr">
        <is>
          <t>рукоятка</t>
        </is>
      </c>
      <c r="N32" s="210" t="inlineStr">
        <is>
          <t>любое</t>
        </is>
      </c>
      <c r="O3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2" s="210" t="inlineStr">
        <is>
          <t>строительная длина 390мм</t>
        </is>
      </c>
      <c r="Q32" s="197" t="n"/>
      <c r="R32" s="198" t="n">
        <v>2</v>
      </c>
      <c r="S32" s="205" t="n"/>
      <c r="T32" s="205" t="n"/>
      <c r="U32" s="205" t="n"/>
      <c r="V32" s="205" t="n"/>
      <c r="W32" s="205" t="n"/>
      <c r="X32" s="205" t="n"/>
      <c r="Y32" s="205" t="n"/>
      <c r="Z32" s="205" t="n"/>
      <c r="AA32" s="205" t="n"/>
      <c r="AB32" s="205" t="n"/>
      <c r="AC32" s="205" t="n"/>
      <c r="AD32" s="205" t="n"/>
      <c r="AE32" s="205" t="n"/>
      <c r="AF32" s="205" t="n"/>
      <c r="AG32" s="205" t="n"/>
      <c r="AH32" s="226" t="n"/>
      <c r="AI32" s="202" t="n"/>
    </row>
    <row r="33" ht="51" customHeight="1" s="169">
      <c r="A33" s="192" t="n">
        <v>3</v>
      </c>
      <c r="B33" s="193" t="inlineStr">
        <is>
          <t>Кран шаровой 11с67п Ду 50 Ру 25 полнопрох. с КОФ (КЗШС41нж)</t>
        </is>
      </c>
      <c r="C33" s="210" t="inlineStr">
        <is>
          <t>ТУ У 04671406-003-1999 (ТУ У 04671406-02-96)</t>
        </is>
      </c>
      <c r="D33" s="210" t="n">
        <v>50</v>
      </c>
      <c r="E33" s="210" t="inlineStr">
        <is>
          <t>полнопроходной</t>
        </is>
      </c>
      <c r="F33" s="210" t="n">
        <v>2.5</v>
      </c>
      <c r="G33" s="210" t="inlineStr">
        <is>
          <t>От -40°С до +200°С</t>
        </is>
      </c>
      <c r="H33" s="210" t="inlineStr">
        <is>
          <t>Вода</t>
        </is>
      </c>
      <c r="I33" s="210" t="inlineStr">
        <is>
          <t>сталь 20</t>
        </is>
      </c>
      <c r="J33" s="210" t="inlineStr">
        <is>
          <t>У1</t>
        </is>
      </c>
      <c r="K33" s="210" t="inlineStr">
        <is>
          <t>фланец-фланец</t>
        </is>
      </c>
      <c r="L33" s="210" t="inlineStr">
        <is>
          <t xml:space="preserve">Ручное </t>
        </is>
      </c>
      <c r="M33" s="210" t="inlineStr">
        <is>
          <t>Рукоятка</t>
        </is>
      </c>
      <c r="N33" s="210" t="inlineStr">
        <is>
          <t>любое</t>
        </is>
      </c>
      <c r="O33" s="210" t="inlineStr">
        <is>
          <t>Шпиндель:  Сталь 20Х13 Уплотнения горловины: Фторопласт Ф4 Уплотнения седла: Фторопласт Ф4  Горловина:  Сталь 20 Шар: Нержавеющая сталь 12Х18Н10Т</t>
        </is>
      </c>
      <c r="P33" s="210" t="inlineStr">
        <is>
          <t>180мм</t>
        </is>
      </c>
      <c r="Q33" s="197" t="n"/>
      <c r="R33" s="198">
        <f>A33</f>
        <v/>
      </c>
      <c r="S33" s="205" t="n"/>
      <c r="T33" s="205" t="n"/>
      <c r="U33" s="205" t="n"/>
      <c r="V33" s="205" t="n"/>
      <c r="W33" s="205" t="n"/>
      <c r="X33" s="205" t="n"/>
      <c r="Y33" s="205" t="n"/>
      <c r="Z33" s="205" t="n"/>
      <c r="AA33" s="205" t="n"/>
      <c r="AB33" s="205" t="n"/>
      <c r="AC33" s="205" t="n"/>
      <c r="AD33" s="205" t="n"/>
      <c r="AE33" s="205" t="n"/>
      <c r="AF33" s="205" t="n"/>
      <c r="AG33" s="205" t="n"/>
      <c r="AH33" s="226" t="n"/>
      <c r="AI33" s="202" t="n"/>
    </row>
    <row r="34" ht="51" customHeight="1" s="169">
      <c r="A34" s="192" t="n">
        <v>4</v>
      </c>
      <c r="B34" s="193" t="inlineStr">
        <is>
          <t>Кран шаровой 11с67п Ду 80 Ру 25 полнопрох. с КОФ (КЗШС41нж)</t>
        </is>
      </c>
      <c r="C34" s="210" t="inlineStr">
        <is>
          <t xml:space="preserve">ТУ У 04671406-003-1999; ГОСТ 21345, ГОСТ 28343 </t>
        </is>
      </c>
      <c r="D34" s="210" t="n">
        <v>80</v>
      </c>
      <c r="E34" s="210" t="inlineStr">
        <is>
          <t>полнопроходной</t>
        </is>
      </c>
      <c r="F34" s="210" t="n">
        <v>2.5</v>
      </c>
      <c r="G34" s="210" t="inlineStr">
        <is>
          <t>От -40°С до +200°С</t>
        </is>
      </c>
      <c r="H34" s="210" t="inlineStr">
        <is>
          <t>Вода</t>
        </is>
      </c>
      <c r="I34" s="210" t="inlineStr">
        <is>
          <t>сталь 20</t>
        </is>
      </c>
      <c r="J34" s="210" t="inlineStr">
        <is>
          <t>У1</t>
        </is>
      </c>
      <c r="K34" s="210" t="inlineStr">
        <is>
          <t>фланцевое</t>
        </is>
      </c>
      <c r="L34" s="210" t="inlineStr">
        <is>
          <t xml:space="preserve">Ручное </t>
        </is>
      </c>
      <c r="M34" s="210" t="inlineStr">
        <is>
          <t>Рукоятка</t>
        </is>
      </c>
      <c r="N34" s="210" t="inlineStr">
        <is>
          <t>любое</t>
        </is>
      </c>
      <c r="O34"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4" s="210" t="inlineStr">
        <is>
          <t xml:space="preserve">строительная длина 210мм </t>
        </is>
      </c>
      <c r="Q34" s="197" t="n"/>
      <c r="R34" s="198">
        <f>A34</f>
        <v/>
      </c>
      <c r="S34" s="205" t="n"/>
      <c r="T34" s="205" t="n"/>
      <c r="U34" s="205" t="n"/>
      <c r="V34" s="205" t="n"/>
      <c r="W34" s="205" t="n"/>
      <c r="X34" s="205" t="n"/>
      <c r="Y34" s="205" t="n"/>
      <c r="Z34" s="205" t="n"/>
      <c r="AA34" s="205" t="n"/>
      <c r="AB34" s="205" t="n"/>
      <c r="AC34" s="205" t="n"/>
      <c r="AD34" s="205" t="n"/>
      <c r="AE34" s="205" t="n"/>
      <c r="AF34" s="205" t="n"/>
      <c r="AG34" s="205" t="n"/>
      <c r="AH34" s="226" t="n"/>
      <c r="AI34" s="202" t="n"/>
    </row>
    <row r="35" ht="76.5" customHeight="1" s="169">
      <c r="A35" s="192" t="n">
        <v>5</v>
      </c>
      <c r="B35" s="193" t="inlineStr">
        <is>
          <t>Кран шаровой 11с67п Ду 100 Ру 16 ЦУФ.001 КШ укороченный полнопроходной фланцевый с рукояткой</t>
        </is>
      </c>
      <c r="C35" s="210" t="inlineStr">
        <is>
          <t>ТУ У 046714006-003-1999</t>
        </is>
      </c>
      <c r="D35" s="210" t="n">
        <v>100</v>
      </c>
      <c r="E35" s="210" t="inlineStr">
        <is>
          <t>полнопроходной</t>
        </is>
      </c>
      <c r="F35" s="210" t="n">
        <v>1.6</v>
      </c>
      <c r="G35" s="210" t="inlineStr">
        <is>
          <t>от -40 до +200</t>
        </is>
      </c>
      <c r="H35" s="210" t="inlineStr">
        <is>
          <t>вода</t>
        </is>
      </c>
      <c r="I35" s="210" t="inlineStr">
        <is>
          <t>сталь 20</t>
        </is>
      </c>
      <c r="J35" s="210" t="inlineStr">
        <is>
          <t>У1</t>
        </is>
      </c>
      <c r="K35" s="210" t="inlineStr">
        <is>
          <t>фланцевое</t>
        </is>
      </c>
      <c r="L35" s="210" t="inlineStr">
        <is>
          <t>ручное</t>
        </is>
      </c>
      <c r="M35" s="210" t="inlineStr">
        <is>
          <t>рукоятка</t>
        </is>
      </c>
      <c r="N35" s="210" t="inlineStr">
        <is>
          <t>любое</t>
        </is>
      </c>
      <c r="O3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35" s="210" t="inlineStr">
        <is>
          <t>строительная длина 230 мм</t>
        </is>
      </c>
      <c r="Q35" s="197" t="n"/>
      <c r="R35" s="198">
        <f>A35</f>
        <v/>
      </c>
      <c r="S35" s="186" t="n"/>
      <c r="T35" s="186" t="n"/>
      <c r="U35" s="186" t="n"/>
      <c r="V35" s="186" t="n"/>
      <c r="W35" s="186" t="n"/>
      <c r="X35" s="186" t="n"/>
      <c r="Y35" s="186" t="n"/>
      <c r="Z35" s="186" t="n"/>
      <c r="AA35" s="186" t="n"/>
      <c r="AB35" s="186" t="n"/>
      <c r="AC35" s="186" t="n"/>
      <c r="AD35" s="186" t="n"/>
      <c r="AE35" s="186" t="n"/>
      <c r="AF35" s="186" t="n"/>
      <c r="AG35" s="186" t="n"/>
      <c r="AH35" s="227" t="n"/>
      <c r="AI35" s="202" t="n"/>
    </row>
    <row r="36" ht="15" customHeight="1" s="169">
      <c r="A36" s="219" t="inlineStr">
        <is>
          <t>Спецификация №2 Грузополучатель №2 Таблица 1.3 (филиал КТЭЦ) — Ремонт</t>
        </is>
      </c>
      <c r="B36" s="182" t="n"/>
      <c r="C36" s="182" t="n"/>
      <c r="D36" s="182" t="n"/>
      <c r="E36" s="182" t="n"/>
      <c r="F36" s="182" t="n"/>
      <c r="G36" s="182" t="n"/>
      <c r="H36" s="182" t="n"/>
      <c r="I36" s="182" t="n"/>
      <c r="J36" s="182" t="n"/>
      <c r="K36" s="182" t="n"/>
      <c r="L36" s="182" t="n"/>
      <c r="M36" s="182" t="n"/>
      <c r="N36" s="182" t="n"/>
      <c r="O36" s="182" t="n"/>
      <c r="P36" s="182" t="n"/>
      <c r="Q36" s="183" t="n"/>
      <c r="R36" s="198">
        <f>A36</f>
        <v/>
      </c>
      <c r="S36" s="182" t="n"/>
      <c r="T36" s="182" t="n"/>
      <c r="U36" s="182" t="n"/>
      <c r="V36" s="182" t="n"/>
      <c r="W36" s="182" t="n"/>
      <c r="X36" s="182" t="n"/>
      <c r="Y36" s="182" t="n"/>
      <c r="Z36" s="182" t="n"/>
      <c r="AA36" s="182" t="n"/>
      <c r="AB36" s="182" t="n"/>
      <c r="AC36" s="182" t="n"/>
      <c r="AD36" s="182" t="n"/>
      <c r="AE36" s="182" t="n"/>
      <c r="AF36" s="182" t="n"/>
      <c r="AG36" s="182" t="n"/>
      <c r="AH36" s="182" t="n"/>
      <c r="AI36" s="180" t="n"/>
    </row>
    <row r="37" ht="37.35" customHeight="1" s="169">
      <c r="A37" s="192" t="n">
        <v>1</v>
      </c>
      <c r="B37" s="193" t="inlineStr">
        <is>
          <t>Клапан регулирующий 25с947нж Ду 50 Ру 25 с ЭИМ</t>
        </is>
      </c>
      <c r="C37" s="210" t="inlineStr">
        <is>
          <t>ГОСТ 33259-2015 ТУ 3722-002-22294686-2005</t>
        </is>
      </c>
      <c r="D37" s="210" t="n">
        <v>50</v>
      </c>
      <c r="E37" s="210" t="inlineStr">
        <is>
          <t>стандарт</t>
        </is>
      </c>
      <c r="F37" s="210" t="n">
        <v>2.5</v>
      </c>
      <c r="G37" s="210" t="inlineStr">
        <is>
          <t>до    +425С</t>
        </is>
      </c>
      <c r="H37" s="210" t="inlineStr">
        <is>
          <t>вода</t>
        </is>
      </c>
      <c r="I37" s="210" t="inlineStr">
        <is>
          <t>Сталь марки 25Л ГОСТ 977-88</t>
        </is>
      </c>
      <c r="J37" s="210" t="inlineStr">
        <is>
          <t>У1</t>
        </is>
      </c>
      <c r="K37" s="210" t="inlineStr">
        <is>
          <t>фланец-фланец</t>
        </is>
      </c>
      <c r="L37" s="210" t="inlineStr">
        <is>
          <t>электропривод</t>
        </is>
      </c>
      <c r="M37" s="210" t="inlineStr">
        <is>
          <t>для автоматического регулирования технологических процессов</t>
        </is>
      </c>
      <c r="N37" s="210" t="inlineStr">
        <is>
          <t>горизонтальное       (ЭИМ вверх)</t>
        </is>
      </c>
      <c r="O37" s="210" t="inlineStr">
        <is>
          <t>плунжер, седло - Сталь 20Х13 ГОСТ 5632-2014 уплотнение в затворе - «металл по металлу» уплотнение сальника - ТРГ</t>
        </is>
      </c>
      <c r="P37" s="210" t="inlineStr">
        <is>
          <t>L=160мм.</t>
        </is>
      </c>
      <c r="Q37" s="210" t="n"/>
      <c r="R37" s="198">
        <f>A37</f>
        <v/>
      </c>
      <c r="S37" s="228" t="inlineStr">
        <is>
          <t>Клапан регулирующий Авангард КР 25с947нж Ду50 Ру25 односедельный неразгруженный, присоединение фланцевое, корпус - сталь 25Л, 1 шт уплотнение - металл</t>
        </is>
      </c>
      <c r="T37" s="224" t="n"/>
      <c r="U37" s="224" t="n"/>
      <c r="V37" s="224" t="n"/>
      <c r="W37" s="224" t="n"/>
      <c r="X37" s="224" t="n"/>
      <c r="Y37" s="224" t="n"/>
      <c r="Z37" s="224" t="n"/>
      <c r="AA37" s="224" t="n"/>
      <c r="AB37" s="224" t="n"/>
      <c r="AC37" s="224" t="n"/>
      <c r="AD37" s="224" t="n"/>
      <c r="AE37" s="224" t="n"/>
      <c r="AF37" s="224" t="n"/>
      <c r="AG37" s="224" t="n"/>
      <c r="AH37" s="224" t="n"/>
      <c r="AI37" s="202" t="n"/>
    </row>
    <row r="38" ht="51" customFormat="1" customHeight="1" s="171">
      <c r="A38" s="192" t="n">
        <v>2</v>
      </c>
      <c r="B38" s="193" t="inlineStr">
        <is>
          <t>Клапан регулирующий 25ч945п Ду 15 Ру 16 с ЭИМ</t>
        </is>
      </c>
      <c r="C38" s="210" t="inlineStr">
        <is>
          <t>ТУ 3722-011-50987615</t>
        </is>
      </c>
      <c r="D38" s="210" t="n">
        <v>15</v>
      </c>
      <c r="E38" s="210" t="inlineStr">
        <is>
          <t>стандарт</t>
        </is>
      </c>
      <c r="F38" s="210" t="n">
        <v>1.6</v>
      </c>
      <c r="G38" s="210" t="inlineStr">
        <is>
          <t>От -15°С до +150°С</t>
        </is>
      </c>
      <c r="H38" s="210" t="inlineStr">
        <is>
          <t>вода</t>
        </is>
      </c>
      <c r="I38" s="210" t="inlineStr">
        <is>
          <t>чугун СЧ20</t>
        </is>
      </c>
      <c r="J38" s="210" t="inlineStr">
        <is>
          <t>У2</t>
        </is>
      </c>
      <c r="K38" s="210" t="inlineStr">
        <is>
          <t>фланцевое</t>
        </is>
      </c>
      <c r="L38" s="210" t="inlineStr">
        <is>
          <t>автоматический</t>
        </is>
      </c>
      <c r="M38" s="210" t="inlineStr">
        <is>
          <t>электропривод</t>
        </is>
      </c>
      <c r="N38" s="210" t="inlineStr">
        <is>
          <t>горизонтальное ЭИМ вверх</t>
        </is>
      </c>
      <c r="O38" s="210" t="inlineStr">
        <is>
          <t>Корпус, крышка: СЧ20
Плунжер, седло: Сталь 12Х13
Уплотнение в затворе_x0001_: Фторопласт-4
Уплотнение сальника:_x0001_Фторопласт-4</t>
        </is>
      </c>
      <c r="P38" s="210" t="inlineStr">
        <is>
          <t>строительная длинна 130мм</t>
        </is>
      </c>
      <c r="Q38" s="210" t="inlineStr">
        <is>
          <t xml:space="preserve">Пропускная способность — 4 м3 </t>
        </is>
      </c>
      <c r="R38" s="198">
        <f>A38</f>
        <v/>
      </c>
      <c r="S38" s="205" t="n"/>
      <c r="T38" s="205" t="n"/>
      <c r="U38" s="205" t="n"/>
      <c r="V38" s="205" t="n"/>
      <c r="W38" s="205" t="n"/>
      <c r="X38" s="205" t="n"/>
      <c r="Y38" s="205" t="n"/>
      <c r="Z38" s="205" t="n"/>
      <c r="AA38" s="205" t="n"/>
      <c r="AB38" s="205" t="n"/>
      <c r="AC38" s="205" t="n"/>
      <c r="AD38" s="205" t="n"/>
      <c r="AE38" s="205" t="n"/>
      <c r="AF38" s="205" t="n"/>
      <c r="AG38" s="205" t="n"/>
      <c r="AH38" s="205" t="n"/>
      <c r="AI38" s="202" t="n"/>
    </row>
    <row r="39" ht="51" customHeight="1" s="169">
      <c r="A39" s="192" t="n">
        <v>3</v>
      </c>
      <c r="B39" s="193" t="inlineStr">
        <is>
          <t>Клапан регулирующий 25ч945п Ду 25 Ру 16 с ЭИМ</t>
        </is>
      </c>
      <c r="C39" s="210" t="inlineStr">
        <is>
          <t>ТУ 3722-011-50987615</t>
        </is>
      </c>
      <c r="D39" s="210" t="n">
        <v>25</v>
      </c>
      <c r="E39" s="210" t="inlineStr">
        <is>
          <t>стандарт</t>
        </is>
      </c>
      <c r="F39" s="210" t="n">
        <v>1.6</v>
      </c>
      <c r="G39" s="210" t="inlineStr">
        <is>
          <t>От -15°С до +150°С</t>
        </is>
      </c>
      <c r="H39" s="210" t="inlineStr">
        <is>
          <t>вода</t>
        </is>
      </c>
      <c r="I39" s="210" t="inlineStr">
        <is>
          <t>чугун СЧ20</t>
        </is>
      </c>
      <c r="J39" s="210" t="inlineStr">
        <is>
          <t>У2</t>
        </is>
      </c>
      <c r="K39" s="210" t="inlineStr">
        <is>
          <t>фланцевое</t>
        </is>
      </c>
      <c r="L39" s="210" t="inlineStr">
        <is>
          <t>автоматический</t>
        </is>
      </c>
      <c r="M39" s="210" t="inlineStr">
        <is>
          <t>электропривод</t>
        </is>
      </c>
      <c r="N39" s="210" t="inlineStr">
        <is>
          <t>горизонтальное ЭИМ вверх</t>
        </is>
      </c>
      <c r="O39" s="210" t="inlineStr">
        <is>
          <t>Корпус, крышка: СЧ20
Плунжер, седло: Сталь 12Х13
Уплотнение в затворе_x0001_: Фторопласт-4
Уплотнение сальника:_x0001_Фторопласт-4</t>
        </is>
      </c>
      <c r="P39" s="210" t="inlineStr">
        <is>
          <t>строительная длинна 160мм</t>
        </is>
      </c>
      <c r="Q39" s="210" t="inlineStr">
        <is>
          <t xml:space="preserve">Пропускная способность — 4 м3 </t>
        </is>
      </c>
      <c r="R39" s="198">
        <f>A39</f>
        <v/>
      </c>
      <c r="S39" s="205" t="n"/>
      <c r="T39" s="205" t="n"/>
      <c r="U39" s="205" t="n"/>
      <c r="V39" s="205" t="n"/>
      <c r="W39" s="205" t="n"/>
      <c r="X39" s="205" t="n"/>
      <c r="Y39" s="205" t="n"/>
      <c r="Z39" s="205" t="n"/>
      <c r="AA39" s="205" t="n"/>
      <c r="AB39" s="205" t="n"/>
      <c r="AC39" s="205" t="n"/>
      <c r="AD39" s="205" t="n"/>
      <c r="AE39" s="205" t="n"/>
      <c r="AF39" s="205" t="n"/>
      <c r="AG39" s="205" t="n"/>
      <c r="AH39" s="205" t="n"/>
      <c r="AI39" s="202" t="n"/>
    </row>
    <row r="40" ht="51" customHeight="1" s="169">
      <c r="A40" s="192" t="n">
        <v>4</v>
      </c>
      <c r="B40" s="193" t="inlineStr">
        <is>
          <t>Клапан регулирующий 25ч945п Ду 50 Ру 16 KV100 с ЭИМ</t>
        </is>
      </c>
      <c r="C40" s="210" t="inlineStr">
        <is>
          <t>ТУ 3722-011-50987615</t>
        </is>
      </c>
      <c r="D40" s="210" t="n">
        <v>50</v>
      </c>
      <c r="E40" s="210" t="inlineStr">
        <is>
          <t>стандарт</t>
        </is>
      </c>
      <c r="F40" s="210" t="n">
        <v>1.6</v>
      </c>
      <c r="G40" s="210" t="inlineStr">
        <is>
          <t>От -20°С до +150°С</t>
        </is>
      </c>
      <c r="H40" s="210" t="inlineStr">
        <is>
          <t>вода</t>
        </is>
      </c>
      <c r="I40" s="210" t="inlineStr">
        <is>
          <t>чугун СЧ20</t>
        </is>
      </c>
      <c r="J40" s="210" t="inlineStr">
        <is>
          <t>У2</t>
        </is>
      </c>
      <c r="K40" s="210" t="inlineStr">
        <is>
          <t>фланцевое</t>
        </is>
      </c>
      <c r="L40" s="210" t="inlineStr">
        <is>
          <t>автоматический</t>
        </is>
      </c>
      <c r="M40" s="210" t="inlineStr">
        <is>
          <t>электропривод</t>
        </is>
      </c>
      <c r="N40" s="210" t="inlineStr">
        <is>
          <t>горизонтальное ЭИМ вверх</t>
        </is>
      </c>
      <c r="O40" s="210" t="inlineStr">
        <is>
          <t>Корпус, крышка: СЧ20
Плунжер, седло: Сталь 12Х13
Уплотнение в затворе_x0001_: Фторопласт-4
Уплотнение сальника:_x0001_Фторопласт-4</t>
        </is>
      </c>
      <c r="P40" s="210" t="inlineStr">
        <is>
          <t>строительная длинна 230мм</t>
        </is>
      </c>
      <c r="Q40" s="210" t="inlineStr">
        <is>
          <t xml:space="preserve">Максимальная пропускная способность - 65 м3. Допустима 40 м3 </t>
        </is>
      </c>
      <c r="R40" s="198">
        <f>A40</f>
        <v/>
      </c>
      <c r="S40" s="205" t="n"/>
      <c r="T40" s="205" t="n"/>
      <c r="U40" s="205" t="n"/>
      <c r="V40" s="205" t="n"/>
      <c r="W40" s="205" t="n"/>
      <c r="X40" s="205" t="n"/>
      <c r="Y40" s="205" t="n"/>
      <c r="Z40" s="205" t="n"/>
      <c r="AA40" s="205" t="n"/>
      <c r="AB40" s="205" t="n"/>
      <c r="AC40" s="205" t="n"/>
      <c r="AD40" s="205" t="n"/>
      <c r="AE40" s="205" t="n"/>
      <c r="AF40" s="205" t="n"/>
      <c r="AG40" s="205" t="n"/>
      <c r="AH40" s="205" t="n"/>
      <c r="AI40" s="202" t="n"/>
    </row>
    <row r="41" ht="51" customHeight="1" s="169">
      <c r="A41" s="192" t="n">
        <v>5</v>
      </c>
      <c r="B41" s="193" t="inlineStr">
        <is>
          <t>Клапан регулирующий 25ч945п Ду 80 Ру 16 с ЭИМ</t>
        </is>
      </c>
      <c r="C41" s="210" t="inlineStr">
        <is>
          <t>ТУ 3722-011-50987615</t>
        </is>
      </c>
      <c r="D41" s="210" t="n">
        <v>80</v>
      </c>
      <c r="E41" s="210" t="inlineStr">
        <is>
          <t>стандарт</t>
        </is>
      </c>
      <c r="F41" s="210" t="n">
        <v>1.6</v>
      </c>
      <c r="G41" s="210" t="inlineStr">
        <is>
          <t>От -15°С до +150°С</t>
        </is>
      </c>
      <c r="H41" s="210" t="inlineStr">
        <is>
          <t>вода</t>
        </is>
      </c>
      <c r="I41" s="210" t="inlineStr">
        <is>
          <t>чугун СЧ20</t>
        </is>
      </c>
      <c r="J41" s="210" t="inlineStr">
        <is>
          <t>У2</t>
        </is>
      </c>
      <c r="K41" s="210" t="inlineStr">
        <is>
          <t>фланцевое</t>
        </is>
      </c>
      <c r="L41" s="210" t="inlineStr">
        <is>
          <t>автоматический</t>
        </is>
      </c>
      <c r="M41" s="210" t="inlineStr">
        <is>
          <t>электропривод</t>
        </is>
      </c>
      <c r="N41" s="210" t="inlineStr">
        <is>
          <t>горизонтальное ЭИМ вверх</t>
        </is>
      </c>
      <c r="O41" s="210" t="inlineStr">
        <is>
          <t>Корпус, крышка: СЧ20
Плунжер, седло: Сталь 12Х13
Уплотнение в затворе_x0001_: Фторопласт-4
Уплотнение сальника:_x0001_Фторопласт-4</t>
        </is>
      </c>
      <c r="P41" s="210" t="inlineStr">
        <is>
          <t>строительная длинна 160мм</t>
        </is>
      </c>
      <c r="Q41" s="210" t="inlineStr">
        <is>
          <t xml:space="preserve">Пропускная способность — 4 м3 </t>
        </is>
      </c>
      <c r="R41" s="198">
        <f>A41</f>
        <v/>
      </c>
      <c r="S41" s="205" t="n"/>
      <c r="T41" s="205" t="n"/>
      <c r="U41" s="205" t="n"/>
      <c r="V41" s="205" t="n"/>
      <c r="W41" s="205" t="n"/>
      <c r="X41" s="205" t="n"/>
      <c r="Y41" s="205" t="n"/>
      <c r="Z41" s="205" t="n"/>
      <c r="AA41" s="205" t="n"/>
      <c r="AB41" s="205" t="n"/>
      <c r="AC41" s="205" t="n"/>
      <c r="AD41" s="205" t="n"/>
      <c r="AE41" s="205" t="n"/>
      <c r="AF41" s="205" t="n"/>
      <c r="AG41" s="205" t="n"/>
      <c r="AH41" s="205" t="n"/>
      <c r="AI41" s="202" t="n"/>
    </row>
    <row r="42" ht="306" customHeight="1" s="169">
      <c r="A42" s="192" t="n">
        <v>6</v>
      </c>
      <c r="B42" s="193" t="inlineStr">
        <is>
          <t>Регулирующий клапан Ридан VFG-2R Ду 100, Kvs 125, Ру 16</t>
        </is>
      </c>
      <c r="C42" s="210" t="inlineStr">
        <is>
          <t>ТУ 28.14.11-002-72323163-2022</t>
        </is>
      </c>
      <c r="D42" s="210" t="n">
        <v>100</v>
      </c>
      <c r="E42" s="210" t="n"/>
      <c r="F42" s="210" t="n">
        <v>1.6</v>
      </c>
      <c r="G42" s="210" t="inlineStr">
        <is>
          <t xml:space="preserve">
от 2–150 °С</t>
        </is>
      </c>
      <c r="H42" s="210" t="inlineStr">
        <is>
          <t>Вода или 30% водный раствор гликоля</t>
        </is>
      </c>
      <c r="I42" s="210" t="inlineStr">
        <is>
          <t>Углеродистая сталь WCB</t>
        </is>
      </c>
      <c r="J42" s="210" t="n"/>
      <c r="K42" s="210" t="inlineStr">
        <is>
          <t>фланцевое болтовое</t>
        </is>
      </c>
      <c r="L42" s="210" t="n"/>
      <c r="M42" s="210" t="n"/>
      <c r="N42" s="210" t="inlineStr">
        <is>
          <t>горизонтальное</t>
        </is>
      </c>
      <c r="O42" s="210" t="inlineStr">
        <is>
          <t>Номинальный диаметр (DN), мм 100
Номинальное давление (PN), бар 16
Климатическое исполнение Категория 3 по ГОСТ 15150-69
L, мм 350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
Масса, кг, не более 60
Уплотнение нет уплотнения по штоку
B, мм 380
Шток Cталь
Седло Нержавеющая сталь
Пропускная способность Kvs, м³/ч 125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2" s="229" t="inlineStr">
        <is>
          <t>строительная длинна, 350 мм</t>
        </is>
      </c>
      <c r="Q42" s="229" t="inlineStr">
        <is>
          <t>каталожный  № 065B2396R</t>
        </is>
      </c>
      <c r="R42" s="198">
        <f>A42</f>
        <v/>
      </c>
      <c r="S42" s="205" t="n"/>
      <c r="T42" s="205" t="n"/>
      <c r="U42" s="205" t="n"/>
      <c r="V42" s="205" t="n"/>
      <c r="W42" s="205" t="n"/>
      <c r="X42" s="205" t="n"/>
      <c r="Y42" s="205" t="n"/>
      <c r="Z42" s="205" t="n"/>
      <c r="AA42" s="205" t="n"/>
      <c r="AB42" s="205" t="n"/>
      <c r="AC42" s="205" t="n"/>
      <c r="AD42" s="205" t="n"/>
      <c r="AE42" s="205" t="n"/>
      <c r="AF42" s="205" t="n"/>
      <c r="AG42" s="205" t="n"/>
      <c r="AH42" s="205" t="n"/>
      <c r="AI42" s="202" t="n"/>
    </row>
    <row r="43" ht="293.25" customHeight="1" s="169">
      <c r="A43" s="192" t="n">
        <v>7</v>
      </c>
      <c r="B43" s="193" t="inlineStr">
        <is>
          <t>Регулирующий клапан Ридан VFG-2R Ду 32, Kvs 16,  Ру 16</t>
        </is>
      </c>
      <c r="C43" s="210" t="inlineStr">
        <is>
          <t>ТУ 28.14.11-002-72323163-2022</t>
        </is>
      </c>
      <c r="D43" s="210" t="n">
        <v>32</v>
      </c>
      <c r="E43" s="210" t="n"/>
      <c r="F43" s="210" t="n">
        <v>1.6</v>
      </c>
      <c r="G43" s="210" t="inlineStr">
        <is>
          <t xml:space="preserve">
от 2–150 °С</t>
        </is>
      </c>
      <c r="H43" s="210" t="inlineStr">
        <is>
          <t>Вода или 30% водный раствор гликоля</t>
        </is>
      </c>
      <c r="I43" s="210" t="inlineStr">
        <is>
          <t>Углеродистая сталь WCB</t>
        </is>
      </c>
      <c r="J43" s="210" t="n"/>
      <c r="K43" s="210" t="inlineStr">
        <is>
          <t>фланцевое болтовое</t>
        </is>
      </c>
      <c r="L43" s="210" t="n"/>
      <c r="M43" s="210" t="n"/>
      <c r="N43" s="210" t="inlineStr">
        <is>
          <t>горизонтальное</t>
        </is>
      </c>
      <c r="O43" s="210" t="inlineStr">
        <is>
          <t>Номинальный диаметр (DN), мм 32
Номинальное давление (PN), бар 16
Пропускная способность Kvs, м³/ч 16
Рабочая среда Вода или 30% водный раствор гликоля
Температура рабочей среды, °С 2–150 °С
Герметичность затвора (объем протечки / класс
герметичности)
0,04%Kvs
Климатическое исполнение Категория 3 по ГОСТ 15150-69
Тип присоединения к трубопроводу фланцы по ГОСТ 33259
Коэффициент начала кавитации 0,55
Вид привода или регулирующего блока AFP-R; AFD-R; AFA-R; AFPA-R; AFT-06R; AFT17R.
Масса, кг, не более 13
Запорный элемент (шар, диск, золотник) Нержавеющая сталь
Седло Нержавеющая сталь
Уплотнение нет уплотнения по штоку
Корпус Углеродистая сталь WCB
Шток Cталь</t>
        </is>
      </c>
      <c r="P43" s="210" t="inlineStr">
        <is>
          <t>строительная длинна, 180 мм</t>
        </is>
      </c>
      <c r="Q43" s="210" t="inlineStr">
        <is>
          <t>каталожный  № 065B2391R</t>
        </is>
      </c>
      <c r="R43" s="198">
        <f>A43</f>
        <v/>
      </c>
      <c r="S43" s="205" t="n"/>
      <c r="T43" s="205" t="n"/>
      <c r="U43" s="205" t="n"/>
      <c r="V43" s="205" t="n"/>
      <c r="W43" s="205" t="n"/>
      <c r="X43" s="205" t="n"/>
      <c r="Y43" s="205" t="n"/>
      <c r="Z43" s="205" t="n"/>
      <c r="AA43" s="205" t="n"/>
      <c r="AB43" s="205" t="n"/>
      <c r="AC43" s="205" t="n"/>
      <c r="AD43" s="205" t="n"/>
      <c r="AE43" s="205" t="n"/>
      <c r="AF43" s="205" t="n"/>
      <c r="AG43" s="205" t="n"/>
      <c r="AH43" s="205" t="n"/>
      <c r="AI43" s="202" t="n"/>
    </row>
    <row r="44" ht="306" customHeight="1" s="169">
      <c r="A44" s="192" t="n">
        <v>8</v>
      </c>
      <c r="B44" s="193" t="inlineStr">
        <is>
          <t>регулирующий клапан Ридан VFG-2R Ду 80, Kvs 80,  Ру 16</t>
        </is>
      </c>
      <c r="C44" s="210" t="inlineStr">
        <is>
          <t>ТУ 28.14.11-002-72323163-2022</t>
        </is>
      </c>
      <c r="D44" s="210" t="n">
        <v>80</v>
      </c>
      <c r="E44" s="210" t="n"/>
      <c r="F44" s="210" t="n">
        <v>1.6</v>
      </c>
      <c r="G44" s="210" t="inlineStr">
        <is>
          <t xml:space="preserve">
от 2–150 °С</t>
        </is>
      </c>
      <c r="H44" s="210" t="inlineStr">
        <is>
          <t>Вода или 30% водный раствор гликоля</t>
        </is>
      </c>
      <c r="I44" s="210" t="inlineStr">
        <is>
          <t>Углеродистая сталь WCB</t>
        </is>
      </c>
      <c r="J44" s="210" t="n"/>
      <c r="K44" s="210" t="inlineStr">
        <is>
          <t>фланцевое болтовое</t>
        </is>
      </c>
      <c r="L44" s="210" t="n"/>
      <c r="M44" s="210" t="n"/>
      <c r="N44" s="210" t="inlineStr">
        <is>
          <t>горизонтальное</t>
        </is>
      </c>
      <c r="O44" s="210" t="inlineStr">
        <is>
          <t>Номинальный диаметр (DN), мм 80
Номинальное давление (PN), бар 16
Климатическое исполнение Категория 3 по ГОСТ 15150-69
L, мм 310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0,45
Масса, кг, не более 33
Уплотнение нет уплотнения по штоку
B, мм 275
Шток Cталь
Седло Нержавеющая сталь
Пропускная способность Kvs, м³/ч 80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4" s="210" t="inlineStr">
        <is>
          <t>строительная длинна, 310 мм</t>
        </is>
      </c>
      <c r="Q44" s="210" t="inlineStr">
        <is>
          <t>каталожный номер 065B2395R</t>
        </is>
      </c>
      <c r="R44" s="198">
        <f>A44</f>
        <v/>
      </c>
      <c r="S44" s="205" t="n"/>
      <c r="T44" s="205" t="n"/>
      <c r="U44" s="205" t="n"/>
      <c r="V44" s="205" t="n"/>
      <c r="W44" s="205" t="n"/>
      <c r="X44" s="205" t="n"/>
      <c r="Y44" s="205" t="n"/>
      <c r="Z44" s="205" t="n"/>
      <c r="AA44" s="205" t="n"/>
      <c r="AB44" s="205" t="n"/>
      <c r="AC44" s="205" t="n"/>
      <c r="AD44" s="205" t="n"/>
      <c r="AE44" s="205" t="n"/>
      <c r="AF44" s="205" t="n"/>
      <c r="AG44" s="205" t="n"/>
      <c r="AH44" s="205" t="n"/>
      <c r="AI44" s="202" t="n"/>
    </row>
    <row r="45" ht="63.75" customHeight="1" s="169">
      <c r="A45" s="192" t="n">
        <v>9</v>
      </c>
      <c r="B45" s="193" t="inlineStr">
        <is>
          <t>Регулятор давления РД-НО (Нормально открытый) Ду 25 Ру 16</t>
        </is>
      </c>
      <c r="C45" s="210" t="inlineStr">
        <is>
          <t>СНИЦ.423.117.013ТУ</t>
        </is>
      </c>
      <c r="D45" s="210" t="n">
        <v>25</v>
      </c>
      <c r="E45" s="210" t="inlineStr">
        <is>
          <t>полнопроходной</t>
        </is>
      </c>
      <c r="F45" s="210" t="n">
        <v>1.6</v>
      </c>
      <c r="G45" s="210" t="inlineStr">
        <is>
          <t>от 00С до    +180С</t>
        </is>
      </c>
      <c r="H45" s="210" t="inlineStr">
        <is>
          <t>вода</t>
        </is>
      </c>
      <c r="I45" s="210" t="inlineStr">
        <is>
          <t>чугун СЧ20 ГОСТ1412</t>
        </is>
      </c>
      <c r="J45" s="210" t="inlineStr">
        <is>
          <t>В условиях У по ГОСТ 15150-69 при соблюдении условий, установленных ГОСТ Р 52931-2008 для группы В4</t>
        </is>
      </c>
      <c r="K45" s="210" t="inlineStr">
        <is>
          <t>фланцевое</t>
        </is>
      </c>
      <c r="L45" s="210" t="inlineStr">
        <is>
          <t>автоматически действующая трубопроводная арматура</t>
        </is>
      </c>
      <c r="M45" s="210" t="inlineStr">
        <is>
          <t>поддержание заданного давления</t>
        </is>
      </c>
      <c r="N45" s="210" t="inlineStr">
        <is>
          <t>вертикальное, мембранным узлом вверх</t>
        </is>
      </c>
      <c r="O45" s="210" t="inlineStr">
        <is>
          <t>стакан-бронза; клапан (поршень)-сталь 20Х13; шток-сталь 20Х13; мембрана-EPDM; пружина настройки-сталь; сильфон-36НХТЮ; дублирующее кольцо-фторопласт</t>
        </is>
      </c>
      <c r="P45" s="210" t="inlineStr">
        <is>
          <t>L=160мм.</t>
        </is>
      </c>
      <c r="Q45" s="210" t="inlineStr">
        <is>
          <t>Пропускная способность — 6м3
Предел регулирования - 0,1...0,63 Мпа
Уплотнение — сальникоковое</t>
        </is>
      </c>
      <c r="R45" s="198">
        <f>A45</f>
        <v/>
      </c>
      <c r="S45" s="205" t="n"/>
      <c r="T45" s="205" t="n"/>
      <c r="U45" s="205" t="n"/>
      <c r="V45" s="205" t="n"/>
      <c r="W45" s="205" t="n"/>
      <c r="X45" s="205" t="n"/>
      <c r="Y45" s="205" t="n"/>
      <c r="Z45" s="205" t="n"/>
      <c r="AA45" s="205" t="n"/>
      <c r="AB45" s="205" t="n"/>
      <c r="AC45" s="205" t="n"/>
      <c r="AD45" s="205" t="n"/>
      <c r="AE45" s="205" t="n"/>
      <c r="AF45" s="205" t="n"/>
      <c r="AG45" s="205" t="n"/>
      <c r="AH45" s="205" t="n"/>
      <c r="AI45" s="202" t="n"/>
    </row>
    <row r="46" ht="63.75" customHeight="1" s="169">
      <c r="A46" s="192" t="n">
        <v>10</v>
      </c>
      <c r="B46" s="193" t="inlineStr">
        <is>
          <t>Регулятор давления РД-НО (Нормально открытый) Ду 32 Ру 16</t>
        </is>
      </c>
      <c r="C46" s="210" t="inlineStr">
        <is>
          <t>СНИЦ.423.117.013 ТУ</t>
        </is>
      </c>
      <c r="D46" s="210" t="n">
        <v>32</v>
      </c>
      <c r="E46" s="210" t="inlineStr">
        <is>
          <t>полнопроходной</t>
        </is>
      </c>
      <c r="F46" s="210" t="n">
        <v>1.6</v>
      </c>
      <c r="G46" s="210" t="inlineStr">
        <is>
          <t>До +95°С</t>
        </is>
      </c>
      <c r="H46" s="210" t="inlineStr">
        <is>
          <t>вода</t>
        </is>
      </c>
      <c r="I46" s="210" t="inlineStr">
        <is>
          <t>чугун СЧ20 ГОСТ1412</t>
        </is>
      </c>
      <c r="J46" s="210" t="inlineStr">
        <is>
          <t>В условиях У по ГОСТ 15150-69 при соблюдении условий, установленных ГОСТ Р 52931-2008 для группы В4</t>
        </is>
      </c>
      <c r="K46" s="210" t="inlineStr">
        <is>
          <t>фланцевое</t>
        </is>
      </c>
      <c r="L46" s="210" t="inlineStr">
        <is>
          <t>автоматический</t>
        </is>
      </c>
      <c r="M46" s="210" t="inlineStr">
        <is>
          <t>поддержание заданного давления</t>
        </is>
      </c>
      <c r="N46" s="230" t="inlineStr">
        <is>
          <t>Вертикальное, мембраной вверх</t>
        </is>
      </c>
      <c r="O46" s="210" t="inlineStr">
        <is>
          <t>Седло-ВЧ40 ГОСТ7293-85, шток-сталь 20Л ГОСТ977-88, исполнительный орган-12Х18Н9ТЛ ГОСТ977-88.</t>
        </is>
      </c>
      <c r="P46" s="210" t="inlineStr">
        <is>
          <t xml:space="preserve">◦H = 630 мм
◦L = 180 мм (строительная длина)
</t>
        </is>
      </c>
      <c r="Q46" s="210" t="inlineStr">
        <is>
          <t>Пропускная способность - 16м3
Предел регулирования - 0,1...0,63 Мпа
Уплотнение - сальниковое
Габаритный размер — Н=620мм</t>
        </is>
      </c>
      <c r="R46" s="198">
        <f>A46</f>
        <v/>
      </c>
      <c r="S46" s="205" t="n"/>
      <c r="T46" s="205" t="n"/>
      <c r="U46" s="205" t="n"/>
      <c r="V46" s="205" t="n"/>
      <c r="W46" s="205" t="n"/>
      <c r="X46" s="205" t="n"/>
      <c r="Y46" s="205" t="n"/>
      <c r="Z46" s="205" t="n"/>
      <c r="AA46" s="205" t="n"/>
      <c r="AB46" s="205" t="n"/>
      <c r="AC46" s="205" t="n"/>
      <c r="AD46" s="205" t="n"/>
      <c r="AE46" s="205" t="n"/>
      <c r="AF46" s="205" t="n"/>
      <c r="AG46" s="205" t="n"/>
      <c r="AH46" s="205" t="n"/>
      <c r="AI46" s="202" t="n"/>
    </row>
    <row r="47" ht="63.75" customHeight="1" s="169">
      <c r="A47" s="192" t="n">
        <v>11</v>
      </c>
      <c r="B47" s="193" t="inlineStr">
        <is>
          <t>Регулятор давления РД-НО (Нормально открытый) Ду 50 Ру 16</t>
        </is>
      </c>
      <c r="C47" s="210" t="inlineStr">
        <is>
          <t>СНИЦ.423.117.013 ТУ</t>
        </is>
      </c>
      <c r="D47" s="210" t="n">
        <v>50</v>
      </c>
      <c r="E47" s="210" t="inlineStr">
        <is>
          <t>полнопроходной</t>
        </is>
      </c>
      <c r="F47" s="210" t="n">
        <v>1.6</v>
      </c>
      <c r="G47" s="210" t="inlineStr">
        <is>
          <t>До +95°С</t>
        </is>
      </c>
      <c r="H47" s="210" t="inlineStr">
        <is>
          <t>вода</t>
        </is>
      </c>
      <c r="I47" s="210" t="inlineStr">
        <is>
          <t>чугун СЧ20 ГОСТ1412</t>
        </is>
      </c>
      <c r="J47" s="210" t="inlineStr">
        <is>
          <t>В условиях У по ГОСТ 15150-69 при соблюдении условий, установленных ГОСТ Р 52931-2008 для группы В4</t>
        </is>
      </c>
      <c r="K47" s="210" t="inlineStr">
        <is>
          <t>фланцевое</t>
        </is>
      </c>
      <c r="L47" s="210" t="inlineStr">
        <is>
          <t>автоматический</t>
        </is>
      </c>
      <c r="M47" s="210" t="inlineStr">
        <is>
          <t>поддержание заданного давления</t>
        </is>
      </c>
      <c r="N47" s="230" t="inlineStr">
        <is>
          <t>Вертикальное, мембраной вверх</t>
        </is>
      </c>
      <c r="O47" s="210" t="inlineStr">
        <is>
          <t>Седло-ВЧ40 ГОСТ7293-85, шток-сталь 20Л ГОСТ977-88, исполнительный орган-12Х18Н9ТЛ ГОСТ977-88.</t>
        </is>
      </c>
      <c r="P47" s="210" t="inlineStr">
        <is>
          <t xml:space="preserve">◦H = 650 мм
◦L = 230 мм (строительная длина)
</t>
        </is>
      </c>
      <c r="Q47" s="210" t="inlineStr">
        <is>
          <t>Пропускная способность - 20м3
Предел регулирования - 0,1...0,63 Мпа
Уплотнение - сальниковое</t>
        </is>
      </c>
      <c r="R47" s="198">
        <f>A47</f>
        <v/>
      </c>
      <c r="S47" s="205" t="n"/>
      <c r="T47" s="205" t="n"/>
      <c r="U47" s="205" t="n"/>
      <c r="V47" s="205" t="n"/>
      <c r="W47" s="205" t="n"/>
      <c r="X47" s="205" t="n"/>
      <c r="Y47" s="205" t="n"/>
      <c r="Z47" s="205" t="n"/>
      <c r="AA47" s="205" t="n"/>
      <c r="AB47" s="205" t="n"/>
      <c r="AC47" s="205" t="n"/>
      <c r="AD47" s="205" t="n"/>
      <c r="AE47" s="205" t="n"/>
      <c r="AF47" s="205" t="n"/>
      <c r="AG47" s="205" t="n"/>
      <c r="AH47" s="205" t="n"/>
      <c r="AI47" s="202" t="n"/>
    </row>
    <row r="48" ht="140.25" customHeight="1" s="169">
      <c r="A48" s="192" t="n">
        <v>12</v>
      </c>
      <c r="B48" s="193" t="inlineStr">
        <is>
          <t>Регулятор давления РД-НО (Нормально открытый) Ду 80 Ру 16</t>
        </is>
      </c>
      <c r="C48" s="210" t="inlineStr">
        <is>
          <t>СНИЦ.423.117.013 ТУ</t>
        </is>
      </c>
      <c r="D48" s="210" t="n">
        <v>80</v>
      </c>
      <c r="E48" s="210" t="inlineStr">
        <is>
          <t>полнопроходной</t>
        </is>
      </c>
      <c r="F48" s="210" t="n">
        <v>1.6</v>
      </c>
      <c r="G48" s="231" t="inlineStr">
        <is>
          <t>До +180°С</t>
        </is>
      </c>
      <c r="H48" s="210" t="inlineStr">
        <is>
          <t>вода</t>
        </is>
      </c>
      <c r="I48" s="210" t="inlineStr">
        <is>
          <t>Сталь марки 20</t>
        </is>
      </c>
      <c r="J48" s="210" t="inlineStr">
        <is>
          <t xml:space="preserve"> в условиях У по ГОСТ 15150-69 при соблюдении условий, установленных ГОСТ Р 52931-2008 для группы В4</t>
        </is>
      </c>
      <c r="K48" s="210" t="inlineStr">
        <is>
          <t>фланцевое</t>
        </is>
      </c>
      <c r="L48" s="210" t="inlineStr">
        <is>
          <t>автоматический</t>
        </is>
      </c>
      <c r="M48" s="210" t="inlineStr">
        <is>
          <t>поддержание заданного давления</t>
        </is>
      </c>
      <c r="N48" s="210" t="inlineStr">
        <is>
          <t>мембраной вверх</t>
        </is>
      </c>
      <c r="O48" s="210" t="inlineStr">
        <is>
          <t>Седло-ВЧ40 ГОСТ7293-85, шток-сталь 20Л ГОСТ977-88, исполнительный орган-12Х18Н9ТЛ ГОСТ977-88.</t>
        </is>
      </c>
      <c r="P48" s="210" t="inlineStr">
        <is>
          <t xml:space="preserve">◦H = 800 мм
◦D1 = 133 мм
◦D2 = 160 мм
◦D3 = 195 мм
◦D4 = 18 мм
◦L = 310 мм (строительная длина)
◦B = 310 мм
◦n = 4 мм
</t>
        </is>
      </c>
      <c r="Q48" s="210" t="inlineStr">
        <is>
          <t>Пропускная способность:  40 м3, 
уплотнение: сальниковое;
пределы регулирования от 0,1 до 0,63 МПа..</t>
        </is>
      </c>
      <c r="R48" s="198">
        <f>A48</f>
        <v/>
      </c>
      <c r="S48" s="205" t="n"/>
      <c r="T48" s="205" t="n"/>
      <c r="U48" s="205" t="n"/>
      <c r="V48" s="205" t="n"/>
      <c r="W48" s="205" t="n"/>
      <c r="X48" s="205" t="n"/>
      <c r="Y48" s="205" t="n"/>
      <c r="Z48" s="205" t="n"/>
      <c r="AA48" s="205" t="n"/>
      <c r="AB48" s="205" t="n"/>
      <c r="AC48" s="205" t="n"/>
      <c r="AD48" s="205" t="n"/>
      <c r="AE48" s="205" t="n"/>
      <c r="AF48" s="205" t="n"/>
      <c r="AG48" s="205" t="n"/>
      <c r="AH48" s="205" t="n"/>
      <c r="AI48" s="202" t="n"/>
    </row>
    <row r="49" ht="240" customFormat="1" customHeight="1" s="171">
      <c r="A49" s="192" t="n">
        <v>13</v>
      </c>
      <c r="B49" s="193" t="inlineStr">
        <is>
          <t>Регулирующий блок после себя AFD Ду 15-250 с диапазоном настройки Ру 25</t>
        </is>
      </c>
      <c r="C49" s="210" t="n"/>
      <c r="D49" s="207" t="inlineStr">
        <is>
          <t>15-250</t>
        </is>
      </c>
      <c r="E49" s="207" t="inlineStr">
        <is>
          <t>отсутствует</t>
        </is>
      </c>
      <c r="F49" s="207" t="inlineStr">
        <is>
          <t>Условное давление датчика (PN), погружная
гильза,
2,5</t>
        </is>
      </c>
      <c r="G49" s="207" t="inlineStr">
        <is>
          <t xml:space="preserve">
от 2–150 °С</t>
        </is>
      </c>
      <c r="H49" s="207" t="inlineStr">
        <is>
          <t>Вода или 30% водный раствор гликоля</t>
        </is>
      </c>
      <c r="I49" s="207" t="inlineStr">
        <is>
          <t>Нержавеющая сталь</t>
        </is>
      </c>
      <c r="J49" s="207" t="inlineStr">
        <is>
          <t>Категория 3 по ГОСТ 15150-69</t>
        </is>
      </c>
      <c r="K49" s="207" t="inlineStr">
        <is>
          <t>отсутствует</t>
        </is>
      </c>
      <c r="L49" s="207" t="inlineStr">
        <is>
          <t>отсутствует</t>
        </is>
      </c>
      <c r="M49" s="207" t="inlineStr">
        <is>
          <t>-</t>
        </is>
      </c>
      <c r="N49" s="207" t="inlineStr">
        <is>
          <t>вертикальное</t>
        </is>
      </c>
      <c r="O49" s="207" t="inlineStr">
        <is>
          <t>Номинальный диаметр (DN), мм 15-250
Условное давление датчика (PN), погружная
гильза, бар
25
Рабочая среда см. характеристики регулирующего клапана
Диапазон регулируемого давления ΔPрег., бар 1–6
Вид регулирующего клапана VFG-2R
Площадь регулирующей диафрагмы, см2 80
Цвет пружины красный
Климатическое исполнение Категория 3 по ГОСТ 15150-69
Корпус регулирующего блока Нержавеющая сталь
Регулирующая диафрагма EPDM</t>
        </is>
      </c>
      <c r="P49" s="207" t="inlineStr">
        <is>
          <t>H, мм
430</t>
        </is>
      </c>
      <c r="Q49" s="210" t="inlineStr">
        <is>
          <t>Каталожный номер 003G1002R</t>
        </is>
      </c>
      <c r="R49" s="198">
        <f>A49</f>
        <v/>
      </c>
      <c r="S49" s="205" t="n"/>
      <c r="T49" s="205" t="n"/>
      <c r="U49" s="205" t="n"/>
      <c r="V49" s="205" t="n"/>
      <c r="W49" s="205" t="n"/>
      <c r="X49" s="205" t="n"/>
      <c r="Y49" s="205" t="n"/>
      <c r="Z49" s="205" t="n"/>
      <c r="AA49" s="205" t="n"/>
      <c r="AB49" s="205" t="n"/>
      <c r="AC49" s="205" t="n"/>
      <c r="AD49" s="205" t="n"/>
      <c r="AE49" s="205" t="n"/>
      <c r="AF49" s="205" t="n"/>
      <c r="AG49" s="205" t="n"/>
      <c r="AH49" s="205" t="n"/>
      <c r="AI49" s="202" t="n"/>
    </row>
    <row r="50" ht="51" customHeight="1" s="169">
      <c r="A50" s="192" t="n">
        <v>14</v>
      </c>
      <c r="B50" s="193" t="inlineStr">
        <is>
          <t>Клапан обратный 19с53нж Ду 80 Ру 40</t>
        </is>
      </c>
      <c r="C50" s="210" t="n"/>
      <c r="D50" s="210" t="n">
        <v>80</v>
      </c>
      <c r="E50" s="210" t="n"/>
      <c r="F50" s="210" t="n">
        <v>4</v>
      </c>
      <c r="G50" s="210" t="inlineStr">
        <is>
          <t>От -29 до    +425С</t>
        </is>
      </c>
      <c r="H50" s="210" t="inlineStr">
        <is>
          <t>Вода</t>
        </is>
      </c>
      <c r="I50" s="210" t="inlineStr">
        <is>
          <t xml:space="preserve">Углеродистая сталь </t>
        </is>
      </c>
      <c r="J50" s="210" t="inlineStr">
        <is>
          <t>У</t>
        </is>
      </c>
      <c r="K50" s="210" t="inlineStr">
        <is>
          <t>Фланцевое</t>
        </is>
      </c>
      <c r="L50" s="210" t="n"/>
      <c r="M50" s="210" t="n"/>
      <c r="N50" s="210" t="n"/>
      <c r="O50" s="210" t="inlineStr">
        <is>
          <t>Материа запорного органа - Сталь (A216 WCB + 13Cr), Тип уплотнения - Графит+нержавеющая сталь</t>
        </is>
      </c>
      <c r="P50" s="210" t="n"/>
      <c r="Q50" s="210" t="n"/>
      <c r="R50" s="198">
        <f>A50</f>
        <v/>
      </c>
      <c r="S50" s="205" t="n"/>
      <c r="T50" s="205" t="n"/>
      <c r="U50" s="205" t="n"/>
      <c r="V50" s="205" t="n"/>
      <c r="W50" s="205" t="n"/>
      <c r="X50" s="205" t="n"/>
      <c r="Y50" s="205" t="n"/>
      <c r="Z50" s="205" t="n"/>
      <c r="AA50" s="205" t="n"/>
      <c r="AB50" s="205" t="n"/>
      <c r="AC50" s="205" t="n"/>
      <c r="AD50" s="205" t="n"/>
      <c r="AE50" s="205" t="n"/>
      <c r="AF50" s="205" t="n"/>
      <c r="AG50" s="205" t="n"/>
      <c r="AH50" s="205" t="n"/>
      <c r="AI50" s="202" t="n"/>
    </row>
    <row r="51" ht="51" customHeight="1" s="169">
      <c r="A51" s="192" t="n">
        <v>15</v>
      </c>
      <c r="B51" s="193" t="inlineStr">
        <is>
          <t>Клапан обратный 19с53нж Ду 150 Ру 40</t>
        </is>
      </c>
      <c r="C51" s="210" t="n"/>
      <c r="D51" s="210" t="n">
        <v>150</v>
      </c>
      <c r="E51" s="210" t="n"/>
      <c r="F51" s="210" t="n">
        <v>4</v>
      </c>
      <c r="G51" s="210" t="inlineStr">
        <is>
          <t>От -29 до    +425С</t>
        </is>
      </c>
      <c r="H51" s="210" t="inlineStr">
        <is>
          <t>Вода</t>
        </is>
      </c>
      <c r="I51" s="210" t="inlineStr">
        <is>
          <t xml:space="preserve">Углеродистая сталь </t>
        </is>
      </c>
      <c r="J51" s="210" t="inlineStr">
        <is>
          <t>У</t>
        </is>
      </c>
      <c r="K51" s="210" t="inlineStr">
        <is>
          <t>Фланцевое</t>
        </is>
      </c>
      <c r="L51" s="210" t="n"/>
      <c r="M51" s="210" t="n"/>
      <c r="N51" s="210" t="n"/>
      <c r="O51" s="210" t="inlineStr">
        <is>
          <t>Материа запорного органа - Сталь (A216 WCB + 13Cr), Тип уплотнения - Графит+нержавеющая сталь</t>
        </is>
      </c>
      <c r="P51" s="210" t="n"/>
      <c r="Q51" s="210" t="n"/>
      <c r="R51" s="198">
        <f>A51</f>
        <v/>
      </c>
      <c r="S51" s="205" t="n"/>
      <c r="T51" s="205" t="n"/>
      <c r="U51" s="205" t="n"/>
      <c r="V51" s="205" t="n"/>
      <c r="W51" s="205" t="n"/>
      <c r="X51" s="205" t="n"/>
      <c r="Y51" s="205" t="n"/>
      <c r="Z51" s="205" t="n"/>
      <c r="AA51" s="205" t="n"/>
      <c r="AB51" s="205" t="n"/>
      <c r="AC51" s="205" t="n"/>
      <c r="AD51" s="205" t="n"/>
      <c r="AE51" s="205" t="n"/>
      <c r="AF51" s="205" t="n"/>
      <c r="AG51" s="205" t="n"/>
      <c r="AH51" s="205" t="n"/>
      <c r="AI51" s="202" t="n"/>
    </row>
    <row r="52" ht="51" customHeight="1" s="169">
      <c r="A52" s="192" t="n">
        <v>16</v>
      </c>
      <c r="B52" s="193" t="inlineStr">
        <is>
          <t xml:space="preserve">Клапан обратный межфланцевый 19ч21бр Ду 100 Ру 16 </t>
        </is>
      </c>
      <c r="C52" s="210" t="inlineStr">
        <is>
          <t>ТУ 372240-001-48140495-05</t>
        </is>
      </c>
      <c r="D52" s="210" t="n">
        <v>100</v>
      </c>
      <c r="E52" s="210" t="inlineStr">
        <is>
          <t>полнопроходной</t>
        </is>
      </c>
      <c r="F52" s="210" t="n">
        <v>1.6</v>
      </c>
      <c r="G52" s="210" t="inlineStr">
        <is>
          <t>До +225°С</t>
        </is>
      </c>
      <c r="H52" s="210" t="inlineStr">
        <is>
          <t>вода</t>
        </is>
      </c>
      <c r="I52" s="210" t="inlineStr">
        <is>
          <t>чугун СЧ18</t>
        </is>
      </c>
      <c r="J52" s="210" t="inlineStr">
        <is>
          <t>У1</t>
        </is>
      </c>
      <c r="K52" s="231" t="inlineStr">
        <is>
          <t>межфланцевое</t>
        </is>
      </c>
      <c r="L52" s="210" t="inlineStr">
        <is>
          <t>автоматический</t>
        </is>
      </c>
      <c r="M52" s="210" t="inlineStr">
        <is>
          <t>компенсация гидроударов</t>
        </is>
      </c>
      <c r="N52" s="210" t="inlineStr">
        <is>
          <t>любое</t>
        </is>
      </c>
      <c r="O52" s="210" t="inlineStr">
        <is>
          <t>Корпус: Сч18 Захлопка: Сч18 Ось: Сталь 20х13 Уплотнение: Латунь ЛЦ40С</t>
        </is>
      </c>
      <c r="P52" s="210" t="inlineStr">
        <is>
          <t>строительная длинна 80мм</t>
        </is>
      </c>
      <c r="Q52" s="197" t="n"/>
      <c r="R52" s="198">
        <f>A52</f>
        <v/>
      </c>
      <c r="S52" s="205" t="n"/>
      <c r="T52" s="205" t="n"/>
      <c r="U52" s="205" t="n"/>
      <c r="V52" s="205" t="n"/>
      <c r="W52" s="205" t="n"/>
      <c r="X52" s="205" t="n"/>
      <c r="Y52" s="205" t="n"/>
      <c r="Z52" s="205" t="n"/>
      <c r="AA52" s="205" t="n"/>
      <c r="AB52" s="205" t="n"/>
      <c r="AC52" s="205" t="n"/>
      <c r="AD52" s="205" t="n"/>
      <c r="AE52" s="205" t="n"/>
      <c r="AF52" s="205" t="n"/>
      <c r="AG52" s="205" t="n"/>
      <c r="AH52" s="205" t="n"/>
      <c r="AI52" s="202" t="n"/>
    </row>
    <row r="53" ht="51" customHeight="1" s="169">
      <c r="A53" s="192" t="n">
        <v>17</v>
      </c>
      <c r="B53" s="193" t="inlineStr">
        <is>
          <t>Клапан обратный межфланцевый 19ч21бр Ду 50 Ру 16</t>
        </is>
      </c>
      <c r="C53" s="232" t="inlineStr">
        <is>
          <t>ТУ 372240-001-48140495-05</t>
        </is>
      </c>
      <c r="D53" s="233" t="n">
        <v>50</v>
      </c>
      <c r="E53" s="234" t="inlineStr">
        <is>
          <t>полнопроходной</t>
        </is>
      </c>
      <c r="F53" s="235" t="n">
        <v>1.6</v>
      </c>
      <c r="G53" s="210" t="inlineStr">
        <is>
          <t>До +225°С</t>
        </is>
      </c>
      <c r="H53" s="233" t="inlineStr">
        <is>
          <t>вода</t>
        </is>
      </c>
      <c r="I53" s="233" t="inlineStr">
        <is>
          <t>чугун СЧ18</t>
        </is>
      </c>
      <c r="J53" s="234" t="inlineStr">
        <is>
          <t>У1</t>
        </is>
      </c>
      <c r="K53" s="236" t="inlineStr">
        <is>
          <t>межфланцевое</t>
        </is>
      </c>
      <c r="L53" s="234" t="inlineStr">
        <is>
          <t>автоматический</t>
        </is>
      </c>
      <c r="M53" s="210" t="inlineStr">
        <is>
          <t>компенсация гидроударов</t>
        </is>
      </c>
      <c r="N53" s="236" t="inlineStr">
        <is>
          <t>любое</t>
        </is>
      </c>
      <c r="O53" s="234" t="inlineStr">
        <is>
          <t>Корпус: Сч18 Захлопка: Сч18 Ось: Сталь 20х13 Уплотнение: Латунь ЛЦ40С</t>
        </is>
      </c>
      <c r="P53" s="236" t="inlineStr">
        <is>
          <t>строительная длинна 60мм</t>
        </is>
      </c>
      <c r="Q53" s="197" t="n"/>
      <c r="R53" s="198">
        <f>A53</f>
        <v/>
      </c>
      <c r="S53" s="205" t="n"/>
      <c r="T53" s="205" t="n"/>
      <c r="U53" s="205" t="n"/>
      <c r="V53" s="205" t="n"/>
      <c r="W53" s="205" t="n"/>
      <c r="X53" s="205" t="n"/>
      <c r="Y53" s="205" t="n"/>
      <c r="Z53" s="205" t="n"/>
      <c r="AA53" s="205" t="n"/>
      <c r="AB53" s="205" t="n"/>
      <c r="AC53" s="205" t="n"/>
      <c r="AD53" s="205" t="n"/>
      <c r="AE53" s="205" t="n"/>
      <c r="AF53" s="205" t="n"/>
      <c r="AG53" s="205" t="n"/>
      <c r="AH53" s="205" t="n"/>
      <c r="AI53" s="202" t="n"/>
    </row>
    <row r="54" ht="51" customHeight="1" s="169">
      <c r="A54" s="192" t="n">
        <v>18</v>
      </c>
      <c r="B54" s="193" t="inlineStr">
        <is>
          <t>Клапан обратный межфланцевый 19ч21бр Ду 80 Ру 16</t>
        </is>
      </c>
      <c r="C54" s="210" t="inlineStr">
        <is>
          <t>ТУ 372240-001-48140495-05</t>
        </is>
      </c>
      <c r="D54" s="210" t="n">
        <v>80</v>
      </c>
      <c r="E54" s="210" t="inlineStr">
        <is>
          <t>полнопроходной</t>
        </is>
      </c>
      <c r="F54" s="210" t="n">
        <v>1.6</v>
      </c>
      <c r="G54" s="210" t="inlineStr">
        <is>
          <t>До +225°С</t>
        </is>
      </c>
      <c r="H54" s="210" t="inlineStr">
        <is>
          <t>вода</t>
        </is>
      </c>
      <c r="I54" s="210" t="inlineStr">
        <is>
          <t>чугун СЧ18</t>
        </is>
      </c>
      <c r="J54" s="210" t="inlineStr">
        <is>
          <t>У1</t>
        </is>
      </c>
      <c r="K54" s="210" t="inlineStr">
        <is>
          <t>межфланцевое</t>
        </is>
      </c>
      <c r="L54" s="210" t="inlineStr">
        <is>
          <t>автоматический</t>
        </is>
      </c>
      <c r="M54" s="210" t="inlineStr">
        <is>
          <t>компенсация гидроударов</t>
        </is>
      </c>
      <c r="N54" s="210" t="inlineStr">
        <is>
          <t>любое</t>
        </is>
      </c>
      <c r="O54" s="210" t="inlineStr">
        <is>
          <t>Корпус: Сч18 Захлопка: Сч18 Ось: Сталь 20х13 Уплотнение: Латунь ЛЦ40С</t>
        </is>
      </c>
      <c r="P54" s="210" t="inlineStr">
        <is>
          <t>строительная длинна 70мм</t>
        </is>
      </c>
      <c r="Q54" s="197" t="n"/>
      <c r="R54" s="198">
        <f>A54</f>
        <v/>
      </c>
      <c r="S54" s="205" t="n"/>
      <c r="T54" s="205" t="n"/>
      <c r="U54" s="205" t="n"/>
      <c r="V54" s="205" t="n"/>
      <c r="W54" s="205" t="n"/>
      <c r="X54" s="205" t="n"/>
      <c r="Y54" s="205" t="n"/>
      <c r="Z54" s="205" t="n"/>
      <c r="AA54" s="205" t="n"/>
      <c r="AB54" s="205" t="n"/>
      <c r="AC54" s="205" t="n"/>
      <c r="AD54" s="205" t="n"/>
      <c r="AE54" s="205" t="n"/>
      <c r="AF54" s="205" t="n"/>
      <c r="AG54" s="205" t="n"/>
      <c r="AH54" s="205" t="n"/>
      <c r="AI54" s="202" t="n"/>
    </row>
    <row r="55" ht="90" customHeight="1" s="169">
      <c r="A55" s="192" t="n">
        <v>19</v>
      </c>
      <c r="B55" s="193" t="inlineStr">
        <is>
          <t xml:space="preserve">Клапан обратный двухстворчатый DENDOR 010C Ду 100 Ру 16 </t>
        </is>
      </c>
      <c r="C55" s="232" t="inlineStr">
        <is>
          <t>ТУ 3732-023-62977923-2015</t>
        </is>
      </c>
      <c r="D55" s="237" t="n">
        <v>100</v>
      </c>
      <c r="E55" s="232" t="inlineStr">
        <is>
          <t>стандартное</t>
        </is>
      </c>
      <c r="F55" s="232" t="n">
        <v>1.6</v>
      </c>
      <c r="G55" s="231" t="inlineStr">
        <is>
          <t>До +130°С</t>
        </is>
      </c>
      <c r="H55" s="231" t="inlineStr">
        <is>
          <t>вода</t>
        </is>
      </c>
      <c r="I55" s="232" t="inlineStr">
        <is>
          <t>Чугун EN-GJS-400-15</t>
        </is>
      </c>
      <c r="J55" s="231" t="inlineStr">
        <is>
          <t>У3</t>
        </is>
      </c>
      <c r="K55" s="231" t="inlineStr">
        <is>
          <t>межфланцевое</t>
        </is>
      </c>
      <c r="L55" s="231" t="inlineStr">
        <is>
          <t>-</t>
        </is>
      </c>
      <c r="M55" s="231" t="inlineStr">
        <is>
          <t>-</t>
        </is>
      </c>
      <c r="N55" s="231" t="inlineStr">
        <is>
          <t>любое</t>
        </is>
      </c>
      <c r="O55"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5" s="197" t="n"/>
      <c r="Q55" s="197" t="n"/>
      <c r="R55" s="198">
        <f>A55</f>
        <v/>
      </c>
      <c r="S55" s="205" t="n"/>
      <c r="T55" s="205" t="n"/>
      <c r="U55" s="205" t="n"/>
      <c r="V55" s="205" t="n"/>
      <c r="W55" s="205" t="n"/>
      <c r="X55" s="205" t="n"/>
      <c r="Y55" s="205" t="n"/>
      <c r="Z55" s="205" t="n"/>
      <c r="AA55" s="205" t="n"/>
      <c r="AB55" s="205" t="n"/>
      <c r="AC55" s="205" t="n"/>
      <c r="AD55" s="205" t="n"/>
      <c r="AE55" s="205" t="n"/>
      <c r="AF55" s="205" t="n"/>
      <c r="AG55" s="205" t="n"/>
      <c r="AH55" s="205" t="n"/>
      <c r="AI55" s="202" t="n"/>
    </row>
    <row r="56" ht="90" customFormat="1" customHeight="1" s="171">
      <c r="A56" s="192" t="n">
        <v>20</v>
      </c>
      <c r="B56" s="193" t="inlineStr">
        <is>
          <t>Клапан обратный двухстворчатый DENDOR 010C Ду 200 Ру 16</t>
        </is>
      </c>
      <c r="C56" s="232" t="inlineStr">
        <is>
          <t>ТУ 3732-023-62977923-2015</t>
        </is>
      </c>
      <c r="D56" s="237" t="n">
        <v>200</v>
      </c>
      <c r="E56" s="232" t="inlineStr">
        <is>
          <t>стандартное</t>
        </is>
      </c>
      <c r="F56" s="232" t="n">
        <v>1.6</v>
      </c>
      <c r="G56" s="231" t="inlineStr">
        <is>
          <t>До +130°С</t>
        </is>
      </c>
      <c r="H56" s="231" t="inlineStr">
        <is>
          <t>вода</t>
        </is>
      </c>
      <c r="I56" s="232" t="inlineStr">
        <is>
          <t>Чугун EN-GJS-400-15</t>
        </is>
      </c>
      <c r="J56" s="231" t="inlineStr">
        <is>
          <t>У3</t>
        </is>
      </c>
      <c r="K56" s="231" t="inlineStr">
        <is>
          <t>межфланцевое</t>
        </is>
      </c>
      <c r="L56" s="231" t="inlineStr">
        <is>
          <t>-</t>
        </is>
      </c>
      <c r="M56" s="231" t="inlineStr">
        <is>
          <t>-</t>
        </is>
      </c>
      <c r="N56" s="231" t="inlineStr">
        <is>
          <t>любое</t>
        </is>
      </c>
      <c r="O56"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6" s="197" t="n"/>
      <c r="Q56" s="197" t="n"/>
      <c r="R56" s="198">
        <f>A56</f>
        <v/>
      </c>
      <c r="S56" s="205" t="n"/>
      <c r="T56" s="205" t="n"/>
      <c r="U56" s="205" t="n"/>
      <c r="V56" s="205" t="n"/>
      <c r="W56" s="205" t="n"/>
      <c r="X56" s="205" t="n"/>
      <c r="Y56" s="205" t="n"/>
      <c r="Z56" s="205" t="n"/>
      <c r="AA56" s="205" t="n"/>
      <c r="AB56" s="205" t="n"/>
      <c r="AC56" s="205" t="n"/>
      <c r="AD56" s="205" t="n"/>
      <c r="AE56" s="205" t="n"/>
      <c r="AF56" s="205" t="n"/>
      <c r="AG56" s="205" t="n"/>
      <c r="AH56" s="205" t="n"/>
      <c r="AI56" s="202" t="n"/>
    </row>
    <row r="57" ht="51" customHeight="1" s="169">
      <c r="A57" s="192" t="n">
        <v>21</v>
      </c>
      <c r="B57" s="193" t="inlineStr">
        <is>
          <t>Клапан обратный фланцевый Ду 50 Ру 40</t>
        </is>
      </c>
      <c r="C57" s="210" t="n"/>
      <c r="D57" s="210" t="n">
        <v>50</v>
      </c>
      <c r="E57" s="210" t="n"/>
      <c r="F57" s="210" t="n">
        <v>4</v>
      </c>
      <c r="G57" s="210" t="inlineStr">
        <is>
          <t>От -29 до    +425С</t>
        </is>
      </c>
      <c r="H57" s="210" t="inlineStr">
        <is>
          <t>Вода</t>
        </is>
      </c>
      <c r="I57" s="210" t="inlineStr">
        <is>
          <t xml:space="preserve">Углеродистая сталь </t>
        </is>
      </c>
      <c r="J57" s="210" t="n"/>
      <c r="K57" s="210" t="inlineStr">
        <is>
          <t>Фланцевое</t>
        </is>
      </c>
      <c r="L57" s="210" t="n"/>
      <c r="M57" s="210" t="n"/>
      <c r="N57" s="210" t="n"/>
      <c r="O57" s="210" t="inlineStr">
        <is>
          <t>Материа запорного органа - Сталь (A216 WCB + 13Cr), Тип уплотнения - Графит+нержавеющая сталь</t>
        </is>
      </c>
      <c r="P57" s="210" t="n"/>
      <c r="Q57" s="210" t="n"/>
      <c r="R57" s="198">
        <f>A57</f>
        <v/>
      </c>
      <c r="S57" s="205" t="n"/>
      <c r="T57" s="205" t="n"/>
      <c r="U57" s="205" t="n"/>
      <c r="V57" s="205" t="n"/>
      <c r="W57" s="205" t="n"/>
      <c r="X57" s="205" t="n"/>
      <c r="Y57" s="205" t="n"/>
      <c r="Z57" s="205" t="n"/>
      <c r="AA57" s="205" t="n"/>
      <c r="AB57" s="205" t="n"/>
      <c r="AC57" s="205" t="n"/>
      <c r="AD57" s="205" t="n"/>
      <c r="AE57" s="205" t="n"/>
      <c r="AF57" s="205" t="n"/>
      <c r="AG57" s="205" t="n"/>
      <c r="AH57" s="205" t="n"/>
      <c r="AI57" s="202" t="n"/>
    </row>
    <row r="58" ht="51" customHeight="1" s="169">
      <c r="A58" s="192" t="n">
        <v>22</v>
      </c>
      <c r="B58" s="193" t="inlineStr">
        <is>
          <t>Обратный клапан «Гранлок» серии CV16 Ду 150 Ру 16</t>
        </is>
      </c>
      <c r="C58" s="197" t="inlineStr">
        <is>
          <t>ТУ 3700-005-81673229-2009</t>
        </is>
      </c>
      <c r="D58" s="237" t="n">
        <v>150</v>
      </c>
      <c r="E58" s="232" t="inlineStr">
        <is>
          <t>стандартное</t>
        </is>
      </c>
      <c r="F58" s="232" t="n">
        <v>1.6</v>
      </c>
      <c r="G58" s="231" t="inlineStr">
        <is>
          <t>До +110°С</t>
        </is>
      </c>
      <c r="H58" s="231" t="inlineStr">
        <is>
          <t>вода</t>
        </is>
      </c>
      <c r="I58" s="231" t="inlineStr">
        <is>
          <t>чугун GG25</t>
        </is>
      </c>
      <c r="J58" s="231" t="inlineStr">
        <is>
          <t>У3</t>
        </is>
      </c>
      <c r="K58" s="231" t="inlineStr">
        <is>
          <t>межфланцевое</t>
        </is>
      </c>
      <c r="L58" s="231" t="inlineStr">
        <is>
          <t>-</t>
        </is>
      </c>
      <c r="M58" s="231" t="inlineStr">
        <is>
          <t>-</t>
        </is>
      </c>
      <c r="N58" s="231" t="inlineStr">
        <is>
          <t>любое</t>
        </is>
      </c>
      <c r="O58" s="231" t="inlineStr">
        <is>
          <t>клапан двухстворчатый</t>
        </is>
      </c>
      <c r="P58" s="210" t="n"/>
      <c r="Q58" s="210" t="n"/>
      <c r="R58" s="198">
        <f>A58</f>
        <v/>
      </c>
      <c r="S58" s="205" t="n"/>
      <c r="T58" s="205" t="n"/>
      <c r="U58" s="205" t="n"/>
      <c r="V58" s="205" t="n"/>
      <c r="W58" s="205" t="n"/>
      <c r="X58" s="205" t="n"/>
      <c r="Y58" s="205" t="n"/>
      <c r="Z58" s="205" t="n"/>
      <c r="AA58" s="205" t="n"/>
      <c r="AB58" s="205" t="n"/>
      <c r="AC58" s="205" t="n"/>
      <c r="AD58" s="205" t="n"/>
      <c r="AE58" s="205" t="n"/>
      <c r="AF58" s="205" t="n"/>
      <c r="AG58" s="205" t="n"/>
      <c r="AH58" s="205" t="n"/>
      <c r="AI58" s="202" t="n"/>
    </row>
    <row r="59" ht="127.5" customHeight="1" s="169">
      <c r="A59" s="192" t="n">
        <v>23</v>
      </c>
      <c r="B59" s="193" t="inlineStr">
        <is>
          <t>Клапан обратный 16нж10нж Ду 50 Ру 16</t>
        </is>
      </c>
      <c r="C59" s="210" t="inlineStr">
        <is>
          <t>ГОСТ 33423-2015</t>
        </is>
      </c>
      <c r="D59" s="210" t="n">
        <v>50</v>
      </c>
      <c r="E59" s="210" t="inlineStr">
        <is>
          <t>стандарт</t>
        </is>
      </c>
      <c r="F59" s="210" t="n">
        <v>1.6</v>
      </c>
      <c r="G59" s="210" t="inlineStr">
        <is>
          <t>— 60 ºC до 350 °C</t>
        </is>
      </c>
      <c r="H59" s="210" t="inlineStr">
        <is>
          <t>газ, вода, пар,</t>
        </is>
      </c>
      <c r="I59" s="210" t="inlineStr">
        <is>
          <t xml:space="preserve"> 08Х18Н10, 08Х18Н10Т, 12Х18Н9, 12Х18Н9ТЛ</t>
        </is>
      </c>
      <c r="J59" s="210" t="inlineStr">
        <is>
          <t>УХЛ</t>
        </is>
      </c>
      <c r="K59" s="210" t="inlineStr">
        <is>
          <t>фланцевое</t>
        </is>
      </c>
      <c r="L59" s="210" t="inlineStr">
        <is>
          <t>Клапан 16нж10нж является автоматическим и не требует управления или иного регулирования в работе.</t>
        </is>
      </c>
      <c r="M59" s="210" t="n"/>
      <c r="N59" s="210" t="inlineStr">
        <is>
          <t>на горизонтальном трубопроводе крышкой вверх; на вертикальном трубопроводе – по направлению стрелки на корпусе вверх</t>
        </is>
      </c>
      <c r="O59" s="210" t="n"/>
      <c r="P59" s="210" t="n"/>
      <c r="Q59" s="197" t="n"/>
      <c r="R59" s="198">
        <f>A59</f>
        <v/>
      </c>
      <c r="S59" s="205" t="n"/>
      <c r="T59" s="205" t="n"/>
      <c r="U59" s="205" t="n"/>
      <c r="V59" s="205" t="n"/>
      <c r="W59" s="205" t="n"/>
      <c r="X59" s="205" t="n"/>
      <c r="Y59" s="205" t="n"/>
      <c r="Z59" s="205" t="n"/>
      <c r="AA59" s="205" t="n"/>
      <c r="AB59" s="205" t="n"/>
      <c r="AC59" s="205" t="n"/>
      <c r="AD59" s="205" t="n"/>
      <c r="AE59" s="205" t="n"/>
      <c r="AF59" s="205" t="n"/>
      <c r="AG59" s="205" t="n"/>
      <c r="AH59" s="205" t="n"/>
      <c r="AI59" s="202" t="n"/>
    </row>
    <row r="60" ht="127.5" customHeight="1" s="169">
      <c r="A60" s="192" t="n">
        <v>24</v>
      </c>
      <c r="B60" s="193" t="inlineStr">
        <is>
          <t>Клапан обратный 16нж10нж Ду 32 Ру16</t>
        </is>
      </c>
      <c r="C60" s="210" t="inlineStr">
        <is>
          <t>ГОСТ 33423-2015</t>
        </is>
      </c>
      <c r="D60" s="210" t="n">
        <v>32</v>
      </c>
      <c r="E60" s="210" t="inlineStr">
        <is>
          <t>стандарт</t>
        </is>
      </c>
      <c r="F60" s="210" t="n">
        <v>1.6</v>
      </c>
      <c r="G60" s="210" t="inlineStr">
        <is>
          <t>— 60 ºC до 350 °C</t>
        </is>
      </c>
      <c r="H60" s="210" t="inlineStr">
        <is>
          <t>газ, вода, пар,</t>
        </is>
      </c>
      <c r="I60" s="210" t="inlineStr">
        <is>
          <t xml:space="preserve"> 08Х18Н10, 08Х18Н10Т, 12Х18Н9, 12Х18Н9ТЛ</t>
        </is>
      </c>
      <c r="J60" s="210" t="inlineStr">
        <is>
          <t>УХЛ</t>
        </is>
      </c>
      <c r="K60" s="210" t="inlineStr">
        <is>
          <t>фланцевое</t>
        </is>
      </c>
      <c r="L60" s="210" t="inlineStr">
        <is>
          <t>Клапан 16нж10нж является автоматическим и не требует управления или иного регулирования в работе.</t>
        </is>
      </c>
      <c r="M60" s="210" t="n"/>
      <c r="N60" s="210" t="inlineStr">
        <is>
          <t>на горизонтальном трубопроводе крышкой вверх; на вертикальном трубопроводе – по направлению стрелки на корпусе вверх</t>
        </is>
      </c>
      <c r="O60" s="210" t="n"/>
      <c r="P60" s="210" t="n"/>
      <c r="Q60" s="197" t="n"/>
      <c r="R60" s="198">
        <f>A60</f>
        <v/>
      </c>
      <c r="S60" s="205" t="n"/>
      <c r="T60" s="205" t="n"/>
      <c r="U60" s="205" t="n"/>
      <c r="V60" s="205" t="n"/>
      <c r="W60" s="205" t="n"/>
      <c r="X60" s="205" t="n"/>
      <c r="Y60" s="205" t="n"/>
      <c r="Z60" s="205" t="n"/>
      <c r="AA60" s="205" t="n"/>
      <c r="AB60" s="205" t="n"/>
      <c r="AC60" s="205" t="n"/>
      <c r="AD60" s="205" t="n"/>
      <c r="AE60" s="205" t="n"/>
      <c r="AF60" s="205" t="n"/>
      <c r="AG60" s="205" t="n"/>
      <c r="AH60" s="205" t="n"/>
      <c r="AI60" s="202" t="n"/>
    </row>
    <row r="61" ht="51" customHeight="1" s="169">
      <c r="A61" s="192" t="n">
        <v>25</v>
      </c>
      <c r="B61" s="193" t="inlineStr">
        <is>
          <t>Клапан обратный 16ч42р Ду 100 Ру 2,5</t>
        </is>
      </c>
      <c r="C61" s="210" t="inlineStr">
        <is>
          <t>ГОСТ 33423-2015</t>
        </is>
      </c>
      <c r="D61" s="210" t="n">
        <v>100</v>
      </c>
      <c r="E61" s="210" t="inlineStr">
        <is>
          <t>стандарт</t>
        </is>
      </c>
      <c r="F61" s="210" t="n">
        <v>0.25</v>
      </c>
      <c r="G61" s="210" t="inlineStr">
        <is>
          <t>до +50°С</t>
        </is>
      </c>
      <c r="H61" s="210" t="inlineStr">
        <is>
          <t>Вода</t>
        </is>
      </c>
      <c r="I61" s="210" t="inlineStr">
        <is>
          <t>Чугун СЧ 15, СЧ20</t>
        </is>
      </c>
      <c r="J61" s="210" t="inlineStr">
        <is>
          <t>УХЛ1</t>
        </is>
      </c>
      <c r="K61" s="210" t="inlineStr">
        <is>
          <t>фланец-фланец</t>
        </is>
      </c>
      <c r="L61" s="210" t="inlineStr">
        <is>
          <t>нет</t>
        </is>
      </c>
      <c r="M61" s="210" t="n"/>
      <c r="N61" s="210" t="inlineStr">
        <is>
          <t>любое</t>
        </is>
      </c>
      <c r="O61" s="210" t="inlineStr">
        <is>
          <t xml:space="preserve">          тарелка: чугун СЧ 15, СЧ20;     крестовина: алюминиевый сплав Ал-2;     уплотнение: резина-пластина ЗМБ-А-С;     сетка: сталь 3; </t>
        </is>
      </c>
      <c r="P61" s="210" t="n"/>
      <c r="Q61" s="197" t="n"/>
      <c r="R61" s="198">
        <f>A61</f>
        <v/>
      </c>
      <c r="S61" s="205" t="n"/>
      <c r="T61" s="205" t="n"/>
      <c r="U61" s="205" t="n"/>
      <c r="V61" s="205" t="n"/>
      <c r="W61" s="205" t="n"/>
      <c r="X61" s="205" t="n"/>
      <c r="Y61" s="205" t="n"/>
      <c r="Z61" s="205" t="n"/>
      <c r="AA61" s="205" t="n"/>
      <c r="AB61" s="205" t="n"/>
      <c r="AC61" s="205" t="n"/>
      <c r="AD61" s="205" t="n"/>
      <c r="AE61" s="205" t="n"/>
      <c r="AF61" s="205" t="n"/>
      <c r="AG61" s="205" t="n"/>
      <c r="AH61" s="205" t="n"/>
      <c r="AI61" s="202" t="n"/>
    </row>
    <row r="62" ht="153" customHeight="1" s="169">
      <c r="A62" s="192" t="n">
        <v>26</v>
      </c>
      <c r="B62" s="193" t="inlineStr">
        <is>
          <t>Клапан обратный 19нж76нж Ду 100 Ру 16</t>
        </is>
      </c>
      <c r="C62" s="210" t="inlineStr">
        <is>
          <t>ГОСТ 9697-87</t>
        </is>
      </c>
      <c r="D62" s="210" t="n">
        <v>100</v>
      </c>
      <c r="E62" s="210" t="inlineStr">
        <is>
          <t>стандарт</t>
        </is>
      </c>
      <c r="F62" s="210" t="n">
        <v>1.6</v>
      </c>
      <c r="G62" s="210" t="inlineStr">
        <is>
          <t>от -60 до +600°С</t>
        </is>
      </c>
      <c r="H62" s="210" t="inlineStr">
        <is>
          <t>агрессивные жидкие среды</t>
        </is>
      </c>
      <c r="I62" s="210" t="inlineStr">
        <is>
          <t>12Х18Н9ТЛ</t>
        </is>
      </c>
      <c r="J62" s="210" t="inlineStr">
        <is>
          <t>УХЛ1</t>
        </is>
      </c>
      <c r="K62" s="210" t="inlineStr">
        <is>
          <t>фланец-фланец</t>
        </is>
      </c>
      <c r="L62" s="210" t="inlineStr">
        <is>
          <t>ручное</t>
        </is>
      </c>
      <c r="M62" s="210" t="inlineStr">
        <is>
          <t>штурвал</t>
        </is>
      </c>
      <c r="N62" s="210" t="inlineStr">
        <is>
          <t>Монтаж вентиля односторонний по маркировке на корпусе управляющим органом вверх, допускается отклонение на горизонтальном трубопроводе на 45º в любую сторону.</t>
        </is>
      </c>
      <c r="O62" s="210" t="inlineStr">
        <is>
          <t>Материал изделия (корпус, крышка): сталь 12Х18Н9ТЛ;</t>
        </is>
      </c>
      <c r="P62" s="210" t="n"/>
      <c r="Q62" s="210" t="n"/>
      <c r="R62" s="198">
        <f>A62</f>
        <v/>
      </c>
      <c r="S62" s="205" t="n"/>
      <c r="T62" s="205" t="n"/>
      <c r="U62" s="205" t="n"/>
      <c r="V62" s="205" t="n"/>
      <c r="W62" s="205" t="n"/>
      <c r="X62" s="205" t="n"/>
      <c r="Y62" s="205" t="n"/>
      <c r="Z62" s="205" t="n"/>
      <c r="AA62" s="205" t="n"/>
      <c r="AB62" s="205" t="n"/>
      <c r="AC62" s="205" t="n"/>
      <c r="AD62" s="205" t="n"/>
      <c r="AE62" s="205" t="n"/>
      <c r="AF62" s="205" t="n"/>
      <c r="AG62" s="205" t="n"/>
      <c r="AH62" s="205" t="n"/>
      <c r="AI62" s="202" t="n"/>
    </row>
    <row r="63" ht="51" customHeight="1" s="169">
      <c r="A63" s="192" t="n">
        <v>27</v>
      </c>
      <c r="B63" s="193" t="inlineStr">
        <is>
          <t>Клапан обратный 19с76нж Ду 80 Ру 16</t>
        </is>
      </c>
      <c r="C63" s="210" t="inlineStr">
        <is>
          <t>ГОСТ 33423-2015</t>
        </is>
      </c>
      <c r="D63" s="210" t="n">
        <v>80</v>
      </c>
      <c r="E63" s="210" t="inlineStr">
        <is>
          <t>стандарт</t>
        </is>
      </c>
      <c r="F63" s="210" t="n">
        <v>1.6</v>
      </c>
      <c r="G63" s="210" t="inlineStr">
        <is>
          <t>до +425°С</t>
        </is>
      </c>
      <c r="H63" s="210" t="inlineStr">
        <is>
          <t>Вода</t>
        </is>
      </c>
      <c r="I63" s="210" t="inlineStr">
        <is>
          <t>Сталь 25Л</t>
        </is>
      </c>
      <c r="J63" s="210" t="inlineStr">
        <is>
          <t>У1</t>
        </is>
      </c>
      <c r="K63" s="210" t="inlineStr">
        <is>
          <t>фланец-фланец</t>
        </is>
      </c>
      <c r="L63" s="210" t="inlineStr">
        <is>
          <t>нет</t>
        </is>
      </c>
      <c r="M63" s="210" t="n"/>
      <c r="N63" s="210" t="inlineStr">
        <is>
          <t>любое</t>
        </is>
      </c>
      <c r="O63"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3" s="210" t="n"/>
      <c r="Q63" s="210" t="n"/>
      <c r="R63" s="198">
        <f>A63</f>
        <v/>
      </c>
      <c r="S63" s="205" t="n"/>
      <c r="T63" s="205" t="n"/>
      <c r="U63" s="205" t="n"/>
      <c r="V63" s="205" t="n"/>
      <c r="W63" s="205" t="n"/>
      <c r="X63" s="205" t="n"/>
      <c r="Y63" s="205" t="n"/>
      <c r="Z63" s="205" t="n"/>
      <c r="AA63" s="205" t="n"/>
      <c r="AB63" s="205" t="n"/>
      <c r="AC63" s="205" t="n"/>
      <c r="AD63" s="205" t="n"/>
      <c r="AE63" s="205" t="n"/>
      <c r="AF63" s="205" t="n"/>
      <c r="AG63" s="205" t="n"/>
      <c r="AH63" s="205" t="n"/>
      <c r="AI63" s="202" t="n"/>
    </row>
    <row r="64" ht="89.25" customHeight="1" s="169">
      <c r="A64" s="192" t="n">
        <v>28</v>
      </c>
      <c r="B64" s="193" t="inlineStr">
        <is>
          <t>Клапан обратный 19с76нж Ду 100 Ру 16</t>
        </is>
      </c>
      <c r="C64" s="210" t="inlineStr">
        <is>
          <t>ГОСТ 33423-2015</t>
        </is>
      </c>
      <c r="D64" s="210" t="n">
        <v>100</v>
      </c>
      <c r="E64" s="210" t="inlineStr">
        <is>
          <t>стандарт</t>
        </is>
      </c>
      <c r="F64" s="210" t="n">
        <v>1.6</v>
      </c>
      <c r="G64" s="210" t="inlineStr">
        <is>
          <t xml:space="preserve"> - до 425 ºC</t>
        </is>
      </c>
      <c r="H64" s="210" t="inlineStr">
        <is>
          <t>вода</t>
        </is>
      </c>
      <c r="I64" s="210" t="inlineStr">
        <is>
          <t xml:space="preserve"> сталь 25Л, 20, 20Х13</t>
        </is>
      </c>
      <c r="J64" s="210" t="inlineStr">
        <is>
          <t>У1</t>
        </is>
      </c>
      <c r="K64" s="210" t="inlineStr">
        <is>
          <t>Фланец-фланец</t>
        </is>
      </c>
      <c r="L64" s="210" t="inlineStr">
        <is>
          <t>нет</t>
        </is>
      </c>
      <c r="M64" s="210" t="n"/>
      <c r="N64" s="210" t="inlineStr">
        <is>
          <t>на горизонтальном трубопроводе крышкой вверх; на вертикальном – входным патрубком вверх</t>
        </is>
      </c>
      <c r="O64" s="210" t="n"/>
      <c r="P64" s="210" t="n"/>
      <c r="Q64" s="210" t="n"/>
      <c r="R64" s="198">
        <f>A64</f>
        <v/>
      </c>
      <c r="S64" s="205" t="n"/>
      <c r="T64" s="205" t="n"/>
      <c r="U64" s="205" t="n"/>
      <c r="V64" s="205" t="n"/>
      <c r="W64" s="205" t="n"/>
      <c r="X64" s="205" t="n"/>
      <c r="Y64" s="205" t="n"/>
      <c r="Z64" s="205" t="n"/>
      <c r="AA64" s="205" t="n"/>
      <c r="AB64" s="205" t="n"/>
      <c r="AC64" s="205" t="n"/>
      <c r="AD64" s="205" t="n"/>
      <c r="AE64" s="205" t="n"/>
      <c r="AF64" s="205" t="n"/>
      <c r="AG64" s="205" t="n"/>
      <c r="AH64" s="205" t="n"/>
      <c r="AI64" s="202" t="n"/>
    </row>
    <row r="65" ht="89.25" customHeight="1" s="169">
      <c r="A65" s="192" t="n">
        <v>29</v>
      </c>
      <c r="B65" s="193" t="inlineStr">
        <is>
          <t>Клапан обратный 19с76нж Ду 50 Ру 16</t>
        </is>
      </c>
      <c r="C65" s="210" t="inlineStr">
        <is>
          <t>ГОСТ 33423-2015</t>
        </is>
      </c>
      <c r="D65" s="229" t="n">
        <v>50</v>
      </c>
      <c r="E65" s="210" t="inlineStr">
        <is>
          <t>стандарт</t>
        </is>
      </c>
      <c r="F65" s="210" t="n">
        <v>1.6</v>
      </c>
      <c r="G65" s="210" t="inlineStr">
        <is>
          <t xml:space="preserve"> - до 425 ºC</t>
        </is>
      </c>
      <c r="H65" s="210" t="inlineStr">
        <is>
          <t>вода</t>
        </is>
      </c>
      <c r="I65" s="210" t="inlineStr">
        <is>
          <t xml:space="preserve"> сталь 25Л, 20, 20Х13</t>
        </is>
      </c>
      <c r="J65" s="210" t="inlineStr">
        <is>
          <t>У1</t>
        </is>
      </c>
      <c r="K65" s="210" t="inlineStr">
        <is>
          <t>Фланец-фланец</t>
        </is>
      </c>
      <c r="L65" s="210" t="inlineStr">
        <is>
          <t>нет</t>
        </is>
      </c>
      <c r="M65" s="229" t="n"/>
      <c r="N65" s="210" t="inlineStr">
        <is>
          <t>на горизонтальном трубопроводе крышкой вверх; на вертикальном – входным патрубком вверх</t>
        </is>
      </c>
      <c r="O65"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5" s="210" t="n"/>
      <c r="Q65" s="210" t="n"/>
      <c r="R65" s="198">
        <f>A65</f>
        <v/>
      </c>
      <c r="S65" s="205" t="n"/>
      <c r="T65" s="205" t="n"/>
      <c r="U65" s="205" t="n"/>
      <c r="V65" s="205" t="n"/>
      <c r="W65" s="205" t="n"/>
      <c r="X65" s="205" t="n"/>
      <c r="Y65" s="205" t="n"/>
      <c r="Z65" s="205" t="n"/>
      <c r="AA65" s="205" t="n"/>
      <c r="AB65" s="205" t="n"/>
      <c r="AC65" s="205" t="n"/>
      <c r="AD65" s="205" t="n"/>
      <c r="AE65" s="205" t="n"/>
      <c r="AF65" s="205" t="n"/>
      <c r="AG65" s="205" t="n"/>
      <c r="AH65" s="205" t="n"/>
      <c r="AI65" s="202" t="n"/>
    </row>
    <row r="66" ht="153" customHeight="1" s="169">
      <c r="A66" s="192" t="n">
        <v>30</v>
      </c>
      <c r="B66" s="193" t="inlineStr">
        <is>
          <t>Клапан обратный межфланцевый пружинный тарельчатый NVD-802R Ду 125 Ру 16</t>
        </is>
      </c>
      <c r="C66" s="210" t="inlineStr">
        <is>
          <t>ТУ 28.14.11-014-72323163-2022</t>
        </is>
      </c>
      <c r="D66" s="210" t="n">
        <v>125</v>
      </c>
      <c r="E66" s="210" t="n"/>
      <c r="F66" s="210" t="n">
        <v>1.6</v>
      </c>
      <c r="G66" s="210" t="inlineStr">
        <is>
          <t>от -15 до +100</t>
        </is>
      </c>
      <c r="H66" s="210" t="inlineStr">
        <is>
          <t>Вода, гликолевые растворы до 50%</t>
        </is>
      </c>
      <c r="I66" s="210" t="inlineStr">
        <is>
          <t xml:space="preserve">серый чугун </t>
        </is>
      </c>
      <c r="J66" s="210" t="n"/>
      <c r="K66" s="210" t="inlineStr">
        <is>
          <t>межфланцевое</t>
        </is>
      </c>
      <c r="L66" s="210" t="n"/>
      <c r="M66" s="210" t="n"/>
      <c r="N66" s="210" t="inlineStr">
        <is>
          <t>любое</t>
        </is>
      </c>
      <c r="O66" s="210" t="inlineStr">
        <is>
          <t>Номинальный диаметр (DN), мм 125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6" s="210" t="inlineStr">
        <is>
          <t>Строительный размер 90 мм</t>
        </is>
      </c>
      <c r="Q66" s="210" t="inlineStr">
        <is>
          <t>каталожный номер 065B7526</t>
        </is>
      </c>
      <c r="R66" s="198">
        <f>A66</f>
        <v/>
      </c>
      <c r="S66" s="205" t="n"/>
      <c r="T66" s="205" t="n"/>
      <c r="U66" s="205" t="n"/>
      <c r="V66" s="205" t="n"/>
      <c r="W66" s="205" t="n"/>
      <c r="X66" s="205" t="n"/>
      <c r="Y66" s="205" t="n"/>
      <c r="Z66" s="205" t="n"/>
      <c r="AA66" s="205" t="n"/>
      <c r="AB66" s="205" t="n"/>
      <c r="AC66" s="205" t="n"/>
      <c r="AD66" s="205" t="n"/>
      <c r="AE66" s="205" t="n"/>
      <c r="AF66" s="205" t="n"/>
      <c r="AG66" s="205" t="n"/>
      <c r="AH66" s="205" t="n"/>
      <c r="AI66" s="202" t="n"/>
    </row>
    <row r="67" ht="153" customHeight="1" s="169">
      <c r="A67" s="192" t="n">
        <v>31</v>
      </c>
      <c r="B67" s="193" t="inlineStr">
        <is>
          <t>Клапан обратный межфланцевый пружинный тарельчатый NVD-802R Ду 150 Ру 16</t>
        </is>
      </c>
      <c r="C67" s="210" t="inlineStr">
        <is>
          <t>ТУ 28.14.11-014-72323163-2022</t>
        </is>
      </c>
      <c r="D67" s="210" t="n">
        <v>150</v>
      </c>
      <c r="E67" s="210" t="n"/>
      <c r="F67" s="210" t="n">
        <v>1.6</v>
      </c>
      <c r="G67" s="210" t="inlineStr">
        <is>
          <t>от -15 до +100</t>
        </is>
      </c>
      <c r="H67" s="210" t="inlineStr">
        <is>
          <t>Вода, гликолевые растворы до 50%</t>
        </is>
      </c>
      <c r="I67" s="210" t="inlineStr">
        <is>
          <t xml:space="preserve">серый чугун </t>
        </is>
      </c>
      <c r="J67" s="210" t="n"/>
      <c r="K67" s="210" t="inlineStr">
        <is>
          <t>межфланцевое</t>
        </is>
      </c>
      <c r="L67" s="210" t="n"/>
      <c r="M67" s="210" t="n"/>
      <c r="N67" s="210" t="inlineStr">
        <is>
          <t>любое</t>
        </is>
      </c>
      <c r="O67" s="210" t="inlineStr">
        <is>
          <t>Номинальный диаметр (DN), мм 150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7" s="210" t="inlineStr">
        <is>
          <t>Строительный размер 106мм</t>
        </is>
      </c>
      <c r="Q67" s="210" t="inlineStr">
        <is>
          <t xml:space="preserve"> каталожный № 082X8527R</t>
        </is>
      </c>
      <c r="R67" s="198">
        <f>A67</f>
        <v/>
      </c>
      <c r="S67" s="205" t="n"/>
      <c r="T67" s="205" t="n"/>
      <c r="U67" s="205" t="n"/>
      <c r="V67" s="205" t="n"/>
      <c r="W67" s="205" t="n"/>
      <c r="X67" s="205" t="n"/>
      <c r="Y67" s="205" t="n"/>
      <c r="Z67" s="205" t="n"/>
      <c r="AA67" s="205" t="n"/>
      <c r="AB67" s="205" t="n"/>
      <c r="AC67" s="205" t="n"/>
      <c r="AD67" s="205" t="n"/>
      <c r="AE67" s="205" t="n"/>
      <c r="AF67" s="205" t="n"/>
      <c r="AG67" s="205" t="n"/>
      <c r="AH67" s="205" t="n"/>
      <c r="AI67" s="202" t="n"/>
    </row>
    <row r="68" ht="140.25" customHeight="1" s="169">
      <c r="A68" s="192" t="n">
        <v>32</v>
      </c>
      <c r="B68" s="193" t="inlineStr">
        <is>
          <t>Клапан обратный фланцевый пружинный с аксиальным затвором NVD-402R Ду 100 Ру 16</t>
        </is>
      </c>
      <c r="C68" s="210" t="inlineStr">
        <is>
          <t>ТУ 28.14.11-012-72323163-2022</t>
        </is>
      </c>
      <c r="D68" s="210" t="n">
        <v>100</v>
      </c>
      <c r="E68" s="210" t="n"/>
      <c r="F68" s="210" t="n">
        <v>1.6</v>
      </c>
      <c r="G68" s="210" t="inlineStr">
        <is>
          <t>от -15 до +100</t>
        </is>
      </c>
      <c r="H68" s="210" t="inlineStr">
        <is>
          <t>Вода, гликолевые растворы до 50%</t>
        </is>
      </c>
      <c r="I68" s="210" t="inlineStr">
        <is>
          <t xml:space="preserve">серый чугун </t>
        </is>
      </c>
      <c r="J68" s="210" t="n"/>
      <c r="K68" s="210" t="inlineStr">
        <is>
          <t>фланцевый</t>
        </is>
      </c>
      <c r="L68" s="210" t="n"/>
      <c r="M68" s="210" t="n"/>
      <c r="N68" s="210" t="inlineStr">
        <is>
          <t>любое</t>
        </is>
      </c>
      <c r="O68" s="210"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P68" s="210" t="inlineStr">
        <is>
          <t>Строительный размер 170мм</t>
        </is>
      </c>
      <c r="Q68" s="210" t="inlineStr">
        <is>
          <t>каталожный номер 065B7474</t>
        </is>
      </c>
      <c r="R68" s="198">
        <f>A68</f>
        <v/>
      </c>
      <c r="S68" s="205" t="n"/>
      <c r="T68" s="205" t="n"/>
      <c r="U68" s="205" t="n"/>
      <c r="V68" s="205" t="n"/>
      <c r="W68" s="205" t="n"/>
      <c r="X68" s="205" t="n"/>
      <c r="Y68" s="205" t="n"/>
      <c r="Z68" s="205" t="n"/>
      <c r="AA68" s="205" t="n"/>
      <c r="AB68" s="205" t="n"/>
      <c r="AC68" s="205" t="n"/>
      <c r="AD68" s="205" t="n"/>
      <c r="AE68" s="205" t="n"/>
      <c r="AF68" s="205" t="n"/>
      <c r="AG68" s="205" t="n"/>
      <c r="AH68" s="205" t="n"/>
      <c r="AI68" s="202" t="n"/>
    </row>
    <row r="69" ht="63.75" customHeight="1" s="169">
      <c r="A69" s="192" t="n">
        <v>33</v>
      </c>
      <c r="B69" s="193" t="inlineStr">
        <is>
          <t>Клапан обратный фланцевый пружинный с аксиальным затвором NVD-402R Ду 150 Ру 16</t>
        </is>
      </c>
      <c r="C69" s="210" t="inlineStr">
        <is>
          <t>ТУ 28.14.11-012-72323163-2022</t>
        </is>
      </c>
      <c r="D69" s="210" t="n">
        <v>150</v>
      </c>
      <c r="E69" s="210" t="inlineStr">
        <is>
          <t>полнопроходной</t>
        </is>
      </c>
      <c r="F69" s="210" t="n">
        <v>1.6</v>
      </c>
      <c r="G69" s="238" t="inlineStr">
        <is>
          <t>От -15°С до +100°С</t>
        </is>
      </c>
      <c r="H69" s="210" t="inlineStr">
        <is>
          <t>Вода</t>
        </is>
      </c>
      <c r="I69" s="239" t="inlineStr">
        <is>
          <t>Чугун GG25 с эпоксидным покрытием</t>
        </is>
      </c>
      <c r="J69" s="210" t="inlineStr">
        <is>
          <t>У1</t>
        </is>
      </c>
      <c r="K69" s="210" t="inlineStr">
        <is>
          <t>фланец-фланец</t>
        </is>
      </c>
      <c r="L69" s="210" t="inlineStr">
        <is>
          <t>-</t>
        </is>
      </c>
      <c r="M69" s="210" t="inlineStr">
        <is>
          <t>-</t>
        </is>
      </c>
      <c r="N69" s="210" t="inlineStr">
        <is>
          <t>любое</t>
        </is>
      </c>
      <c r="O69" s="210" t="inlineStr">
        <is>
          <t xml:space="preserve">Втулка: Бронза  Материал пружины: AISI302                              Уплотнение затвора (материал): EPDM                Затворный клапан: Чугун GG25 с эпоксидным покрытием  Шток: Бронза Осевая направляющая: Чугун GG25 с эпоксидным покрытием </t>
        </is>
      </c>
      <c r="P69" s="210" t="n"/>
      <c r="Q69" s="210" t="n"/>
      <c r="R69" s="198">
        <f>A69</f>
        <v/>
      </c>
      <c r="S69" s="205" t="n"/>
      <c r="T69" s="205" t="n"/>
      <c r="U69" s="205" t="n"/>
      <c r="V69" s="205" t="n"/>
      <c r="W69" s="205" t="n"/>
      <c r="X69" s="205" t="n"/>
      <c r="Y69" s="205" t="n"/>
      <c r="Z69" s="205" t="n"/>
      <c r="AA69" s="205" t="n"/>
      <c r="AB69" s="205" t="n"/>
      <c r="AC69" s="205" t="n"/>
      <c r="AD69" s="205" t="n"/>
      <c r="AE69" s="205" t="n"/>
      <c r="AF69" s="205" t="n"/>
      <c r="AG69" s="205" t="n"/>
      <c r="AH69" s="205" t="n"/>
      <c r="AI69" s="202" t="n"/>
    </row>
    <row r="70" ht="280.5" customHeight="1" s="169">
      <c r="A70" s="192" t="n">
        <v>34</v>
      </c>
      <c r="B70" s="193" t="inlineStr">
        <is>
          <t>Клапан обратный фланцевый пружинный с аксиальным затвором NVD-402R Ду 200 Ру 16</t>
        </is>
      </c>
      <c r="C70" s="210" t="inlineStr">
        <is>
          <t>ТУ 28.14.11-012-72323163-2022</t>
        </is>
      </c>
      <c r="D70" s="210" t="n">
        <v>200</v>
      </c>
      <c r="E70" s="210" t="inlineStr">
        <is>
          <t>полнопроходной</t>
        </is>
      </c>
      <c r="F70" s="210" t="n">
        <v>1.6</v>
      </c>
      <c r="G70" s="210" t="inlineStr">
        <is>
          <t>от -15 до +100</t>
        </is>
      </c>
      <c r="H70" s="210" t="inlineStr">
        <is>
          <t>Вода, гликолевые растворы до 50%</t>
        </is>
      </c>
      <c r="I70" s="210" t="inlineStr">
        <is>
          <t>Чугун GJL250</t>
        </is>
      </c>
      <c r="J70" s="210" t="n"/>
      <c r="K70" s="210" t="inlineStr">
        <is>
          <t>Фланец-фланец</t>
        </is>
      </c>
      <c r="L70" s="210" t="n"/>
      <c r="M70" s="210" t="n"/>
      <c r="N70" s="210" t="inlineStr">
        <is>
          <t>любое</t>
        </is>
      </c>
      <c r="O70" s="210"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P70" s="210" t="inlineStr">
        <is>
          <t>Строительная длинна, мм 300</t>
        </is>
      </c>
      <c r="Q70" s="210" t="inlineStr">
        <is>
          <t>Каталожный № 082X8477R</t>
        </is>
      </c>
      <c r="R70" s="198">
        <f>A70</f>
        <v/>
      </c>
      <c r="S70" s="205" t="n"/>
      <c r="T70" s="205" t="n"/>
      <c r="U70" s="205" t="n"/>
      <c r="V70" s="205" t="n"/>
      <c r="W70" s="205" t="n"/>
      <c r="X70" s="205" t="n"/>
      <c r="Y70" s="205" t="n"/>
      <c r="Z70" s="205" t="n"/>
      <c r="AA70" s="205" t="n"/>
      <c r="AB70" s="205" t="n"/>
      <c r="AC70" s="205" t="n"/>
      <c r="AD70" s="205" t="n"/>
      <c r="AE70" s="205" t="n"/>
      <c r="AF70" s="205" t="n"/>
      <c r="AG70" s="205" t="n"/>
      <c r="AH70" s="205" t="n"/>
      <c r="AI70" s="202" t="n"/>
    </row>
    <row r="71" ht="204" customHeight="1" s="169">
      <c r="A71" s="192" t="n">
        <v>35</v>
      </c>
      <c r="B71" s="193" t="inlineStr">
        <is>
          <t>Обратный клапан пружинный NVD-812R Ду 150 Ру 40</t>
        </is>
      </c>
      <c r="C71" s="210" t="inlineStr">
        <is>
          <t>ТУ 28.14.11-014-72323163-2022</t>
        </is>
      </c>
      <c r="D71" s="210" t="n">
        <v>150</v>
      </c>
      <c r="E71" s="210" t="inlineStr">
        <is>
          <t>полнопроходной</t>
        </is>
      </c>
      <c r="F71" s="210" t="n">
        <v>4</v>
      </c>
      <c r="G71" s="210" t="inlineStr">
        <is>
          <t>от -25 до +240</t>
        </is>
      </c>
      <c r="H71" s="210" t="inlineStr">
        <is>
          <t>Вода для систем отопления, ГВС, ХВС, гликолевые р-ры до 50%</t>
        </is>
      </c>
      <c r="I71" s="210" t="inlineStr">
        <is>
          <t>Нержавеющая сталь</t>
        </is>
      </c>
      <c r="J71" s="210" t="n"/>
      <c r="K71" s="210" t="inlineStr">
        <is>
          <t>межфланцевое</t>
        </is>
      </c>
      <c r="L71" s="210" t="n"/>
      <c r="M71" s="210" t="n"/>
      <c r="N71" s="210" t="inlineStr">
        <is>
          <t>любое</t>
        </is>
      </c>
      <c r="O71" s="210"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P71" s="210" t="inlineStr">
        <is>
          <t>Строительная длинна, мм 106</t>
        </is>
      </c>
      <c r="Q71" s="210" t="inlineStr">
        <is>
          <t>Каталожный № 082X8540R</t>
        </is>
      </c>
      <c r="R71" s="198">
        <f>A71</f>
        <v/>
      </c>
      <c r="S71" s="205" t="n"/>
      <c r="T71" s="205" t="n"/>
      <c r="U71" s="205" t="n"/>
      <c r="V71" s="205" t="n"/>
      <c r="W71" s="205" t="n"/>
      <c r="X71" s="205" t="n"/>
      <c r="Y71" s="205" t="n"/>
      <c r="Z71" s="205" t="n"/>
      <c r="AA71" s="205" t="n"/>
      <c r="AB71" s="205" t="n"/>
      <c r="AC71" s="205" t="n"/>
      <c r="AD71" s="205" t="n"/>
      <c r="AE71" s="205" t="n"/>
      <c r="AF71" s="205" t="n"/>
      <c r="AG71" s="205" t="n"/>
      <c r="AH71" s="205" t="n"/>
      <c r="AI71" s="202" t="n"/>
    </row>
    <row r="72" ht="127.5" customHeight="1" s="169">
      <c r="A72" s="192" t="n">
        <v>36</v>
      </c>
      <c r="B72" s="193" t="inlineStr">
        <is>
          <t>Предохранительный клапан ARI-SAFE 12.903 Ду 32/50 Ру 16</t>
        </is>
      </c>
      <c r="C72" s="210" t="n"/>
      <c r="D72" s="210" t="inlineStr">
        <is>
          <t>32/50</t>
        </is>
      </c>
      <c r="E72" s="210" t="inlineStr">
        <is>
          <t>32/50</t>
        </is>
      </c>
      <c r="F72" s="210" t="n">
        <v>1.6</v>
      </c>
      <c r="G72" s="210" t="n"/>
      <c r="H72" s="210" t="inlineStr">
        <is>
          <t>вода</t>
        </is>
      </c>
      <c r="I72" s="210" t="inlineStr">
        <is>
          <t>серый чугун</t>
        </is>
      </c>
      <c r="J72" s="210" t="n"/>
      <c r="K72" s="210" t="inlineStr">
        <is>
          <t>фланцевое</t>
        </is>
      </c>
      <c r="L72" s="210" t="n"/>
      <c r="M72" s="210" t="n"/>
      <c r="N72" s="210" t="n"/>
      <c r="O72" s="210" t="n"/>
      <c r="P72" s="210" t="inlineStr">
        <is>
          <t xml:space="preserve">Габариты: L-110 мм (расстояние от середины нижнего фланца до конца бокового фланца); L1-115 мм (расстояние от середины бокового фланца до конца нижнего фланца) </t>
        </is>
      </c>
      <c r="Q72" s="210" t="inlineStr">
        <is>
          <t>Рабочий диапазон пружины:3,7-5,0 кгс/см2.</t>
        </is>
      </c>
      <c r="R72" s="198">
        <f>A72</f>
        <v/>
      </c>
      <c r="S72" s="205" t="n"/>
      <c r="T72" s="205" t="n"/>
      <c r="U72" s="205" t="n"/>
      <c r="V72" s="205" t="n"/>
      <c r="W72" s="205" t="n"/>
      <c r="X72" s="205" t="n"/>
      <c r="Y72" s="205" t="n"/>
      <c r="Z72" s="205" t="n"/>
      <c r="AA72" s="205" t="n"/>
      <c r="AB72" s="205" t="n"/>
      <c r="AC72" s="205" t="n"/>
      <c r="AD72" s="205" t="n"/>
      <c r="AE72" s="205" t="n"/>
      <c r="AF72" s="205" t="n"/>
      <c r="AG72" s="205" t="n"/>
      <c r="AH72" s="205" t="n"/>
      <c r="AI72" s="202" t="n"/>
    </row>
    <row r="73" ht="127.5" customHeight="1" s="169">
      <c r="A73" s="192" t="n">
        <v>37</v>
      </c>
      <c r="B73" s="193" t="inlineStr">
        <is>
          <t>Предохранительный клапан ARI-SAFE 12.903 Ду 25/40 Ру 16</t>
        </is>
      </c>
      <c r="C73" s="210" t="n"/>
      <c r="D73" s="210" t="inlineStr">
        <is>
          <t>25/40</t>
        </is>
      </c>
      <c r="E73" s="210" t="inlineStr">
        <is>
          <t>25/40</t>
        </is>
      </c>
      <c r="F73" s="210" t="n">
        <v>1.6</v>
      </c>
      <c r="G73" s="210" t="n"/>
      <c r="H73" s="210" t="inlineStr">
        <is>
          <t>вода</t>
        </is>
      </c>
      <c r="I73" s="210" t="inlineStr">
        <is>
          <t>серый чугун</t>
        </is>
      </c>
      <c r="J73" s="210" t="n"/>
      <c r="K73" s="210" t="inlineStr">
        <is>
          <t>фланцевое</t>
        </is>
      </c>
      <c r="L73" s="210" t="n"/>
      <c r="M73" s="210" t="n"/>
      <c r="N73" s="210" t="n"/>
      <c r="O73" s="210" t="n"/>
      <c r="P73" s="210" t="inlineStr">
        <is>
          <t xml:space="preserve">L-100 мм (расстояние от середины нижнего фланца до конца бокового фланца); L1-105 мм (расстояние от середины бокового фланца до конца нижнего фланца) </t>
        </is>
      </c>
      <c r="Q73" s="210" t="inlineStr">
        <is>
          <t>Рабочий диапазон пружины:2,75-3,6 кгс/см2</t>
        </is>
      </c>
      <c r="R73" s="198">
        <f>A73</f>
        <v/>
      </c>
      <c r="S73" s="205" t="n"/>
      <c r="T73" s="205" t="n"/>
      <c r="U73" s="205" t="n"/>
      <c r="V73" s="205" t="n"/>
      <c r="W73" s="205" t="n"/>
      <c r="X73" s="205" t="n"/>
      <c r="Y73" s="205" t="n"/>
      <c r="Z73" s="205" t="n"/>
      <c r="AA73" s="205" t="n"/>
      <c r="AB73" s="205" t="n"/>
      <c r="AC73" s="205" t="n"/>
      <c r="AD73" s="205" t="n"/>
      <c r="AE73" s="205" t="n"/>
      <c r="AF73" s="205" t="n"/>
      <c r="AG73" s="205" t="n"/>
      <c r="AH73" s="205" t="n"/>
      <c r="AI73" s="202" t="n"/>
    </row>
    <row r="74" ht="127.5" customHeight="1" s="169">
      <c r="A74" s="192" t="n">
        <v>38</v>
      </c>
      <c r="B74" s="193" t="inlineStr">
        <is>
          <t>Предохранительный клапан ARI-SAFE 12.903 Ду 25/40 Ру 16</t>
        </is>
      </c>
      <c r="C74" s="210" t="n"/>
      <c r="D74" s="210" t="inlineStr">
        <is>
          <t>25/40</t>
        </is>
      </c>
      <c r="E74" s="210" t="inlineStr">
        <is>
          <t>25/40</t>
        </is>
      </c>
      <c r="F74" s="210" t="n">
        <v>1.6</v>
      </c>
      <c r="G74" s="210" t="n"/>
      <c r="H74" s="210" t="inlineStr">
        <is>
          <t>вода</t>
        </is>
      </c>
      <c r="I74" s="210" t="inlineStr">
        <is>
          <t>серый чугун</t>
        </is>
      </c>
      <c r="J74" s="210" t="n"/>
      <c r="K74" s="210" t="inlineStr">
        <is>
          <t>фланцевое</t>
        </is>
      </c>
      <c r="L74" s="210" t="n"/>
      <c r="M74" s="210" t="n"/>
      <c r="N74" s="210" t="n"/>
      <c r="O74" s="210" t="n"/>
      <c r="P74" s="210" t="inlineStr">
        <is>
          <t xml:space="preserve">Габариты: L-100 мм (расстояние от середины нижнего фланца до конца бокового фланца); L1-105 мм (расстояние от середины бокового фланца до конца нижнего фланца) </t>
        </is>
      </c>
      <c r="Q74" s="210" t="inlineStr">
        <is>
          <t xml:space="preserve">Рабочий диапазон пружины:2,05-2,7 кгс/см2. </t>
        </is>
      </c>
      <c r="R74" s="198">
        <f>A74</f>
        <v/>
      </c>
      <c r="S74" s="205" t="n"/>
      <c r="T74" s="205" t="n"/>
      <c r="U74" s="205" t="n"/>
      <c r="V74" s="205" t="n"/>
      <c r="W74" s="205" t="n"/>
      <c r="X74" s="205" t="n"/>
      <c r="Y74" s="205" t="n"/>
      <c r="Z74" s="205" t="n"/>
      <c r="AA74" s="205" t="n"/>
      <c r="AB74" s="205" t="n"/>
      <c r="AC74" s="205" t="n"/>
      <c r="AD74" s="205" t="n"/>
      <c r="AE74" s="205" t="n"/>
      <c r="AF74" s="205" t="n"/>
      <c r="AG74" s="205" t="n"/>
      <c r="AH74" s="205" t="n"/>
      <c r="AI74" s="202" t="n"/>
    </row>
    <row r="75" ht="51" customHeight="1" s="169">
      <c r="A75" s="192" t="n">
        <v>39</v>
      </c>
      <c r="B75" s="193" t="inlineStr">
        <is>
          <t>Кран для манометра трехходовой Ду 15 Ру 16</t>
        </is>
      </c>
      <c r="C75" s="210" t="inlineStr">
        <is>
          <t>ГОСТ 12.2.063-2015</t>
        </is>
      </c>
      <c r="D75" s="210" t="n">
        <v>15</v>
      </c>
      <c r="E75" s="210" t="inlineStr">
        <is>
          <t>стандарт</t>
        </is>
      </c>
      <c r="F75" s="210" t="inlineStr">
        <is>
          <t>1.6</t>
        </is>
      </c>
      <c r="G75" s="210" t="inlineStr">
        <is>
          <t>от -50 до +150 C</t>
        </is>
      </c>
      <c r="H75" s="210" t="inlineStr">
        <is>
          <t>вода, пар, воздух</t>
        </is>
      </c>
      <c r="I75" s="210" t="inlineStr">
        <is>
          <t>латунь ЛЦ40Сд</t>
        </is>
      </c>
      <c r="J75" s="210" t="inlineStr">
        <is>
          <t>У1</t>
        </is>
      </c>
      <c r="K75" s="210" t="inlineStr">
        <is>
          <t>внутренняя резьба</t>
        </is>
      </c>
      <c r="L75" s="210" t="inlineStr">
        <is>
          <t>флажок/рычаг</t>
        </is>
      </c>
      <c r="M75" s="210" t="inlineStr">
        <is>
          <t>ручное</t>
        </is>
      </c>
      <c r="N75" s="210" t="inlineStr">
        <is>
          <t>любое</t>
        </is>
      </c>
      <c r="O75" s="210" t="inlineStr">
        <is>
          <t xml:space="preserve">Материал штока — Латунь ЛЦ40СД
Материал пробки — латунь ЛЦ40СД
Уплотнение пробки — фторопласт
</t>
        </is>
      </c>
      <c r="P75" s="210" t="inlineStr">
        <is>
          <t>Длина 50 мм</t>
        </is>
      </c>
      <c r="Q75" s="197" t="n"/>
      <c r="R75" s="198">
        <f>A75</f>
        <v/>
      </c>
      <c r="S75" s="205" t="n"/>
      <c r="T75" s="205" t="n"/>
      <c r="U75" s="205" t="n"/>
      <c r="V75" s="205" t="n"/>
      <c r="W75" s="205" t="n"/>
      <c r="X75" s="205" t="n"/>
      <c r="Y75" s="205" t="n"/>
      <c r="Z75" s="205" t="n"/>
      <c r="AA75" s="205" t="n"/>
      <c r="AB75" s="205" t="n"/>
      <c r="AC75" s="205" t="n"/>
      <c r="AD75" s="205" t="n"/>
      <c r="AE75" s="205" t="n"/>
      <c r="AF75" s="205" t="n"/>
      <c r="AG75" s="205" t="n"/>
      <c r="AH75" s="205" t="n"/>
      <c r="AI75" s="202" t="n"/>
    </row>
    <row r="76" ht="51" customHeight="1" s="169">
      <c r="A76" s="192" t="n">
        <v>40</v>
      </c>
      <c r="B76" s="193" t="inlineStr">
        <is>
          <t>Клапан 22б16п (15б34бк1) запорный вакуумный сильфонный Ду6 Ру16</t>
        </is>
      </c>
      <c r="C76" s="210" t="inlineStr">
        <is>
          <t>ТУ 3700-003-92853012-2012</t>
        </is>
      </c>
      <c r="D76" s="210" t="n">
        <v>6</v>
      </c>
      <c r="E76" s="210" t="inlineStr">
        <is>
          <t>-</t>
        </is>
      </c>
      <c r="F76" s="210" t="n">
        <v>1.6</v>
      </c>
      <c r="G76" s="210" t="inlineStr">
        <is>
          <t>От -40°С до +120°С</t>
        </is>
      </c>
      <c r="H76" s="210" t="inlineStr">
        <is>
          <t>Жидкий и газообразный хладон.</t>
        </is>
      </c>
      <c r="I76" s="210" t="inlineStr">
        <is>
          <t>ЛС59-1Л</t>
        </is>
      </c>
      <c r="J76" s="210" t="n"/>
      <c r="K76" s="210" t="inlineStr">
        <is>
          <t>Цапковое</t>
        </is>
      </c>
      <c r="L76" s="210" t="inlineStr">
        <is>
          <t>Ручной</t>
        </is>
      </c>
      <c r="M76" s="210" t="inlineStr">
        <is>
          <t>Рукоятка</t>
        </is>
      </c>
      <c r="N76" s="210" t="inlineStr">
        <is>
          <t>-</t>
        </is>
      </c>
      <c r="O76" s="210" t="inlineStr">
        <is>
          <t>-</t>
        </is>
      </c>
      <c r="P76" s="210" t="inlineStr">
        <is>
          <t>-</t>
        </is>
      </c>
      <c r="Q76" s="210" t="inlineStr">
        <is>
          <t>-</t>
        </is>
      </c>
      <c r="R76" s="198">
        <f>A76</f>
        <v/>
      </c>
      <c r="S76" s="205" t="n"/>
      <c r="T76" s="205" t="n"/>
      <c r="U76" s="205" t="n"/>
      <c r="V76" s="205" t="n"/>
      <c r="W76" s="205" t="n"/>
      <c r="X76" s="205" t="n"/>
      <c r="Y76" s="205" t="n"/>
      <c r="Z76" s="205" t="n"/>
      <c r="AA76" s="205" t="n"/>
      <c r="AB76" s="205" t="n"/>
      <c r="AC76" s="205" t="n"/>
      <c r="AD76" s="205" t="n"/>
      <c r="AE76" s="205" t="n"/>
      <c r="AF76" s="205" t="n"/>
      <c r="AG76" s="205" t="n"/>
      <c r="AH76" s="205" t="n"/>
      <c r="AI76" s="202" t="n"/>
    </row>
    <row r="77" ht="51" customHeight="1" s="169">
      <c r="A77" s="192" t="n">
        <v>41</v>
      </c>
      <c r="B77" s="193" t="inlineStr">
        <is>
          <t>Клапан ВДХ Ду 80 Ру 10</t>
        </is>
      </c>
      <c r="C77" s="210" t="inlineStr">
        <is>
          <t>Класс герметичности по ГОСТ 54808"А"</t>
        </is>
      </c>
      <c r="D77" s="210" t="n">
        <v>80</v>
      </c>
      <c r="E77" s="210" t="inlineStr">
        <is>
          <t>стандарт</t>
        </is>
      </c>
      <c r="F77" s="210" t="n">
        <v>1.6</v>
      </c>
      <c r="G77" s="210" t="inlineStr">
        <is>
          <t>До + 60°С</t>
        </is>
      </c>
      <c r="H77" s="210" t="inlineStr">
        <is>
          <t>Вода; раствор NaOH 30%; Н2SO4 93%</t>
        </is>
      </c>
      <c r="I77" s="210" t="inlineStr">
        <is>
          <t>углеродистая сталь</t>
        </is>
      </c>
      <c r="J77" s="210" t="inlineStr">
        <is>
          <t>У</t>
        </is>
      </c>
      <c r="K77" s="210" t="inlineStr">
        <is>
          <t>Присоединение фланцевое по ГОСТ 12815-80</t>
        </is>
      </c>
      <c r="L77" s="210" t="inlineStr">
        <is>
          <t xml:space="preserve">Ручное </t>
        </is>
      </c>
      <c r="M77" s="210" t="inlineStr">
        <is>
          <t>маховик</t>
        </is>
      </c>
      <c r="N77" s="210" t="inlineStr">
        <is>
          <t>-</t>
        </is>
      </c>
      <c r="O77" s="210" t="inlineStr">
        <is>
          <t>Материал защитного покрытия-фторопласт Ф-4МБ. Мембраны-фторопласт</t>
        </is>
      </c>
      <c r="P77" s="210" t="inlineStr">
        <is>
          <t>строительная длина  310 мм</t>
        </is>
      </c>
      <c r="Q77" s="197" t="n"/>
      <c r="R77" s="198">
        <f>A77</f>
        <v/>
      </c>
      <c r="S77" s="205" t="n"/>
      <c r="T77" s="205" t="n"/>
      <c r="U77" s="205" t="n"/>
      <c r="V77" s="205" t="n"/>
      <c r="W77" s="205" t="n"/>
      <c r="X77" s="205" t="n"/>
      <c r="Y77" s="205" t="n"/>
      <c r="Z77" s="205" t="n"/>
      <c r="AA77" s="205" t="n"/>
      <c r="AB77" s="205" t="n"/>
      <c r="AC77" s="205" t="n"/>
      <c r="AD77" s="205" t="n"/>
      <c r="AE77" s="205" t="n"/>
      <c r="AF77" s="205" t="n"/>
      <c r="AG77" s="205" t="n"/>
      <c r="AH77" s="205" t="n"/>
      <c r="AI77" s="202" t="n"/>
    </row>
    <row r="78" ht="51" customHeight="1" s="169">
      <c r="A78" s="192" t="n">
        <v>42</v>
      </c>
      <c r="B78" s="193" t="inlineStr">
        <is>
          <t>Клапан диафрагменный химический ВДХ Ду 150 Ру 16</t>
        </is>
      </c>
      <c r="C78" s="210" t="inlineStr">
        <is>
          <t>Класс герметичности по ГОСТ 54808"А"</t>
        </is>
      </c>
      <c r="D78" s="210" t="n">
        <v>150</v>
      </c>
      <c r="E78" s="210" t="inlineStr">
        <is>
          <t>стандарт</t>
        </is>
      </c>
      <c r="F78" s="210" t="n">
        <v>1.6</v>
      </c>
      <c r="G78" s="210" t="inlineStr">
        <is>
          <t>До + 60°С</t>
        </is>
      </c>
      <c r="H78" s="210" t="inlineStr">
        <is>
          <t>Вода; раствор NaOH 30%; Н2SO4 93%</t>
        </is>
      </c>
      <c r="I78" s="210" t="inlineStr">
        <is>
          <t>углеродистая сталь</t>
        </is>
      </c>
      <c r="J78" s="210" t="inlineStr">
        <is>
          <t>У</t>
        </is>
      </c>
      <c r="K78" s="210" t="inlineStr">
        <is>
          <t>Присоединение фланцевое по ГОСТ 12815-80</t>
        </is>
      </c>
      <c r="L78" s="210" t="inlineStr">
        <is>
          <t xml:space="preserve">Ручное </t>
        </is>
      </c>
      <c r="M78" s="210" t="inlineStr">
        <is>
          <t>маховик</t>
        </is>
      </c>
      <c r="N78" s="210" t="inlineStr">
        <is>
          <t>-</t>
        </is>
      </c>
      <c r="O78" s="210" t="inlineStr">
        <is>
          <t>Материал защитного покрытия-фторопласт Ф-4МБ. Мембраны-фторопласт</t>
        </is>
      </c>
      <c r="P78" s="210" t="inlineStr">
        <is>
          <t>строительная длина  460 мм</t>
        </is>
      </c>
      <c r="Q78" s="210" t="n"/>
      <c r="R78" s="198">
        <f>A78</f>
        <v/>
      </c>
      <c r="S78" s="205" t="n"/>
      <c r="T78" s="205" t="n"/>
      <c r="U78" s="205" t="n"/>
      <c r="V78" s="205" t="n"/>
      <c r="W78" s="205" t="n"/>
      <c r="X78" s="205" t="n"/>
      <c r="Y78" s="205" t="n"/>
      <c r="Z78" s="205" t="n"/>
      <c r="AA78" s="205" t="n"/>
      <c r="AB78" s="205" t="n"/>
      <c r="AC78" s="205" t="n"/>
      <c r="AD78" s="205" t="n"/>
      <c r="AE78" s="205" t="n"/>
      <c r="AF78" s="205" t="n"/>
      <c r="AG78" s="205" t="n"/>
      <c r="AH78" s="205" t="n"/>
      <c r="AI78" s="202" t="n"/>
    </row>
    <row r="79" ht="51" customHeight="1" s="169">
      <c r="A79" s="192" t="n">
        <v>43</v>
      </c>
      <c r="B79" s="193" t="inlineStr">
        <is>
          <t>Клапан диафрагменный химический ВДХ Ду 50, Ру 16</t>
        </is>
      </c>
      <c r="C79" s="210" t="inlineStr">
        <is>
          <t>Класс герметичности по ГОСТ 54808"А"</t>
        </is>
      </c>
      <c r="D79" s="210" t="n">
        <v>50</v>
      </c>
      <c r="E79" s="210" t="inlineStr">
        <is>
          <t>стандарт</t>
        </is>
      </c>
      <c r="F79" s="210" t="n">
        <v>1.6</v>
      </c>
      <c r="G79" s="210" t="inlineStr">
        <is>
          <t>от -50 до +150°С</t>
        </is>
      </c>
      <c r="H79" s="210" t="inlineStr">
        <is>
          <t>любые жидкие реагенты и химические среды.</t>
        </is>
      </c>
      <c r="I79" s="210" t="inlineStr">
        <is>
          <t>углеродистая сталь</t>
        </is>
      </c>
      <c r="J79" s="210" t="inlineStr">
        <is>
          <t>У</t>
        </is>
      </c>
      <c r="K79" s="210" t="inlineStr">
        <is>
          <t>Присоединение фланцевое по ГОСТ 12815-80</t>
        </is>
      </c>
      <c r="L79" s="210" t="inlineStr">
        <is>
          <t xml:space="preserve">Ручное </t>
        </is>
      </c>
      <c r="M79" s="210" t="inlineStr">
        <is>
          <t>маховик</t>
        </is>
      </c>
      <c r="N79" s="210" t="inlineStr">
        <is>
          <t>-</t>
        </is>
      </c>
      <c r="O79" s="210" t="inlineStr">
        <is>
          <t>Материал защитного покрытия-фторопласт Ф-4МБ. Мембраны-фторопласт</t>
        </is>
      </c>
      <c r="P79" s="210" t="inlineStr">
        <is>
          <t>строительная длина  210 мм,</t>
        </is>
      </c>
      <c r="Q79" s="210" t="n"/>
      <c r="R79" s="198">
        <f>A79</f>
        <v/>
      </c>
      <c r="S79" s="205" t="n"/>
      <c r="T79" s="205" t="n"/>
      <c r="U79" s="205" t="n"/>
      <c r="V79" s="205" t="n"/>
      <c r="W79" s="205" t="n"/>
      <c r="X79" s="205" t="n"/>
      <c r="Y79" s="205" t="n"/>
      <c r="Z79" s="205" t="n"/>
      <c r="AA79" s="205" t="n"/>
      <c r="AB79" s="205" t="n"/>
      <c r="AC79" s="205" t="n"/>
      <c r="AD79" s="205" t="n"/>
      <c r="AE79" s="205" t="n"/>
      <c r="AF79" s="205" t="n"/>
      <c r="AG79" s="205" t="n"/>
      <c r="AH79" s="205" t="n"/>
      <c r="AI79" s="202" t="n"/>
    </row>
    <row r="80" ht="51" customHeight="1" s="169">
      <c r="A80" s="192" t="n">
        <v>44</v>
      </c>
      <c r="B80" s="193" t="inlineStr">
        <is>
          <t>Клапан диафрагменный химический ВДХ Ду 80 Ру 16</t>
        </is>
      </c>
      <c r="C80" s="210" t="inlineStr">
        <is>
          <t>Класс герметичности по ГОСТ 54808"А"</t>
        </is>
      </c>
      <c r="D80" s="210" t="n">
        <v>80</v>
      </c>
      <c r="E80" s="210" t="inlineStr">
        <is>
          <t>стандарт</t>
        </is>
      </c>
      <c r="F80" s="210" t="n">
        <v>1.6</v>
      </c>
      <c r="G80" s="210" t="inlineStr">
        <is>
          <t>от -50 до +150°С</t>
        </is>
      </c>
      <c r="H80" s="210" t="inlineStr">
        <is>
          <t>любые жидкие реагенты и химические среды.</t>
        </is>
      </c>
      <c r="I80" s="210" t="inlineStr">
        <is>
          <t>углеродистая сталь</t>
        </is>
      </c>
      <c r="J80" s="210" t="inlineStr">
        <is>
          <t>У</t>
        </is>
      </c>
      <c r="K80" s="210" t="inlineStr">
        <is>
          <t>Присоединение фланцевое по ГОСТ 12815-80</t>
        </is>
      </c>
      <c r="L80" s="210" t="inlineStr">
        <is>
          <t xml:space="preserve">Ручное </t>
        </is>
      </c>
      <c r="M80" s="210" t="inlineStr">
        <is>
          <t>маховик</t>
        </is>
      </c>
      <c r="N80" s="210" t="inlineStr">
        <is>
          <t>-</t>
        </is>
      </c>
      <c r="O80" s="210" t="inlineStr">
        <is>
          <t>Материал защитного покрытия-фторопласт Ф-4МБ. Мембраны-фторопласт</t>
        </is>
      </c>
      <c r="P80" s="210" t="inlineStr">
        <is>
          <t>строительная длина  310 мм,</t>
        </is>
      </c>
      <c r="Q80" s="210" t="n"/>
      <c r="R80" s="198">
        <f>A80</f>
        <v/>
      </c>
      <c r="S80" s="205" t="n"/>
      <c r="T80" s="205" t="n"/>
      <c r="U80" s="205" t="n"/>
      <c r="V80" s="205" t="n"/>
      <c r="W80" s="205" t="n"/>
      <c r="X80" s="205" t="n"/>
      <c r="Y80" s="205" t="n"/>
      <c r="Z80" s="205" t="n"/>
      <c r="AA80" s="205" t="n"/>
      <c r="AB80" s="205" t="n"/>
      <c r="AC80" s="205" t="n"/>
      <c r="AD80" s="205" t="n"/>
      <c r="AE80" s="205" t="n"/>
      <c r="AF80" s="205" t="n"/>
      <c r="AG80" s="205" t="n"/>
      <c r="AH80" s="205" t="n"/>
      <c r="AI80" s="202" t="n"/>
    </row>
    <row r="81" ht="51" customHeight="1" s="169">
      <c r="A81" s="192" t="n">
        <v>45</v>
      </c>
      <c r="B81" s="193" t="inlineStr">
        <is>
          <t>Клапан запорный 14нж17п Ду 15 Ру 10 цапковый</t>
        </is>
      </c>
      <c r="C81" s="210" t="inlineStr">
        <is>
          <t>ТУ 3700-003-92853012-2012</t>
        </is>
      </c>
      <c r="D81" s="210" t="n">
        <v>15</v>
      </c>
      <c r="E81" s="210" t="inlineStr">
        <is>
          <t>-</t>
        </is>
      </c>
      <c r="F81" s="210" t="n">
        <v>1</v>
      </c>
      <c r="G81" s="210" t="inlineStr">
        <is>
          <t xml:space="preserve"> до +200°С</t>
        </is>
      </c>
      <c r="H81" s="210" t="inlineStr">
        <is>
          <t>Жидкость, пар, воздух, инертный газ, агрессивная среда.</t>
        </is>
      </c>
      <c r="I81" s="210" t="inlineStr">
        <is>
          <t>Сталь марки 12Х18Н9Т</t>
        </is>
      </c>
      <c r="J81" s="210" t="inlineStr">
        <is>
          <t>-</t>
        </is>
      </c>
      <c r="K81" s="210" t="inlineStr">
        <is>
          <t>Цапка</t>
        </is>
      </c>
      <c r="L81" s="210" t="inlineStr">
        <is>
          <t>Ручной</t>
        </is>
      </c>
      <c r="M81" s="210" t="inlineStr">
        <is>
          <t>Рукоятка</t>
        </is>
      </c>
      <c r="N81" s="210" t="inlineStr">
        <is>
          <t>любое</t>
        </is>
      </c>
      <c r="O81" s="210" t="inlineStr">
        <is>
          <t>Материал изделия (уплотнение в затворе): фторопласт Ф-4;</t>
        </is>
      </c>
      <c r="P81" s="210" t="inlineStr">
        <is>
          <t>-</t>
        </is>
      </c>
      <c r="Q81" s="210" t="inlineStr">
        <is>
          <t>-</t>
        </is>
      </c>
      <c r="R81" s="198">
        <f>A81</f>
        <v/>
      </c>
      <c r="S81" s="205" t="n"/>
      <c r="T81" s="205" t="n"/>
      <c r="U81" s="205" t="n"/>
      <c r="V81" s="205" t="n"/>
      <c r="W81" s="205" t="n"/>
      <c r="X81" s="205" t="n"/>
      <c r="Y81" s="205" t="n"/>
      <c r="Z81" s="205" t="n"/>
      <c r="AA81" s="205" t="n"/>
      <c r="AB81" s="205" t="n"/>
      <c r="AC81" s="205" t="n"/>
      <c r="AD81" s="205" t="n"/>
      <c r="AE81" s="205" t="n"/>
      <c r="AF81" s="205" t="n"/>
      <c r="AG81" s="205" t="n"/>
      <c r="AH81" s="205" t="n"/>
      <c r="AI81" s="202" t="n"/>
    </row>
    <row r="82" ht="51" customHeight="1" s="169">
      <c r="A82" s="192" t="n">
        <v>46</v>
      </c>
      <c r="B82" s="193" t="inlineStr">
        <is>
          <t>Клапан запорный 14нж17п Ду 25 Ру 10 цапковый</t>
        </is>
      </c>
      <c r="C82" s="210" t="inlineStr">
        <is>
          <t>ТУ 3700-003-92853012-2012</t>
        </is>
      </c>
      <c r="D82" s="210" t="n">
        <v>25</v>
      </c>
      <c r="E82" s="210" t="inlineStr">
        <is>
          <t>-</t>
        </is>
      </c>
      <c r="F82" s="210" t="n">
        <v>1</v>
      </c>
      <c r="G82" s="210" t="inlineStr">
        <is>
          <t xml:space="preserve"> до +200°С</t>
        </is>
      </c>
      <c r="H82" s="210" t="inlineStr">
        <is>
          <t>Жидкость, пар, воздух, инертный газ, агрессивная среда.</t>
        </is>
      </c>
      <c r="I82" s="210" t="inlineStr">
        <is>
          <t>Сталь марки 12Х18Н9Т</t>
        </is>
      </c>
      <c r="J82" s="210" t="inlineStr">
        <is>
          <t>-</t>
        </is>
      </c>
      <c r="K82" s="210" t="inlineStr">
        <is>
          <t>Цапка</t>
        </is>
      </c>
      <c r="L82" s="210" t="inlineStr">
        <is>
          <t>Ручной</t>
        </is>
      </c>
      <c r="M82" s="210" t="inlineStr">
        <is>
          <t>Рукоятка</t>
        </is>
      </c>
      <c r="N82" s="210" t="inlineStr">
        <is>
          <t>любое</t>
        </is>
      </c>
      <c r="O82" s="210" t="inlineStr">
        <is>
          <t>Материал изделия (уплотнение в затворе): фторопласт Ф-4;</t>
        </is>
      </c>
      <c r="P82" s="210" t="inlineStr">
        <is>
          <t>-</t>
        </is>
      </c>
      <c r="Q82" s="210" t="inlineStr">
        <is>
          <t>-</t>
        </is>
      </c>
      <c r="R82" s="198">
        <f>A82</f>
        <v/>
      </c>
      <c r="S82" s="205" t="n"/>
      <c r="T82" s="205" t="n"/>
      <c r="U82" s="205" t="n"/>
      <c r="V82" s="205" t="n"/>
      <c r="W82" s="205" t="n"/>
      <c r="X82" s="205" t="n"/>
      <c r="Y82" s="205" t="n"/>
      <c r="Z82" s="205" t="n"/>
      <c r="AA82" s="205" t="n"/>
      <c r="AB82" s="205" t="n"/>
      <c r="AC82" s="205" t="n"/>
      <c r="AD82" s="205" t="n"/>
      <c r="AE82" s="205" t="n"/>
      <c r="AF82" s="205" t="n"/>
      <c r="AG82" s="205" t="n"/>
      <c r="AH82" s="205" t="n"/>
      <c r="AI82" s="202" t="n"/>
    </row>
    <row r="83" ht="51" customHeight="1" s="169">
      <c r="A83" s="192" t="n">
        <v>47</v>
      </c>
      <c r="B83" s="193" t="inlineStr">
        <is>
          <t>Клапан запорный 14нж17п Ду 32 Ру 10 цапковый</t>
        </is>
      </c>
      <c r="C83" s="210" t="inlineStr">
        <is>
          <t>ТУ 3700-003-92853012-2012</t>
        </is>
      </c>
      <c r="D83" s="210" t="n">
        <v>32</v>
      </c>
      <c r="E83" s="210" t="inlineStr">
        <is>
          <t>-</t>
        </is>
      </c>
      <c r="F83" s="210" t="n">
        <v>1</v>
      </c>
      <c r="G83" s="210" t="inlineStr">
        <is>
          <t xml:space="preserve"> до +200°С</t>
        </is>
      </c>
      <c r="H83" s="210" t="inlineStr">
        <is>
          <t>Жидкость, пар, воздух, инертный газ, агрессивная среда.</t>
        </is>
      </c>
      <c r="I83" s="210" t="inlineStr">
        <is>
          <t>Сталь марки 12Х18Н9Т</t>
        </is>
      </c>
      <c r="J83" s="210" t="inlineStr">
        <is>
          <t>-</t>
        </is>
      </c>
      <c r="K83" s="210" t="inlineStr">
        <is>
          <t>Цапка</t>
        </is>
      </c>
      <c r="L83" s="210" t="inlineStr">
        <is>
          <t>Ручной</t>
        </is>
      </c>
      <c r="M83" s="210" t="inlineStr">
        <is>
          <t>Рукоятка</t>
        </is>
      </c>
      <c r="N83" s="210" t="inlineStr">
        <is>
          <t>любое</t>
        </is>
      </c>
      <c r="O83" s="210" t="inlineStr">
        <is>
          <t>Материал изделия (уплотнение в затворе): фторопласт Ф-4;</t>
        </is>
      </c>
      <c r="P83" s="210" t="inlineStr">
        <is>
          <t>-</t>
        </is>
      </c>
      <c r="Q83" s="210" t="inlineStr">
        <is>
          <t>-</t>
        </is>
      </c>
      <c r="R83" s="198">
        <f>A83</f>
        <v/>
      </c>
      <c r="S83" s="205" t="n"/>
      <c r="T83" s="205" t="n"/>
      <c r="U83" s="205" t="n"/>
      <c r="V83" s="205" t="n"/>
      <c r="W83" s="205" t="n"/>
      <c r="X83" s="205" t="n"/>
      <c r="Y83" s="205" t="n"/>
      <c r="Z83" s="205" t="n"/>
      <c r="AA83" s="205" t="n"/>
      <c r="AB83" s="205" t="n"/>
      <c r="AC83" s="205" t="n"/>
      <c r="AD83" s="205" t="n"/>
      <c r="AE83" s="205" t="n"/>
      <c r="AF83" s="205" t="n"/>
      <c r="AG83" s="205" t="n"/>
      <c r="AH83" s="205" t="n"/>
      <c r="AI83" s="202" t="n"/>
    </row>
    <row r="84" ht="51" customHeight="1" s="169">
      <c r="A84" s="192" t="n">
        <v>48</v>
      </c>
      <c r="B84" s="193" t="inlineStr">
        <is>
          <t>Клапан запорный 15б1п Ду 15 Ру16</t>
        </is>
      </c>
      <c r="C84" s="210" t="inlineStr">
        <is>
          <t>ТУ 3712-001-04606952-2011</t>
        </is>
      </c>
      <c r="D84" s="210" t="n">
        <v>15</v>
      </c>
      <c r="E84" s="210" t="n"/>
      <c r="F84" s="210" t="n">
        <v>1.6</v>
      </c>
      <c r="G84" s="210" t="inlineStr">
        <is>
          <t xml:space="preserve"> до +200°С</t>
        </is>
      </c>
      <c r="H84" s="210" t="inlineStr">
        <is>
          <t>Жидкость, пар, воздух, .</t>
        </is>
      </c>
      <c r="I84" s="210" t="inlineStr">
        <is>
          <t>латунь ЛС59-1 ГОСТ 15527-2004</t>
        </is>
      </c>
      <c r="J84" s="210" t="inlineStr">
        <is>
          <t>УХЛ 4 ГОСТ 15150-69</t>
        </is>
      </c>
      <c r="K84" s="210" t="inlineStr">
        <is>
          <t>внутренняя резьба G1/2-В</t>
        </is>
      </c>
      <c r="L84" s="210" t="inlineStr">
        <is>
          <t>Ручной</t>
        </is>
      </c>
      <c r="M84" s="210" t="inlineStr">
        <is>
          <t>маховик</t>
        </is>
      </c>
      <c r="N84" s="210" t="inlineStr">
        <is>
          <t>любое</t>
        </is>
      </c>
      <c r="O84" s="210" t="inlineStr">
        <is>
          <t>латунь ЛС59-1 ГОСТ 15527-2004</t>
        </is>
      </c>
      <c r="P84" s="210" t="inlineStr">
        <is>
          <t>Длина-55мм, высота-63мм</t>
        </is>
      </c>
      <c r="Q84" s="210" t="n"/>
      <c r="R84" s="198">
        <f>A84</f>
        <v/>
      </c>
      <c r="S84" s="205" t="n"/>
      <c r="T84" s="205" t="n"/>
      <c r="U84" s="205" t="n"/>
      <c r="V84" s="205" t="n"/>
      <c r="W84" s="205" t="n"/>
      <c r="X84" s="205" t="n"/>
      <c r="Y84" s="205" t="n"/>
      <c r="Z84" s="205" t="n"/>
      <c r="AA84" s="205" t="n"/>
      <c r="AB84" s="205" t="n"/>
      <c r="AC84" s="205" t="n"/>
      <c r="AD84" s="205" t="n"/>
      <c r="AE84" s="205" t="n"/>
      <c r="AF84" s="205" t="n"/>
      <c r="AG84" s="205" t="n"/>
      <c r="AH84" s="205" t="n"/>
      <c r="AI84" s="202" t="n"/>
    </row>
    <row r="85" ht="51" customFormat="1" customHeight="1" s="171">
      <c r="A85" s="192" t="n">
        <v>49</v>
      </c>
      <c r="B85" s="193" t="inlineStr">
        <is>
          <t>Клапан запорный 15б1п Ду 20 Ру16</t>
        </is>
      </c>
      <c r="C85" s="210" t="inlineStr">
        <is>
          <t>ТУ 3712-001-04606952-2011</t>
        </is>
      </c>
      <c r="D85" s="210" t="n">
        <v>20</v>
      </c>
      <c r="E85" s="210" t="n"/>
      <c r="F85" s="210" t="n">
        <v>1.6</v>
      </c>
      <c r="G85" s="210" t="inlineStr">
        <is>
          <t xml:space="preserve"> до +200°С</t>
        </is>
      </c>
      <c r="H85" s="210" t="inlineStr">
        <is>
          <t>Жидкость, пар, воздух, .</t>
        </is>
      </c>
      <c r="I85" s="210" t="inlineStr">
        <is>
          <t>латунь ЛС59-1 ГОСТ 15527-2004</t>
        </is>
      </c>
      <c r="J85" s="210" t="inlineStr">
        <is>
          <t>УХЛ 4 ГОСТ 15150-69</t>
        </is>
      </c>
      <c r="K85" s="210" t="inlineStr">
        <is>
          <t>внутренняя резьба G3/4-В</t>
        </is>
      </c>
      <c r="L85" s="210" t="inlineStr">
        <is>
          <t>Ручной</t>
        </is>
      </c>
      <c r="M85" s="210" t="inlineStr">
        <is>
          <t>маховик</t>
        </is>
      </c>
      <c r="N85" s="210" t="inlineStr">
        <is>
          <t>любое</t>
        </is>
      </c>
      <c r="O85" s="210" t="inlineStr">
        <is>
          <t>латунь ЛС59-1 ГОСТ 15527-2004</t>
        </is>
      </c>
      <c r="P85" s="210" t="inlineStr">
        <is>
          <t>Длина-65мм, высота-63мм</t>
        </is>
      </c>
      <c r="Q85" s="210" t="n"/>
      <c r="R85" s="198">
        <f>A85</f>
        <v/>
      </c>
      <c r="S85" s="205" t="n"/>
      <c r="T85" s="205" t="n"/>
      <c r="U85" s="205" t="n"/>
      <c r="V85" s="205" t="n"/>
      <c r="W85" s="205" t="n"/>
      <c r="X85" s="205" t="n"/>
      <c r="Y85" s="205" t="n"/>
      <c r="Z85" s="205" t="n"/>
      <c r="AA85" s="205" t="n"/>
      <c r="AB85" s="205" t="n"/>
      <c r="AC85" s="205" t="n"/>
      <c r="AD85" s="205" t="n"/>
      <c r="AE85" s="205" t="n"/>
      <c r="AF85" s="205" t="n"/>
      <c r="AG85" s="205" t="n"/>
      <c r="AH85" s="205" t="n"/>
      <c r="AI85" s="202" t="n"/>
    </row>
    <row r="86" ht="51" customFormat="1" customHeight="1" s="171">
      <c r="A86" s="192" t="n">
        <v>50</v>
      </c>
      <c r="B86" s="193" t="inlineStr">
        <is>
          <t>Клапан запорный 15б1п Ду 25 Ру16</t>
        </is>
      </c>
      <c r="C86" s="210" t="inlineStr">
        <is>
          <t>ТУ 3712-001-04606952-2011</t>
        </is>
      </c>
      <c r="D86" s="210" t="n">
        <v>25</v>
      </c>
      <c r="E86" s="210" t="n"/>
      <c r="F86" s="210" t="n">
        <v>1.6</v>
      </c>
      <c r="G86" s="210" t="inlineStr">
        <is>
          <t xml:space="preserve"> до +200°С</t>
        </is>
      </c>
      <c r="H86" s="210" t="inlineStr">
        <is>
          <t>Жидкость, пар, воздух, .</t>
        </is>
      </c>
      <c r="I86" s="210" t="inlineStr">
        <is>
          <t>латунь ЛС59-1 ГОСТ 15527-2004</t>
        </is>
      </c>
      <c r="J86" s="210" t="inlineStr">
        <is>
          <t>УХЛ 4 ГОСТ 15150-69</t>
        </is>
      </c>
      <c r="K86" s="210" t="inlineStr">
        <is>
          <t>внутренняя резьба G1-В</t>
        </is>
      </c>
      <c r="L86" s="210" t="inlineStr">
        <is>
          <t>Ручной</t>
        </is>
      </c>
      <c r="M86" s="210" t="inlineStr">
        <is>
          <t>маховик</t>
        </is>
      </c>
      <c r="N86" s="210" t="inlineStr">
        <is>
          <t>любое</t>
        </is>
      </c>
      <c r="O86" s="210" t="inlineStr">
        <is>
          <t>латунь ЛС59-1 ГОСТ 15527-2004</t>
        </is>
      </c>
      <c r="P86" s="210" t="inlineStr">
        <is>
          <t>Длина-80мм, высота-80мм</t>
        </is>
      </c>
      <c r="Q86" s="210" t="n"/>
      <c r="R86" s="198">
        <f>A86</f>
        <v/>
      </c>
      <c r="S86" s="205" t="n"/>
      <c r="T86" s="205" t="n"/>
      <c r="U86" s="205" t="n"/>
      <c r="V86" s="205" t="n"/>
      <c r="W86" s="205" t="n"/>
      <c r="X86" s="205" t="n"/>
      <c r="Y86" s="205" t="n"/>
      <c r="Z86" s="205" t="n"/>
      <c r="AA86" s="205" t="n"/>
      <c r="AB86" s="205" t="n"/>
      <c r="AC86" s="205" t="n"/>
      <c r="AD86" s="205" t="n"/>
      <c r="AE86" s="205" t="n"/>
      <c r="AF86" s="205" t="n"/>
      <c r="AG86" s="205" t="n"/>
      <c r="AH86" s="205" t="n"/>
      <c r="AI86" s="202" t="n"/>
    </row>
    <row r="87" ht="51" customHeight="1" s="169">
      <c r="A87" s="192" t="n">
        <v>51</v>
      </c>
      <c r="B87" s="193" t="inlineStr">
        <is>
          <t>Клапан запорный 15б1п Ду 32 Ру16</t>
        </is>
      </c>
      <c r="C87" s="210" t="inlineStr">
        <is>
          <t>ТУ 3712-001-04606952-2011</t>
        </is>
      </c>
      <c r="D87" s="210" t="n">
        <v>32</v>
      </c>
      <c r="E87" s="210" t="n"/>
      <c r="F87" s="210" t="n">
        <v>1.6</v>
      </c>
      <c r="G87" s="210" t="inlineStr">
        <is>
          <t xml:space="preserve"> до +200°С</t>
        </is>
      </c>
      <c r="H87" s="210" t="inlineStr">
        <is>
          <t>Жидкость, пар, воздух, .</t>
        </is>
      </c>
      <c r="I87" s="210" t="inlineStr">
        <is>
          <t>латунь ЛС59-1 ГОСТ 15527-2004</t>
        </is>
      </c>
      <c r="J87" s="210" t="inlineStr">
        <is>
          <t>УХЛ 4 ГОСТ 15150-69</t>
        </is>
      </c>
      <c r="K87" s="210" t="inlineStr">
        <is>
          <t>внутренняя резьба G1 1/4-В</t>
        </is>
      </c>
      <c r="L87" s="210" t="inlineStr">
        <is>
          <t>Ручной</t>
        </is>
      </c>
      <c r="M87" s="210" t="inlineStr">
        <is>
          <t>маховик</t>
        </is>
      </c>
      <c r="N87" s="210" t="inlineStr">
        <is>
          <t>любое</t>
        </is>
      </c>
      <c r="O87" s="210" t="inlineStr">
        <is>
          <t>латунь ЛС59-1 ГОСТ 15527-2004</t>
        </is>
      </c>
      <c r="P87" s="210" t="inlineStr">
        <is>
          <t>Длина-95мм, высота-84мм</t>
        </is>
      </c>
      <c r="Q87" s="210" t="n"/>
      <c r="R87" s="198">
        <f>A87</f>
        <v/>
      </c>
      <c r="S87" s="205" t="n"/>
      <c r="T87" s="205" t="n"/>
      <c r="U87" s="205" t="n"/>
      <c r="V87" s="205" t="n"/>
      <c r="W87" s="205" t="n"/>
      <c r="X87" s="205" t="n"/>
      <c r="Y87" s="205" t="n"/>
      <c r="Z87" s="205" t="n"/>
      <c r="AA87" s="205" t="n"/>
      <c r="AB87" s="205" t="n"/>
      <c r="AC87" s="205" t="n"/>
      <c r="AD87" s="205" t="n"/>
      <c r="AE87" s="205" t="n"/>
      <c r="AF87" s="205" t="n"/>
      <c r="AG87" s="205" t="n"/>
      <c r="AH87" s="205" t="n"/>
      <c r="AI87" s="202" t="n"/>
    </row>
    <row r="88" ht="51" customHeight="1" s="169">
      <c r="A88" s="192" t="n">
        <v>52</v>
      </c>
      <c r="B88" s="193" t="inlineStr">
        <is>
          <t>Клапан запорный 15б1п Ду 40 Ру16</t>
        </is>
      </c>
      <c r="C88" s="210" t="inlineStr">
        <is>
          <t>ТУ 3712-001-04606952-2011</t>
        </is>
      </c>
      <c r="D88" s="210" t="n">
        <v>40</v>
      </c>
      <c r="E88" s="210" t="n"/>
      <c r="F88" s="210" t="n">
        <v>1.6</v>
      </c>
      <c r="G88" s="210" t="inlineStr">
        <is>
          <t xml:space="preserve"> до +200°С</t>
        </is>
      </c>
      <c r="H88" s="210" t="inlineStr">
        <is>
          <t>Жидкость, пар, воздух, .</t>
        </is>
      </c>
      <c r="I88" s="210" t="inlineStr">
        <is>
          <t>латунь ЛС59-1 ГОСТ 15527-2004</t>
        </is>
      </c>
      <c r="J88" s="210" t="inlineStr">
        <is>
          <t>УХЛ 4 ГОСТ 15150-69</t>
        </is>
      </c>
      <c r="K88" s="210" t="inlineStr">
        <is>
          <t>внутренняя резьба G1 1/2-В</t>
        </is>
      </c>
      <c r="L88" s="210" t="inlineStr">
        <is>
          <t>Ручной</t>
        </is>
      </c>
      <c r="M88" s="210" t="inlineStr">
        <is>
          <t>маховик</t>
        </is>
      </c>
      <c r="N88" s="210" t="inlineStr">
        <is>
          <t>любое</t>
        </is>
      </c>
      <c r="O88" s="210" t="inlineStr">
        <is>
          <t>латунь ЛС59-1 ГОСТ 15527-2004</t>
        </is>
      </c>
      <c r="P88" s="210" t="inlineStr">
        <is>
          <t>Длина-110мм, высота-115мм</t>
        </is>
      </c>
      <c r="Q88" s="210" t="n"/>
      <c r="R88" s="198">
        <f>A88</f>
        <v/>
      </c>
      <c r="S88" s="205" t="n"/>
      <c r="T88" s="205" t="n"/>
      <c r="U88" s="205" t="n"/>
      <c r="V88" s="205" t="n"/>
      <c r="W88" s="205" t="n"/>
      <c r="X88" s="205" t="n"/>
      <c r="Y88" s="205" t="n"/>
      <c r="Z88" s="205" t="n"/>
      <c r="AA88" s="205" t="n"/>
      <c r="AB88" s="205" t="n"/>
      <c r="AC88" s="205" t="n"/>
      <c r="AD88" s="205" t="n"/>
      <c r="AE88" s="205" t="n"/>
      <c r="AF88" s="205" t="n"/>
      <c r="AG88" s="205" t="n"/>
      <c r="AH88" s="205" t="n"/>
      <c r="AI88" s="202" t="n"/>
    </row>
    <row r="89" ht="51" customHeight="1" s="169">
      <c r="A89" s="192" t="n">
        <v>53</v>
      </c>
      <c r="B89" s="193" t="inlineStr">
        <is>
          <t>Клапан запорный 15б1п Ду 50 Ру16</t>
        </is>
      </c>
      <c r="C89" s="210" t="inlineStr">
        <is>
          <t>ТУ 3712-001-04606952-2011</t>
        </is>
      </c>
      <c r="D89" s="210" t="n">
        <v>50</v>
      </c>
      <c r="E89" s="210" t="n"/>
      <c r="F89" s="210" t="n">
        <v>1.6</v>
      </c>
      <c r="G89" s="210" t="inlineStr">
        <is>
          <t xml:space="preserve"> до +200°С</t>
        </is>
      </c>
      <c r="H89" s="210" t="inlineStr">
        <is>
          <t>Жидкость, пар, воздух, .</t>
        </is>
      </c>
      <c r="I89" s="210" t="inlineStr">
        <is>
          <t>латунь ЛС59-1 ГОСТ 15527-2004</t>
        </is>
      </c>
      <c r="J89" s="210" t="inlineStr">
        <is>
          <t>УХЛ 4 ГОСТ 15150-69</t>
        </is>
      </c>
      <c r="K89" s="210" t="inlineStr">
        <is>
          <t>внутренняя резьба G2 -В</t>
        </is>
      </c>
      <c r="L89" s="210" t="inlineStr">
        <is>
          <t>Ручной</t>
        </is>
      </c>
      <c r="M89" s="210" t="inlineStr">
        <is>
          <t>маховик</t>
        </is>
      </c>
      <c r="N89" s="210" t="inlineStr">
        <is>
          <t>любое</t>
        </is>
      </c>
      <c r="O89" s="210" t="inlineStr">
        <is>
          <t>латунь ЛС59-1 ГОСТ 15527-2004</t>
        </is>
      </c>
      <c r="P89" s="210" t="inlineStr">
        <is>
          <t>Длина-132мм, высота-115мм</t>
        </is>
      </c>
      <c r="Q89" s="210" t="n"/>
      <c r="R89" s="198">
        <f>A89</f>
        <v/>
      </c>
      <c r="S89" s="205" t="n"/>
      <c r="T89" s="205" t="n"/>
      <c r="U89" s="205" t="n"/>
      <c r="V89" s="205" t="n"/>
      <c r="W89" s="205" t="n"/>
      <c r="X89" s="205" t="n"/>
      <c r="Y89" s="205" t="n"/>
      <c r="Z89" s="205" t="n"/>
      <c r="AA89" s="205" t="n"/>
      <c r="AB89" s="205" t="n"/>
      <c r="AC89" s="205" t="n"/>
      <c r="AD89" s="205" t="n"/>
      <c r="AE89" s="205" t="n"/>
      <c r="AF89" s="205" t="n"/>
      <c r="AG89" s="205" t="n"/>
      <c r="AH89" s="205" t="n"/>
      <c r="AI89" s="202" t="n"/>
    </row>
    <row r="90" ht="153" customHeight="1" s="169">
      <c r="A90" s="192" t="n">
        <v>54</v>
      </c>
      <c r="B90" s="193" t="inlineStr">
        <is>
          <t>Клапан запорны 15нж65нж Ду 80 Ру 16 фланцевый</t>
        </is>
      </c>
      <c r="C90" s="240" t="inlineStr">
        <is>
          <t>ГОСТ 9697-87</t>
        </is>
      </c>
      <c r="D90" s="240" t="n">
        <v>80</v>
      </c>
      <c r="E90" s="239" t="inlineStr">
        <is>
          <t>стандарт</t>
        </is>
      </c>
      <c r="F90" s="241" t="n">
        <v>1.6</v>
      </c>
      <c r="G90" s="210" t="inlineStr">
        <is>
          <t>от -60 до +600°С</t>
        </is>
      </c>
      <c r="H90" s="240" t="inlineStr">
        <is>
          <t>агрессивные жидкие среды</t>
        </is>
      </c>
      <c r="I90" s="240" t="inlineStr">
        <is>
          <t>12Х18Н9ТЛ</t>
        </is>
      </c>
      <c r="J90" s="239" t="inlineStr">
        <is>
          <t>УХЛ1</t>
        </is>
      </c>
      <c r="K90" s="210" t="inlineStr">
        <is>
          <t>фланец-фланец</t>
        </is>
      </c>
      <c r="L90" s="239" t="inlineStr">
        <is>
          <t>ручное</t>
        </is>
      </c>
      <c r="M90" s="240" t="inlineStr">
        <is>
          <t>штурвал</t>
        </is>
      </c>
      <c r="N90"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0" s="239" t="inlineStr">
        <is>
          <t>Материал изделия (корпус, крышка): сталь 12Х18Н9ТЛ;</t>
        </is>
      </c>
      <c r="P90" s="210" t="inlineStr">
        <is>
          <t>-</t>
        </is>
      </c>
      <c r="Q90" s="242" t="inlineStr">
        <is>
          <t>С комплектом ответных фланцев (С КОФ)</t>
        </is>
      </c>
      <c r="R90" s="198">
        <f>A90</f>
        <v/>
      </c>
      <c r="S90" s="205" t="n"/>
      <c r="T90" s="205" t="n"/>
      <c r="U90" s="205" t="n"/>
      <c r="V90" s="205" t="n"/>
      <c r="W90" s="205" t="n"/>
      <c r="X90" s="205" t="n"/>
      <c r="Y90" s="205" t="n"/>
      <c r="Z90" s="205" t="n"/>
      <c r="AA90" s="205" t="n"/>
      <c r="AB90" s="205" t="n"/>
      <c r="AC90" s="205" t="n"/>
      <c r="AD90" s="205" t="n"/>
      <c r="AE90" s="205" t="n"/>
      <c r="AF90" s="205" t="n"/>
      <c r="AG90" s="205" t="n"/>
      <c r="AH90" s="205" t="n"/>
      <c r="AI90" s="202" t="n"/>
    </row>
    <row r="91" ht="153" customHeight="1" s="169">
      <c r="A91" s="192" t="n">
        <v>55</v>
      </c>
      <c r="B91" s="193" t="inlineStr">
        <is>
          <t>Клапан запорны 15нж65нж Ду 100 Ру 16 фланцевый</t>
        </is>
      </c>
      <c r="C91" s="210" t="inlineStr">
        <is>
          <t>ГОСТ 9697-87</t>
        </is>
      </c>
      <c r="D91" s="210" t="n">
        <v>100</v>
      </c>
      <c r="E91" s="210" t="inlineStr">
        <is>
          <t>стандарт</t>
        </is>
      </c>
      <c r="F91" s="210" t="n">
        <v>1.6</v>
      </c>
      <c r="G91" s="210" t="inlineStr">
        <is>
          <t>от -60 до +600°С</t>
        </is>
      </c>
      <c r="H91" s="210" t="inlineStr">
        <is>
          <t>агрессивные жидкие среды</t>
        </is>
      </c>
      <c r="I91" s="210" t="inlineStr">
        <is>
          <t>12Х18Н9ТЛ</t>
        </is>
      </c>
      <c r="J91" s="210" t="inlineStr">
        <is>
          <t>УХЛ1</t>
        </is>
      </c>
      <c r="K91" s="210" t="inlineStr">
        <is>
          <t>фланец-фланец</t>
        </is>
      </c>
      <c r="L91" s="210" t="inlineStr">
        <is>
          <t>ручное</t>
        </is>
      </c>
      <c r="M91" s="210" t="inlineStr">
        <is>
          <t>штурвал</t>
        </is>
      </c>
      <c r="N91"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1" s="210" t="inlineStr">
        <is>
          <t>Материал изделия (корпус, крышка): сталь 12Х18Н9ТЛ;</t>
        </is>
      </c>
      <c r="P91" s="210" t="n"/>
      <c r="Q91" s="210" t="n"/>
      <c r="R91" s="198">
        <f>A91</f>
        <v/>
      </c>
      <c r="S91" s="205" t="n"/>
      <c r="T91" s="205" t="n"/>
      <c r="U91" s="205" t="n"/>
      <c r="V91" s="205" t="n"/>
      <c r="W91" s="205" t="n"/>
      <c r="X91" s="205" t="n"/>
      <c r="Y91" s="205" t="n"/>
      <c r="Z91" s="205" t="n"/>
      <c r="AA91" s="205" t="n"/>
      <c r="AB91" s="205" t="n"/>
      <c r="AC91" s="205" t="n"/>
      <c r="AD91" s="205" t="n"/>
      <c r="AE91" s="205" t="n"/>
      <c r="AF91" s="205" t="n"/>
      <c r="AG91" s="205" t="n"/>
      <c r="AH91" s="205" t="n"/>
      <c r="AI91" s="202" t="n"/>
    </row>
    <row r="92" ht="153" customHeight="1" s="169">
      <c r="A92" s="192" t="n">
        <v>56</v>
      </c>
      <c r="B92" s="193" t="inlineStr">
        <is>
          <t>Клапан запорны 15нж65нж Ду 125 Ру 16 фланцевый</t>
        </is>
      </c>
      <c r="C92" s="210" t="inlineStr">
        <is>
          <t>ГОСТ 9697-87</t>
        </is>
      </c>
      <c r="D92" s="210" t="n">
        <v>125</v>
      </c>
      <c r="E92" s="210" t="inlineStr">
        <is>
          <t>стандарт</t>
        </is>
      </c>
      <c r="F92" s="210" t="n">
        <v>1.6</v>
      </c>
      <c r="G92" s="210" t="inlineStr">
        <is>
          <t>от -60 до +600°С</t>
        </is>
      </c>
      <c r="H92" s="210" t="inlineStr">
        <is>
          <t>агрессивные жидкие среды</t>
        </is>
      </c>
      <c r="I92" s="210" t="inlineStr">
        <is>
          <t>12Х18Н9ТЛ</t>
        </is>
      </c>
      <c r="J92" s="210" t="inlineStr">
        <is>
          <t>УХЛ1</t>
        </is>
      </c>
      <c r="K92" s="210" t="inlineStr">
        <is>
          <t>фланец-фланец</t>
        </is>
      </c>
      <c r="L92" s="210" t="inlineStr">
        <is>
          <t>ручное</t>
        </is>
      </c>
      <c r="M92" s="210" t="inlineStr">
        <is>
          <t>штурвал</t>
        </is>
      </c>
      <c r="N92"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2" s="210" t="inlineStr">
        <is>
          <t>Материал изделия (корпус, крышка): сталь 12Х18Н9ТЛ;</t>
        </is>
      </c>
      <c r="P92" s="210" t="n"/>
      <c r="Q92" s="210" t="n"/>
      <c r="R92" s="198">
        <f>A92</f>
        <v/>
      </c>
      <c r="S92" s="205" t="n"/>
      <c r="T92" s="205" t="n"/>
      <c r="U92" s="205" t="n"/>
      <c r="V92" s="205" t="n"/>
      <c r="W92" s="205" t="n"/>
      <c r="X92" s="205" t="n"/>
      <c r="Y92" s="205" t="n"/>
      <c r="Z92" s="205" t="n"/>
      <c r="AA92" s="205" t="n"/>
      <c r="AB92" s="205" t="n"/>
      <c r="AC92" s="205" t="n"/>
      <c r="AD92" s="205" t="n"/>
      <c r="AE92" s="205" t="n"/>
      <c r="AF92" s="205" t="n"/>
      <c r="AG92" s="205" t="n"/>
      <c r="AH92" s="205" t="n"/>
      <c r="AI92" s="202" t="n"/>
    </row>
    <row r="93" ht="153" customHeight="1" s="169">
      <c r="A93" s="192" t="n">
        <v>57</v>
      </c>
      <c r="B93" s="193" t="inlineStr">
        <is>
          <t>Клапан запорны 15нж65нж Ду 150 Ру 16 фланцевый</t>
        </is>
      </c>
      <c r="C93" s="210" t="inlineStr">
        <is>
          <t>ГОСТ 9697-87</t>
        </is>
      </c>
      <c r="D93" s="210" t="n">
        <v>150</v>
      </c>
      <c r="E93" s="210" t="inlineStr">
        <is>
          <t>стандарт</t>
        </is>
      </c>
      <c r="F93" s="210" t="n">
        <v>1.6</v>
      </c>
      <c r="G93" s="210" t="inlineStr">
        <is>
          <t>от -60 до +600°С</t>
        </is>
      </c>
      <c r="H93" s="210" t="inlineStr">
        <is>
          <t>агрессивные жидкие среды</t>
        </is>
      </c>
      <c r="I93" s="210" t="inlineStr">
        <is>
          <t>12Х18Н9ТЛ</t>
        </is>
      </c>
      <c r="J93" s="210" t="inlineStr">
        <is>
          <t>УХЛ1</t>
        </is>
      </c>
      <c r="K93" s="210" t="inlineStr">
        <is>
          <t>фланец-фланец</t>
        </is>
      </c>
      <c r="L93" s="210" t="inlineStr">
        <is>
          <t>ручное</t>
        </is>
      </c>
      <c r="M93" s="210" t="inlineStr">
        <is>
          <t>штурвал</t>
        </is>
      </c>
      <c r="N93"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3" s="210" t="inlineStr">
        <is>
          <t>Материал изделия (корпус, крышка): сталь 12Х18Н9ТЛ;</t>
        </is>
      </c>
      <c r="P93" s="197" t="n"/>
      <c r="Q93" s="197" t="n"/>
      <c r="R93" s="198">
        <f>A93</f>
        <v/>
      </c>
      <c r="S93" s="205" t="n"/>
      <c r="T93" s="205" t="n"/>
      <c r="U93" s="205" t="n"/>
      <c r="V93" s="205" t="n"/>
      <c r="W93" s="205" t="n"/>
      <c r="X93" s="205" t="n"/>
      <c r="Y93" s="205" t="n"/>
      <c r="Z93" s="205" t="n"/>
      <c r="AA93" s="205" t="n"/>
      <c r="AB93" s="205" t="n"/>
      <c r="AC93" s="205" t="n"/>
      <c r="AD93" s="205" t="n"/>
      <c r="AE93" s="205" t="n"/>
      <c r="AF93" s="205" t="n"/>
      <c r="AG93" s="205" t="n"/>
      <c r="AH93" s="205" t="n"/>
      <c r="AI93" s="202" t="n"/>
    </row>
    <row r="94" ht="153" customHeight="1" s="169">
      <c r="A94" s="192" t="n">
        <v>58</v>
      </c>
      <c r="B94" s="193" t="inlineStr">
        <is>
          <t>Клапан запорны 15нж65нж Ду 32 Ру 16 фланцевый</t>
        </is>
      </c>
      <c r="C94" s="210" t="inlineStr">
        <is>
          <t>ГОСТ 9697-87</t>
        </is>
      </c>
      <c r="D94" s="207" t="n">
        <v>32</v>
      </c>
      <c r="E94" s="210" t="inlineStr">
        <is>
          <t>стандарт</t>
        </is>
      </c>
      <c r="F94" s="210" t="n">
        <v>1.6</v>
      </c>
      <c r="G94" s="210" t="inlineStr">
        <is>
          <t>от -60 до +600°С</t>
        </is>
      </c>
      <c r="H94" s="210" t="inlineStr">
        <is>
          <t>агрессивные жидкие среды</t>
        </is>
      </c>
      <c r="I94" s="210" t="inlineStr">
        <is>
          <t>12Х18Н9ТЛ</t>
        </is>
      </c>
      <c r="J94" s="210" t="inlineStr">
        <is>
          <t>УХЛ1</t>
        </is>
      </c>
      <c r="K94" s="210" t="inlineStr">
        <is>
          <t>фланец-фланец</t>
        </is>
      </c>
      <c r="L94" s="210" t="inlineStr">
        <is>
          <t>ручное</t>
        </is>
      </c>
      <c r="M94" s="210" t="inlineStr">
        <is>
          <t>штурвал</t>
        </is>
      </c>
      <c r="N94"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4" s="210" t="inlineStr">
        <is>
          <t>Материал изделия (корпус, крышка): сталь 12Х18Н9ТЛ;</t>
        </is>
      </c>
      <c r="P94" s="197" t="n"/>
      <c r="Q94" s="197" t="n"/>
      <c r="R94" s="198">
        <f>A94</f>
        <v/>
      </c>
      <c r="S94" s="205" t="n"/>
      <c r="T94" s="205" t="n"/>
      <c r="U94" s="205" t="n"/>
      <c r="V94" s="205" t="n"/>
      <c r="W94" s="205" t="n"/>
      <c r="X94" s="205" t="n"/>
      <c r="Y94" s="205" t="n"/>
      <c r="Z94" s="205" t="n"/>
      <c r="AA94" s="205" t="n"/>
      <c r="AB94" s="205" t="n"/>
      <c r="AC94" s="205" t="n"/>
      <c r="AD94" s="205" t="n"/>
      <c r="AE94" s="205" t="n"/>
      <c r="AF94" s="205" t="n"/>
      <c r="AG94" s="205" t="n"/>
      <c r="AH94" s="205" t="n"/>
      <c r="AI94" s="202" t="n"/>
    </row>
    <row r="95" ht="153" customHeight="1" s="169">
      <c r="A95" s="192" t="n">
        <v>59</v>
      </c>
      <c r="B95" s="193" t="inlineStr">
        <is>
          <t>Клапан запорны 15нж65нж Ду 50 Ру 16 фланцевый</t>
        </is>
      </c>
      <c r="C95" s="210" t="inlineStr">
        <is>
          <t>ГОСТ 9697-87</t>
        </is>
      </c>
      <c r="D95" s="210" t="n">
        <v>50</v>
      </c>
      <c r="E95" s="210" t="inlineStr">
        <is>
          <t>стандарт</t>
        </is>
      </c>
      <c r="F95" s="210" t="n">
        <v>1.6</v>
      </c>
      <c r="G95" s="210" t="inlineStr">
        <is>
          <t>от -60 до +600°С</t>
        </is>
      </c>
      <c r="H95" s="210" t="inlineStr">
        <is>
          <t>агрессивные жидкие среды</t>
        </is>
      </c>
      <c r="I95" s="210" t="inlineStr">
        <is>
          <t>12Х18Н9ТЛ</t>
        </is>
      </c>
      <c r="J95" s="210" t="inlineStr">
        <is>
          <t>УХЛ1</t>
        </is>
      </c>
      <c r="K95" s="210" t="inlineStr">
        <is>
          <t>фланец-фланец</t>
        </is>
      </c>
      <c r="L95" s="210" t="inlineStr">
        <is>
          <t>ручное</t>
        </is>
      </c>
      <c r="M95" s="210" t="inlineStr">
        <is>
          <t>штурвал</t>
        </is>
      </c>
      <c r="N95"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5" s="210" t="inlineStr">
        <is>
          <t>Материал изделия (корпус, крышка): сталь 12Х18Н9ТЛ;</t>
        </is>
      </c>
      <c r="P95" s="210" t="n"/>
      <c r="Q95" s="197" t="n"/>
      <c r="R95" s="198">
        <f>A95</f>
        <v/>
      </c>
      <c r="S95" s="205" t="n"/>
      <c r="T95" s="205" t="n"/>
      <c r="U95" s="205" t="n"/>
      <c r="V95" s="205" t="n"/>
      <c r="W95" s="205" t="n"/>
      <c r="X95" s="205" t="n"/>
      <c r="Y95" s="205" t="n"/>
      <c r="Z95" s="205" t="n"/>
      <c r="AA95" s="205" t="n"/>
      <c r="AB95" s="205" t="n"/>
      <c r="AC95" s="205" t="n"/>
      <c r="AD95" s="205" t="n"/>
      <c r="AE95" s="205" t="n"/>
      <c r="AF95" s="205" t="n"/>
      <c r="AG95" s="205" t="n"/>
      <c r="AH95" s="205" t="n"/>
      <c r="AI95" s="202" t="n"/>
    </row>
    <row r="96" ht="127.5" customHeight="1" s="169">
      <c r="A96" s="192" t="n">
        <v>60</v>
      </c>
      <c r="B96" s="193" t="inlineStr">
        <is>
          <t>Клапан запорный 15с22нж Ду 32 Ру 40</t>
        </is>
      </c>
      <c r="C96" s="210" t="inlineStr">
        <is>
          <t>ТУ 3740-002-30995032-2014</t>
        </is>
      </c>
      <c r="D96" s="210" t="n">
        <v>32</v>
      </c>
      <c r="E96" s="210" t="inlineStr">
        <is>
          <t>стандарт</t>
        </is>
      </c>
      <c r="F96" s="210" t="n">
        <v>4</v>
      </c>
      <c r="G96" s="210" t="inlineStr">
        <is>
          <t>до +425</t>
        </is>
      </c>
      <c r="H96" s="210" t="inlineStr">
        <is>
          <t>Вода, пар, аммиак, жидкие и газообразные углеводороды, нефть, нефтепродукты, топливный и природный газ, воздух и другие жидкости и газы.</t>
        </is>
      </c>
      <c r="I96" s="210" t="inlineStr">
        <is>
          <t>сталь 25Л</t>
        </is>
      </c>
      <c r="J96" s="210" t="inlineStr">
        <is>
          <t>У1</t>
        </is>
      </c>
      <c r="K96" s="210" t="inlineStr">
        <is>
          <t>фланец-фланец</t>
        </is>
      </c>
      <c r="L96" s="210" t="inlineStr">
        <is>
          <t>ручное</t>
        </is>
      </c>
      <c r="M96" s="210" t="inlineStr">
        <is>
          <t>маховик</t>
        </is>
      </c>
      <c r="N96" s="210" t="inlineStr">
        <is>
          <t>любое</t>
        </is>
      </c>
      <c r="O96"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6" s="210" t="n"/>
      <c r="Q96" s="197" t="n"/>
      <c r="R96" s="198">
        <f>A96</f>
        <v/>
      </c>
      <c r="S96" s="205" t="n"/>
      <c r="T96" s="205" t="n"/>
      <c r="U96" s="205" t="n"/>
      <c r="V96" s="205" t="n"/>
      <c r="W96" s="205" t="n"/>
      <c r="X96" s="205" t="n"/>
      <c r="Y96" s="205" t="n"/>
      <c r="Z96" s="205" t="n"/>
      <c r="AA96" s="205" t="n"/>
      <c r="AB96" s="205" t="n"/>
      <c r="AC96" s="205" t="n"/>
      <c r="AD96" s="205" t="n"/>
      <c r="AE96" s="205" t="n"/>
      <c r="AF96" s="205" t="n"/>
      <c r="AG96" s="205" t="n"/>
      <c r="AH96" s="205" t="n"/>
      <c r="AI96" s="202" t="n"/>
    </row>
    <row r="97" ht="127.5" customHeight="1" s="169">
      <c r="A97" s="192" t="n">
        <v>61</v>
      </c>
      <c r="B97" s="193" t="inlineStr">
        <is>
          <t>Клапан запорный 15с22нж Ду 50 Ру 40</t>
        </is>
      </c>
      <c r="C97" s="210" t="inlineStr">
        <is>
          <t>ТУ 3740-002-30995032-2014</t>
        </is>
      </c>
      <c r="D97" s="210" t="n">
        <v>50</v>
      </c>
      <c r="E97" s="210" t="inlineStr">
        <is>
          <t>стандартный</t>
        </is>
      </c>
      <c r="F97" s="210" t="n">
        <v>4</v>
      </c>
      <c r="G97" s="210" t="inlineStr">
        <is>
          <t>до +425</t>
        </is>
      </c>
      <c r="H97" s="210" t="inlineStr">
        <is>
          <t>Вода, пар, аммиак, жидкие и газообразные углеводороды, нефть, нефтепродукты, топливный и природный газ, воздух и другие жидкости и газы.</t>
        </is>
      </c>
      <c r="I97" s="210" t="inlineStr">
        <is>
          <t>сталь 25Л</t>
        </is>
      </c>
      <c r="J97" s="210" t="inlineStr">
        <is>
          <t>У1</t>
        </is>
      </c>
      <c r="K97" s="210" t="inlineStr">
        <is>
          <t>фланцевый</t>
        </is>
      </c>
      <c r="L97" s="210" t="inlineStr">
        <is>
          <t>ручной (маховик)</t>
        </is>
      </c>
      <c r="M97" s="210" t="inlineStr">
        <is>
          <t>-</t>
        </is>
      </c>
      <c r="N97" s="210" t="inlineStr">
        <is>
          <t>любое</t>
        </is>
      </c>
      <c r="O97"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7" s="210" t="inlineStr">
        <is>
          <t>строительная длина 230 мм,</t>
        </is>
      </c>
      <c r="Q97" s="197" t="n"/>
      <c r="R97" s="198">
        <f>A97</f>
        <v/>
      </c>
      <c r="S97" s="205" t="n"/>
      <c r="T97" s="205" t="n"/>
      <c r="U97" s="205" t="n"/>
      <c r="V97" s="205" t="n"/>
      <c r="W97" s="205" t="n"/>
      <c r="X97" s="205" t="n"/>
      <c r="Y97" s="205" t="n"/>
      <c r="Z97" s="205" t="n"/>
      <c r="AA97" s="205" t="n"/>
      <c r="AB97" s="205" t="n"/>
      <c r="AC97" s="205" t="n"/>
      <c r="AD97" s="205" t="n"/>
      <c r="AE97" s="205" t="n"/>
      <c r="AF97" s="205" t="n"/>
      <c r="AG97" s="205" t="n"/>
      <c r="AH97" s="205" t="n"/>
      <c r="AI97" s="202" t="n"/>
    </row>
    <row r="98" ht="127.5" customHeight="1" s="169">
      <c r="A98" s="192" t="n">
        <v>62</v>
      </c>
      <c r="B98" s="193" t="inlineStr">
        <is>
          <t>Клапан запорный 15с22нж Ду 80 Ру 40</t>
        </is>
      </c>
      <c r="C98" s="210" t="inlineStr">
        <is>
          <t>ТУ 3740-002-30995032-2014</t>
        </is>
      </c>
      <c r="D98" s="210" t="n">
        <v>80</v>
      </c>
      <c r="E98" s="210" t="inlineStr">
        <is>
          <t>стандарт</t>
        </is>
      </c>
      <c r="F98" s="210" t="n">
        <v>4</v>
      </c>
      <c r="G98" s="210" t="inlineStr">
        <is>
          <t>до +425</t>
        </is>
      </c>
      <c r="H98" s="210" t="inlineStr">
        <is>
          <t>Вода, пар, аммиак, жидкие и газообразные углеводороды, нефть, нефтепродукты, топливный и природный газ, воздух и другие жидкости и газы.</t>
        </is>
      </c>
      <c r="I98" s="210" t="inlineStr">
        <is>
          <t>сталь 25Л</t>
        </is>
      </c>
      <c r="J98" s="210" t="inlineStr">
        <is>
          <t>Температура окружающей среды от -40 до +40 °C</t>
        </is>
      </c>
      <c r="K98" s="210" t="inlineStr">
        <is>
          <t>фланцевый</t>
        </is>
      </c>
      <c r="L98" s="210" t="inlineStr">
        <is>
          <t>ручной (маховик)</t>
        </is>
      </c>
      <c r="M98" s="210" t="inlineStr">
        <is>
          <t>-</t>
        </is>
      </c>
      <c r="N98" s="210" t="inlineStr">
        <is>
          <t>любое</t>
        </is>
      </c>
      <c r="O98" s="210" t="inlineStr">
        <is>
          <t>Золотник: Сталь 20Х13 Шпиндель: Сталь 20Х13 Контргайка: Сталь 35 Маховик: Сталь 25Л</t>
        </is>
      </c>
      <c r="P98" s="210" t="n"/>
      <c r="Q98" s="210" t="n"/>
      <c r="R98" s="198">
        <f>A98</f>
        <v/>
      </c>
      <c r="S98" s="205" t="n"/>
      <c r="T98" s="205" t="n"/>
      <c r="U98" s="205" t="n"/>
      <c r="V98" s="205" t="n"/>
      <c r="W98" s="205" t="n"/>
      <c r="X98" s="205" t="n"/>
      <c r="Y98" s="205" t="n"/>
      <c r="Z98" s="205" t="n"/>
      <c r="AA98" s="205" t="n"/>
      <c r="AB98" s="205" t="n"/>
      <c r="AC98" s="205" t="n"/>
      <c r="AD98" s="205" t="n"/>
      <c r="AE98" s="205" t="n"/>
      <c r="AF98" s="205" t="n"/>
      <c r="AG98" s="205" t="n"/>
      <c r="AH98" s="205" t="n"/>
      <c r="AI98" s="202" t="n"/>
    </row>
    <row r="99" ht="51" customHeight="1" s="169">
      <c r="A99" s="192" t="n">
        <v>63</v>
      </c>
      <c r="B99" s="193" t="inlineStr">
        <is>
          <t>Клапан запорный 15с52нж11 Ду 20 Ру 63 под приварку</t>
        </is>
      </c>
      <c r="C99" s="210" t="inlineStr">
        <is>
          <t>ГОСТ 9697-87</t>
        </is>
      </c>
      <c r="D99" s="210" t="n">
        <v>20</v>
      </c>
      <c r="E99" s="210" t="inlineStr">
        <is>
          <t>стандарт</t>
        </is>
      </c>
      <c r="F99" s="210" t="n">
        <v>6.3</v>
      </c>
      <c r="G99" s="210" t="inlineStr">
        <is>
          <t>до + 425°С</t>
        </is>
      </c>
      <c r="H99" s="210" t="inlineStr">
        <is>
          <t>вода, слабоагрессивные жидкие среды</t>
        </is>
      </c>
      <c r="I99" s="210" t="inlineStr">
        <is>
          <t>Сталь 25 Л</t>
        </is>
      </c>
      <c r="J99" s="210" t="inlineStr">
        <is>
          <t>У1</t>
        </is>
      </c>
      <c r="K99" s="210" t="inlineStr">
        <is>
          <t>под приварку</t>
        </is>
      </c>
      <c r="L99" s="210" t="inlineStr">
        <is>
          <t>ручное</t>
        </is>
      </c>
      <c r="M99" s="210" t="inlineStr">
        <is>
          <t>маховик, рукоятка</t>
        </is>
      </c>
      <c r="N99" s="210" t="inlineStr">
        <is>
          <t>любом рабочем положении</t>
        </is>
      </c>
      <c r="O99" s="210" t="inlineStr">
        <is>
          <t xml:space="preserve">
    Материал корпуса, диска, крышки: сталь 25
Материал седла, шпинделя: нержавеющая сталь </t>
        </is>
      </c>
      <c r="P99" s="210" t="inlineStr">
        <is>
          <t>-</t>
        </is>
      </c>
      <c r="Q99" s="210" t="n"/>
      <c r="R99" s="198">
        <f>A99</f>
        <v/>
      </c>
      <c r="S99" s="205" t="n"/>
      <c r="T99" s="205" t="n"/>
      <c r="U99" s="205" t="n"/>
      <c r="V99" s="205" t="n"/>
      <c r="W99" s="205" t="n"/>
      <c r="X99" s="205" t="n"/>
      <c r="Y99" s="205" t="n"/>
      <c r="Z99" s="205" t="n"/>
      <c r="AA99" s="205" t="n"/>
      <c r="AB99" s="205" t="n"/>
      <c r="AC99" s="205" t="n"/>
      <c r="AD99" s="205" t="n"/>
      <c r="AE99" s="205" t="n"/>
      <c r="AF99" s="205" t="n"/>
      <c r="AG99" s="205" t="n"/>
      <c r="AH99" s="205" t="n"/>
      <c r="AI99" s="202" t="n"/>
    </row>
    <row r="100" ht="63.75" customHeight="1" s="169">
      <c r="A100" s="192" t="n">
        <v>64</v>
      </c>
      <c r="B100" s="193" t="inlineStr">
        <is>
          <t>Клапан запорный 15ч75п2 Ду 25 Ру10</t>
        </is>
      </c>
      <c r="C100" s="210" t="inlineStr">
        <is>
          <t>ГОСТ 33423-2015</t>
        </is>
      </c>
      <c r="D100" s="210" t="n">
        <v>25</v>
      </c>
      <c r="E100" s="210" t="inlineStr">
        <is>
          <t>стандарт</t>
        </is>
      </c>
      <c r="F100" s="210" t="n">
        <v>1</v>
      </c>
      <c r="G100" s="210" t="inlineStr">
        <is>
          <t>до +125°С</t>
        </is>
      </c>
      <c r="H100" s="210" t="inlineStr">
        <is>
          <t>Коррозионная</t>
        </is>
      </c>
      <c r="I100" s="210" t="inlineStr">
        <is>
          <t>Серый чугун</t>
        </is>
      </c>
      <c r="J100" s="210" t="inlineStr">
        <is>
          <t>УХЛ4</t>
        </is>
      </c>
      <c r="K100" s="210" t="inlineStr">
        <is>
          <t>фланец-фланец</t>
        </is>
      </c>
      <c r="L100" s="210" t="inlineStr">
        <is>
          <t>ручное</t>
        </is>
      </c>
      <c r="M100" s="210" t="inlineStr">
        <is>
          <t>маховик</t>
        </is>
      </c>
      <c r="N100" s="210" t="inlineStr">
        <is>
          <t>любое</t>
        </is>
      </c>
      <c r="O100" s="210" t="inlineStr">
        <is>
          <t xml:space="preserve">•Корпус : серый чугун
•Шток : сталь 20Х13
•Материал футеровки : фторопласт 2М-Ж
•Материал мембраны : фторопласт Ф-4
</t>
        </is>
      </c>
      <c r="P100" s="210" t="n"/>
      <c r="Q100" s="210" t="n"/>
      <c r="R100" s="198">
        <f>A100</f>
        <v/>
      </c>
      <c r="S100" s="205" t="n"/>
      <c r="T100" s="205" t="n"/>
      <c r="U100" s="205" t="n"/>
      <c r="V100" s="205" t="n"/>
      <c r="W100" s="205" t="n"/>
      <c r="X100" s="205" t="n"/>
      <c r="Y100" s="205" t="n"/>
      <c r="Z100" s="205" t="n"/>
      <c r="AA100" s="205" t="n"/>
      <c r="AB100" s="205" t="n"/>
      <c r="AC100" s="205" t="n"/>
      <c r="AD100" s="205" t="n"/>
      <c r="AE100" s="205" t="n"/>
      <c r="AF100" s="205" t="n"/>
      <c r="AG100" s="205" t="n"/>
      <c r="AH100" s="205" t="n"/>
      <c r="AI100" s="202" t="n"/>
    </row>
    <row r="101" ht="63.75" customHeight="1" s="169">
      <c r="A101" s="192" t="n">
        <v>65</v>
      </c>
      <c r="B101" s="193" t="inlineStr">
        <is>
          <t>Клапан запорный 15ч75п2 Ду 50 Ру10</t>
        </is>
      </c>
      <c r="C101" s="210" t="inlineStr">
        <is>
          <t>ГОСТ 33423-2015</t>
        </is>
      </c>
      <c r="D101" s="210" t="n">
        <v>50</v>
      </c>
      <c r="E101" s="210" t="inlineStr">
        <is>
          <t>стандарт</t>
        </is>
      </c>
      <c r="F101" s="210" t="n">
        <v>1</v>
      </c>
      <c r="G101" s="210" t="inlineStr">
        <is>
          <t>до +125°С</t>
        </is>
      </c>
      <c r="H101" s="210" t="inlineStr">
        <is>
          <t>Коррозионная</t>
        </is>
      </c>
      <c r="I101" s="210" t="inlineStr">
        <is>
          <t>Серый чугун</t>
        </is>
      </c>
      <c r="J101" s="210" t="inlineStr">
        <is>
          <t>УХЛ4</t>
        </is>
      </c>
      <c r="K101" s="210" t="inlineStr">
        <is>
          <t>фланец-фланец</t>
        </is>
      </c>
      <c r="L101" s="210" t="inlineStr">
        <is>
          <t>ручное</t>
        </is>
      </c>
      <c r="M101" s="210" t="inlineStr">
        <is>
          <t>маховик</t>
        </is>
      </c>
      <c r="N101" s="210" t="inlineStr">
        <is>
          <t>любое</t>
        </is>
      </c>
      <c r="O101" s="210" t="inlineStr">
        <is>
          <t xml:space="preserve">•Корпус : серый чугун
•Шток : сталь 20Х13
•Материал футеровки : фторопласт 2М-Ж
•Материал мембраны : фторопласт Ф-4
</t>
        </is>
      </c>
      <c r="P101" s="210" t="inlineStr">
        <is>
          <t>-</t>
        </is>
      </c>
      <c r="Q101" s="210" t="inlineStr">
        <is>
          <t>-</t>
        </is>
      </c>
      <c r="R101" s="198">
        <f>A101</f>
        <v/>
      </c>
      <c r="S101" s="205" t="n"/>
      <c r="T101" s="205" t="n"/>
      <c r="U101" s="205" t="n"/>
      <c r="V101" s="205" t="n"/>
      <c r="W101" s="205" t="n"/>
      <c r="X101" s="205" t="n"/>
      <c r="Y101" s="205" t="n"/>
      <c r="Z101" s="205" t="n"/>
      <c r="AA101" s="205" t="n"/>
      <c r="AB101" s="205" t="n"/>
      <c r="AC101" s="205" t="n"/>
      <c r="AD101" s="205" t="n"/>
      <c r="AE101" s="205" t="n"/>
      <c r="AF101" s="205" t="n"/>
      <c r="AG101" s="205" t="n"/>
      <c r="AH101" s="205" t="n"/>
      <c r="AI101" s="202" t="n"/>
    </row>
    <row r="102" ht="51" customHeight="1" s="169">
      <c r="A102" s="192" t="n">
        <v>66</v>
      </c>
      <c r="B102" s="193" t="inlineStr">
        <is>
          <t xml:space="preserve">Клапан запорный 15ч76п2 Ду 80 Ру 6,3 </t>
        </is>
      </c>
      <c r="C102" s="210" t="inlineStr">
        <is>
          <t>ГОСТ 33423-2015</t>
        </is>
      </c>
      <c r="D102" s="210" t="n">
        <v>80</v>
      </c>
      <c r="E102" s="210" t="inlineStr">
        <is>
          <t>стандарт</t>
        </is>
      </c>
      <c r="F102" s="210" t="n">
        <v>0.63</v>
      </c>
      <c r="G102" s="210" t="inlineStr">
        <is>
          <t>до +125°С</t>
        </is>
      </c>
      <c r="H102" s="210" t="inlineStr">
        <is>
          <t>Коррозионная</t>
        </is>
      </c>
      <c r="I102" s="210" t="inlineStr">
        <is>
          <t>Чугун СЧ 15, СЧ20</t>
        </is>
      </c>
      <c r="J102" s="210" t="inlineStr">
        <is>
          <t>УХЛ4</t>
        </is>
      </c>
      <c r="K102" s="210" t="inlineStr">
        <is>
          <t>фланец-фланец</t>
        </is>
      </c>
      <c r="L102" s="210" t="inlineStr">
        <is>
          <t>ручное</t>
        </is>
      </c>
      <c r="M102" s="210" t="inlineStr">
        <is>
          <t>маховик</t>
        </is>
      </c>
      <c r="N102" s="210" t="inlineStr">
        <is>
          <t>любое</t>
        </is>
      </c>
      <c r="O102" s="210" t="inlineStr">
        <is>
          <t>Материал изделия (корпус, крышка): чугун; Материал изделия (шпиндель): сталь; Материал изделия (защитное покрытие корпуса): фторопласт</t>
        </is>
      </c>
      <c r="P102" s="210" t="inlineStr">
        <is>
          <t>L-230</t>
        </is>
      </c>
      <c r="Q102" s="197" t="n"/>
      <c r="R102" s="198">
        <f>A102</f>
        <v/>
      </c>
      <c r="S102" s="205" t="n"/>
      <c r="T102" s="205" t="n"/>
      <c r="U102" s="205" t="n"/>
      <c r="V102" s="205" t="n"/>
      <c r="W102" s="205" t="n"/>
      <c r="X102" s="205" t="n"/>
      <c r="Y102" s="205" t="n"/>
      <c r="Z102" s="205" t="n"/>
      <c r="AA102" s="205" t="n"/>
      <c r="AB102" s="205" t="n"/>
      <c r="AC102" s="205" t="n"/>
      <c r="AD102" s="205" t="n"/>
      <c r="AE102" s="205" t="n"/>
      <c r="AF102" s="205" t="n"/>
      <c r="AG102" s="205" t="n"/>
      <c r="AH102" s="205" t="n"/>
      <c r="AI102" s="202" t="n"/>
    </row>
    <row r="103" ht="63.75" customHeight="1" s="169">
      <c r="A103" s="192" t="n">
        <v>67</v>
      </c>
      <c r="B103" s="193" t="inlineStr">
        <is>
          <t>Клапан запорный 15ч93эм Ду 20 Ру 16</t>
        </is>
      </c>
      <c r="C103" s="210" t="inlineStr">
        <is>
          <t xml:space="preserve"> ТУ 26-07-1051-84</t>
        </is>
      </c>
      <c r="D103" s="210" t="n">
        <v>20</v>
      </c>
      <c r="E103" s="210" t="inlineStr">
        <is>
          <t>стандарт</t>
        </is>
      </c>
      <c r="F103" s="210" t="n">
        <v>1.6</v>
      </c>
      <c r="G103" s="210" t="inlineStr">
        <is>
          <t>От -15°С до +120°С</t>
        </is>
      </c>
      <c r="H103" s="210" t="inlineStr">
        <is>
          <t>Агрессивная</t>
        </is>
      </c>
      <c r="I103" s="210" t="inlineStr">
        <is>
          <t>Серый чугун СЧ18</t>
        </is>
      </c>
      <c r="J103" s="210" t="inlineStr">
        <is>
          <t>УХЛ4</t>
        </is>
      </c>
      <c r="K103" s="210" t="inlineStr">
        <is>
          <t>фланец-фланец</t>
        </is>
      </c>
      <c r="L103" s="210" t="inlineStr">
        <is>
          <t>ручное</t>
        </is>
      </c>
      <c r="M103" s="210" t="inlineStr">
        <is>
          <t>маховик</t>
        </is>
      </c>
      <c r="N103" s="210" t="inlineStr">
        <is>
          <t>любое</t>
        </is>
      </c>
      <c r="O103" s="210" t="inlineStr">
        <is>
          <t>Корпус: чугун.
Крышка: чугун.
Шпиндель: сталь.
Крестовина: чугун.
Диафрагма: фторопласт-4.</t>
        </is>
      </c>
      <c r="P103" s="210" t="inlineStr">
        <is>
          <t>L-150мм, Н-146мм</t>
        </is>
      </c>
      <c r="Q103" s="197" t="n"/>
      <c r="R103" s="198">
        <f>A103</f>
        <v/>
      </c>
      <c r="S103" s="205" t="n"/>
      <c r="T103" s="205" t="n"/>
      <c r="U103" s="205" t="n"/>
      <c r="V103" s="205" t="n"/>
      <c r="W103" s="205" t="n"/>
      <c r="X103" s="205" t="n"/>
      <c r="Y103" s="205" t="n"/>
      <c r="Z103" s="205" t="n"/>
      <c r="AA103" s="205" t="n"/>
      <c r="AB103" s="205" t="n"/>
      <c r="AC103" s="205" t="n"/>
      <c r="AD103" s="205" t="n"/>
      <c r="AE103" s="205" t="n"/>
      <c r="AF103" s="205" t="n"/>
      <c r="AG103" s="205" t="n"/>
      <c r="AH103" s="205" t="n"/>
      <c r="AI103" s="202" t="n"/>
    </row>
    <row r="104" ht="114.75" customFormat="1" customHeight="1" s="171">
      <c r="A104" s="192" t="n">
        <v>68</v>
      </c>
      <c r="B104" s="193" t="inlineStr">
        <is>
          <t>Задвижка 30нж41нж DN 100 PN 16 1исп. САЗ</t>
        </is>
      </c>
      <c r="C104" s="210" t="inlineStr">
        <is>
          <t>ГОСТ 5762-2002</t>
        </is>
      </c>
      <c r="D104" s="210" t="n">
        <v>100</v>
      </c>
      <c r="E104" s="210" t="inlineStr">
        <is>
          <t>стандартный</t>
        </is>
      </c>
      <c r="F104" s="210" t="n">
        <v>1.6</v>
      </c>
      <c r="G104" s="210" t="inlineStr">
        <is>
          <t>от -60 до +560</t>
        </is>
      </c>
      <c r="H104" s="210" t="inlineStr">
        <is>
          <t>Жидкие и газообразные углеводороды, нефть, нефтепродукты, природный газ, газоконденсат, вода пар и другие жидкости и газы</t>
        </is>
      </c>
      <c r="I104" s="210" t="inlineStr">
        <is>
          <t>сталь 12Х18Н9ТЛ</t>
        </is>
      </c>
      <c r="J104" s="210" t="inlineStr">
        <is>
          <t>УХЛ1</t>
        </is>
      </c>
      <c r="K104" s="210" t="inlineStr">
        <is>
          <t>фланцевый</t>
        </is>
      </c>
      <c r="L104" s="210" t="inlineStr">
        <is>
          <t>ручной (маховик)</t>
        </is>
      </c>
      <c r="M104" s="210" t="inlineStr">
        <is>
          <t>-</t>
        </is>
      </c>
      <c r="N104" s="210" t="inlineStr">
        <is>
          <t>любое</t>
        </is>
      </c>
      <c r="O104"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4" s="210" t="n"/>
      <c r="Q104" s="210" t="n"/>
      <c r="R104" s="198">
        <f>A104</f>
        <v/>
      </c>
      <c r="S104" s="205" t="n"/>
      <c r="T104" s="205" t="n"/>
      <c r="U104" s="205" t="n"/>
      <c r="V104" s="205" t="n"/>
      <c r="W104" s="205" t="n"/>
      <c r="X104" s="205" t="n"/>
      <c r="Y104" s="205" t="n"/>
      <c r="Z104" s="205" t="n"/>
      <c r="AA104" s="205" t="n"/>
      <c r="AB104" s="205" t="n"/>
      <c r="AC104" s="205" t="n"/>
      <c r="AD104" s="205" t="n"/>
      <c r="AE104" s="205" t="n"/>
      <c r="AF104" s="205" t="n"/>
      <c r="AG104" s="205" t="n"/>
      <c r="AH104" s="205" t="n"/>
      <c r="AI104" s="202" t="n"/>
    </row>
    <row r="105" ht="114.75" customFormat="1" customHeight="1" s="171">
      <c r="A105" s="192" t="n">
        <v>69</v>
      </c>
      <c r="B105" s="193" t="inlineStr">
        <is>
          <t>Задвижка 30нж41нж DN 150 PN 16 1исп. САЗ</t>
        </is>
      </c>
      <c r="C105" s="210" t="inlineStr">
        <is>
          <t>ГОСТ 5762-2002</t>
        </is>
      </c>
      <c r="D105" s="210" t="n">
        <v>150</v>
      </c>
      <c r="E105" s="210" t="inlineStr">
        <is>
          <t>стандартный</t>
        </is>
      </c>
      <c r="F105" s="210" t="n">
        <v>1.6</v>
      </c>
      <c r="G105" s="210" t="inlineStr">
        <is>
          <t>от -60 до +560</t>
        </is>
      </c>
      <c r="H105" s="210" t="inlineStr">
        <is>
          <t>Жидкие и газообразные углеводороды, нефть, нефтепродукты, природный газ, газоконденсат, вода пар и другие жидкости и газы</t>
        </is>
      </c>
      <c r="I105" s="210" t="inlineStr">
        <is>
          <t>сталь 12Х18Н9ТЛ</t>
        </is>
      </c>
      <c r="J105" s="210" t="inlineStr">
        <is>
          <t>УХЛ1</t>
        </is>
      </c>
      <c r="K105" s="210" t="inlineStr">
        <is>
          <t>фланцевый</t>
        </is>
      </c>
      <c r="L105" s="210" t="inlineStr">
        <is>
          <t>ручной (маховик)</t>
        </is>
      </c>
      <c r="M105" s="210" t="inlineStr">
        <is>
          <t>-</t>
        </is>
      </c>
      <c r="N105" s="210" t="inlineStr">
        <is>
          <t>любое</t>
        </is>
      </c>
      <c r="O105"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5" s="210" t="n"/>
      <c r="Q105" s="210" t="n"/>
      <c r="R105" s="198">
        <f>A105</f>
        <v/>
      </c>
      <c r="S105" s="205" t="n"/>
      <c r="T105" s="205" t="n"/>
      <c r="U105" s="205" t="n"/>
      <c r="V105" s="205" t="n"/>
      <c r="W105" s="205" t="n"/>
      <c r="X105" s="205" t="n"/>
      <c r="Y105" s="205" t="n"/>
      <c r="Z105" s="205" t="n"/>
      <c r="AA105" s="205" t="n"/>
      <c r="AB105" s="205" t="n"/>
      <c r="AC105" s="205" t="n"/>
      <c r="AD105" s="205" t="n"/>
      <c r="AE105" s="205" t="n"/>
      <c r="AF105" s="205" t="n"/>
      <c r="AG105" s="205" t="n"/>
      <c r="AH105" s="205" t="n"/>
      <c r="AI105" s="202" t="n"/>
    </row>
    <row r="106" ht="102" customFormat="1" customHeight="1" s="171">
      <c r="A106" s="192" t="n">
        <v>70</v>
      </c>
      <c r="B106" s="193" t="inlineStr">
        <is>
          <t>Задвижка 30нж41нж DN 200 PN 16 1исп. САЗ</t>
        </is>
      </c>
      <c r="C106" s="210" t="inlineStr">
        <is>
          <t>ГОСТ 5762-2002</t>
        </is>
      </c>
      <c r="D106" s="210" t="n">
        <v>200</v>
      </c>
      <c r="E106" s="210" t="inlineStr">
        <is>
          <t>стандарт</t>
        </is>
      </c>
      <c r="F106" s="210" t="n">
        <v>1.6</v>
      </c>
      <c r="G106" s="210" t="inlineStr">
        <is>
          <t>-60…        +560</t>
        </is>
      </c>
      <c r="H106" s="210" t="inlineStr">
        <is>
          <t>Вода, воздух, пар, аммиак,
природный газ влажный, нефтепродукты, содержащие
сероводород свыше 0,1%</t>
        </is>
      </c>
      <c r="I106" s="210" t="inlineStr">
        <is>
          <t>сталь 12Х18Н9ТЛ</t>
        </is>
      </c>
      <c r="J106" s="210" t="inlineStr">
        <is>
          <t>Условия эксплуатации УХЛ
Минимальная температура окружающего воздуха: −60°С</t>
        </is>
      </c>
      <c r="K106" s="210" t="inlineStr">
        <is>
          <t>фланец-фланец</t>
        </is>
      </c>
      <c r="L106" s="210" t="inlineStr">
        <is>
          <t xml:space="preserve">Ручное </t>
        </is>
      </c>
      <c r="M106" s="210" t="inlineStr">
        <is>
          <t>Маховик</t>
        </is>
      </c>
      <c r="N106" s="210" t="inlineStr">
        <is>
          <t>Вертикально маховиком вверх, горизонтально</t>
        </is>
      </c>
      <c r="O106" s="210" t="inlineStr">
        <is>
          <t>С КОФ - сталь 20, Материалы: корпус, клин, крышка, маховик -  сталь 12Х18Н9ТЛ,  шпиндель - сталь 12Х18Н9Т, наплавка на кольце в корпусе и наплавка на клине 04Х19Н9С2 или схожая по свойствам, прокладка и сальниковое уплотнение только ТРГ</t>
        </is>
      </c>
      <c r="P106" s="210" t="n"/>
      <c r="Q106" s="210" t="inlineStr">
        <is>
          <t>класс герметичности по ГОСТ 9544-2015: А; в комплекте: ответные фланцы, прокладки  и крепеж</t>
        </is>
      </c>
      <c r="R106" s="198">
        <f>A106</f>
        <v/>
      </c>
      <c r="S106" s="205" t="n"/>
      <c r="T106" s="205" t="n"/>
      <c r="U106" s="205" t="n"/>
      <c r="V106" s="205" t="n"/>
      <c r="W106" s="205" t="n"/>
      <c r="X106" s="205" t="n"/>
      <c r="Y106" s="205" t="n"/>
      <c r="Z106" s="205" t="n"/>
      <c r="AA106" s="205" t="n"/>
      <c r="AB106" s="205" t="n"/>
      <c r="AC106" s="205" t="n"/>
      <c r="AD106" s="205" t="n"/>
      <c r="AE106" s="205" t="n"/>
      <c r="AF106" s="205" t="n"/>
      <c r="AG106" s="205" t="n"/>
      <c r="AH106" s="205" t="n"/>
      <c r="AI106" s="202" t="n"/>
    </row>
    <row r="107" ht="114.75" customFormat="1" customHeight="1" s="171">
      <c r="A107" s="192" t="n">
        <v>71</v>
      </c>
      <c r="B107" s="193" t="inlineStr">
        <is>
          <t>Задвижка 30нж41нж DN 50 PN 16 1исп. САЗ</t>
        </is>
      </c>
      <c r="C107" s="210" t="inlineStr">
        <is>
          <t>ГОСТ 5762-2002</t>
        </is>
      </c>
      <c r="D107" s="210" t="n">
        <v>50</v>
      </c>
      <c r="E107" s="210" t="inlineStr">
        <is>
          <t>стандартный</t>
        </is>
      </c>
      <c r="F107" s="210" t="n">
        <v>1.6</v>
      </c>
      <c r="G107" s="210" t="inlineStr">
        <is>
          <t>от -60 до +560</t>
        </is>
      </c>
      <c r="H107" s="210" t="inlineStr">
        <is>
          <t>Жидкие и газообразные углеводороды, нефть, нефтепродукты, природный газ, газоконденсат, вода пар и другие жидкости и газы</t>
        </is>
      </c>
      <c r="I107" s="210" t="inlineStr">
        <is>
          <t>сталь 12Х18Н9ТЛ</t>
        </is>
      </c>
      <c r="J107" s="210" t="inlineStr">
        <is>
          <t>УХЛ1</t>
        </is>
      </c>
      <c r="K107" s="210" t="inlineStr">
        <is>
          <t>фланцевый</t>
        </is>
      </c>
      <c r="L107" s="210" t="inlineStr">
        <is>
          <t>ручной (маховик)</t>
        </is>
      </c>
      <c r="M107" s="210" t="inlineStr">
        <is>
          <t>-</t>
        </is>
      </c>
      <c r="N107" s="210" t="inlineStr">
        <is>
          <t>любое</t>
        </is>
      </c>
      <c r="O107"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7" s="210" t="n"/>
      <c r="Q107" s="210" t="n"/>
      <c r="R107" s="198">
        <f>A107</f>
        <v/>
      </c>
      <c r="S107" s="205" t="n"/>
      <c r="T107" s="205" t="n"/>
      <c r="U107" s="205" t="n"/>
      <c r="V107" s="205" t="n"/>
      <c r="W107" s="205" t="n"/>
      <c r="X107" s="205" t="n"/>
      <c r="Y107" s="205" t="n"/>
      <c r="Z107" s="205" t="n"/>
      <c r="AA107" s="205" t="n"/>
      <c r="AB107" s="205" t="n"/>
      <c r="AC107" s="205" t="n"/>
      <c r="AD107" s="205" t="n"/>
      <c r="AE107" s="205" t="n"/>
      <c r="AF107" s="205" t="n"/>
      <c r="AG107" s="205" t="n"/>
      <c r="AH107" s="205" t="n"/>
      <c r="AI107" s="202" t="n"/>
    </row>
    <row r="108" ht="114.75" customHeight="1" s="169">
      <c r="A108" s="192" t="n">
        <v>72</v>
      </c>
      <c r="B108" s="193" t="inlineStr">
        <is>
          <t>Задвижка 30нж41нж DN 80 PN 16 1исп. САЗ</t>
        </is>
      </c>
      <c r="C108" s="210" t="inlineStr">
        <is>
          <t>ГОСТ 5762-2002</t>
        </is>
      </c>
      <c r="D108" s="210" t="n">
        <v>80</v>
      </c>
      <c r="E108" s="210" t="inlineStr">
        <is>
          <t>стандартный</t>
        </is>
      </c>
      <c r="F108" s="210" t="n">
        <v>1.6</v>
      </c>
      <c r="G108" s="210" t="inlineStr">
        <is>
          <t>от -60 до +560</t>
        </is>
      </c>
      <c r="H108" s="210" t="inlineStr">
        <is>
          <t>Жидкие и газообразные углеводороды, нефть, нефтепродукты, природный газ, газоконденсат, вода пар и другие жидкости и газы</t>
        </is>
      </c>
      <c r="I108" s="210" t="inlineStr">
        <is>
          <t>сталь 12Х18Н9ТЛ</t>
        </is>
      </c>
      <c r="J108" s="210" t="inlineStr">
        <is>
          <t>УХЛ1</t>
        </is>
      </c>
      <c r="K108" s="210" t="inlineStr">
        <is>
          <t>фланцевый</t>
        </is>
      </c>
      <c r="L108" s="210" t="inlineStr">
        <is>
          <t>ручной (маховик)</t>
        </is>
      </c>
      <c r="M108" s="210" t="inlineStr">
        <is>
          <t>-</t>
        </is>
      </c>
      <c r="N108" s="210" t="inlineStr">
        <is>
          <t>любое</t>
        </is>
      </c>
      <c r="O108"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8" s="210" t="n"/>
      <c r="Q108" s="210" t="n"/>
      <c r="R108" s="198">
        <f>A108</f>
        <v/>
      </c>
      <c r="S108" s="205" t="n"/>
      <c r="T108" s="205" t="n"/>
      <c r="U108" s="205" t="n"/>
      <c r="V108" s="205" t="n"/>
      <c r="W108" s="205" t="n"/>
      <c r="X108" s="205" t="n"/>
      <c r="Y108" s="205" t="n"/>
      <c r="Z108" s="205" t="n"/>
      <c r="AA108" s="205" t="n"/>
      <c r="AB108" s="205" t="n"/>
      <c r="AC108" s="205" t="n"/>
      <c r="AD108" s="205" t="n"/>
      <c r="AE108" s="205" t="n"/>
      <c r="AF108" s="205" t="n"/>
      <c r="AG108" s="205" t="n"/>
      <c r="AH108" s="205" t="n"/>
      <c r="AI108" s="202" t="n"/>
    </row>
    <row r="109" ht="165.75" customHeight="1" s="169">
      <c r="A109" s="192" t="n">
        <v>73</v>
      </c>
      <c r="B109" s="243" t="inlineStr">
        <is>
          <t>Задвижка 30с41нж Ду 50 Ру 16</t>
        </is>
      </c>
      <c r="C109" s="210" t="inlineStr">
        <is>
          <t>ТУ 3700-033-96455923-2014</t>
        </is>
      </c>
      <c r="D109" s="210" t="n">
        <v>50</v>
      </c>
      <c r="E109" s="210" t="inlineStr">
        <is>
          <t>стандарт</t>
        </is>
      </c>
      <c r="F109" s="210" t="n">
        <v>1.6</v>
      </c>
      <c r="G109" s="210" t="inlineStr">
        <is>
          <t>от -40 до + 450</t>
        </is>
      </c>
      <c r="H109" s="210" t="inlineStr">
        <is>
          <t>Вода</t>
        </is>
      </c>
      <c r="I109" s="210" t="inlineStr">
        <is>
          <t>Сталь 25 Л</t>
        </is>
      </c>
      <c r="J109" s="210" t="inlineStr">
        <is>
          <t>У1</t>
        </is>
      </c>
      <c r="K109" s="210" t="inlineStr">
        <is>
          <t>фланец-фланец по ГОСТ 33259-2015</t>
        </is>
      </c>
      <c r="L109" s="210" t="inlineStr">
        <is>
          <t xml:space="preserve">Ручное  </t>
        </is>
      </c>
      <c r="M109" s="210" t="inlineStr">
        <is>
          <t>штурвал</t>
        </is>
      </c>
      <c r="N109" s="210" t="inlineStr">
        <is>
          <t>Любое</t>
        </is>
      </c>
      <c r="O109"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09" s="210" t="inlineStr">
        <is>
          <t>180 *281</t>
        </is>
      </c>
      <c r="Q109" s="197" t="n"/>
      <c r="R109" s="198">
        <f>A109</f>
        <v/>
      </c>
      <c r="S109" s="205" t="n"/>
      <c r="T109" s="205" t="n"/>
      <c r="U109" s="205" t="n"/>
      <c r="V109" s="205" t="n"/>
      <c r="W109" s="205" t="n"/>
      <c r="X109" s="205" t="n"/>
      <c r="Y109" s="205" t="n"/>
      <c r="Z109" s="205" t="n"/>
      <c r="AA109" s="205" t="n"/>
      <c r="AB109" s="205" t="n"/>
      <c r="AC109" s="205" t="n"/>
      <c r="AD109" s="205" t="n"/>
      <c r="AE109" s="205" t="n"/>
      <c r="AF109" s="205" t="n"/>
      <c r="AG109" s="205" t="n"/>
      <c r="AH109" s="205" t="n"/>
      <c r="AI109" s="202" t="n"/>
    </row>
    <row r="110" ht="63.75" customHeight="1" s="169">
      <c r="A110" s="192" t="n">
        <v>74</v>
      </c>
      <c r="B110" s="243" t="inlineStr">
        <is>
          <t>Задвижка 30с41нж Ду 80 Ру 16</t>
        </is>
      </c>
      <c r="C110" s="210" t="inlineStr">
        <is>
          <t>ТУ 3700-033-96455923-2014</t>
        </is>
      </c>
      <c r="D110" s="210" t="n">
        <v>80</v>
      </c>
      <c r="E110" s="210" t="inlineStr">
        <is>
          <t>стандарт</t>
        </is>
      </c>
      <c r="F110" s="210" t="n">
        <v>1.6</v>
      </c>
      <c r="G110" s="210" t="inlineStr">
        <is>
          <t>-40…        +425</t>
        </is>
      </c>
      <c r="H110" s="210" t="inlineStr">
        <is>
          <t>Вода, пар</t>
        </is>
      </c>
      <c r="I110" s="210" t="inlineStr">
        <is>
          <t>сталь 25Л</t>
        </is>
      </c>
      <c r="J110" s="210" t="inlineStr">
        <is>
          <t>У1</t>
        </is>
      </c>
      <c r="K110" s="210" t="inlineStr">
        <is>
          <t>фланец-фланец</t>
        </is>
      </c>
      <c r="L110" s="210" t="inlineStr">
        <is>
          <t xml:space="preserve">Ручное </t>
        </is>
      </c>
      <c r="M110" s="210" t="inlineStr">
        <is>
          <t>Маховик</t>
        </is>
      </c>
      <c r="N110" s="210" t="inlineStr">
        <is>
          <t>маховиком вверх</t>
        </is>
      </c>
      <c r="O110" s="210" t="inlineStr">
        <is>
          <t>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0" s="210" t="inlineStr">
        <is>
          <t>-</t>
        </is>
      </c>
      <c r="Q110" s="210" t="inlineStr">
        <is>
          <t>-</t>
        </is>
      </c>
      <c r="R110" s="198">
        <f>A110</f>
        <v/>
      </c>
      <c r="S110" s="205" t="n"/>
      <c r="T110" s="205" t="n"/>
      <c r="U110" s="205" t="n"/>
      <c r="V110" s="205" t="n"/>
      <c r="W110" s="205" t="n"/>
      <c r="X110" s="205" t="n"/>
      <c r="Y110" s="205" t="n"/>
      <c r="Z110" s="205" t="n"/>
      <c r="AA110" s="205" t="n"/>
      <c r="AB110" s="205" t="n"/>
      <c r="AC110" s="205" t="n"/>
      <c r="AD110" s="205" t="n"/>
      <c r="AE110" s="205" t="n"/>
      <c r="AF110" s="205" t="n"/>
      <c r="AG110" s="205" t="n"/>
      <c r="AH110" s="205" t="n"/>
      <c r="AI110" s="202" t="n"/>
    </row>
    <row r="111" ht="165.75" customHeight="1" s="169">
      <c r="A111" s="192" t="n">
        <v>75</v>
      </c>
      <c r="B111" s="243" t="inlineStr">
        <is>
          <t>Задвижка 30с41нж Ду 100 Ру 16</t>
        </is>
      </c>
      <c r="C111" s="210" t="inlineStr">
        <is>
          <t>ТУ 3700-033-96455923-2014</t>
        </is>
      </c>
      <c r="D111" s="210" t="n">
        <v>100</v>
      </c>
      <c r="E111" s="210" t="inlineStr">
        <is>
          <t>стандарт</t>
        </is>
      </c>
      <c r="F111" s="210" t="n">
        <v>1.6</v>
      </c>
      <c r="G111" s="210" t="inlineStr">
        <is>
          <t>от -40 до + 450</t>
        </is>
      </c>
      <c r="H111" s="210" t="inlineStr">
        <is>
          <t>вода, пар</t>
        </is>
      </c>
      <c r="I111" s="210" t="inlineStr">
        <is>
          <t>Сталь 25 Л</t>
        </is>
      </c>
      <c r="J111" s="210" t="inlineStr">
        <is>
          <t>У1</t>
        </is>
      </c>
      <c r="K111" s="210" t="inlineStr">
        <is>
          <t>фланец-фланец по ГОСТ 33259-2015</t>
        </is>
      </c>
      <c r="L111" s="210" t="inlineStr">
        <is>
          <t xml:space="preserve">Ручное  </t>
        </is>
      </c>
      <c r="M111" s="210" t="inlineStr">
        <is>
          <t>Рукоятка</t>
        </is>
      </c>
      <c r="N111" s="210" t="inlineStr">
        <is>
          <t>Любое</t>
        </is>
      </c>
      <c r="O111"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1" s="210" t="inlineStr">
        <is>
          <t>230 * 385</t>
        </is>
      </c>
      <c r="Q111" s="244" t="n"/>
      <c r="R111" s="198">
        <f>A111</f>
        <v/>
      </c>
      <c r="S111" s="205" t="n"/>
      <c r="T111" s="205" t="n"/>
      <c r="U111" s="205" t="n"/>
      <c r="V111" s="205" t="n"/>
      <c r="W111" s="205" t="n"/>
      <c r="X111" s="205" t="n"/>
      <c r="Y111" s="205" t="n"/>
      <c r="Z111" s="205" t="n"/>
      <c r="AA111" s="205" t="n"/>
      <c r="AB111" s="205" t="n"/>
      <c r="AC111" s="205" t="n"/>
      <c r="AD111" s="205" t="n"/>
      <c r="AE111" s="205" t="n"/>
      <c r="AF111" s="205" t="n"/>
      <c r="AG111" s="205" t="n"/>
      <c r="AH111" s="205" t="n"/>
      <c r="AI111" s="202" t="n"/>
    </row>
    <row r="112" ht="165.75" customHeight="1" s="169">
      <c r="A112" s="192" t="n">
        <v>76</v>
      </c>
      <c r="B112" s="243" t="inlineStr">
        <is>
          <t>Задвижка 30с41нж Ду 150 Ру 16</t>
        </is>
      </c>
      <c r="C112" s="210" t="inlineStr">
        <is>
          <t>ТУ 3700-033-96455923-2014</t>
        </is>
      </c>
      <c r="D112" s="210" t="n">
        <v>150</v>
      </c>
      <c r="E112" s="210" t="inlineStr">
        <is>
          <t>стандарт</t>
        </is>
      </c>
      <c r="F112" s="210" t="n">
        <v>1.6</v>
      </c>
      <c r="G112" s="210" t="inlineStr">
        <is>
          <t>от -40 до + 450</t>
        </is>
      </c>
      <c r="H112" s="210" t="inlineStr">
        <is>
          <t>вода, пар</t>
        </is>
      </c>
      <c r="I112" s="210" t="inlineStr">
        <is>
          <t>Сталь 25 Л</t>
        </is>
      </c>
      <c r="J112" s="210" t="inlineStr">
        <is>
          <t>У1</t>
        </is>
      </c>
      <c r="K112" s="210" t="inlineStr">
        <is>
          <t>фланец-фланец по ГОСТ 33259-2015</t>
        </is>
      </c>
      <c r="L112" s="210" t="inlineStr">
        <is>
          <t xml:space="preserve">Ручное  </t>
        </is>
      </c>
      <c r="M112" s="210" t="inlineStr">
        <is>
          <t>штурвал</t>
        </is>
      </c>
      <c r="N112" s="210" t="inlineStr">
        <is>
          <t>Любое</t>
        </is>
      </c>
      <c r="O112"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2" s="210" t="inlineStr">
        <is>
          <t xml:space="preserve">280 * 576 </t>
        </is>
      </c>
      <c r="Q112" s="210" t="n"/>
      <c r="R112" s="198">
        <f>A112</f>
        <v/>
      </c>
      <c r="S112" s="205" t="n"/>
      <c r="T112" s="205" t="n"/>
      <c r="U112" s="205" t="n"/>
      <c r="V112" s="205" t="n"/>
      <c r="W112" s="205" t="n"/>
      <c r="X112" s="205" t="n"/>
      <c r="Y112" s="205" t="n"/>
      <c r="Z112" s="205" t="n"/>
      <c r="AA112" s="205" t="n"/>
      <c r="AB112" s="205" t="n"/>
      <c r="AC112" s="205" t="n"/>
      <c r="AD112" s="205" t="n"/>
      <c r="AE112" s="205" t="n"/>
      <c r="AF112" s="205" t="n"/>
      <c r="AG112" s="205" t="n"/>
      <c r="AH112" s="205" t="n"/>
      <c r="AI112" s="202" t="n"/>
    </row>
    <row r="113" ht="63.75" customHeight="1" s="169">
      <c r="A113" s="192" t="n">
        <v>77</v>
      </c>
      <c r="B113" s="243" t="inlineStr">
        <is>
          <t>Задвижка 30с564нж Ду 400 Ру 25</t>
        </is>
      </c>
      <c r="C113" s="210" t="inlineStr">
        <is>
          <t>ГОСТ 5762-2002</t>
        </is>
      </c>
      <c r="D113" s="210" t="n">
        <v>400</v>
      </c>
      <c r="E113" s="210" t="inlineStr">
        <is>
          <t>стандарт</t>
        </is>
      </c>
      <c r="F113" s="210" t="n">
        <v>2.5</v>
      </c>
      <c r="G113" s="210" t="inlineStr">
        <is>
          <t>от −40 °C до +425 °C</t>
        </is>
      </c>
      <c r="H113" s="210" t="inlineStr">
        <is>
          <t xml:space="preserve"> вода, пар, нефтепродукты, газ и другие неагрессивные среды</t>
        </is>
      </c>
      <c r="I113" s="210" t="inlineStr">
        <is>
          <t>сталь 25л</t>
        </is>
      </c>
      <c r="J113" s="210" t="inlineStr">
        <is>
          <t>У1</t>
        </is>
      </c>
      <c r="K113" s="210" t="inlineStr">
        <is>
          <t>фланцевый</t>
        </is>
      </c>
      <c r="L113" s="210" t="inlineStr">
        <is>
          <t>ручной</t>
        </is>
      </c>
      <c r="M113" s="210" t="inlineStr">
        <is>
          <t>Маховик</t>
        </is>
      </c>
      <c r="N113" s="210" t="inlineStr">
        <is>
          <t>горизонтальное, либо вертикальное</t>
        </is>
      </c>
      <c r="O113" s="210" t="inlineStr">
        <is>
          <t>Крышка, клин Ст25Л, шпиндель Ст20х13</t>
        </is>
      </c>
      <c r="P113" s="210" t="n"/>
      <c r="Q113" s="197" t="n"/>
      <c r="R113" s="198">
        <f>A113</f>
        <v/>
      </c>
      <c r="S113" s="205" t="n"/>
      <c r="T113" s="205" t="n"/>
      <c r="U113" s="205" t="n"/>
      <c r="V113" s="205" t="n"/>
      <c r="W113" s="205" t="n"/>
      <c r="X113" s="205" t="n"/>
      <c r="Y113" s="205" t="n"/>
      <c r="Z113" s="205" t="n"/>
      <c r="AA113" s="205" t="n"/>
      <c r="AB113" s="205" t="n"/>
      <c r="AC113" s="205" t="n"/>
      <c r="AD113" s="205" t="n"/>
      <c r="AE113" s="205" t="n"/>
      <c r="AF113" s="205" t="n"/>
      <c r="AG113" s="205" t="n"/>
      <c r="AH113" s="205" t="n"/>
      <c r="AI113" s="202" t="n"/>
    </row>
    <row r="114" ht="51" customFormat="1" customHeight="1" s="171">
      <c r="A114" s="192" t="n">
        <v>78</v>
      </c>
      <c r="B114" s="243" t="inlineStr">
        <is>
          <t>Задвижка 30с64нж Ду 50 Ру 25</t>
        </is>
      </c>
      <c r="C114" s="210" t="inlineStr">
        <is>
          <t>ГОСТ 5762-2002</t>
        </is>
      </c>
      <c r="D114" s="210" t="n">
        <v>50</v>
      </c>
      <c r="E114" s="210" t="inlineStr">
        <is>
          <t>стандарт</t>
        </is>
      </c>
      <c r="F114" s="210" t="n">
        <v>2.5</v>
      </c>
      <c r="G114" s="210" t="inlineStr">
        <is>
          <t>от −40°С  до +425°С</t>
        </is>
      </c>
      <c r="H114" s="210" t="inlineStr">
        <is>
          <t>вода, пар, неагрессивные нефтепродукты</t>
        </is>
      </c>
      <c r="I114" s="210" t="inlineStr">
        <is>
          <t>сталь 25л</t>
        </is>
      </c>
      <c r="J114" s="210" t="inlineStr">
        <is>
          <t>У1</t>
        </is>
      </c>
      <c r="K114" s="210" t="inlineStr">
        <is>
          <t>фланцевый</t>
        </is>
      </c>
      <c r="L114" s="210" t="inlineStr">
        <is>
          <t>ручной</t>
        </is>
      </c>
      <c r="M114" s="210" t="inlineStr">
        <is>
          <t>маховик</t>
        </is>
      </c>
      <c r="N114" s="210" t="inlineStr">
        <is>
          <t>горизонтальное, либо вертикальное</t>
        </is>
      </c>
      <c r="O114" s="210" t="inlineStr">
        <is>
          <t>Крышка, клин Ст25Л, шпиндель Ст20х13</t>
        </is>
      </c>
      <c r="P114" s="207" t="n"/>
      <c r="Q114" s="197" t="n"/>
      <c r="R114" s="198">
        <f>A114</f>
        <v/>
      </c>
      <c r="S114" s="205" t="n"/>
      <c r="T114" s="205" t="n"/>
      <c r="U114" s="205" t="n"/>
      <c r="V114" s="205" t="n"/>
      <c r="W114" s="205" t="n"/>
      <c r="X114" s="205" t="n"/>
      <c r="Y114" s="205" t="n"/>
      <c r="Z114" s="205" t="n"/>
      <c r="AA114" s="205" t="n"/>
      <c r="AB114" s="205" t="n"/>
      <c r="AC114" s="205" t="n"/>
      <c r="AD114" s="205" t="n"/>
      <c r="AE114" s="205" t="n"/>
      <c r="AF114" s="205" t="n"/>
      <c r="AG114" s="205" t="n"/>
      <c r="AH114" s="205" t="n"/>
      <c r="AI114" s="202" t="n"/>
    </row>
    <row r="115" ht="51" customFormat="1" customHeight="1" s="171">
      <c r="A115" s="192" t="n">
        <v>79</v>
      </c>
      <c r="B115" s="243" t="inlineStr">
        <is>
          <t>Задвижка 30с64нж Ду 80 Ру 25</t>
        </is>
      </c>
      <c r="C115" s="210" t="inlineStr">
        <is>
          <t>ГОСТ 5762-2002</t>
        </is>
      </c>
      <c r="D115" s="210" t="n">
        <v>80</v>
      </c>
      <c r="E115" s="210" t="inlineStr">
        <is>
          <t>стандарт</t>
        </is>
      </c>
      <c r="F115" s="210" t="n">
        <v>2.5</v>
      </c>
      <c r="G115" s="210" t="inlineStr">
        <is>
          <t>от −40°С  до +425°С</t>
        </is>
      </c>
      <c r="H115" s="210" t="inlineStr">
        <is>
          <t>вода, пар, неагрессивные нефтепродукты</t>
        </is>
      </c>
      <c r="I115" s="210" t="inlineStr">
        <is>
          <t>сталь 25л</t>
        </is>
      </c>
      <c r="J115" s="210" t="inlineStr">
        <is>
          <t>У1</t>
        </is>
      </c>
      <c r="K115" s="210" t="inlineStr">
        <is>
          <t>фланцевый</t>
        </is>
      </c>
      <c r="L115" s="210" t="inlineStr">
        <is>
          <t>ручной</t>
        </is>
      </c>
      <c r="M115" s="210" t="inlineStr">
        <is>
          <t>маховик</t>
        </is>
      </c>
      <c r="N115" s="210" t="inlineStr">
        <is>
          <t>горизонтальное, либо вертикальное</t>
        </is>
      </c>
      <c r="O115" s="210" t="inlineStr">
        <is>
          <t>Крышка, клин Ст25Л, шпиндель Ст20х13</t>
        </is>
      </c>
      <c r="P115" s="210" t="n"/>
      <c r="Q115" s="197" t="n"/>
      <c r="R115" s="198">
        <f>A115</f>
        <v/>
      </c>
      <c r="S115" s="205" t="n"/>
      <c r="T115" s="205" t="n"/>
      <c r="U115" s="205" t="n"/>
      <c r="V115" s="205" t="n"/>
      <c r="W115" s="205" t="n"/>
      <c r="X115" s="205" t="n"/>
      <c r="Y115" s="205" t="n"/>
      <c r="Z115" s="205" t="n"/>
      <c r="AA115" s="205" t="n"/>
      <c r="AB115" s="205" t="n"/>
      <c r="AC115" s="205" t="n"/>
      <c r="AD115" s="205" t="n"/>
      <c r="AE115" s="205" t="n"/>
      <c r="AF115" s="205" t="n"/>
      <c r="AG115" s="205" t="n"/>
      <c r="AH115" s="205" t="n"/>
      <c r="AI115" s="202" t="n"/>
    </row>
    <row r="116" ht="51" customHeight="1" s="169">
      <c r="A116" s="192" t="n">
        <v>80</v>
      </c>
      <c r="B116" s="243" t="inlineStr">
        <is>
          <t>Задвижка 30с64нж Ду 100 Ру 25</t>
        </is>
      </c>
      <c r="C116" s="210" t="inlineStr">
        <is>
          <t>ГОСТ 5762-2002</t>
        </is>
      </c>
      <c r="D116" s="210" t="n">
        <v>100</v>
      </c>
      <c r="E116" s="210" t="inlineStr">
        <is>
          <t>стандарт</t>
        </is>
      </c>
      <c r="F116" s="210" t="n">
        <v>2.5</v>
      </c>
      <c r="G116" s="210" t="inlineStr">
        <is>
          <t>от −40°С  до +425°С</t>
        </is>
      </c>
      <c r="H116" s="210" t="inlineStr">
        <is>
          <t>вода, пар, неагрессивные нефтепродукты</t>
        </is>
      </c>
      <c r="I116" s="210" t="inlineStr">
        <is>
          <t>сталь 25л</t>
        </is>
      </c>
      <c r="J116" s="210" t="inlineStr">
        <is>
          <t>У1</t>
        </is>
      </c>
      <c r="K116" s="210" t="inlineStr">
        <is>
          <t>фланцевый</t>
        </is>
      </c>
      <c r="L116" s="210" t="inlineStr">
        <is>
          <t>ручной</t>
        </is>
      </c>
      <c r="M116" s="210" t="inlineStr">
        <is>
          <t>маховик</t>
        </is>
      </c>
      <c r="N116" s="210" t="inlineStr">
        <is>
          <t>горизонтальное, либо вертикальное</t>
        </is>
      </c>
      <c r="O116" s="210" t="inlineStr">
        <is>
          <t>Крышка, клин Ст25Л, шпиндель Ст20х13</t>
        </is>
      </c>
      <c r="P116" s="236" t="n"/>
      <c r="Q116" s="245" t="n"/>
      <c r="R116" s="198">
        <f>A116</f>
        <v/>
      </c>
      <c r="S116" s="205" t="n"/>
      <c r="T116" s="205" t="n"/>
      <c r="U116" s="205" t="n"/>
      <c r="V116" s="205" t="n"/>
      <c r="W116" s="205" t="n"/>
      <c r="X116" s="205" t="n"/>
      <c r="Y116" s="205" t="n"/>
      <c r="Z116" s="205" t="n"/>
      <c r="AA116" s="205" t="n"/>
      <c r="AB116" s="205" t="n"/>
      <c r="AC116" s="205" t="n"/>
      <c r="AD116" s="205" t="n"/>
      <c r="AE116" s="205" t="n"/>
      <c r="AF116" s="205" t="n"/>
      <c r="AG116" s="205" t="n"/>
      <c r="AH116" s="205" t="n"/>
      <c r="AI116" s="202" t="n"/>
    </row>
    <row r="117" ht="51" customHeight="1" s="169">
      <c r="A117" s="192" t="n">
        <v>81</v>
      </c>
      <c r="B117" s="243" t="inlineStr">
        <is>
          <t>Задвижка 30с64нж Ду 150 Ру 25</t>
        </is>
      </c>
      <c r="C117" s="210" t="inlineStr">
        <is>
          <t>ГОСТ 5762-2002</t>
        </is>
      </c>
      <c r="D117" s="210" t="n">
        <v>150</v>
      </c>
      <c r="E117" s="210" t="inlineStr">
        <is>
          <t>стандарт</t>
        </is>
      </c>
      <c r="F117" s="210" t="n">
        <v>2.5</v>
      </c>
      <c r="G117" s="210" t="inlineStr">
        <is>
          <t>от −40°С  до +425°С</t>
        </is>
      </c>
      <c r="H117" s="210" t="inlineStr">
        <is>
          <t>вода, пар, неагрессивные нефтепродукты</t>
        </is>
      </c>
      <c r="I117" s="210" t="inlineStr">
        <is>
          <t>сталь 25л</t>
        </is>
      </c>
      <c r="J117" s="210" t="inlineStr">
        <is>
          <t>У1</t>
        </is>
      </c>
      <c r="K117" s="210" t="inlineStr">
        <is>
          <t>фланцевый</t>
        </is>
      </c>
      <c r="L117" s="210" t="inlineStr">
        <is>
          <t>ручной</t>
        </is>
      </c>
      <c r="M117" s="210" t="inlineStr">
        <is>
          <t>маховик</t>
        </is>
      </c>
      <c r="N117" s="210" t="inlineStr">
        <is>
          <t>горизонтальное, либо вертикальное</t>
        </is>
      </c>
      <c r="O117" s="210" t="inlineStr">
        <is>
          <t>Крышка, клин Ст25Л, шпиндель Ст20х13</t>
        </is>
      </c>
      <c r="P117" s="210" t="n"/>
      <c r="Q117" s="210" t="n"/>
      <c r="R117" s="198">
        <f>A117</f>
        <v/>
      </c>
      <c r="S117" s="205" t="n"/>
      <c r="T117" s="205" t="n"/>
      <c r="U117" s="205" t="n"/>
      <c r="V117" s="205" t="n"/>
      <c r="W117" s="205" t="n"/>
      <c r="X117" s="205" t="n"/>
      <c r="Y117" s="205" t="n"/>
      <c r="Z117" s="205" t="n"/>
      <c r="AA117" s="205" t="n"/>
      <c r="AB117" s="205" t="n"/>
      <c r="AC117" s="205" t="n"/>
      <c r="AD117" s="205" t="n"/>
      <c r="AE117" s="205" t="n"/>
      <c r="AF117" s="205" t="n"/>
      <c r="AG117" s="205" t="n"/>
      <c r="AH117" s="205" t="n"/>
      <c r="AI117" s="202" t="n"/>
    </row>
    <row r="118" ht="63.75" customHeight="1" s="169">
      <c r="A118" s="192" t="n">
        <v>82</v>
      </c>
      <c r="B118" s="243" t="inlineStr">
        <is>
          <t>Задвижка 30с64нж Ду 200 Ру 25</t>
        </is>
      </c>
      <c r="C118" s="210" t="inlineStr">
        <is>
          <t>ГОСТ 5762-2002</t>
        </is>
      </c>
      <c r="D118" s="210" t="n">
        <v>200</v>
      </c>
      <c r="E118" s="210" t="inlineStr">
        <is>
          <t>стандарт</t>
        </is>
      </c>
      <c r="F118" s="210" t="n">
        <v>2.5</v>
      </c>
      <c r="G118" s="210" t="inlineStr">
        <is>
          <t>-40…        +425</t>
        </is>
      </c>
      <c r="H118" s="210" t="inlineStr">
        <is>
          <t>Вода, воздух, пар, аммиак,природный газ, нефть,нефтепродукты</t>
        </is>
      </c>
      <c r="I118" s="210" t="inlineStr">
        <is>
          <t>сталь 25Л</t>
        </is>
      </c>
      <c r="J118" s="210" t="inlineStr">
        <is>
          <t>Условия эксплуатации У
Минимальная температура окружающего воздуха: −40°С</t>
        </is>
      </c>
      <c r="K118" s="210" t="inlineStr">
        <is>
          <t>фланец-фланец</t>
        </is>
      </c>
      <c r="L118" s="210" t="inlineStr">
        <is>
          <t xml:space="preserve">Ручное </t>
        </is>
      </c>
      <c r="M118" s="210" t="inlineStr">
        <is>
          <t>Маховик</t>
        </is>
      </c>
      <c r="N118" s="210" t="inlineStr">
        <is>
          <t>Вертикально маховиком вверх, горизонтально</t>
        </is>
      </c>
      <c r="O118" s="210" t="inlineStr">
        <is>
          <t>С КОФ. 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8" s="210" t="n"/>
      <c r="Q118" s="210" t="n"/>
      <c r="R118" s="198">
        <f>A118</f>
        <v/>
      </c>
      <c r="S118" s="205" t="n"/>
      <c r="T118" s="205" t="n"/>
      <c r="U118" s="205" t="n"/>
      <c r="V118" s="205" t="n"/>
      <c r="W118" s="205" t="n"/>
      <c r="X118" s="205" t="n"/>
      <c r="Y118" s="205" t="n"/>
      <c r="Z118" s="205" t="n"/>
      <c r="AA118" s="205" t="n"/>
      <c r="AB118" s="205" t="n"/>
      <c r="AC118" s="205" t="n"/>
      <c r="AD118" s="205" t="n"/>
      <c r="AE118" s="205" t="n"/>
      <c r="AF118" s="205" t="n"/>
      <c r="AG118" s="205" t="n"/>
      <c r="AH118" s="205" t="n"/>
      <c r="AI118" s="202" t="n"/>
    </row>
    <row r="119" ht="76.5" customHeight="1" s="169">
      <c r="A119" s="192" t="n">
        <v>83</v>
      </c>
      <c r="B119" s="243" t="inlineStr">
        <is>
          <t>Задвижка 30с64нж Ду 250 Ру 25</t>
        </is>
      </c>
      <c r="C119" s="210" t="inlineStr">
        <is>
          <t>ГОСТ 5762-2002</t>
        </is>
      </c>
      <c r="D119" s="210" t="n">
        <v>250</v>
      </c>
      <c r="E119" s="210" t="inlineStr">
        <is>
          <t>стандарт</t>
        </is>
      </c>
      <c r="F119" s="210" t="n">
        <v>2.5</v>
      </c>
      <c r="G119" s="210" t="inlineStr">
        <is>
          <t>до +425</t>
        </is>
      </c>
      <c r="H119" s="210" t="inlineStr">
        <is>
          <t>вода, пар, нефть, природный газ, жидкие и газообразные неагрессивные нефтепродукты</t>
        </is>
      </c>
      <c r="I119" s="210" t="inlineStr">
        <is>
          <t>сталь 25Л</t>
        </is>
      </c>
      <c r="J119" s="210" t="inlineStr">
        <is>
          <t>У1</t>
        </is>
      </c>
      <c r="K119" s="210" t="inlineStr">
        <is>
          <t>фланцевый</t>
        </is>
      </c>
      <c r="L119" s="210" t="inlineStr">
        <is>
          <t xml:space="preserve">ручной </t>
        </is>
      </c>
      <c r="M119" s="210" t="inlineStr">
        <is>
          <t>Маховик</t>
        </is>
      </c>
      <c r="N119" s="210" t="inlineStr">
        <is>
          <t>любое, кроме маховиком вниз</t>
        </is>
      </c>
      <c r="O119" s="210" t="inlineStr">
        <is>
          <t>Корпус, Крышка, Клин, Маховик - Сталь 25Л Шпиндель - Сталь 20Х13 Прокладка и уплотнение - ТРГ Наплавка на кольце в корпусе и на клине - Сталь 20Х13</t>
        </is>
      </c>
      <c r="P119" s="210" t="n"/>
      <c r="Q119" s="210" t="n"/>
      <c r="R119" s="198">
        <f>A119</f>
        <v/>
      </c>
      <c r="S119" s="205" t="n"/>
      <c r="T119" s="205" t="n"/>
      <c r="U119" s="205" t="n"/>
      <c r="V119" s="205" t="n"/>
      <c r="W119" s="205" t="n"/>
      <c r="X119" s="205" t="n"/>
      <c r="Y119" s="205" t="n"/>
      <c r="Z119" s="205" t="n"/>
      <c r="AA119" s="205" t="n"/>
      <c r="AB119" s="205" t="n"/>
      <c r="AC119" s="205" t="n"/>
      <c r="AD119" s="205" t="n"/>
      <c r="AE119" s="205" t="n"/>
      <c r="AF119" s="205" t="n"/>
      <c r="AG119" s="205" t="n"/>
      <c r="AH119" s="205" t="n"/>
      <c r="AI119" s="202" t="n"/>
    </row>
    <row r="120" ht="76.5" customHeight="1" s="169">
      <c r="A120" s="192" t="n">
        <v>84</v>
      </c>
      <c r="B120" s="243" t="inlineStr">
        <is>
          <t>Задвижка 30с64нж Ду 300 Ру 25</t>
        </is>
      </c>
      <c r="C120" s="210" t="inlineStr">
        <is>
          <t>ГОСТ 5762-2002</t>
        </is>
      </c>
      <c r="D120" s="210" t="n">
        <v>300</v>
      </c>
      <c r="E120" s="210" t="inlineStr">
        <is>
          <t>стандарт</t>
        </is>
      </c>
      <c r="F120" s="210" t="n">
        <v>2.5</v>
      </c>
      <c r="G120" s="210" t="inlineStr">
        <is>
          <t>до +425</t>
        </is>
      </c>
      <c r="H120" s="210" t="inlineStr">
        <is>
          <t>вода, пар, нефть, природный газ, жидкие и газообразные неагрессивные нефтепродукты</t>
        </is>
      </c>
      <c r="I120" s="210" t="inlineStr">
        <is>
          <t>сталь 25Л</t>
        </is>
      </c>
      <c r="J120" s="210" t="inlineStr">
        <is>
          <t>У1</t>
        </is>
      </c>
      <c r="K120" s="210" t="inlineStr">
        <is>
          <t>фланцевый</t>
        </is>
      </c>
      <c r="L120" s="210" t="inlineStr">
        <is>
          <t>ручной (маховик)</t>
        </is>
      </c>
      <c r="M120" s="210" t="inlineStr">
        <is>
          <t>-</t>
        </is>
      </c>
      <c r="N120" s="210" t="inlineStr">
        <is>
          <t>любое, кроме маховиком вниз</t>
        </is>
      </c>
      <c r="O120" s="210" t="inlineStr">
        <is>
          <t>Корпус, Крышка, Клин, Маховик - Сталь 25Л Шпиндель - Сталь 20Х13 Прокладка и уплотнение - ТРГ Наплавка на кольце в корпусе и на клине - Сталь 20Х13</t>
        </is>
      </c>
      <c r="P120" s="210" t="n"/>
      <c r="Q120" s="210" t="n"/>
      <c r="R120" s="198">
        <f>A120</f>
        <v/>
      </c>
      <c r="S120" s="205" t="n"/>
      <c r="T120" s="205" t="n"/>
      <c r="U120" s="205" t="n"/>
      <c r="V120" s="205" t="n"/>
      <c r="W120" s="205" t="n"/>
      <c r="X120" s="205" t="n"/>
      <c r="Y120" s="205" t="n"/>
      <c r="Z120" s="205" t="n"/>
      <c r="AA120" s="205" t="n"/>
      <c r="AB120" s="205" t="n"/>
      <c r="AC120" s="205" t="n"/>
      <c r="AD120" s="205" t="n"/>
      <c r="AE120" s="205" t="n"/>
      <c r="AF120" s="205" t="n"/>
      <c r="AG120" s="205" t="n"/>
      <c r="AH120" s="205" t="n"/>
      <c r="AI120" s="202" t="n"/>
    </row>
    <row r="121" ht="76.5" customHeight="1" s="169">
      <c r="A121" s="192" t="n">
        <v>85</v>
      </c>
      <c r="B121" s="243" t="inlineStr">
        <is>
          <t>Задвижка 30с76нж Ду 200 Ру 63</t>
        </is>
      </c>
      <c r="C121" s="210" t="inlineStr">
        <is>
          <t>ГОСТ 5762-2002</t>
        </is>
      </c>
      <c r="D121" s="210" t="n">
        <v>200</v>
      </c>
      <c r="E121" s="210" t="inlineStr">
        <is>
          <t>стандарт</t>
        </is>
      </c>
      <c r="F121" s="210" t="n">
        <v>6.3</v>
      </c>
      <c r="G121" s="210" t="inlineStr">
        <is>
          <t>от -40 до + 425</t>
        </is>
      </c>
      <c r="H121" s="210" t="inlineStr">
        <is>
          <t>вода, пар, нефть, природный газ, жидкие и газообразные неагрессивные нефтепродукты</t>
        </is>
      </c>
      <c r="I121" s="210" t="inlineStr">
        <is>
          <t>сталь 25Л</t>
        </is>
      </c>
      <c r="J121" s="210" t="inlineStr">
        <is>
          <t>У1</t>
        </is>
      </c>
      <c r="K121" s="210" t="inlineStr">
        <is>
          <t>фланец-фланец</t>
        </is>
      </c>
      <c r="L121" s="210" t="inlineStr">
        <is>
          <t>ручной (маховик)</t>
        </is>
      </c>
      <c r="M121" s="210" t="inlineStr">
        <is>
          <t>-</t>
        </is>
      </c>
      <c r="N121" s="210" t="inlineStr">
        <is>
          <t>любое, кроме маховиком вниз</t>
        </is>
      </c>
      <c r="O121" s="210" t="inlineStr">
        <is>
          <t>Корпус, Крышка, Клин, Маховик - Сталь 25Л Шпиндель - Сталь 20Х13 Прокладка и уплотнение - ТРГ Наплавка на кольце в корпусе и на клине - Сталь 20Х13</t>
        </is>
      </c>
      <c r="P121" s="210" t="n"/>
      <c r="Q121" s="210" t="n"/>
      <c r="R121" s="198">
        <f>A121</f>
        <v/>
      </c>
      <c r="S121" s="205" t="n"/>
      <c r="T121" s="205" t="n"/>
      <c r="U121" s="205" t="n"/>
      <c r="V121" s="205" t="n"/>
      <c r="W121" s="205" t="n"/>
      <c r="X121" s="205" t="n"/>
      <c r="Y121" s="205" t="n"/>
      <c r="Z121" s="205" t="n"/>
      <c r="AA121" s="205" t="n"/>
      <c r="AB121" s="205" t="n"/>
      <c r="AC121" s="205" t="n"/>
      <c r="AD121" s="205" t="n"/>
      <c r="AE121" s="205" t="n"/>
      <c r="AF121" s="205" t="n"/>
      <c r="AG121" s="205" t="n"/>
      <c r="AH121" s="205" t="n"/>
      <c r="AI121" s="202" t="n"/>
    </row>
    <row r="122" ht="229.5" customHeight="1" s="169">
      <c r="A122" s="192" t="n">
        <v>86</v>
      </c>
      <c r="B122" s="193" t="inlineStr">
        <is>
          <t>Задвижка 30с927нж Ду 250 Ру 25 с электроприводом</t>
        </is>
      </c>
      <c r="C122" s="210" t="inlineStr">
        <is>
          <t xml:space="preserve">ТУ-3740-002-99521253-2012. </t>
        </is>
      </c>
      <c r="D122" s="210" t="n">
        <v>250</v>
      </c>
      <c r="E122" s="210" t="inlineStr">
        <is>
          <t>полнопроходной</t>
        </is>
      </c>
      <c r="F122" s="210" t="n">
        <v>2.5</v>
      </c>
      <c r="G122" s="210" t="inlineStr">
        <is>
          <t>от -40 до + 425°С</t>
        </is>
      </c>
      <c r="H122" s="210" t="inlineStr">
        <is>
          <t xml:space="preserve">вода, пар,
масло, нефть, жидкие неагрессивные
нефтепродукты, неагрессивные жидкие
среды до </t>
        </is>
      </c>
      <c r="I122" s="210" t="inlineStr">
        <is>
          <t>Сталь 25Л</t>
        </is>
      </c>
      <c r="J122" s="210" t="inlineStr">
        <is>
          <t>У1 по ГОСТ 15150</t>
        </is>
      </c>
      <c r="K122" s="210" t="inlineStr">
        <is>
          <t xml:space="preserve">фланцевое, исполнение – по ГОСТ 33259. </t>
        </is>
      </c>
      <c r="L122" s="210" t="inlineStr">
        <is>
          <t>электропривод</t>
        </is>
      </c>
      <c r="M122" s="210" t="inlineStr">
        <is>
          <t>Тип присоединеия-Б; Крутящий момент, Нм-100-300</t>
        </is>
      </c>
      <c r="N122" s="210" t="inlineStr">
        <is>
          <t xml:space="preserve">Арматура, оснащенная электрическим приводом, устанавливается управляющим органом вверх. Допускается монтаж в наклонном положении, кроме «электроприводом вниз» - в этом случае требуется обеспечить опору для снятия нагрузки с бугельного узла. </t>
        </is>
      </c>
      <c r="O122" s="210" t="inlineStr">
        <is>
          <t>Шпиндель  20Х13;
 Прокладка  ТРГ;
Крышка, Маховик  25Л;
Гайка  Ст25;
Сальниковое уплотнение  ТРГ;
Ось, Болт, Шпилька  Ст35;
Втулка сальника  Ст20;
Гайка ходовая  ЛС59-1;
Гайка шлицевая  Ст35;</t>
        </is>
      </c>
      <c r="P122" s="210" t="inlineStr">
        <is>
          <t>L=450мм; H=700мм без электропривода</t>
        </is>
      </c>
      <c r="Q122" s="210" t="n"/>
      <c r="R122" s="198">
        <f>A122</f>
        <v/>
      </c>
      <c r="S122" s="205" t="n"/>
      <c r="T122" s="205" t="n"/>
      <c r="U122" s="205" t="n"/>
      <c r="V122" s="205" t="n"/>
      <c r="W122" s="205" t="n"/>
      <c r="X122" s="205" t="n"/>
      <c r="Y122" s="205" t="n"/>
      <c r="Z122" s="205" t="n"/>
      <c r="AA122" s="205" t="n"/>
      <c r="AB122" s="205" t="n"/>
      <c r="AC122" s="205" t="n"/>
      <c r="AD122" s="205" t="n"/>
      <c r="AE122" s="205" t="n"/>
      <c r="AF122" s="205" t="n"/>
      <c r="AG122" s="205" t="n"/>
      <c r="AH122" s="205" t="n"/>
      <c r="AI122" s="202" t="n"/>
    </row>
    <row r="123" ht="216.75" customHeight="1" s="169">
      <c r="A123" s="192" t="n">
        <v>87</v>
      </c>
      <c r="B123" s="193" t="inlineStr">
        <is>
          <t>Задвижка 30с941нж Ду 150 Ру 16 с электроприводом</t>
        </is>
      </c>
      <c r="C123" s="210" t="inlineStr">
        <is>
          <t>ТУ 28.14.11-001-27709620-2022ТУ 28.14.11-001-27709620-2022</t>
        </is>
      </c>
      <c r="D123" s="210" t="n">
        <v>150</v>
      </c>
      <c r="E123" s="210" t="inlineStr">
        <is>
          <t>полнопроходной</t>
        </is>
      </c>
      <c r="F123" s="210" t="n">
        <v>1.6</v>
      </c>
      <c r="G123" s="210" t="inlineStr">
        <is>
          <t>от -40 до + 425°С</t>
        </is>
      </c>
      <c r="H123" s="210" t="inlineStr">
        <is>
          <t xml:space="preserve">вода, пар,
масло, нефть, жидкие неагрессивные
нефтепродукты, неагрессивные жидкие
среды до </t>
        </is>
      </c>
      <c r="I123" s="210" t="inlineStr">
        <is>
          <t xml:space="preserve">Сталь 35Л ГОСТ
977-88 </t>
        </is>
      </c>
      <c r="J123" s="210" t="inlineStr">
        <is>
          <t>ТУ 3714-007-82556046-2007. "У"</t>
        </is>
      </c>
      <c r="K123" s="210" t="inlineStr">
        <is>
          <t>фланцевое</t>
        </is>
      </c>
      <c r="L123" s="210" t="inlineStr">
        <is>
          <t xml:space="preserve"> 
МНОГООБОРОТНЫЙ ЭЛЕКТРОПРИВОД
ГЗ-А.150
</t>
        </is>
      </c>
      <c r="M123" s="210" t="inlineStr">
        <is>
          <t xml:space="preserve">Условное обозначение:ГЗ-А.150;       Тип присоедин. к арматуре по ОСТ 26-07-763-73 "А";                         Номинальный крутящий момент на выходном валу Нм (кгс*м) 150 (15); Частота вращения вала, об/мин. Стандарт 24,  По заказу 18,36,48; Электродвигатель  Мощность кВт 0,37, Номинальный ток  (А) 2,5 Пусковой ток ( А) 8,84;
</t>
        </is>
      </c>
      <c r="N123" s="210" t="n"/>
      <c r="O123" s="210" t="inlineStr">
        <is>
          <t>Крышка Сталь 35Л ГОСТ
977-88; Клин Сталь 35Л ГОСТ
977-88 ; Шпиндель Сталь 45ГОСТ 1050-88;Уплотнительная
прокладка
терморасширенный
графит (армир); Набивка
уплотнительная
терморасширенный
графит (армир);Крышка
сальника
Сталь 35Л ГОСТ
977-88; Упорная гайка Сталь 20Л ГОСТ
977-88; Пятикулачковая
муфта
Латунь Ц38МЦ2С2
ГОСТ17711-93</t>
        </is>
      </c>
      <c r="P123" s="210" t="inlineStr">
        <is>
          <t>L=280мм; H=520мм</t>
        </is>
      </c>
      <c r="Q123" s="210" t="inlineStr">
        <is>
          <t>нж - уплотнения из нержавеющей стали.</t>
        </is>
      </c>
      <c r="R123" s="198">
        <f>A123</f>
        <v/>
      </c>
      <c r="S123" s="205" t="n"/>
      <c r="T123" s="205" t="n"/>
      <c r="U123" s="205" t="n"/>
      <c r="V123" s="205" t="n"/>
      <c r="W123" s="205" t="n"/>
      <c r="X123" s="205" t="n"/>
      <c r="Y123" s="205" t="n"/>
      <c r="Z123" s="205" t="n"/>
      <c r="AA123" s="205" t="n"/>
      <c r="AB123" s="205" t="n"/>
      <c r="AC123" s="205" t="n"/>
      <c r="AD123" s="205" t="n"/>
      <c r="AE123" s="205" t="n"/>
      <c r="AF123" s="205" t="n"/>
      <c r="AG123" s="205" t="n"/>
      <c r="AH123" s="205" t="n"/>
      <c r="AI123" s="202" t="n"/>
    </row>
    <row r="124" ht="153" customHeight="1" s="169">
      <c r="A124" s="192" t="n">
        <v>88</v>
      </c>
      <c r="B124" s="193" t="inlineStr">
        <is>
          <t>Задвижка 30с964нж Ду 150 Ру 25 с электроприводом</t>
        </is>
      </c>
      <c r="C124" s="210" t="inlineStr">
        <is>
          <t>ТУ 3741-003-43179794-2009.</t>
        </is>
      </c>
      <c r="D124" s="210" t="n">
        <v>150</v>
      </c>
      <c r="E124" s="210" t="inlineStr">
        <is>
          <t>полнопроходной</t>
        </is>
      </c>
      <c r="F124" s="210" t="n">
        <v>2.5</v>
      </c>
      <c r="G124" s="210" t="inlineStr">
        <is>
          <t>от -40 до + 425</t>
        </is>
      </c>
      <c r="H124" s="210" t="inlineStr">
        <is>
          <t>Вода , пар, воздух, нгефть, масло,</t>
        </is>
      </c>
      <c r="I124" s="210" t="inlineStr">
        <is>
          <t>сталь 25Л</t>
        </is>
      </c>
      <c r="J124" s="210" t="inlineStr">
        <is>
          <t>по ГОСТ 15150-69. У1</t>
        </is>
      </c>
      <c r="K124" s="210" t="inlineStr">
        <is>
          <t>фланец-фланец</t>
        </is>
      </c>
      <c r="L124" s="210" t="inlineStr">
        <is>
          <t>электропривод DN.ru МТ-100-220, 220В</t>
        </is>
      </c>
      <c r="M124" s="210" t="inlineStr">
        <is>
          <t>тип присоединения электродвигателя-Б;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4" s="210" t="inlineStr">
        <is>
          <t xml:space="preserve">Электроприводом  вверх, но
допускается отклонение до 90° в любую сторону для задвижек до
DN 150 включительно, </t>
        </is>
      </c>
      <c r="O124" s="210" t="inlineStr">
        <is>
          <t>Шпиндель-20Х13; клин (диски)-сталь25; набивка сальника ТРГ; наплавка на клине-13Х25Т, 10Х17Т;</t>
        </is>
      </c>
      <c r="P124" s="210" t="inlineStr">
        <is>
          <t>L=403мм; H=576мм</t>
        </is>
      </c>
      <c r="Q124" s="197" t="n"/>
      <c r="R124" s="198">
        <f>A124</f>
        <v/>
      </c>
      <c r="S124" s="205" t="n"/>
      <c r="T124" s="205" t="n"/>
      <c r="U124" s="205" t="n"/>
      <c r="V124" s="205" t="n"/>
      <c r="W124" s="205" t="n"/>
      <c r="X124" s="205" t="n"/>
      <c r="Y124" s="205" t="n"/>
      <c r="Z124" s="205" t="n"/>
      <c r="AA124" s="205" t="n"/>
      <c r="AB124" s="205" t="n"/>
      <c r="AC124" s="205" t="n"/>
      <c r="AD124" s="205" t="n"/>
      <c r="AE124" s="205" t="n"/>
      <c r="AF124" s="205" t="n"/>
      <c r="AG124" s="205" t="n"/>
      <c r="AH124" s="205" t="n"/>
      <c r="AI124" s="202" t="n"/>
    </row>
    <row r="125" ht="153" customHeight="1" s="169">
      <c r="A125" s="192" t="n">
        <v>89</v>
      </c>
      <c r="B125" s="193" t="inlineStr">
        <is>
          <t>Задвижка 30с964нж Ду 400 Ру 25</t>
        </is>
      </c>
      <c r="C125" s="210" t="inlineStr">
        <is>
          <t>ТУ 28.14.11-001-27709620-2022ТУ 28.14.11-001-27709620-2022</t>
        </is>
      </c>
      <c r="D125" s="210" t="n">
        <v>400</v>
      </c>
      <c r="E125" s="210" t="inlineStr">
        <is>
          <t>стандарт</t>
        </is>
      </c>
      <c r="F125" s="210" t="n">
        <v>2.5</v>
      </c>
      <c r="G125" s="246" t="inlineStr">
        <is>
          <t>от -40 до + 425</t>
        </is>
      </c>
      <c r="H125" s="210" t="inlineStr">
        <is>
          <t>вода, пар</t>
        </is>
      </c>
      <c r="I125" s="210" t="inlineStr">
        <is>
          <t>сталь 25Л</t>
        </is>
      </c>
      <c r="J125" s="210" t="inlineStr">
        <is>
          <t>У1</t>
        </is>
      </c>
      <c r="K125" s="210" t="inlineStr">
        <is>
          <t>фланец-фланец</t>
        </is>
      </c>
      <c r="L125" s="210" t="inlineStr">
        <is>
          <t>под электропривод</t>
        </is>
      </c>
      <c r="M125" s="210" t="inlineStr">
        <is>
          <t>AUMA SA 16.1-G3 или аналог</t>
        </is>
      </c>
      <c r="N125" s="210" t="inlineStr">
        <is>
          <t>любое</t>
        </is>
      </c>
      <c r="O125" s="210"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25" s="210" t="inlineStr">
        <is>
          <t>600*1425</t>
        </is>
      </c>
      <c r="Q125" s="210" t="inlineStr">
        <is>
          <t>В комплекте с крепежом и ответными фланцами (с КОФ).Под электропривод AUMA или аналог.</t>
        </is>
      </c>
      <c r="R125" s="198">
        <f>A125</f>
        <v/>
      </c>
      <c r="S125" s="205" t="n"/>
      <c r="T125" s="205" t="n"/>
      <c r="U125" s="205" t="n"/>
      <c r="V125" s="205" t="n"/>
      <c r="W125" s="205" t="n"/>
      <c r="X125" s="205" t="n"/>
      <c r="Y125" s="205" t="n"/>
      <c r="Z125" s="205" t="n"/>
      <c r="AA125" s="205" t="n"/>
      <c r="AB125" s="205" t="n"/>
      <c r="AC125" s="205" t="n"/>
      <c r="AD125" s="205" t="n"/>
      <c r="AE125" s="205" t="n"/>
      <c r="AF125" s="205" t="n"/>
      <c r="AG125" s="205" t="n"/>
      <c r="AH125" s="205" t="n"/>
      <c r="AI125" s="202" t="n"/>
    </row>
    <row r="126" ht="153" customHeight="1" s="169">
      <c r="A126" s="192" t="n">
        <v>90</v>
      </c>
      <c r="B126" s="193" t="inlineStr">
        <is>
          <t>Задвижка стальная 30с964нж Ду 100 Ру 25 с электроприводом  МТ-100-220, 220В</t>
        </is>
      </c>
      <c r="C126" s="210" t="inlineStr">
        <is>
          <t>ГОСТ3706-93</t>
        </is>
      </c>
      <c r="D126" s="210" t="n">
        <v>100</v>
      </c>
      <c r="E126" s="210" t="inlineStr">
        <is>
          <t>полнопроходной</t>
        </is>
      </c>
      <c r="F126" s="210" t="n">
        <v>25</v>
      </c>
      <c r="G126" s="210" t="inlineStr">
        <is>
          <t xml:space="preserve"> от -40 до + 425</t>
        </is>
      </c>
      <c r="H126" s="210" t="inlineStr">
        <is>
          <t>Вода , пар, воздух, нгефть, масло,</t>
        </is>
      </c>
      <c r="I126" s="210" t="inlineStr">
        <is>
          <t>сталь 25Л</t>
        </is>
      </c>
      <c r="J126" s="210" t="inlineStr">
        <is>
          <t>по ГОСТ 15150-69.</t>
        </is>
      </c>
      <c r="K126" s="210" t="inlineStr">
        <is>
          <t>фланец-фланец</t>
        </is>
      </c>
      <c r="L126" s="210" t="inlineStr">
        <is>
          <t>МТ-100-220, 220В</t>
        </is>
      </c>
      <c r="M126" s="210" t="inlineStr">
        <is>
          <t>тип присоединения электродвигателя-А;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6" s="210" t="inlineStr">
        <is>
          <t>любое</t>
        </is>
      </c>
      <c r="O126" s="210" t="inlineStr">
        <is>
          <t>Шпиндель-20Х13; клин (диски)-сталь25; набивка сальника ТРГ; наплавка на клине-13Х25Т, 10Х17Т;</t>
        </is>
      </c>
      <c r="P126" s="210" t="n"/>
      <c r="Q126" s="210" t="inlineStr">
        <is>
          <t>Класс герметичности по ГОСТ 9544-2015 - "A"</t>
        </is>
      </c>
      <c r="R126" s="198">
        <f>A126</f>
        <v/>
      </c>
      <c r="S126" s="205" t="n"/>
      <c r="T126" s="205" t="n"/>
      <c r="U126" s="205" t="n"/>
      <c r="V126" s="205" t="n"/>
      <c r="W126" s="205" t="n"/>
      <c r="X126" s="205" t="n"/>
      <c r="Y126" s="205" t="n"/>
      <c r="Z126" s="205" t="n"/>
      <c r="AA126" s="205" t="n"/>
      <c r="AB126" s="205" t="n"/>
      <c r="AC126" s="205" t="n"/>
      <c r="AD126" s="205" t="n"/>
      <c r="AE126" s="205" t="n"/>
      <c r="AF126" s="205" t="n"/>
      <c r="AG126" s="205" t="n"/>
      <c r="AH126" s="205" t="n"/>
      <c r="AI126" s="202" t="n"/>
    </row>
    <row r="127" ht="51" customHeight="1" s="169">
      <c r="A127" s="192" t="n">
        <v>91</v>
      </c>
      <c r="B127" s="193" t="inlineStr">
        <is>
          <t>Задвижка 30с99нж Ду 50 Ру 25</t>
        </is>
      </c>
      <c r="C127" s="210" t="inlineStr">
        <is>
          <t>ТУ 26-07-412-87</t>
        </is>
      </c>
      <c r="D127" s="210" t="n">
        <v>50</v>
      </c>
      <c r="E127" s="210" t="inlineStr">
        <is>
          <t>полнопроходной</t>
        </is>
      </c>
      <c r="F127" s="210" t="n">
        <v>25</v>
      </c>
      <c r="G127" s="210" t="inlineStr">
        <is>
          <t xml:space="preserve"> от -40 до + до 425</t>
        </is>
      </c>
      <c r="H127" s="210" t="inlineStr">
        <is>
          <t>Вода , пар, воздух, нгефть, масло,</t>
        </is>
      </c>
      <c r="I127" s="210" t="inlineStr">
        <is>
          <t>углеродистая сталь (20Л, 25Л по ГОСТ 977-88)</t>
        </is>
      </c>
      <c r="J127" s="210" t="inlineStr">
        <is>
          <t>по ГОСТ 15150-69.</t>
        </is>
      </c>
      <c r="K127" s="210" t="inlineStr">
        <is>
          <t>фланцевое (фланцы по ГОСТ 33259-2015)</t>
        </is>
      </c>
      <c r="L127" s="210" t="inlineStr">
        <is>
          <t>ручное</t>
        </is>
      </c>
      <c r="M127" s="210" t="inlineStr">
        <is>
          <t>маховик</t>
        </is>
      </c>
      <c r="N127" s="210" t="inlineStr">
        <is>
          <t>любое</t>
        </is>
      </c>
      <c r="O127" s="210" t="inlineStr">
        <is>
          <t>Шпиндель-20Х13; клин (диски)-сталь25; набивка сальника ТРГ; наплавка на клинеи в корпусе 20Х13;</t>
        </is>
      </c>
      <c r="P127" s="210" t="inlineStr">
        <is>
          <t>L=250мм; H=410мм</t>
        </is>
      </c>
      <c r="Q127" s="197" t="n"/>
      <c r="R127" s="198">
        <f>A127</f>
        <v/>
      </c>
      <c r="S127" s="205" t="n"/>
      <c r="T127" s="205" t="n"/>
      <c r="U127" s="205" t="n"/>
      <c r="V127" s="205" t="n"/>
      <c r="W127" s="205" t="n"/>
      <c r="X127" s="205" t="n"/>
      <c r="Y127" s="205" t="n"/>
      <c r="Z127" s="205" t="n"/>
      <c r="AA127" s="205" t="n"/>
      <c r="AB127" s="205" t="n"/>
      <c r="AC127" s="205" t="n"/>
      <c r="AD127" s="205" t="n"/>
      <c r="AE127" s="205" t="n"/>
      <c r="AF127" s="205" t="n"/>
      <c r="AG127" s="205" t="n"/>
      <c r="AH127" s="205" t="n"/>
      <c r="AI127" s="202" t="n"/>
    </row>
    <row r="128" ht="51" customHeight="1" s="169">
      <c r="A128" s="192" t="n">
        <v>92</v>
      </c>
      <c r="B128" s="193" t="inlineStr">
        <is>
          <t>Задвижка 30с99нж Ду 80 Ру 25</t>
        </is>
      </c>
      <c r="C128" s="210" t="inlineStr">
        <is>
          <t>ТУ 26-07-412-87</t>
        </is>
      </c>
      <c r="D128" s="210" t="n">
        <v>80</v>
      </c>
      <c r="E128" s="210" t="inlineStr">
        <is>
          <t>полнопроходной</t>
        </is>
      </c>
      <c r="F128" s="210" t="n">
        <v>25</v>
      </c>
      <c r="G128" s="210" t="inlineStr">
        <is>
          <t xml:space="preserve"> от -40 до + до 425</t>
        </is>
      </c>
      <c r="H128" s="210" t="inlineStr">
        <is>
          <t>Вода , пар, воздух, нгефть, масло,</t>
        </is>
      </c>
      <c r="I128" s="210" t="inlineStr">
        <is>
          <t>углеродистая сталь (20Л, 25Л по ГОСТ 977-88)</t>
        </is>
      </c>
      <c r="J128" s="210" t="inlineStr">
        <is>
          <t>по ГОСТ 15150-69.</t>
        </is>
      </c>
      <c r="K128" s="210" t="inlineStr">
        <is>
          <t>фланцевое (фланцы по ГОСТ 33259-2015)</t>
        </is>
      </c>
      <c r="L128" s="210" t="inlineStr">
        <is>
          <t>ручное</t>
        </is>
      </c>
      <c r="M128" s="210" t="inlineStr">
        <is>
          <t>маховик</t>
        </is>
      </c>
      <c r="N128" s="210" t="inlineStr">
        <is>
          <t>любое</t>
        </is>
      </c>
      <c r="O128" s="210" t="inlineStr">
        <is>
          <t>Шпиндель-20Х13; клин (диски)-сталь25; набивка сальника ТРГ; наплавка на клинеи в корпусе 20Х13;</t>
        </is>
      </c>
      <c r="P128" s="210" t="inlineStr">
        <is>
          <t>L=280мм; H=515мм</t>
        </is>
      </c>
      <c r="Q128" s="210" t="n"/>
      <c r="R128" s="198">
        <f>A128</f>
        <v/>
      </c>
      <c r="S128" s="205" t="n"/>
      <c r="T128" s="205" t="n"/>
      <c r="U128" s="205" t="n"/>
      <c r="V128" s="205" t="n"/>
      <c r="W128" s="205" t="n"/>
      <c r="X128" s="205" t="n"/>
      <c r="Y128" s="205" t="n"/>
      <c r="Z128" s="205" t="n"/>
      <c r="AA128" s="205" t="n"/>
      <c r="AB128" s="205" t="n"/>
      <c r="AC128" s="205" t="n"/>
      <c r="AD128" s="205" t="n"/>
      <c r="AE128" s="205" t="n"/>
      <c r="AF128" s="205" t="n"/>
      <c r="AG128" s="205" t="n"/>
      <c r="AH128" s="205" t="n"/>
      <c r="AI128" s="202" t="n"/>
    </row>
    <row r="129" ht="51" customHeight="1" s="169">
      <c r="A129" s="192" t="n">
        <v>93</v>
      </c>
      <c r="B129" s="193" t="inlineStr">
        <is>
          <t>Задвижка 30ч6бр Ду 50 Ру 10</t>
        </is>
      </c>
      <c r="C129" s="210" t="inlineStr">
        <is>
          <t>ГОСТ 5762-2002</t>
        </is>
      </c>
      <c r="D129" s="210" t="n">
        <v>50</v>
      </c>
      <c r="E129" s="210" t="inlineStr">
        <is>
          <t>полнопроходной</t>
        </is>
      </c>
      <c r="F129" s="210" t="n">
        <v>1</v>
      </c>
      <c r="G129" s="210" t="inlineStr">
        <is>
          <t>до +225°С</t>
        </is>
      </c>
      <c r="H129" s="210" t="inlineStr">
        <is>
          <t>Вода,пар</t>
        </is>
      </c>
      <c r="I129" s="210" t="inlineStr">
        <is>
          <t xml:space="preserve">серый чугун СЧ </t>
        </is>
      </c>
      <c r="J129" s="210" t="inlineStr">
        <is>
          <t>У2, УХЛ4</t>
        </is>
      </c>
      <c r="K129" s="210" t="inlineStr">
        <is>
          <t>фланец-фланец</t>
        </is>
      </c>
      <c r="L129" s="210" t="inlineStr">
        <is>
          <t xml:space="preserve">Ручное </t>
        </is>
      </c>
      <c r="M129" s="210" t="inlineStr">
        <is>
          <t>маховик</t>
        </is>
      </c>
      <c r="N129" s="210" t="inlineStr">
        <is>
          <t>любое</t>
        </is>
      </c>
      <c r="O129" s="210" t="inlineStr">
        <is>
          <t>Материал крышки ,диски,маховик,клин-серый чугун,Шпиндель — Ст 45 ГОСТ 1412</t>
        </is>
      </c>
      <c r="P129" s="210" t="inlineStr">
        <is>
          <t>длина — 180мм</t>
        </is>
      </c>
      <c r="Q129" s="210" t="n"/>
      <c r="R129" s="198">
        <f>A129</f>
        <v/>
      </c>
      <c r="S129" s="205" t="n"/>
      <c r="T129" s="205" t="n"/>
      <c r="U129" s="205" t="n"/>
      <c r="V129" s="205" t="n"/>
      <c r="W129" s="205" t="n"/>
      <c r="X129" s="205" t="n"/>
      <c r="Y129" s="205" t="n"/>
      <c r="Z129" s="205" t="n"/>
      <c r="AA129" s="205" t="n"/>
      <c r="AB129" s="205" t="n"/>
      <c r="AC129" s="205" t="n"/>
      <c r="AD129" s="205" t="n"/>
      <c r="AE129" s="205" t="n"/>
      <c r="AF129" s="205" t="n"/>
      <c r="AG129" s="205" t="n"/>
      <c r="AH129" s="205" t="n"/>
      <c r="AI129" s="202" t="n"/>
    </row>
    <row r="130" ht="51" customHeight="1" s="169">
      <c r="A130" s="192" t="n">
        <v>94</v>
      </c>
      <c r="B130" s="193" t="inlineStr">
        <is>
          <t>Задвижка 30ч6бр Ду 80 Ру 10</t>
        </is>
      </c>
      <c r="C130" s="210" t="inlineStr">
        <is>
          <t xml:space="preserve">ГОСТ 5762-2002,  Гермитичность ГОСТ 9544-2015 </t>
        </is>
      </c>
      <c r="D130" s="210" t="n">
        <v>80</v>
      </c>
      <c r="E130" s="210" t="inlineStr">
        <is>
          <t>полнопроходной</t>
        </is>
      </c>
      <c r="F130" s="210" t="n">
        <v>1</v>
      </c>
      <c r="G130" s="210" t="inlineStr">
        <is>
          <t>до +225°С</t>
        </is>
      </c>
      <c r="H130" s="210" t="inlineStr">
        <is>
          <t>Вода,пар</t>
        </is>
      </c>
      <c r="I130" s="210" t="inlineStr">
        <is>
          <t xml:space="preserve">серый чугун СЧ </t>
        </is>
      </c>
      <c r="J130" s="210" t="inlineStr">
        <is>
          <t>У2, УХЛ4</t>
        </is>
      </c>
      <c r="K130" s="210" t="inlineStr">
        <is>
          <t>фланец-фланец</t>
        </is>
      </c>
      <c r="L130" s="210" t="inlineStr">
        <is>
          <t xml:space="preserve">Ручное </t>
        </is>
      </c>
      <c r="M130" s="210" t="inlineStr">
        <is>
          <t>маховик</t>
        </is>
      </c>
      <c r="N130" s="210" t="inlineStr">
        <is>
          <t>любое</t>
        </is>
      </c>
      <c r="O130" s="210" t="inlineStr">
        <is>
          <t>Материал крышки ,диски,маховик,клин-серый чугун,Шпиндель — Ст 45 ГОСТ 1412</t>
        </is>
      </c>
      <c r="P130" s="210" t="inlineStr">
        <is>
          <t>Длина 210</t>
        </is>
      </c>
      <c r="Q130" s="210" t="n"/>
      <c r="R130" s="198">
        <f>A130</f>
        <v/>
      </c>
      <c r="S130" s="205" t="n"/>
      <c r="T130" s="205" t="n"/>
      <c r="U130" s="205" t="n"/>
      <c r="V130" s="205" t="n"/>
      <c r="W130" s="205" t="n"/>
      <c r="X130" s="205" t="n"/>
      <c r="Y130" s="205" t="n"/>
      <c r="Z130" s="205" t="n"/>
      <c r="AA130" s="205" t="n"/>
      <c r="AB130" s="205" t="n"/>
      <c r="AC130" s="205" t="n"/>
      <c r="AD130" s="205" t="n"/>
      <c r="AE130" s="205" t="n"/>
      <c r="AF130" s="205" t="n"/>
      <c r="AG130" s="205" t="n"/>
      <c r="AH130" s="205" t="n"/>
      <c r="AI130" s="202" t="n"/>
    </row>
    <row r="131" ht="51" customHeight="1" s="169">
      <c r="A131" s="192" t="n">
        <v>95</v>
      </c>
      <c r="B131" s="193" t="inlineStr">
        <is>
          <t>Задвижка 30ч6бр Ду 100 Ру 10</t>
        </is>
      </c>
      <c r="C131" s="210" t="inlineStr">
        <is>
          <t xml:space="preserve">ГОСТ 5762-2002,  Гермитичность ГОСТ 9544-2015 </t>
        </is>
      </c>
      <c r="D131" s="210" t="n">
        <v>100</v>
      </c>
      <c r="E131" s="210" t="inlineStr">
        <is>
          <t>полнопроходной</t>
        </is>
      </c>
      <c r="F131" s="210" t="n">
        <v>1</v>
      </c>
      <c r="G131" s="210" t="inlineStr">
        <is>
          <t>до +225°С</t>
        </is>
      </c>
      <c r="H131" s="210" t="inlineStr">
        <is>
          <t>Вода,пар</t>
        </is>
      </c>
      <c r="I131" s="210" t="inlineStr">
        <is>
          <t xml:space="preserve">серый чугун СЧ </t>
        </is>
      </c>
      <c r="J131" s="210" t="inlineStr">
        <is>
          <t>У2, УХЛ4</t>
        </is>
      </c>
      <c r="K131" s="210" t="inlineStr">
        <is>
          <t>фланец-фланец</t>
        </is>
      </c>
      <c r="L131" s="210" t="inlineStr">
        <is>
          <t xml:space="preserve">Ручное </t>
        </is>
      </c>
      <c r="M131" s="210" t="inlineStr">
        <is>
          <t>маховик</t>
        </is>
      </c>
      <c r="N131" s="210" t="inlineStr">
        <is>
          <t>любое</t>
        </is>
      </c>
      <c r="O131" s="210" t="inlineStr">
        <is>
          <t>Материал крышки ,диски,маховик,клин-серый чугун,Шпиндель — Ст 45 ГОСТ 1412</t>
        </is>
      </c>
      <c r="P131" s="210" t="inlineStr">
        <is>
          <t>Длина — 230мм</t>
        </is>
      </c>
      <c r="Q131" s="210" t="n"/>
      <c r="R131" s="198">
        <f>A131</f>
        <v/>
      </c>
      <c r="S131" s="205" t="n"/>
      <c r="T131" s="205" t="n"/>
      <c r="U131" s="205" t="n"/>
      <c r="V131" s="205" t="n"/>
      <c r="W131" s="205" t="n"/>
      <c r="X131" s="205" t="n"/>
      <c r="Y131" s="205" t="n"/>
      <c r="Z131" s="205" t="n"/>
      <c r="AA131" s="205" t="n"/>
      <c r="AB131" s="205" t="n"/>
      <c r="AC131" s="205" t="n"/>
      <c r="AD131" s="205" t="n"/>
      <c r="AE131" s="205" t="n"/>
      <c r="AF131" s="205" t="n"/>
      <c r="AG131" s="205" t="n"/>
      <c r="AH131" s="205" t="n"/>
      <c r="AI131" s="202" t="n"/>
    </row>
    <row r="132" ht="76.5" customHeight="1" s="169">
      <c r="A132" s="192" t="n">
        <v>96</v>
      </c>
      <c r="B132" s="193" t="inlineStr">
        <is>
          <t>Задвижка 30ч6бр Ду 150 Ру 10</t>
        </is>
      </c>
      <c r="C132" s="210" t="inlineStr">
        <is>
          <t xml:space="preserve">ГОСТ 5762-2002,  Гермитичность ГОСТ 9544-2015 </t>
        </is>
      </c>
      <c r="D132" s="210" t="n">
        <v>150</v>
      </c>
      <c r="E132" s="210" t="inlineStr">
        <is>
          <t>стандарт</t>
        </is>
      </c>
      <c r="F132" s="210" t="n">
        <v>1</v>
      </c>
      <c r="G132" s="210" t="inlineStr">
        <is>
          <t>до +225°С</t>
        </is>
      </c>
      <c r="H132" s="210" t="inlineStr">
        <is>
          <t>Вода,пар</t>
        </is>
      </c>
      <c r="I132" s="210" t="inlineStr">
        <is>
          <t xml:space="preserve">серый чугун СЧ </t>
        </is>
      </c>
      <c r="J132" s="210" t="inlineStr">
        <is>
          <t>У2, УХЛ4</t>
        </is>
      </c>
      <c r="K132" s="210" t="inlineStr">
        <is>
          <t>фланец-фланец</t>
        </is>
      </c>
      <c r="L132" s="210" t="inlineStr">
        <is>
          <t xml:space="preserve">Ручное </t>
        </is>
      </c>
      <c r="M132" s="210" t="inlineStr">
        <is>
          <t>маховик</t>
        </is>
      </c>
      <c r="N132" s="210" t="inlineStr">
        <is>
          <t>любое</t>
        </is>
      </c>
      <c r="O132" s="210" t="inlineStr">
        <is>
          <t xml:space="preserve"> Основные материалы 30ч6бр:      деталей корпуса серый чугун СЧ 20 ГОСТ 1412;     поверхности уплотнительных элементов - латунь ЛС-59 ГОСТ 15527;     уплотнение по шпинделю – сальниковое (кольца ТРГ).     уплотнение между корпусом и крышкой – паронит.</t>
        </is>
      </c>
      <c r="P132" s="210" t="inlineStr">
        <is>
          <t>строительная длина  280 мм,</t>
        </is>
      </c>
      <c r="Q132" s="197" t="n"/>
      <c r="R132" s="198">
        <f>A132</f>
        <v/>
      </c>
      <c r="S132" s="205" t="n"/>
      <c r="T132" s="205" t="n"/>
      <c r="U132" s="205" t="n"/>
      <c r="V132" s="205" t="n"/>
      <c r="W132" s="205" t="n"/>
      <c r="X132" s="205" t="n"/>
      <c r="Y132" s="205" t="n"/>
      <c r="Z132" s="205" t="n"/>
      <c r="AA132" s="205" t="n"/>
      <c r="AB132" s="205" t="n"/>
      <c r="AC132" s="205" t="n"/>
      <c r="AD132" s="205" t="n"/>
      <c r="AE132" s="205" t="n"/>
      <c r="AF132" s="205" t="n"/>
      <c r="AG132" s="205" t="n"/>
      <c r="AH132" s="205" t="n"/>
      <c r="AI132" s="202" t="n"/>
    </row>
    <row r="133" ht="51" customHeight="1" s="169">
      <c r="A133" s="192" t="n">
        <v>97</v>
      </c>
      <c r="B133" s="193" t="inlineStr">
        <is>
          <t>Задвижка 30ч6бр Ду 200 Ру 10</t>
        </is>
      </c>
      <c r="C133" s="210" t="inlineStr">
        <is>
          <t xml:space="preserve">ГОСТ 5762-2002,  Гермитичность ГОСТ 9544-2015 </t>
        </is>
      </c>
      <c r="D133" s="210" t="n">
        <v>200</v>
      </c>
      <c r="E133" s="210" t="inlineStr">
        <is>
          <t>полнопроходной</t>
        </is>
      </c>
      <c r="F133" s="210" t="n">
        <v>1</v>
      </c>
      <c r="G133" s="210" t="inlineStr">
        <is>
          <t>до +225°С</t>
        </is>
      </c>
      <c r="H133" s="210" t="inlineStr">
        <is>
          <t>Вода,пар</t>
        </is>
      </c>
      <c r="I133" s="210" t="inlineStr">
        <is>
          <t xml:space="preserve">серый чугун СЧ </t>
        </is>
      </c>
      <c r="J133" s="210" t="inlineStr">
        <is>
          <t>У2, УХЛ4</t>
        </is>
      </c>
      <c r="K133" s="210" t="inlineStr">
        <is>
          <t>фланец-фланец</t>
        </is>
      </c>
      <c r="L133" s="210" t="inlineStr">
        <is>
          <t xml:space="preserve">Ручное </t>
        </is>
      </c>
      <c r="M133" s="210" t="inlineStr">
        <is>
          <t>маховик</t>
        </is>
      </c>
      <c r="N133" s="210" t="inlineStr">
        <is>
          <t>любое</t>
        </is>
      </c>
      <c r="O133" s="210" t="inlineStr">
        <is>
          <t>Материал крышки ,диски,маховик,клин-серый чугун,Шпиндель - Серый чугун СЧ 20 ГОСТ 1412</t>
        </is>
      </c>
      <c r="P133" s="210" t="inlineStr">
        <is>
          <t>строительная длина  330 мм,</t>
        </is>
      </c>
      <c r="Q133" s="197" t="n"/>
      <c r="R133" s="198">
        <f>A133</f>
        <v/>
      </c>
      <c r="S133" s="205" t="n"/>
      <c r="T133" s="205" t="n"/>
      <c r="U133" s="205" t="n"/>
      <c r="V133" s="205" t="n"/>
      <c r="W133" s="205" t="n"/>
      <c r="X133" s="205" t="n"/>
      <c r="Y133" s="205" t="n"/>
      <c r="Z133" s="205" t="n"/>
      <c r="AA133" s="205" t="n"/>
      <c r="AB133" s="205" t="n"/>
      <c r="AC133" s="205" t="n"/>
      <c r="AD133" s="205" t="n"/>
      <c r="AE133" s="205" t="n"/>
      <c r="AF133" s="205" t="n"/>
      <c r="AG133" s="205" t="n"/>
      <c r="AH133" s="205" t="n"/>
      <c r="AI133" s="202" t="n"/>
    </row>
    <row r="134" ht="51" customHeight="1" s="169">
      <c r="A134" s="192" t="n">
        <v>98</v>
      </c>
      <c r="B134" s="193" t="inlineStr">
        <is>
          <t>Задвижка 30ч6бр Ду 250 Ру 10</t>
        </is>
      </c>
      <c r="C134" s="210" t="inlineStr">
        <is>
          <t>ГОСТ 5762-2002</t>
        </is>
      </c>
      <c r="D134" s="210" t="n">
        <v>250</v>
      </c>
      <c r="E134" s="210" t="inlineStr">
        <is>
          <t>полнопроходной</t>
        </is>
      </c>
      <c r="F134" s="210" t="n">
        <v>1</v>
      </c>
      <c r="G134" s="210" t="inlineStr">
        <is>
          <t>до +225 °С</t>
        </is>
      </c>
      <c r="H134" s="210" t="inlineStr">
        <is>
          <t>вода,пар</t>
        </is>
      </c>
      <c r="I134" s="210" t="inlineStr">
        <is>
          <t>чугун</t>
        </is>
      </c>
      <c r="J134" s="210" t="inlineStr">
        <is>
          <t>У2</t>
        </is>
      </c>
      <c r="K134" s="210" t="inlineStr">
        <is>
          <t>Присоединение фланцевое по ГОСТ 12817</t>
        </is>
      </c>
      <c r="L134" s="210" t="inlineStr">
        <is>
          <t>ручной</t>
        </is>
      </c>
      <c r="M134" s="210" t="inlineStr">
        <is>
          <t>маховик</t>
        </is>
      </c>
      <c r="N134" s="210" t="inlineStr">
        <is>
          <t>любое</t>
        </is>
      </c>
      <c r="O134" s="210" t="inlineStr">
        <is>
          <t>Материал:- корпусных деталей – серый чугун СЧ 20 ГОСТ 1412; - уплотнительных поверхностей – Латунь ЛС 59-1 ГОСТ 15527-2004. Уплотнение по шпинделю – сальниковое (кольца ТРГ).</t>
        </is>
      </c>
      <c r="P134" s="210" t="n"/>
      <c r="Q134" s="197" t="n"/>
      <c r="R134" s="198">
        <f>A134</f>
        <v/>
      </c>
      <c r="S134" s="205" t="n"/>
      <c r="T134" s="205" t="n"/>
      <c r="U134" s="205" t="n"/>
      <c r="V134" s="205" t="n"/>
      <c r="W134" s="205" t="n"/>
      <c r="X134" s="205" t="n"/>
      <c r="Y134" s="205" t="n"/>
      <c r="Z134" s="205" t="n"/>
      <c r="AA134" s="205" t="n"/>
      <c r="AB134" s="205" t="n"/>
      <c r="AC134" s="205" t="n"/>
      <c r="AD134" s="205" t="n"/>
      <c r="AE134" s="205" t="n"/>
      <c r="AF134" s="205" t="n"/>
      <c r="AG134" s="205" t="n"/>
      <c r="AH134" s="205" t="n"/>
      <c r="AI134" s="202" t="n"/>
    </row>
    <row r="135" ht="51" customHeight="1" s="169">
      <c r="A135" s="192" t="n">
        <v>99</v>
      </c>
      <c r="B135" s="193" t="inlineStr">
        <is>
          <t>Задвижка 30ч6бр Ду 300 Ру 10</t>
        </is>
      </c>
      <c r="C135" s="210" t="inlineStr">
        <is>
          <t>ТУ УЗ 22-03326877-021-96</t>
        </is>
      </c>
      <c r="D135" s="210" t="n">
        <v>300</v>
      </c>
      <c r="E135" s="210" t="inlineStr">
        <is>
          <t>стандарт</t>
        </is>
      </c>
      <c r="F135" s="210" t="n">
        <v>1</v>
      </c>
      <c r="G135" s="210" t="inlineStr">
        <is>
          <t>до +225</t>
        </is>
      </c>
      <c r="H135" s="210" t="inlineStr">
        <is>
          <t>вода, пар</t>
        </is>
      </c>
      <c r="I135" s="210" t="inlineStr">
        <is>
          <t>серый чугун СЧ 18 (СЧ 20)</t>
        </is>
      </c>
      <c r="J135" s="210" t="inlineStr">
        <is>
          <t>У</t>
        </is>
      </c>
      <c r="K135" s="210" t="inlineStr">
        <is>
          <t>фланцевый</t>
        </is>
      </c>
      <c r="L135" s="210" t="inlineStr">
        <is>
          <t>ручной (маховик)</t>
        </is>
      </c>
      <c r="M135" s="210" t="inlineStr">
        <is>
          <t>-</t>
        </is>
      </c>
      <c r="N135" s="210" t="inlineStr">
        <is>
          <t>любое, кроме маховиком вниз</t>
        </is>
      </c>
      <c r="O135" s="210" t="inlineStr">
        <is>
          <t>Шпиндель — сталь 45; Кольцо уплотнительное, втулка резьбовая — латунь ЛЦ38МцС2; Прокладка под крышку — паронит ПОН; Набивка уплотнительная — АП-31;</t>
        </is>
      </c>
      <c r="P135" s="210" t="inlineStr">
        <is>
          <t>-</t>
        </is>
      </c>
      <c r="Q135" s="197" t="n"/>
      <c r="R135" s="198">
        <f>A135</f>
        <v/>
      </c>
      <c r="S135" s="205" t="n"/>
      <c r="T135" s="205" t="n"/>
      <c r="U135" s="205" t="n"/>
      <c r="V135" s="205" t="n"/>
      <c r="W135" s="205" t="n"/>
      <c r="X135" s="205" t="n"/>
      <c r="Y135" s="205" t="n"/>
      <c r="Z135" s="205" t="n"/>
      <c r="AA135" s="205" t="n"/>
      <c r="AB135" s="205" t="n"/>
      <c r="AC135" s="205" t="n"/>
      <c r="AD135" s="205" t="n"/>
      <c r="AE135" s="205" t="n"/>
      <c r="AF135" s="205" t="n"/>
      <c r="AG135" s="205" t="n"/>
      <c r="AH135" s="205" t="n"/>
      <c r="AI135" s="202" t="n"/>
    </row>
    <row r="136" ht="51" customHeight="1" s="169">
      <c r="A136" s="192" t="n">
        <v>100</v>
      </c>
      <c r="B136" s="193" t="inlineStr">
        <is>
          <t>Кран 11б27п(м) Ду 15 Ру 16 3-х ходовой для манометров</t>
        </is>
      </c>
      <c r="C136" s="210" t="inlineStr">
        <is>
          <t>ГОСТ 12.2.063-2015</t>
        </is>
      </c>
      <c r="D136" s="210" t="n">
        <v>15</v>
      </c>
      <c r="E136" s="210" t="inlineStr">
        <is>
          <t>стандарт</t>
        </is>
      </c>
      <c r="F136" s="210" t="inlineStr">
        <is>
          <t>1.6</t>
        </is>
      </c>
      <c r="G136" s="210" t="inlineStr">
        <is>
          <t>от -50 до +150 C</t>
        </is>
      </c>
      <c r="H136" s="210" t="inlineStr">
        <is>
          <t>вода, пар, воздух</t>
        </is>
      </c>
      <c r="I136" s="210" t="inlineStr">
        <is>
          <t>латунь ЛЦ40Сд</t>
        </is>
      </c>
      <c r="J136" s="210" t="inlineStr">
        <is>
          <t>У1</t>
        </is>
      </c>
      <c r="K136" s="210" t="inlineStr">
        <is>
          <t>внутренняя резьба</t>
        </is>
      </c>
      <c r="L136" s="210" t="inlineStr">
        <is>
          <t>флажок/рычаг</t>
        </is>
      </c>
      <c r="M136" s="210" t="inlineStr">
        <is>
          <t>ручное</t>
        </is>
      </c>
      <c r="N136" s="210" t="inlineStr">
        <is>
          <t>любое</t>
        </is>
      </c>
      <c r="O136" s="210" t="inlineStr">
        <is>
          <t xml:space="preserve">Материал штока — Латунь ЛЦ40СД
Материал пробки — латунь ЛЦ40СД
Уплотнение пробки — фторопласт
</t>
        </is>
      </c>
      <c r="P136" s="210" t="inlineStr">
        <is>
          <t>Длина 50 мм</t>
        </is>
      </c>
      <c r="Q136" s="197" t="n"/>
      <c r="R136" s="198">
        <f>A136</f>
        <v/>
      </c>
      <c r="S136" s="205" t="n"/>
      <c r="T136" s="205" t="n"/>
      <c r="U136" s="205" t="n"/>
      <c r="V136" s="205" t="n"/>
      <c r="W136" s="205" t="n"/>
      <c r="X136" s="205" t="n"/>
      <c r="Y136" s="205" t="n"/>
      <c r="Z136" s="205" t="n"/>
      <c r="AA136" s="205" t="n"/>
      <c r="AB136" s="205" t="n"/>
      <c r="AC136" s="205" t="n"/>
      <c r="AD136" s="205" t="n"/>
      <c r="AE136" s="205" t="n"/>
      <c r="AF136" s="205" t="n"/>
      <c r="AG136" s="205" t="n"/>
      <c r="AH136" s="205" t="n"/>
      <c r="AI136" s="202" t="n"/>
    </row>
    <row r="137" ht="63.75" customHeight="1" s="169">
      <c r="A137" s="192" t="n">
        <v>101</v>
      </c>
      <c r="B137" s="193" t="inlineStr">
        <is>
          <t>Кран шаровой 11б27п1 Ду 15 Ру 16</t>
        </is>
      </c>
      <c r="C137" s="210" t="inlineStr">
        <is>
          <t xml:space="preserve">ГОСТ 9544-2015 ГОСТ 28343 ГОСТ 21345 </t>
        </is>
      </c>
      <c r="D137" s="210" t="n">
        <v>15</v>
      </c>
      <c r="E137" s="210" t="inlineStr">
        <is>
          <t>полный</t>
        </is>
      </c>
      <c r="F137" s="210" t="n">
        <v>1.6</v>
      </c>
      <c r="G137" s="210" t="inlineStr">
        <is>
          <t>От -10 до +90 °С</t>
        </is>
      </c>
      <c r="H137" s="210" t="inlineStr">
        <is>
          <t>вода</t>
        </is>
      </c>
      <c r="I137" s="210" t="inlineStr">
        <is>
          <t>латунь HPb58-2A</t>
        </is>
      </c>
      <c r="J137" s="210" t="inlineStr">
        <is>
          <t>У1</t>
        </is>
      </c>
      <c r="K137" s="210" t="inlineStr">
        <is>
          <t>Муфта-муфта ВР-ВР</t>
        </is>
      </c>
      <c r="L137" s="210" t="inlineStr">
        <is>
          <t xml:space="preserve">Ручное </t>
        </is>
      </c>
      <c r="M137" s="210" t="inlineStr">
        <is>
          <t>рукоятка</t>
        </is>
      </c>
      <c r="N137" s="210" t="inlineStr">
        <is>
          <t>любое</t>
        </is>
      </c>
      <c r="O137"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7" s="210" t="n"/>
      <c r="Q137" s="210" t="inlineStr">
        <is>
          <t xml:space="preserve"> (класс гермитичности "А" по ГОСТ 9544-2015).  </t>
        </is>
      </c>
      <c r="R137" s="198">
        <f>A137</f>
        <v/>
      </c>
      <c r="S137" s="205" t="n"/>
      <c r="T137" s="205" t="n"/>
      <c r="U137" s="205" t="n"/>
      <c r="V137" s="205" t="n"/>
      <c r="W137" s="205" t="n"/>
      <c r="X137" s="205" t="n"/>
      <c r="Y137" s="205" t="n"/>
      <c r="Z137" s="205" t="n"/>
      <c r="AA137" s="205" t="n"/>
      <c r="AB137" s="205" t="n"/>
      <c r="AC137" s="205" t="n"/>
      <c r="AD137" s="205" t="n"/>
      <c r="AE137" s="205" t="n"/>
      <c r="AF137" s="205" t="n"/>
      <c r="AG137" s="205" t="n"/>
      <c r="AH137" s="205" t="n"/>
      <c r="AI137" s="202" t="n"/>
    </row>
    <row r="138" ht="63.75" customHeight="1" s="169">
      <c r="A138" s="192" t="n">
        <v>102</v>
      </c>
      <c r="B138" s="193" t="inlineStr">
        <is>
          <t>Кран шаровой 11б27п1 Ду 20 Ру 16</t>
        </is>
      </c>
      <c r="C138" s="210" t="inlineStr">
        <is>
          <t xml:space="preserve">ГОСТ 9544-2015 ГОСТ 28343 ГОСТ 21345 </t>
        </is>
      </c>
      <c r="D138" s="210" t="n">
        <v>20</v>
      </c>
      <c r="E138" s="210" t="inlineStr">
        <is>
          <t>полный</t>
        </is>
      </c>
      <c r="F138" s="210" t="n">
        <v>1.6</v>
      </c>
      <c r="G138" s="210" t="inlineStr">
        <is>
          <t>От -10 до +90 °С</t>
        </is>
      </c>
      <c r="H138" s="210" t="inlineStr">
        <is>
          <t>вода</t>
        </is>
      </c>
      <c r="I138" s="210" t="inlineStr">
        <is>
          <t>латунь HPb58-2A</t>
        </is>
      </c>
      <c r="J138" s="210" t="inlineStr">
        <is>
          <t>У1</t>
        </is>
      </c>
      <c r="K138" s="210" t="inlineStr">
        <is>
          <t>Муфта-муфта ВР-ВР</t>
        </is>
      </c>
      <c r="L138" s="210" t="inlineStr">
        <is>
          <t xml:space="preserve">Ручное </t>
        </is>
      </c>
      <c r="M138" s="210" t="inlineStr">
        <is>
          <t>рукоятка</t>
        </is>
      </c>
      <c r="N138" s="210" t="inlineStr">
        <is>
          <t>любое</t>
        </is>
      </c>
      <c r="O13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8" s="210" t="n"/>
      <c r="Q138" s="210" t="inlineStr">
        <is>
          <t xml:space="preserve"> (класс гермитичности "А" по ГОСТ 9544-2015).</t>
        </is>
      </c>
      <c r="R138" s="198">
        <f>A138</f>
        <v/>
      </c>
      <c r="S138" s="205" t="n"/>
      <c r="T138" s="205" t="n"/>
      <c r="U138" s="205" t="n"/>
      <c r="V138" s="205" t="n"/>
      <c r="W138" s="205" t="n"/>
      <c r="X138" s="205" t="n"/>
      <c r="Y138" s="205" t="n"/>
      <c r="Z138" s="205" t="n"/>
      <c r="AA138" s="205" t="n"/>
      <c r="AB138" s="205" t="n"/>
      <c r="AC138" s="205" t="n"/>
      <c r="AD138" s="205" t="n"/>
      <c r="AE138" s="205" t="n"/>
      <c r="AF138" s="205" t="n"/>
      <c r="AG138" s="205" t="n"/>
      <c r="AH138" s="205" t="n"/>
      <c r="AI138" s="202" t="n"/>
    </row>
    <row r="139" ht="63.75" customHeight="1" s="169">
      <c r="A139" s="192" t="n">
        <v>103</v>
      </c>
      <c r="B139" s="193" t="inlineStr">
        <is>
          <t>Кран шаровой 11б27п1 Ду 25 Ру 16</t>
        </is>
      </c>
      <c r="C139" s="210" t="inlineStr">
        <is>
          <t xml:space="preserve">ГОСТ 9544-2015 ГОСТ 28343 ГОСТ 21345 </t>
        </is>
      </c>
      <c r="D139" s="210" t="n">
        <v>25</v>
      </c>
      <c r="E139" s="210" t="inlineStr">
        <is>
          <t>полный</t>
        </is>
      </c>
      <c r="F139" s="210" t="n">
        <v>1.6</v>
      </c>
      <c r="G139" s="210" t="inlineStr">
        <is>
          <t>От -10 до +90 °С</t>
        </is>
      </c>
      <c r="H139" s="210" t="inlineStr">
        <is>
          <t>вода</t>
        </is>
      </c>
      <c r="I139" s="210" t="inlineStr">
        <is>
          <t>латунь HPb58-2A</t>
        </is>
      </c>
      <c r="J139" s="210" t="inlineStr">
        <is>
          <t>У1</t>
        </is>
      </c>
      <c r="K139" s="210" t="inlineStr">
        <is>
          <t>Муфта-муфта ВР-ВР</t>
        </is>
      </c>
      <c r="L139" s="210" t="inlineStr">
        <is>
          <t xml:space="preserve">Ручное </t>
        </is>
      </c>
      <c r="M139" s="210" t="inlineStr">
        <is>
          <t>рукоятка</t>
        </is>
      </c>
      <c r="N139" s="210" t="inlineStr">
        <is>
          <t>любое</t>
        </is>
      </c>
      <c r="O13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9" s="210" t="n"/>
      <c r="Q139" s="210" t="n"/>
      <c r="R139" s="198">
        <f>A139</f>
        <v/>
      </c>
      <c r="S139" s="205" t="n"/>
      <c r="T139" s="205" t="n"/>
      <c r="U139" s="205" t="n"/>
      <c r="V139" s="205" t="n"/>
      <c r="W139" s="205" t="n"/>
      <c r="X139" s="205" t="n"/>
      <c r="Y139" s="205" t="n"/>
      <c r="Z139" s="205" t="n"/>
      <c r="AA139" s="205" t="n"/>
      <c r="AB139" s="205" t="n"/>
      <c r="AC139" s="205" t="n"/>
      <c r="AD139" s="205" t="n"/>
      <c r="AE139" s="205" t="n"/>
      <c r="AF139" s="205" t="n"/>
      <c r="AG139" s="205" t="n"/>
      <c r="AH139" s="205" t="n"/>
      <c r="AI139" s="202" t="n"/>
    </row>
    <row r="140" ht="63.75" customHeight="1" s="169">
      <c r="A140" s="192" t="n">
        <v>104</v>
      </c>
      <c r="B140" s="193" t="inlineStr">
        <is>
          <t>Кран шаровой 11б27п1 Ду 32 Ру 16</t>
        </is>
      </c>
      <c r="C140" s="210" t="inlineStr">
        <is>
          <t xml:space="preserve">ГОСТ 9544-2015 ГОСТ 28343 ГОСТ 21345 </t>
        </is>
      </c>
      <c r="D140" s="210" t="n">
        <v>32</v>
      </c>
      <c r="E140" s="210" t="inlineStr">
        <is>
          <t>полный</t>
        </is>
      </c>
      <c r="F140" s="210" t="n">
        <v>1.6</v>
      </c>
      <c r="G140" s="210" t="inlineStr">
        <is>
          <t>От -10 до +90 °С</t>
        </is>
      </c>
      <c r="H140" s="210" t="inlineStr">
        <is>
          <t>вода</t>
        </is>
      </c>
      <c r="I140" s="210" t="inlineStr">
        <is>
          <t>латунь HPb58-2A</t>
        </is>
      </c>
      <c r="J140" s="210" t="inlineStr">
        <is>
          <t>У1</t>
        </is>
      </c>
      <c r="K140" s="210" t="inlineStr">
        <is>
          <t>Муфта-муфта ВР-ВР</t>
        </is>
      </c>
      <c r="L140" s="210" t="inlineStr">
        <is>
          <t xml:space="preserve">Ручное </t>
        </is>
      </c>
      <c r="M140" s="210" t="inlineStr">
        <is>
          <t>рукоятка</t>
        </is>
      </c>
      <c r="N140" s="210" t="inlineStr">
        <is>
          <t>любое</t>
        </is>
      </c>
      <c r="O14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0" s="210" t="n"/>
      <c r="Q140" s="210" t="inlineStr">
        <is>
          <t xml:space="preserve">(класс гермитичности "А" по ГОСТ 9544-2015). </t>
        </is>
      </c>
      <c r="R140" s="198">
        <f>A140</f>
        <v/>
      </c>
      <c r="S140" s="205" t="n"/>
      <c r="T140" s="205" t="n"/>
      <c r="U140" s="205" t="n"/>
      <c r="V140" s="205" t="n"/>
      <c r="W140" s="205" t="n"/>
      <c r="X140" s="205" t="n"/>
      <c r="Y140" s="205" t="n"/>
      <c r="Z140" s="205" t="n"/>
      <c r="AA140" s="205" t="n"/>
      <c r="AB140" s="205" t="n"/>
      <c r="AC140" s="205" t="n"/>
      <c r="AD140" s="205" t="n"/>
      <c r="AE140" s="205" t="n"/>
      <c r="AF140" s="205" t="n"/>
      <c r="AG140" s="205" t="n"/>
      <c r="AH140" s="205" t="n"/>
      <c r="AI140" s="202" t="n"/>
    </row>
    <row r="141" ht="63.75" customFormat="1" customHeight="1" s="171">
      <c r="A141" s="192" t="n">
        <v>105</v>
      </c>
      <c r="B141" s="193" t="inlineStr">
        <is>
          <t>Кран шаровой 11б27п1 Ду 50 Ру 16</t>
        </is>
      </c>
      <c r="C141" s="210" t="inlineStr">
        <is>
          <t xml:space="preserve">ГОСТ 9544-2015 ГОСТ 28343 ГОСТ 21345 </t>
        </is>
      </c>
      <c r="D141" s="210" t="n">
        <v>50</v>
      </c>
      <c r="E141" s="210" t="inlineStr">
        <is>
          <t>полный</t>
        </is>
      </c>
      <c r="F141" s="210" t="n">
        <v>1.6</v>
      </c>
      <c r="G141" s="210" t="inlineStr">
        <is>
          <t>От -10 до +90 °С</t>
        </is>
      </c>
      <c r="H141" s="210" t="inlineStr">
        <is>
          <t>вода</t>
        </is>
      </c>
      <c r="I141" s="210" t="inlineStr">
        <is>
          <t>латунь HPb58-2A</t>
        </is>
      </c>
      <c r="J141" s="210" t="inlineStr">
        <is>
          <t>У1</t>
        </is>
      </c>
      <c r="K141" s="210" t="inlineStr">
        <is>
          <t>Муфта-муфта ВР-ВР</t>
        </is>
      </c>
      <c r="L141" s="210" t="inlineStr">
        <is>
          <t xml:space="preserve">Ручное </t>
        </is>
      </c>
      <c r="M141" s="210" t="inlineStr">
        <is>
          <t>рукоятка</t>
        </is>
      </c>
      <c r="N141" s="210" t="inlineStr">
        <is>
          <t>любое</t>
        </is>
      </c>
      <c r="O141"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1" s="230" t="inlineStr">
        <is>
          <t>размер b (толщина) согласно ГОСТ 33259-2015: b = 22 мм</t>
        </is>
      </c>
      <c r="Q141" s="210" t="n"/>
      <c r="R141" s="198">
        <f>A141</f>
        <v/>
      </c>
      <c r="S141" s="205" t="n"/>
      <c r="T141" s="205" t="n"/>
      <c r="U141" s="205" t="n"/>
      <c r="V141" s="205" t="n"/>
      <c r="W141" s="205" t="n"/>
      <c r="X141" s="205" t="n"/>
      <c r="Y141" s="205" t="n"/>
      <c r="Z141" s="205" t="n"/>
      <c r="AA141" s="205" t="n"/>
      <c r="AB141" s="205" t="n"/>
      <c r="AC141" s="205" t="n"/>
      <c r="AD141" s="205" t="n"/>
      <c r="AE141" s="205" t="n"/>
      <c r="AF141" s="205" t="n"/>
      <c r="AG141" s="205" t="n"/>
      <c r="AH141" s="205" t="n"/>
      <c r="AI141" s="202" t="n"/>
    </row>
    <row r="142" ht="102" customFormat="1" customHeight="1" s="171">
      <c r="A142" s="192" t="n">
        <v>106</v>
      </c>
      <c r="B142" s="193" t="inlineStr">
        <is>
          <t>Кран шаровой фланцевый 11с22п Ду 50 Ру 16</t>
        </is>
      </c>
      <c r="C142" s="210" t="inlineStr">
        <is>
          <t>ГОСТ 21345-2005</t>
        </is>
      </c>
      <c r="D142" s="210" t="n">
        <v>50</v>
      </c>
      <c r="E142" s="210" t="inlineStr">
        <is>
          <t>стандартный</t>
        </is>
      </c>
      <c r="F142" s="210" t="n">
        <v>1.6</v>
      </c>
      <c r="G142" s="210" t="inlineStr">
        <is>
          <t>до +200</t>
        </is>
      </c>
      <c r="H142" s="210" t="inlineStr">
        <is>
          <t>вода, нефтепродукты</t>
        </is>
      </c>
      <c r="I142" s="210" t="inlineStr">
        <is>
          <t>сталь 20</t>
        </is>
      </c>
      <c r="J142" s="210" t="inlineStr">
        <is>
          <t>У1</t>
        </is>
      </c>
      <c r="K142" s="210" t="inlineStr">
        <is>
          <t>фланцевый</t>
        </is>
      </c>
      <c r="L142" s="210" t="inlineStr">
        <is>
          <t>ручной (рукоятка)</t>
        </is>
      </c>
      <c r="M142" s="210" t="inlineStr">
        <is>
          <t>-</t>
        </is>
      </c>
      <c r="N142" s="210" t="inlineStr">
        <is>
          <t>Любое</t>
        </is>
      </c>
      <c r="O142"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2" s="210" t="inlineStr">
        <is>
          <t>-</t>
        </is>
      </c>
      <c r="Q142" s="210" t="inlineStr">
        <is>
          <t>КРАН  УНИВЕРСАЛЬНОЙ СЕРИИ</t>
        </is>
      </c>
      <c r="R142" s="198">
        <f>A142</f>
        <v/>
      </c>
      <c r="S142" s="205" t="n"/>
      <c r="T142" s="205" t="n"/>
      <c r="U142" s="205" t="n"/>
      <c r="V142" s="205" t="n"/>
      <c r="W142" s="205" t="n"/>
      <c r="X142" s="205" t="n"/>
      <c r="Y142" s="205" t="n"/>
      <c r="Z142" s="205" t="n"/>
      <c r="AA142" s="205" t="n"/>
      <c r="AB142" s="205" t="n"/>
      <c r="AC142" s="205" t="n"/>
      <c r="AD142" s="205" t="n"/>
      <c r="AE142" s="205" t="n"/>
      <c r="AF142" s="205" t="n"/>
      <c r="AG142" s="205" t="n"/>
      <c r="AH142" s="205" t="n"/>
      <c r="AI142" s="202" t="n"/>
    </row>
    <row r="143" ht="102" customFormat="1" customHeight="1" s="171">
      <c r="A143" s="192" t="n">
        <v>107</v>
      </c>
      <c r="B143" s="193" t="inlineStr">
        <is>
          <t>Кран шаровой фланцевый 11с22п Ду 80 Ру 16</t>
        </is>
      </c>
      <c r="C143" s="210" t="inlineStr">
        <is>
          <t>ГОСТ 21345-2005</t>
        </is>
      </c>
      <c r="D143" s="210" t="n">
        <v>80</v>
      </c>
      <c r="E143" s="210" t="inlineStr">
        <is>
          <t>стандартный</t>
        </is>
      </c>
      <c r="F143" s="210" t="n">
        <v>1.6</v>
      </c>
      <c r="G143" s="210" t="inlineStr">
        <is>
          <t>до +200</t>
        </is>
      </c>
      <c r="H143" s="210" t="inlineStr">
        <is>
          <t>вода, нефтепродукты</t>
        </is>
      </c>
      <c r="I143" s="210" t="inlineStr">
        <is>
          <t>сталь 20</t>
        </is>
      </c>
      <c r="J143" s="210" t="inlineStr">
        <is>
          <t>У1</t>
        </is>
      </c>
      <c r="K143" s="210" t="inlineStr">
        <is>
          <t>фланцевый</t>
        </is>
      </c>
      <c r="L143" s="210" t="inlineStr">
        <is>
          <t>ручной (рукоятка)</t>
        </is>
      </c>
      <c r="M143" s="210" t="inlineStr">
        <is>
          <t>-</t>
        </is>
      </c>
      <c r="N143" s="210" t="inlineStr">
        <is>
          <t>Любое</t>
        </is>
      </c>
      <c r="O143"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3" s="210" t="inlineStr">
        <is>
          <t>-</t>
        </is>
      </c>
      <c r="Q143" s="210" t="inlineStr">
        <is>
          <t>КРАН  УНИВЕРСАЛЬНОЙ СЕРИИ</t>
        </is>
      </c>
      <c r="R143" s="198">
        <f>A143</f>
        <v/>
      </c>
      <c r="S143" s="205" t="n"/>
      <c r="T143" s="205" t="n"/>
      <c r="U143" s="205" t="n"/>
      <c r="V143" s="205" t="n"/>
      <c r="W143" s="205" t="n"/>
      <c r="X143" s="205" t="n"/>
      <c r="Y143" s="205" t="n"/>
      <c r="Z143" s="205" t="n"/>
      <c r="AA143" s="205" t="n"/>
      <c r="AB143" s="205" t="n"/>
      <c r="AC143" s="205" t="n"/>
      <c r="AD143" s="205" t="n"/>
      <c r="AE143" s="205" t="n"/>
      <c r="AF143" s="205" t="n"/>
      <c r="AG143" s="205" t="n"/>
      <c r="AH143" s="205" t="n"/>
      <c r="AI143" s="202" t="n"/>
    </row>
    <row r="144" ht="102" customHeight="1" s="169">
      <c r="A144" s="192" t="n">
        <v>108</v>
      </c>
      <c r="B144" s="193" t="inlineStr">
        <is>
          <t>Кран шаровой фланцевый 11с22п Ду 100 Ру 16</t>
        </is>
      </c>
      <c r="C144" s="210" t="inlineStr">
        <is>
          <t>ГОСТ 21345-2005</t>
        </is>
      </c>
      <c r="D144" s="210" t="n">
        <v>100</v>
      </c>
      <c r="E144" s="210" t="inlineStr">
        <is>
          <t>стандартный</t>
        </is>
      </c>
      <c r="F144" s="210" t="n">
        <v>1.6</v>
      </c>
      <c r="G144" s="210" t="inlineStr">
        <is>
          <t>до +200</t>
        </is>
      </c>
      <c r="H144" s="210" t="inlineStr">
        <is>
          <t>вода, нефтепродукты</t>
        </is>
      </c>
      <c r="I144" s="210" t="inlineStr">
        <is>
          <t>сталь 20</t>
        </is>
      </c>
      <c r="J144" s="210" t="inlineStr">
        <is>
          <t>У1</t>
        </is>
      </c>
      <c r="K144" s="210" t="inlineStr">
        <is>
          <t>фланцевый</t>
        </is>
      </c>
      <c r="L144" s="210" t="inlineStr">
        <is>
          <t>ручной (рукоятка)</t>
        </is>
      </c>
      <c r="M144" s="210" t="inlineStr">
        <is>
          <t>-</t>
        </is>
      </c>
      <c r="N144" s="210" t="inlineStr">
        <is>
          <t>Любое</t>
        </is>
      </c>
      <c r="O144"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4" s="210" t="inlineStr">
        <is>
          <t>-</t>
        </is>
      </c>
      <c r="Q144" s="210" t="inlineStr">
        <is>
          <t>КРАН  УНИВЕРСАЛЬНОЙ СЕРИИ</t>
        </is>
      </c>
      <c r="R144" s="198">
        <f>A144</f>
        <v/>
      </c>
      <c r="S144" s="205" t="n"/>
      <c r="T144" s="205" t="n"/>
      <c r="U144" s="205" t="n"/>
      <c r="V144" s="205" t="n"/>
      <c r="W144" s="205" t="n"/>
      <c r="X144" s="205" t="n"/>
      <c r="Y144" s="205" t="n"/>
      <c r="Z144" s="205" t="n"/>
      <c r="AA144" s="205" t="n"/>
      <c r="AB144" s="205" t="n"/>
      <c r="AC144" s="205" t="n"/>
      <c r="AD144" s="205" t="n"/>
      <c r="AE144" s="205" t="n"/>
      <c r="AF144" s="205" t="n"/>
      <c r="AG144" s="205" t="n"/>
      <c r="AH144" s="205" t="n"/>
      <c r="AI144" s="202" t="n"/>
    </row>
    <row r="145" ht="51" customHeight="1" s="169">
      <c r="A145" s="192" t="n">
        <v>109</v>
      </c>
      <c r="B145" s="193" t="inlineStr">
        <is>
          <t xml:space="preserve">Кран шаровой 11С67П Ду 100 Ру 16 </t>
        </is>
      </c>
      <c r="C145" s="210" t="inlineStr">
        <is>
          <t>ГОСТ 21345-2005</t>
        </is>
      </c>
      <c r="D145" s="210" t="n">
        <v>100</v>
      </c>
      <c r="E145" s="210" t="inlineStr">
        <is>
          <t>полнопроходной</t>
        </is>
      </c>
      <c r="F145" s="210" t="n">
        <v>1.6</v>
      </c>
      <c r="G145" s="210" t="inlineStr">
        <is>
          <t>до +200°С</t>
        </is>
      </c>
      <c r="H145" s="210" t="inlineStr">
        <is>
          <t>вода, пар</t>
        </is>
      </c>
      <c r="I145" s="210" t="inlineStr">
        <is>
          <t>Ст20</t>
        </is>
      </c>
      <c r="J145" s="210" t="inlineStr">
        <is>
          <t>У1</t>
        </is>
      </c>
      <c r="K145" s="210" t="inlineStr">
        <is>
          <t>фланец-фланец</t>
        </is>
      </c>
      <c r="L145" s="210" t="inlineStr">
        <is>
          <t xml:space="preserve">Ручное </t>
        </is>
      </c>
      <c r="M145" s="210" t="inlineStr">
        <is>
          <t>Ручка-рычаг</t>
        </is>
      </c>
      <c r="N145" s="210" t="inlineStr">
        <is>
          <t>любое</t>
        </is>
      </c>
      <c r="O145" s="210" t="inlineStr">
        <is>
          <t>Уплотнительные кольца - фторопласт.</t>
        </is>
      </c>
      <c r="P145" s="210" t="inlineStr">
        <is>
          <t>длина — 230мм</t>
        </is>
      </c>
      <c r="Q145" s="197" t="n"/>
      <c r="R145" s="198">
        <f>A145</f>
        <v/>
      </c>
      <c r="S145" s="205" t="n"/>
      <c r="T145" s="205" t="n"/>
      <c r="U145" s="205" t="n"/>
      <c r="V145" s="205" t="n"/>
      <c r="W145" s="205" t="n"/>
      <c r="X145" s="205" t="n"/>
      <c r="Y145" s="205" t="n"/>
      <c r="Z145" s="205" t="n"/>
      <c r="AA145" s="205" t="n"/>
      <c r="AB145" s="205" t="n"/>
      <c r="AC145" s="205" t="n"/>
      <c r="AD145" s="205" t="n"/>
      <c r="AE145" s="205" t="n"/>
      <c r="AF145" s="205" t="n"/>
      <c r="AG145" s="205" t="n"/>
      <c r="AH145" s="205" t="n"/>
      <c r="AI145" s="202" t="n"/>
    </row>
    <row r="146" ht="51" customFormat="1" customHeight="1" s="171">
      <c r="A146" s="192" t="n">
        <v>110</v>
      </c>
      <c r="B146" s="193" t="inlineStr">
        <is>
          <t>Кран шаровой 11С67П Ду 150 Ру 16</t>
        </is>
      </c>
      <c r="C146" s="210" t="inlineStr">
        <is>
          <t>ГОСТ 21345-2005</t>
        </is>
      </c>
      <c r="D146" s="210" t="n">
        <v>150</v>
      </c>
      <c r="E146" s="210" t="inlineStr">
        <is>
          <t>полнопроходной</t>
        </is>
      </c>
      <c r="F146" s="210" t="n">
        <v>1.6</v>
      </c>
      <c r="G146" s="210" t="inlineStr">
        <is>
          <t>до +200°С</t>
        </is>
      </c>
      <c r="H146" s="210" t="inlineStr">
        <is>
          <t>вода, пар</t>
        </is>
      </c>
      <c r="I146" s="210" t="inlineStr">
        <is>
          <t>Ст20</t>
        </is>
      </c>
      <c r="J146" s="210" t="inlineStr">
        <is>
          <t>У1</t>
        </is>
      </c>
      <c r="K146" s="210" t="inlineStr">
        <is>
          <t>фланец-фланец</t>
        </is>
      </c>
      <c r="L146" s="210" t="inlineStr">
        <is>
          <t xml:space="preserve">Ручное </t>
        </is>
      </c>
      <c r="M146" s="210" t="inlineStr">
        <is>
          <t>Ручка-рычаг</t>
        </is>
      </c>
      <c r="N146" s="210" t="inlineStr">
        <is>
          <t>любое</t>
        </is>
      </c>
      <c r="O146" s="210" t="inlineStr">
        <is>
          <t>Уплотнительные кольца - фторопласт.</t>
        </is>
      </c>
      <c r="P146" s="210" t="inlineStr">
        <is>
          <t>длина — 280мм</t>
        </is>
      </c>
      <c r="Q146" s="197" t="n"/>
      <c r="R146" s="198">
        <f>A146</f>
        <v/>
      </c>
      <c r="S146" s="205" t="n"/>
      <c r="T146" s="205" t="n"/>
      <c r="U146" s="205" t="n"/>
      <c r="V146" s="205" t="n"/>
      <c r="W146" s="205" t="n"/>
      <c r="X146" s="205" t="n"/>
      <c r="Y146" s="205" t="n"/>
      <c r="Z146" s="205" t="n"/>
      <c r="AA146" s="205" t="n"/>
      <c r="AB146" s="205" t="n"/>
      <c r="AC146" s="205" t="n"/>
      <c r="AD146" s="205" t="n"/>
      <c r="AE146" s="205" t="n"/>
      <c r="AF146" s="205" t="n"/>
      <c r="AG146" s="205" t="n"/>
      <c r="AH146" s="205" t="n"/>
      <c r="AI146" s="202" t="n"/>
    </row>
    <row r="147" ht="51" customFormat="1" customHeight="1" s="171">
      <c r="A147" s="192" t="n">
        <v>111</v>
      </c>
      <c r="B147" s="193" t="inlineStr">
        <is>
          <t>Кран шаровой 11С67П Ду 200 Ру 16</t>
        </is>
      </c>
      <c r="C147" s="210" t="inlineStr">
        <is>
          <t>ГОСТ 21345-2005</t>
        </is>
      </c>
      <c r="D147" s="210" t="n">
        <v>200</v>
      </c>
      <c r="E147" s="210" t="inlineStr">
        <is>
          <t>полнопроходной</t>
        </is>
      </c>
      <c r="F147" s="210" t="n">
        <v>1.6</v>
      </c>
      <c r="G147" s="210" t="inlineStr">
        <is>
          <t>до +200°С</t>
        </is>
      </c>
      <c r="H147" s="210" t="inlineStr">
        <is>
          <t>вода, пар</t>
        </is>
      </c>
      <c r="I147" s="210" t="inlineStr">
        <is>
          <t>Ст20</t>
        </is>
      </c>
      <c r="J147" s="210" t="inlineStr">
        <is>
          <t>У1</t>
        </is>
      </c>
      <c r="K147" s="210" t="inlineStr">
        <is>
          <t>фланец-фланец</t>
        </is>
      </c>
      <c r="L147" s="210" t="inlineStr">
        <is>
          <t xml:space="preserve">Ручное </t>
        </is>
      </c>
      <c r="M147" s="210" t="inlineStr">
        <is>
          <t>Ручка-рычаг</t>
        </is>
      </c>
      <c r="N147" s="210" t="inlineStr">
        <is>
          <t>любое</t>
        </is>
      </c>
      <c r="O147" s="210" t="inlineStr">
        <is>
          <t>Уплотнительные кольца - фторопласт.</t>
        </is>
      </c>
      <c r="P147" s="210" t="inlineStr">
        <is>
          <t>строительная длина — 330 мм</t>
        </is>
      </c>
      <c r="Q147" s="197" t="n"/>
      <c r="R147" s="198">
        <f>A147</f>
        <v/>
      </c>
      <c r="S147" s="205" t="n"/>
      <c r="T147" s="205" t="n"/>
      <c r="U147" s="205" t="n"/>
      <c r="V147" s="205" t="n"/>
      <c r="W147" s="205" t="n"/>
      <c r="X147" s="205" t="n"/>
      <c r="Y147" s="205" t="n"/>
      <c r="Z147" s="205" t="n"/>
      <c r="AA147" s="205" t="n"/>
      <c r="AB147" s="205" t="n"/>
      <c r="AC147" s="205" t="n"/>
      <c r="AD147" s="205" t="n"/>
      <c r="AE147" s="205" t="n"/>
      <c r="AF147" s="205" t="n"/>
      <c r="AG147" s="205" t="n"/>
      <c r="AH147" s="205" t="n"/>
      <c r="AI147" s="202" t="n"/>
    </row>
    <row r="148" ht="51" customFormat="1" customHeight="1" s="171">
      <c r="A148" s="192" t="n">
        <v>112</v>
      </c>
      <c r="B148" s="193" t="inlineStr">
        <is>
          <t>Кран шаровой 11С67П Ду 80 Ру 16</t>
        </is>
      </c>
      <c r="C148" s="210" t="inlineStr">
        <is>
          <t>ГОСТ 21345-2005</t>
        </is>
      </c>
      <c r="D148" s="210" t="n">
        <v>80</v>
      </c>
      <c r="E148" s="210" t="inlineStr">
        <is>
          <t>полнопроходной</t>
        </is>
      </c>
      <c r="F148" s="210" t="n">
        <v>1.6</v>
      </c>
      <c r="G148" s="210" t="inlineStr">
        <is>
          <t>до +200°С</t>
        </is>
      </c>
      <c r="H148" s="210" t="inlineStr">
        <is>
          <t>вода, пар</t>
        </is>
      </c>
      <c r="I148" s="210" t="inlineStr">
        <is>
          <t>Ст20</t>
        </is>
      </c>
      <c r="J148" s="210" t="inlineStr">
        <is>
          <t>У1</t>
        </is>
      </c>
      <c r="K148" s="210" t="inlineStr">
        <is>
          <t>фланец-фланец</t>
        </is>
      </c>
      <c r="L148" s="210" t="inlineStr">
        <is>
          <t xml:space="preserve">Ручное </t>
        </is>
      </c>
      <c r="M148" s="210" t="inlineStr">
        <is>
          <t>Ручка-рычаг</t>
        </is>
      </c>
      <c r="N148" s="210" t="inlineStr">
        <is>
          <t>любое</t>
        </is>
      </c>
      <c r="O148" s="210" t="inlineStr">
        <is>
          <t>Уплотнительные кольца - фторопласт.</t>
        </is>
      </c>
      <c r="P148" s="210" t="inlineStr">
        <is>
          <t>длина — 210мм</t>
        </is>
      </c>
      <c r="Q148" s="197" t="n"/>
      <c r="R148" s="198">
        <f>A148</f>
        <v/>
      </c>
      <c r="S148" s="205" t="n"/>
      <c r="T148" s="205" t="n"/>
      <c r="U148" s="205" t="n"/>
      <c r="V148" s="205" t="n"/>
      <c r="W148" s="205" t="n"/>
      <c r="X148" s="205" t="n"/>
      <c r="Y148" s="205" t="n"/>
      <c r="Z148" s="205" t="n"/>
      <c r="AA148" s="205" t="n"/>
      <c r="AB148" s="205" t="n"/>
      <c r="AC148" s="205" t="n"/>
      <c r="AD148" s="205" t="n"/>
      <c r="AE148" s="205" t="n"/>
      <c r="AF148" s="205" t="n"/>
      <c r="AG148" s="205" t="n"/>
      <c r="AH148" s="205" t="n"/>
      <c r="AI148" s="202" t="n"/>
    </row>
    <row r="149" ht="51" customFormat="1" customHeight="1" s="171">
      <c r="A149" s="192" t="n">
        <v>113</v>
      </c>
      <c r="B149" s="193" t="inlineStr">
        <is>
          <t>Кран шаровой 11с67п Ду 15 Ру 25 цельносварной под приварку</t>
        </is>
      </c>
      <c r="C149" s="210" t="inlineStr">
        <is>
          <t>ГОСТ 21345-2005</t>
        </is>
      </c>
      <c r="D149" s="210" t="n">
        <v>15</v>
      </c>
      <c r="E149" s="210" t="inlineStr">
        <is>
          <t>полнопроходной</t>
        </is>
      </c>
      <c r="F149" s="210" t="n">
        <v>2.5</v>
      </c>
      <c r="G149" s="210" t="inlineStr">
        <is>
          <t>От -40°С до +200°С</t>
        </is>
      </c>
      <c r="H149" s="210" t="inlineStr">
        <is>
          <t>Вода</t>
        </is>
      </c>
      <c r="I149" s="210" t="inlineStr">
        <is>
          <t>сталь 20</t>
        </is>
      </c>
      <c r="J149" s="210" t="inlineStr">
        <is>
          <t>У1</t>
        </is>
      </c>
      <c r="K149" s="210" t="inlineStr">
        <is>
          <t>под приварку</t>
        </is>
      </c>
      <c r="L149" s="210" t="inlineStr">
        <is>
          <t xml:space="preserve">Ручное </t>
        </is>
      </c>
      <c r="M149" s="210" t="inlineStr">
        <is>
          <t>Рукоятка</t>
        </is>
      </c>
      <c r="N149" s="210" t="inlineStr">
        <is>
          <t>любое</t>
        </is>
      </c>
      <c r="O149" s="210" t="inlineStr">
        <is>
          <t>Шток:  сталь, 20Х13 
Уплотнения штока: фторопласт Ф4Г3К6 
Уплотнения шара: фторопласт Ф4Г3К6       
Шар: нержавеющая сталь</t>
        </is>
      </c>
      <c r="P149" s="210" t="n"/>
      <c r="Q149" s="210" t="n"/>
      <c r="R149" s="198">
        <f>A149</f>
        <v/>
      </c>
      <c r="S149" s="205" t="n"/>
      <c r="T149" s="205" t="n"/>
      <c r="U149" s="205" t="n"/>
      <c r="V149" s="205" t="n"/>
      <c r="W149" s="205" t="n"/>
      <c r="X149" s="205" t="n"/>
      <c r="Y149" s="205" t="n"/>
      <c r="Z149" s="205" t="n"/>
      <c r="AA149" s="205" t="n"/>
      <c r="AB149" s="205" t="n"/>
      <c r="AC149" s="205" t="n"/>
      <c r="AD149" s="205" t="n"/>
      <c r="AE149" s="205" t="n"/>
      <c r="AF149" s="205" t="n"/>
      <c r="AG149" s="205" t="n"/>
      <c r="AH149" s="205" t="n"/>
      <c r="AI149" s="202" t="n"/>
    </row>
    <row r="150" ht="89.25" customHeight="1" s="169">
      <c r="A150" s="192" t="n">
        <v>114</v>
      </c>
      <c r="B150" s="193" t="inlineStr">
        <is>
          <t>Кран шаровой 11с67п Ду 25 Ру 25 цельносварной под приварку</t>
        </is>
      </c>
      <c r="C150" s="210" t="inlineStr">
        <is>
          <t>ГОСТ 21345-2005</t>
        </is>
      </c>
      <c r="D150" s="210" t="n">
        <v>25</v>
      </c>
      <c r="E150" s="210" t="inlineStr">
        <is>
          <t>полнопроходной</t>
        </is>
      </c>
      <c r="F150" s="210" t="n">
        <v>2.5</v>
      </c>
      <c r="G150" s="210" t="inlineStr">
        <is>
          <t>От -40°С до +180°С</t>
        </is>
      </c>
      <c r="H150" s="210" t="inlineStr">
        <is>
          <t>Вода, газ, нефтепродукты и другие нетоксичные и не агрессивные среды, нейтральные к материалам деталей крана.</t>
        </is>
      </c>
      <c r="I150" s="210" t="inlineStr">
        <is>
          <t>сталь 20</t>
        </is>
      </c>
      <c r="J150" s="210" t="inlineStr">
        <is>
          <t>У1</t>
        </is>
      </c>
      <c r="K150" s="210" t="inlineStr">
        <is>
          <t>под приварку</t>
        </is>
      </c>
      <c r="L150" s="210" t="inlineStr">
        <is>
          <t>Ручной</t>
        </is>
      </c>
      <c r="M150" s="210" t="inlineStr">
        <is>
          <t>Рукоятка</t>
        </is>
      </c>
      <c r="N150" s="210" t="n"/>
      <c r="O15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0" s="210" t="n"/>
      <c r="Q150" s="210" t="n"/>
      <c r="R150" s="198">
        <f>A150</f>
        <v/>
      </c>
      <c r="S150" s="205" t="n"/>
      <c r="T150" s="205" t="n"/>
      <c r="U150" s="205" t="n"/>
      <c r="V150" s="205" t="n"/>
      <c r="W150" s="205" t="n"/>
      <c r="X150" s="205" t="n"/>
      <c r="Y150" s="205" t="n"/>
      <c r="Z150" s="205" t="n"/>
      <c r="AA150" s="205" t="n"/>
      <c r="AB150" s="205" t="n"/>
      <c r="AC150" s="205" t="n"/>
      <c r="AD150" s="205" t="n"/>
      <c r="AE150" s="205" t="n"/>
      <c r="AF150" s="205" t="n"/>
      <c r="AG150" s="205" t="n"/>
      <c r="AH150" s="205" t="n"/>
      <c r="AI150" s="202" t="n"/>
    </row>
    <row r="151" ht="89.25" customHeight="1" s="169">
      <c r="A151" s="192" t="n">
        <v>115</v>
      </c>
      <c r="B151" s="193" t="inlineStr">
        <is>
          <t>Кран шаровой 11с67п Ду 32 Ру 25 цельносварной под приварку</t>
        </is>
      </c>
      <c r="C151" s="210" t="inlineStr">
        <is>
          <t>ГОСТ 21345-2005</t>
        </is>
      </c>
      <c r="D151" s="210" t="n">
        <v>32</v>
      </c>
      <c r="E151" s="210" t="inlineStr">
        <is>
          <t>полнопроходной</t>
        </is>
      </c>
      <c r="F151" s="210" t="n">
        <v>2.5</v>
      </c>
      <c r="G151" s="210" t="inlineStr">
        <is>
          <t>От -40°С до +180°С</t>
        </is>
      </c>
      <c r="H151" s="210" t="inlineStr">
        <is>
          <t>Вода, газ, нефтепродукты и другие нетоксичные и не агрессивные среды, нейтральные к материалам деталей крана.</t>
        </is>
      </c>
      <c r="I151" s="210" t="inlineStr">
        <is>
          <t>сталь 20</t>
        </is>
      </c>
      <c r="J151" s="210" t="inlineStr">
        <is>
          <t>У1</t>
        </is>
      </c>
      <c r="K151" s="210" t="inlineStr">
        <is>
          <t>под приварку</t>
        </is>
      </c>
      <c r="L151" s="210" t="inlineStr">
        <is>
          <t>Ручной</t>
        </is>
      </c>
      <c r="M151" s="210" t="inlineStr">
        <is>
          <t>Рукоятка</t>
        </is>
      </c>
      <c r="N151" s="210" t="inlineStr">
        <is>
          <t>любое</t>
        </is>
      </c>
      <c r="O151"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1" s="210" t="inlineStr">
        <is>
          <t>строительная длина 260мм</t>
        </is>
      </c>
      <c r="Q151" s="210" t="n"/>
      <c r="R151" s="198">
        <f>A151</f>
        <v/>
      </c>
      <c r="S151" s="205" t="n"/>
      <c r="T151" s="205" t="n"/>
      <c r="U151" s="205" t="n"/>
      <c r="V151" s="205" t="n"/>
      <c r="W151" s="205" t="n"/>
      <c r="X151" s="205" t="n"/>
      <c r="Y151" s="205" t="n"/>
      <c r="Z151" s="205" t="n"/>
      <c r="AA151" s="205" t="n"/>
      <c r="AB151" s="205" t="n"/>
      <c r="AC151" s="205" t="n"/>
      <c r="AD151" s="205" t="n"/>
      <c r="AE151" s="205" t="n"/>
      <c r="AF151" s="205" t="n"/>
      <c r="AG151" s="205" t="n"/>
      <c r="AH151" s="205" t="n"/>
      <c r="AI151" s="202" t="n"/>
    </row>
    <row r="152" ht="51" customHeight="1" s="169">
      <c r="A152" s="192" t="n">
        <v>116</v>
      </c>
      <c r="B152" s="193" t="inlineStr">
        <is>
          <t>Кран шаровой 11с67п Ду 40 Ру 25 цельносварной под приварку</t>
        </is>
      </c>
      <c r="C152" s="210" t="inlineStr">
        <is>
          <t>ГОСТ 21345-2005</t>
        </is>
      </c>
      <c r="D152" s="210" t="n">
        <v>40</v>
      </c>
      <c r="E152" s="210" t="inlineStr">
        <is>
          <t>полнопроходной</t>
        </is>
      </c>
      <c r="F152" s="210" t="n">
        <v>2.5</v>
      </c>
      <c r="G152" s="210" t="inlineStr">
        <is>
          <t>От -40°С до +200°С</t>
        </is>
      </c>
      <c r="H152" s="210" t="inlineStr">
        <is>
          <t>Вода</t>
        </is>
      </c>
      <c r="I152" s="210" t="inlineStr">
        <is>
          <t>сталь 20</t>
        </is>
      </c>
      <c r="J152" s="210" t="inlineStr">
        <is>
          <t>У1</t>
        </is>
      </c>
      <c r="K152" s="210" t="inlineStr">
        <is>
          <t>под приварку</t>
        </is>
      </c>
      <c r="L152" s="210" t="inlineStr">
        <is>
          <t xml:space="preserve">Ручное </t>
        </is>
      </c>
      <c r="M152" s="210" t="inlineStr">
        <is>
          <t>Рукоятка</t>
        </is>
      </c>
      <c r="N152" s="210" t="inlineStr">
        <is>
          <t>любое</t>
        </is>
      </c>
      <c r="O152" s="210" t="inlineStr">
        <is>
          <t>Шток:  сталь, 20Х13 
Уплотнения штока: фторопласт Ф4Г3К6 
Уплотнения шара: фторопласт Ф4Г3К6
 Шар: нержавеющая сталь</t>
        </is>
      </c>
      <c r="P152" s="210" t="n"/>
      <c r="Q152" s="210" t="n"/>
      <c r="R152" s="198">
        <f>A152</f>
        <v/>
      </c>
      <c r="S152" s="205" t="n"/>
      <c r="T152" s="205" t="n"/>
      <c r="U152" s="205" t="n"/>
      <c r="V152" s="205" t="n"/>
      <c r="W152" s="205" t="n"/>
      <c r="X152" s="205" t="n"/>
      <c r="Y152" s="205" t="n"/>
      <c r="Z152" s="205" t="n"/>
      <c r="AA152" s="205" t="n"/>
      <c r="AB152" s="205" t="n"/>
      <c r="AC152" s="205" t="n"/>
      <c r="AD152" s="205" t="n"/>
      <c r="AE152" s="205" t="n"/>
      <c r="AF152" s="205" t="n"/>
      <c r="AG152" s="205" t="n"/>
      <c r="AH152" s="205" t="n"/>
      <c r="AI152" s="202" t="n"/>
    </row>
    <row r="153" ht="51" customHeight="1" s="169">
      <c r="A153" s="192" t="n">
        <v>117</v>
      </c>
      <c r="B153" s="193" t="inlineStr">
        <is>
          <t>Кран шаровой 11с67п Ду 50 Ру 25 цельносварной под приварку</t>
        </is>
      </c>
      <c r="C153" s="210" t="inlineStr">
        <is>
          <t>ГОСТ 21345-2005</t>
        </is>
      </c>
      <c r="D153" s="210" t="n">
        <v>50</v>
      </c>
      <c r="E153" s="210" t="inlineStr">
        <is>
          <t>полнопроходной</t>
        </is>
      </c>
      <c r="F153" s="210" t="n">
        <v>2.5</v>
      </c>
      <c r="G153" s="210" t="inlineStr">
        <is>
          <t>от -40 до +200</t>
        </is>
      </c>
      <c r="H153" s="210" t="inlineStr">
        <is>
          <t>вода</t>
        </is>
      </c>
      <c r="I153" s="210" t="inlineStr">
        <is>
          <t>сталь 20</t>
        </is>
      </c>
      <c r="J153" s="210" t="inlineStr">
        <is>
          <t>У1</t>
        </is>
      </c>
      <c r="K153" s="210" t="inlineStr">
        <is>
          <t>под приварку</t>
        </is>
      </c>
      <c r="L153" s="210" t="inlineStr">
        <is>
          <t>ручное</t>
        </is>
      </c>
      <c r="M153" s="210" t="inlineStr">
        <is>
          <t>рукоятка</t>
        </is>
      </c>
      <c r="N153" s="210" t="inlineStr">
        <is>
          <t>любое</t>
        </is>
      </c>
      <c r="O153"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3" s="210" t="inlineStr">
        <is>
          <t>строительная длина 300мм</t>
        </is>
      </c>
      <c r="Q153" s="210" t="n"/>
      <c r="R153" s="198">
        <f>A153</f>
        <v/>
      </c>
      <c r="S153" s="205" t="n"/>
      <c r="T153" s="205" t="n"/>
      <c r="U153" s="205" t="n"/>
      <c r="V153" s="205" t="n"/>
      <c r="W153" s="205" t="n"/>
      <c r="X153" s="205" t="n"/>
      <c r="Y153" s="205" t="n"/>
      <c r="Z153" s="205" t="n"/>
      <c r="AA153" s="205" t="n"/>
      <c r="AB153" s="205" t="n"/>
      <c r="AC153" s="205" t="n"/>
      <c r="AD153" s="205" t="n"/>
      <c r="AE153" s="205" t="n"/>
      <c r="AF153" s="205" t="n"/>
      <c r="AG153" s="205" t="n"/>
      <c r="AH153" s="205" t="n"/>
      <c r="AI153" s="202" t="n"/>
    </row>
    <row r="154" ht="51" customHeight="1" s="169">
      <c r="A154" s="192" t="n">
        <v>118</v>
      </c>
      <c r="B154" s="193" t="inlineStr">
        <is>
          <t>Кран шаровой 11с67п Ду 80 Ру 25 цельносварной под приварку</t>
        </is>
      </c>
      <c r="C154" s="210" t="inlineStr">
        <is>
          <t>ГОСТ 21345-2005</t>
        </is>
      </c>
      <c r="D154" s="210" t="n">
        <v>80</v>
      </c>
      <c r="E154" s="210" t="inlineStr">
        <is>
          <t>полнопроходной</t>
        </is>
      </c>
      <c r="F154" s="210" t="n">
        <v>2.5</v>
      </c>
      <c r="G154" s="210" t="inlineStr">
        <is>
          <t>от -40 до +200</t>
        </is>
      </c>
      <c r="H154" s="210" t="inlineStr">
        <is>
          <t>вода</t>
        </is>
      </c>
      <c r="I154" s="210" t="inlineStr">
        <is>
          <t>сталь 20</t>
        </is>
      </c>
      <c r="J154" s="210" t="inlineStr">
        <is>
          <t>У1</t>
        </is>
      </c>
      <c r="K154" s="210" t="inlineStr">
        <is>
          <t>под приварку</t>
        </is>
      </c>
      <c r="L154" s="210" t="inlineStr">
        <is>
          <t>ручное</t>
        </is>
      </c>
      <c r="M154" s="210" t="inlineStr">
        <is>
          <t>рукоятка</t>
        </is>
      </c>
      <c r="N154" s="210" t="inlineStr">
        <is>
          <t>любое</t>
        </is>
      </c>
      <c r="O154"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4" s="210" t="inlineStr">
        <is>
          <t>строительная длина 370мм</t>
        </is>
      </c>
      <c r="Q154" s="210" t="n"/>
      <c r="R154" s="198">
        <f>A154</f>
        <v/>
      </c>
      <c r="S154" s="205" t="n"/>
      <c r="T154" s="205" t="n"/>
      <c r="U154" s="205" t="n"/>
      <c r="V154" s="205" t="n"/>
      <c r="W154" s="205" t="n"/>
      <c r="X154" s="205" t="n"/>
      <c r="Y154" s="205" t="n"/>
      <c r="Z154" s="205" t="n"/>
      <c r="AA154" s="205" t="n"/>
      <c r="AB154" s="205" t="n"/>
      <c r="AC154" s="205" t="n"/>
      <c r="AD154" s="205" t="n"/>
      <c r="AE154" s="205" t="n"/>
      <c r="AF154" s="205" t="n"/>
      <c r="AG154" s="205" t="n"/>
      <c r="AH154" s="205" t="n"/>
      <c r="AI154" s="202" t="n"/>
    </row>
    <row r="155" ht="51" customHeight="1" s="169">
      <c r="A155" s="192" t="n">
        <v>119</v>
      </c>
      <c r="B155" s="193" t="inlineStr">
        <is>
          <t>Кран шаровой 11с67п Ду 100 Ру 25 цельносварной под приварку</t>
        </is>
      </c>
      <c r="C155" s="210" t="inlineStr">
        <is>
          <t>ГОСТ 21345-2005</t>
        </is>
      </c>
      <c r="D155" s="210" t="n">
        <v>100</v>
      </c>
      <c r="E155" s="210" t="inlineStr">
        <is>
          <t>полнопроходной</t>
        </is>
      </c>
      <c r="F155" s="210" t="n">
        <v>2.5</v>
      </c>
      <c r="G155" s="210" t="inlineStr">
        <is>
          <t>от -40 до +200</t>
        </is>
      </c>
      <c r="H155" s="210" t="inlineStr">
        <is>
          <t>вода</t>
        </is>
      </c>
      <c r="I155" s="210" t="inlineStr">
        <is>
          <t>сталь 20</t>
        </is>
      </c>
      <c r="J155" s="210" t="inlineStr">
        <is>
          <t>У1</t>
        </is>
      </c>
      <c r="K155" s="210" t="inlineStr">
        <is>
          <t>под приварку</t>
        </is>
      </c>
      <c r="L155" s="210" t="inlineStr">
        <is>
          <t>ручное</t>
        </is>
      </c>
      <c r="M155" s="210" t="inlineStr">
        <is>
          <t>рукоятка</t>
        </is>
      </c>
      <c r="N155" s="210" t="inlineStr">
        <is>
          <t>любое</t>
        </is>
      </c>
      <c r="O15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5" s="210" t="inlineStr">
        <is>
          <t>строительная длина 390мм</t>
        </is>
      </c>
      <c r="Q155" s="210" t="n"/>
      <c r="R155" s="198">
        <f>A155</f>
        <v/>
      </c>
      <c r="S155" s="205" t="n"/>
      <c r="T155" s="205" t="n"/>
      <c r="U155" s="205" t="n"/>
      <c r="V155" s="205" t="n"/>
      <c r="W155" s="205" t="n"/>
      <c r="X155" s="205" t="n"/>
      <c r="Y155" s="205" t="n"/>
      <c r="Z155" s="205" t="n"/>
      <c r="AA155" s="205" t="n"/>
      <c r="AB155" s="205" t="n"/>
      <c r="AC155" s="205" t="n"/>
      <c r="AD155" s="205" t="n"/>
      <c r="AE155" s="205" t="n"/>
      <c r="AF155" s="205" t="n"/>
      <c r="AG155" s="205" t="n"/>
      <c r="AH155" s="205" t="n"/>
      <c r="AI155" s="202" t="n"/>
    </row>
    <row r="156" ht="51" customHeight="1" s="169">
      <c r="A156" s="192" t="n">
        <v>120</v>
      </c>
      <c r="B156" s="193" t="inlineStr">
        <is>
          <t>Кран шаровой 11с67п Ду 150 Ру 25 цельносварной под приварку</t>
        </is>
      </c>
      <c r="C156" s="210" t="inlineStr">
        <is>
          <t>ГОСТ 21345-2005</t>
        </is>
      </c>
      <c r="D156" s="210" t="n">
        <v>150</v>
      </c>
      <c r="E156" s="210" t="inlineStr">
        <is>
          <t>полнопроходной</t>
        </is>
      </c>
      <c r="F156" s="210" t="n">
        <v>2.5</v>
      </c>
      <c r="G156" s="210" t="inlineStr">
        <is>
          <t>от -40 до +200</t>
        </is>
      </c>
      <c r="H156" s="210" t="inlineStr">
        <is>
          <t>вода</t>
        </is>
      </c>
      <c r="I156" s="210" t="inlineStr">
        <is>
          <t>сталь 20</t>
        </is>
      </c>
      <c r="J156" s="210" t="inlineStr">
        <is>
          <t>У1</t>
        </is>
      </c>
      <c r="K156" s="210" t="inlineStr">
        <is>
          <t>под приварку</t>
        </is>
      </c>
      <c r="L156" s="210" t="inlineStr">
        <is>
          <t>ручное</t>
        </is>
      </c>
      <c r="M156" s="210" t="inlineStr">
        <is>
          <t>рукоятка</t>
        </is>
      </c>
      <c r="N156" s="210" t="inlineStr">
        <is>
          <t>любое</t>
        </is>
      </c>
      <c r="O15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6" s="210" t="inlineStr">
        <is>
          <t>строительная длина 390мм</t>
        </is>
      </c>
      <c r="Q156" s="210" t="n"/>
      <c r="R156" s="198">
        <f>A156</f>
        <v/>
      </c>
      <c r="S156" s="205" t="n"/>
      <c r="T156" s="205" t="n"/>
      <c r="U156" s="205" t="n"/>
      <c r="V156" s="205" t="n"/>
      <c r="W156" s="205" t="n"/>
      <c r="X156" s="205" t="n"/>
      <c r="Y156" s="205" t="n"/>
      <c r="Z156" s="205" t="n"/>
      <c r="AA156" s="205" t="n"/>
      <c r="AB156" s="205" t="n"/>
      <c r="AC156" s="205" t="n"/>
      <c r="AD156" s="205" t="n"/>
      <c r="AE156" s="205" t="n"/>
      <c r="AF156" s="205" t="n"/>
      <c r="AG156" s="205" t="n"/>
      <c r="AH156" s="205" t="n"/>
      <c r="AI156" s="202" t="n"/>
    </row>
    <row r="157" ht="51" customHeight="1" s="169">
      <c r="A157" s="192" t="n">
        <v>121</v>
      </c>
      <c r="B157" s="193" t="inlineStr">
        <is>
          <t>Кран шаровой 11с67п Ду 200 Ру 25 цельносварной под приварку</t>
        </is>
      </c>
      <c r="C157" s="210" t="inlineStr">
        <is>
          <t>ГОСТ 21345-2005</t>
        </is>
      </c>
      <c r="D157" s="210" t="n">
        <v>200</v>
      </c>
      <c r="E157" s="210" t="inlineStr">
        <is>
          <t>Стандартнопроходной</t>
        </is>
      </c>
      <c r="F157" s="210" t="n">
        <v>2.5</v>
      </c>
      <c r="G157" s="210" t="inlineStr">
        <is>
          <t>от -40 до +200</t>
        </is>
      </c>
      <c r="H157" s="210" t="inlineStr">
        <is>
          <t>вода</t>
        </is>
      </c>
      <c r="I157" s="210" t="inlineStr">
        <is>
          <t>сталь 20</t>
        </is>
      </c>
      <c r="J157" s="210" t="inlineStr">
        <is>
          <t>У1</t>
        </is>
      </c>
      <c r="K157" s="210" t="inlineStr">
        <is>
          <t>под приварку</t>
        </is>
      </c>
      <c r="L157" s="210" t="inlineStr">
        <is>
          <t>ручное</t>
        </is>
      </c>
      <c r="M157" s="210" t="inlineStr">
        <is>
          <t>рукоятка</t>
        </is>
      </c>
      <c r="N157" s="210" t="inlineStr">
        <is>
          <t>любое</t>
        </is>
      </c>
      <c r="O157"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7" s="210" t="inlineStr">
        <is>
          <t>строительная длина 390мм</t>
        </is>
      </c>
      <c r="Q157" s="210" t="n"/>
      <c r="R157" s="198">
        <f>A157</f>
        <v/>
      </c>
      <c r="S157" s="205" t="n"/>
      <c r="T157" s="205" t="n"/>
      <c r="U157" s="205" t="n"/>
      <c r="V157" s="205" t="n"/>
      <c r="W157" s="205" t="n"/>
      <c r="X157" s="205" t="n"/>
      <c r="Y157" s="205" t="n"/>
      <c r="Z157" s="205" t="n"/>
      <c r="AA157" s="205" t="n"/>
      <c r="AB157" s="205" t="n"/>
      <c r="AC157" s="205" t="n"/>
      <c r="AD157" s="205" t="n"/>
      <c r="AE157" s="205" t="n"/>
      <c r="AF157" s="205" t="n"/>
      <c r="AG157" s="205" t="n"/>
      <c r="AH157" s="205" t="n"/>
      <c r="AI157" s="202" t="n"/>
    </row>
    <row r="158" ht="51" customHeight="1" s="169">
      <c r="A158" s="192" t="n">
        <v>122</v>
      </c>
      <c r="B158" s="193" t="inlineStr">
        <is>
          <t>Кран шаровой 11с67п Ду 15 Ру 25 полнопрох. с КОФ (КЗШС41нж)</t>
        </is>
      </c>
      <c r="C158" s="210" t="inlineStr">
        <is>
          <t xml:space="preserve">ТУ У 04671406-003-1999; ГОСТ 21345, ГОСТ 28343 </t>
        </is>
      </c>
      <c r="D158" s="210" t="n">
        <v>15</v>
      </c>
      <c r="E158" s="210" t="inlineStr">
        <is>
          <t>полнопроходной</t>
        </is>
      </c>
      <c r="F158" s="210" t="n">
        <v>2.5</v>
      </c>
      <c r="G158" s="210" t="inlineStr">
        <is>
          <t>От -40°С до +200°С</t>
        </is>
      </c>
      <c r="H158" s="210" t="inlineStr">
        <is>
          <t>Вода</t>
        </is>
      </c>
      <c r="I158" s="210" t="inlineStr">
        <is>
          <t>сталь 20</t>
        </is>
      </c>
      <c r="J158" s="210" t="inlineStr">
        <is>
          <t>У1</t>
        </is>
      </c>
      <c r="K158" s="210" t="inlineStr">
        <is>
          <t>фланец-фланец по ГОСТ 33259-2015</t>
        </is>
      </c>
      <c r="L158" s="210" t="inlineStr">
        <is>
          <t xml:space="preserve">Ручное </t>
        </is>
      </c>
      <c r="M158" s="210" t="inlineStr">
        <is>
          <t>Рукоятка</t>
        </is>
      </c>
      <c r="N158" s="210" t="inlineStr">
        <is>
          <t>любое</t>
        </is>
      </c>
      <c r="O158"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8" s="210" t="inlineStr">
        <is>
          <t>-</t>
        </is>
      </c>
      <c r="Q158" s="210" t="n"/>
      <c r="R158" s="198">
        <f>A158</f>
        <v/>
      </c>
      <c r="S158" s="205" t="n"/>
      <c r="T158" s="205" t="n"/>
      <c r="U158" s="205" t="n"/>
      <c r="V158" s="205" t="n"/>
      <c r="W158" s="205" t="n"/>
      <c r="X158" s="205" t="n"/>
      <c r="Y158" s="205" t="n"/>
      <c r="Z158" s="205" t="n"/>
      <c r="AA158" s="205" t="n"/>
      <c r="AB158" s="205" t="n"/>
      <c r="AC158" s="205" t="n"/>
      <c r="AD158" s="205" t="n"/>
      <c r="AE158" s="205" t="n"/>
      <c r="AF158" s="205" t="n"/>
      <c r="AG158" s="205" t="n"/>
      <c r="AH158" s="205" t="n"/>
      <c r="AI158" s="202" t="n"/>
    </row>
    <row r="159" ht="51" customHeight="1" s="169">
      <c r="A159" s="192" t="n">
        <v>123</v>
      </c>
      <c r="B159" s="193" t="inlineStr">
        <is>
          <t>Кран шаровой 11с67п Ду 25 Ру 25 полнопрох. с КОФ (КЗШС41нж)</t>
        </is>
      </c>
      <c r="C159" s="210" t="inlineStr">
        <is>
          <t xml:space="preserve">ТУ У 04671406-003-1999; ГОСТ 21345, ГОСТ 28343 </t>
        </is>
      </c>
      <c r="D159" s="210" t="n">
        <v>25</v>
      </c>
      <c r="E159" s="210" t="inlineStr">
        <is>
          <t>полнопроходной</t>
        </is>
      </c>
      <c r="F159" s="210" t="n">
        <v>2.5</v>
      </c>
      <c r="G159" s="210" t="inlineStr">
        <is>
          <t>От -40°С до +180°С</t>
        </is>
      </c>
      <c r="H159" s="210" t="inlineStr">
        <is>
          <t>Вода</t>
        </is>
      </c>
      <c r="I159" s="210" t="inlineStr">
        <is>
          <t>сталь 20</t>
        </is>
      </c>
      <c r="J159" s="210" t="inlineStr">
        <is>
          <t>У1</t>
        </is>
      </c>
      <c r="K159" s="210" t="inlineStr">
        <is>
          <t>фланец-фланец по ГОСТ 33259-2015</t>
        </is>
      </c>
      <c r="L159" s="210" t="inlineStr">
        <is>
          <t>Ручной</t>
        </is>
      </c>
      <c r="M159" s="210" t="inlineStr">
        <is>
          <t>Рукоятка</t>
        </is>
      </c>
      <c r="N159" s="210" t="inlineStr">
        <is>
          <t>любое</t>
        </is>
      </c>
      <c r="O15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9" s="210" t="inlineStr">
        <is>
          <t>-</t>
        </is>
      </c>
      <c r="Q159" s="197" t="n"/>
      <c r="R159" s="198">
        <f>A159</f>
        <v/>
      </c>
      <c r="S159" s="205" t="n"/>
      <c r="T159" s="205" t="n"/>
      <c r="U159" s="205" t="n"/>
      <c r="V159" s="205" t="n"/>
      <c r="W159" s="205" t="n"/>
      <c r="X159" s="205" t="n"/>
      <c r="Y159" s="205" t="n"/>
      <c r="Z159" s="205" t="n"/>
      <c r="AA159" s="205" t="n"/>
      <c r="AB159" s="205" t="n"/>
      <c r="AC159" s="205" t="n"/>
      <c r="AD159" s="205" t="n"/>
      <c r="AE159" s="205" t="n"/>
      <c r="AF159" s="205" t="n"/>
      <c r="AG159" s="205" t="n"/>
      <c r="AH159" s="205" t="n"/>
      <c r="AI159" s="202" t="n"/>
    </row>
    <row r="160" ht="63.75" customHeight="1" s="169">
      <c r="A160" s="192" t="n">
        <v>124</v>
      </c>
      <c r="B160" s="193" t="inlineStr">
        <is>
          <t>Кран шаровой 11с67п Ду 32 Ру 25 полнопрох. с КОФ (КЗШС41нж)</t>
        </is>
      </c>
      <c r="C160" s="210" t="inlineStr">
        <is>
          <t>ТУ У 04671406-003-1999 (ТУ У 04671406-02-96)</t>
        </is>
      </c>
      <c r="D160" s="210" t="n">
        <v>32</v>
      </c>
      <c r="E160" s="210" t="inlineStr">
        <is>
          <t>полнопроходной</t>
        </is>
      </c>
      <c r="F160" s="210" t="n">
        <v>2.5</v>
      </c>
      <c r="G160" s="210" t="inlineStr">
        <is>
          <t>от -40 до +200</t>
        </is>
      </c>
      <c r="H160" s="210" t="inlineStr">
        <is>
          <t>вода</t>
        </is>
      </c>
      <c r="I160" s="210" t="inlineStr">
        <is>
          <t>сталь 20</t>
        </is>
      </c>
      <c r="J160" s="210" t="inlineStr">
        <is>
          <t>У1</t>
        </is>
      </c>
      <c r="K160" s="210" t="inlineStr">
        <is>
          <t>фланцевое</t>
        </is>
      </c>
      <c r="L160" s="210" t="inlineStr">
        <is>
          <t>ручное</t>
        </is>
      </c>
      <c r="M160" s="210" t="inlineStr">
        <is>
          <t>рукоятка</t>
        </is>
      </c>
      <c r="N160" s="210" t="inlineStr">
        <is>
          <t>любое</t>
        </is>
      </c>
      <c r="O160"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0" s="210" t="inlineStr">
        <is>
          <t>строительная длинна 140мм</t>
        </is>
      </c>
      <c r="Q160" s="197" t="n"/>
      <c r="R160" s="198">
        <f>A160</f>
        <v/>
      </c>
      <c r="S160" s="205" t="n"/>
      <c r="T160" s="205" t="n"/>
      <c r="U160" s="205" t="n"/>
      <c r="V160" s="205" t="n"/>
      <c r="W160" s="205" t="n"/>
      <c r="X160" s="205" t="n"/>
      <c r="Y160" s="205" t="n"/>
      <c r="Z160" s="205" t="n"/>
      <c r="AA160" s="205" t="n"/>
      <c r="AB160" s="205" t="n"/>
      <c r="AC160" s="205" t="n"/>
      <c r="AD160" s="205" t="n"/>
      <c r="AE160" s="205" t="n"/>
      <c r="AF160" s="205" t="n"/>
      <c r="AG160" s="205" t="n"/>
      <c r="AH160" s="205" t="n"/>
      <c r="AI160" s="202" t="n"/>
    </row>
    <row r="161" ht="51" customHeight="1" s="169">
      <c r="A161" s="192" t="n">
        <v>125</v>
      </c>
      <c r="B161" s="193" t="inlineStr">
        <is>
          <t>Кран шаровой 11с67п Ду 50 Ру 25 полнопрох. с КОФ (КЗШС41нж)</t>
        </is>
      </c>
      <c r="C161" s="210" t="inlineStr">
        <is>
          <t>ТУ У 04671406-003-1999 (ТУ У 04671406-02-96)</t>
        </is>
      </c>
      <c r="D161" s="210" t="n">
        <v>50</v>
      </c>
      <c r="E161" s="210" t="inlineStr">
        <is>
          <t>полнопроходной</t>
        </is>
      </c>
      <c r="F161" s="210" t="n">
        <v>2.5</v>
      </c>
      <c r="G161" s="210" t="inlineStr">
        <is>
          <t>От -40°С до +200°С</t>
        </is>
      </c>
      <c r="H161" s="210" t="inlineStr">
        <is>
          <t>Вода</t>
        </is>
      </c>
      <c r="I161" s="210" t="inlineStr">
        <is>
          <t>сталь 20</t>
        </is>
      </c>
      <c r="J161" s="210" t="inlineStr">
        <is>
          <t>У1</t>
        </is>
      </c>
      <c r="K161" s="210" t="inlineStr">
        <is>
          <t>фланец-фланец</t>
        </is>
      </c>
      <c r="L161" s="210" t="inlineStr">
        <is>
          <t xml:space="preserve">Ручное </t>
        </is>
      </c>
      <c r="M161" s="210" t="inlineStr">
        <is>
          <t>Рукоятка</t>
        </is>
      </c>
      <c r="N161" s="210" t="inlineStr">
        <is>
          <t>любое</t>
        </is>
      </c>
      <c r="O161" s="210" t="inlineStr">
        <is>
          <t>Шпиндель:  Сталь 20Х13 Уплотнения горловины: Фторопласт Ф4 Уплотнения седла: Фторопласт Ф4  Горловина:  Сталь 20 Шар: Нержавеющая сталь 12Х18Н10Т</t>
        </is>
      </c>
      <c r="P161" s="210" t="inlineStr">
        <is>
          <t>180мм</t>
        </is>
      </c>
      <c r="Q161" s="197" t="n"/>
      <c r="R161" s="198">
        <f>A161</f>
        <v/>
      </c>
      <c r="S161" s="205" t="n"/>
      <c r="T161" s="205" t="n"/>
      <c r="U161" s="205" t="n"/>
      <c r="V161" s="205" t="n"/>
      <c r="W161" s="205" t="n"/>
      <c r="X161" s="205" t="n"/>
      <c r="Y161" s="205" t="n"/>
      <c r="Z161" s="205" t="n"/>
      <c r="AA161" s="205" t="n"/>
      <c r="AB161" s="205" t="n"/>
      <c r="AC161" s="205" t="n"/>
      <c r="AD161" s="205" t="n"/>
      <c r="AE161" s="205" t="n"/>
      <c r="AF161" s="205" t="n"/>
      <c r="AG161" s="205" t="n"/>
      <c r="AH161" s="205" t="n"/>
      <c r="AI161" s="202" t="n"/>
    </row>
    <row r="162" ht="51" customHeight="1" s="169">
      <c r="A162" s="192" t="n">
        <v>126</v>
      </c>
      <c r="B162" s="193" t="inlineStr">
        <is>
          <t>Кран шаровой 11с67п Ду 80 Ру 25 полнопрох. с КОФ (КЗШС41нж)</t>
        </is>
      </c>
      <c r="C162" s="210" t="inlineStr">
        <is>
          <t xml:space="preserve">ТУ У 04671406-003-1999; ГОСТ 21345, ГОСТ 28343 </t>
        </is>
      </c>
      <c r="D162" s="210" t="n">
        <v>80</v>
      </c>
      <c r="E162" s="210" t="inlineStr">
        <is>
          <t>полнопроходной</t>
        </is>
      </c>
      <c r="F162" s="210" t="n">
        <v>2.5</v>
      </c>
      <c r="G162" s="210" t="inlineStr">
        <is>
          <t>От -40°С до +200°С</t>
        </is>
      </c>
      <c r="H162" s="210" t="inlineStr">
        <is>
          <t>Вода</t>
        </is>
      </c>
      <c r="I162" s="210" t="inlineStr">
        <is>
          <t>сталь 20</t>
        </is>
      </c>
      <c r="J162" s="210" t="inlineStr">
        <is>
          <t>У1</t>
        </is>
      </c>
      <c r="K162" s="210" t="inlineStr">
        <is>
          <t>фланцевое</t>
        </is>
      </c>
      <c r="L162" s="210" t="inlineStr">
        <is>
          <t xml:space="preserve">Ручное </t>
        </is>
      </c>
      <c r="M162" s="210" t="inlineStr">
        <is>
          <t>Рукоятка</t>
        </is>
      </c>
      <c r="N162" s="210" t="inlineStr">
        <is>
          <t>любое</t>
        </is>
      </c>
      <c r="O16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62" s="210" t="inlineStr">
        <is>
          <t xml:space="preserve">строительная длина 210мм </t>
        </is>
      </c>
      <c r="Q162" s="197" t="n"/>
      <c r="R162" s="198">
        <f>A162</f>
        <v/>
      </c>
      <c r="S162" s="205" t="n"/>
      <c r="T162" s="205" t="n"/>
      <c r="U162" s="205" t="n"/>
      <c r="V162" s="205" t="n"/>
      <c r="W162" s="205" t="n"/>
      <c r="X162" s="205" t="n"/>
      <c r="Y162" s="205" t="n"/>
      <c r="Z162" s="205" t="n"/>
      <c r="AA162" s="205" t="n"/>
      <c r="AB162" s="205" t="n"/>
      <c r="AC162" s="205" t="n"/>
      <c r="AD162" s="205" t="n"/>
      <c r="AE162" s="205" t="n"/>
      <c r="AF162" s="205" t="n"/>
      <c r="AG162" s="205" t="n"/>
      <c r="AH162" s="205" t="n"/>
      <c r="AI162" s="202" t="n"/>
    </row>
    <row r="163" ht="76.5" customHeight="1" s="169">
      <c r="A163" s="192" t="n">
        <v>127</v>
      </c>
      <c r="B163" s="193" t="inlineStr">
        <is>
          <t>Кран шаровой 11с67п Ду 100 Ру 16 ЦУФ.001 КШ укороченный полнопроходной фланцевый с рукояткой</t>
        </is>
      </c>
      <c r="C163" s="210" t="inlineStr">
        <is>
          <t>ТУ У 046714006-003-1999</t>
        </is>
      </c>
      <c r="D163" s="210" t="n">
        <v>100</v>
      </c>
      <c r="E163" s="210" t="inlineStr">
        <is>
          <t>полнопроходной</t>
        </is>
      </c>
      <c r="F163" s="210" t="n">
        <v>1.6</v>
      </c>
      <c r="G163" s="210" t="inlineStr">
        <is>
          <t>от -40 до +200</t>
        </is>
      </c>
      <c r="H163" s="210" t="inlineStr">
        <is>
          <t>вода</t>
        </is>
      </c>
      <c r="I163" s="210" t="inlineStr">
        <is>
          <t>сталь 20</t>
        </is>
      </c>
      <c r="J163" s="210" t="inlineStr">
        <is>
          <t>У1</t>
        </is>
      </c>
      <c r="K163" s="210" t="inlineStr">
        <is>
          <t>фланцевое</t>
        </is>
      </c>
      <c r="L163" s="210" t="inlineStr">
        <is>
          <t>ручное</t>
        </is>
      </c>
      <c r="M163" s="210" t="inlineStr">
        <is>
          <t>рукоятка</t>
        </is>
      </c>
      <c r="N163" s="210" t="inlineStr">
        <is>
          <t>любое</t>
        </is>
      </c>
      <c r="O163"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3" s="210" t="inlineStr">
        <is>
          <t>строительная длина 230 мм</t>
        </is>
      </c>
      <c r="Q163" s="197" t="n"/>
      <c r="R163" s="198">
        <f>A163</f>
        <v/>
      </c>
      <c r="S163" s="205" t="n"/>
      <c r="T163" s="205" t="n"/>
      <c r="U163" s="205" t="n"/>
      <c r="V163" s="205" t="n"/>
      <c r="W163" s="205" t="n"/>
      <c r="X163" s="205" t="n"/>
      <c r="Y163" s="205" t="n"/>
      <c r="Z163" s="205" t="n"/>
      <c r="AA163" s="205" t="n"/>
      <c r="AB163" s="205" t="n"/>
      <c r="AC163" s="205" t="n"/>
      <c r="AD163" s="205" t="n"/>
      <c r="AE163" s="205" t="n"/>
      <c r="AF163" s="205" t="n"/>
      <c r="AG163" s="205" t="n"/>
      <c r="AH163" s="205" t="n"/>
      <c r="AI163" s="202" t="n"/>
    </row>
    <row r="164" ht="76.5" customHeight="1" s="169">
      <c r="A164" s="192" t="n">
        <v>128</v>
      </c>
      <c r="B164" s="193" t="inlineStr">
        <is>
          <t>Кран шаровой 11с67п Ду 125 Ру 16 ЦУФ.001 КШ укороченный полнопроходной фланцевый с рукояткой</t>
        </is>
      </c>
      <c r="C164" s="210" t="inlineStr">
        <is>
          <t>ТУ У 046714006-003-1999</t>
        </is>
      </c>
      <c r="D164" s="210" t="n">
        <v>125</v>
      </c>
      <c r="E164" s="210" t="inlineStr">
        <is>
          <t>полнопроходной</t>
        </is>
      </c>
      <c r="F164" s="210" t="n">
        <v>1.6</v>
      </c>
      <c r="G164" s="210" t="inlineStr">
        <is>
          <t>от -40 до +200</t>
        </is>
      </c>
      <c r="H164" s="210" t="inlineStr">
        <is>
          <t>вода</t>
        </is>
      </c>
      <c r="I164" s="210" t="inlineStr">
        <is>
          <t>сталь 20</t>
        </is>
      </c>
      <c r="J164" s="210" t="inlineStr">
        <is>
          <t>У1</t>
        </is>
      </c>
      <c r="K164" s="210" t="inlineStr">
        <is>
          <t>фланцевое</t>
        </is>
      </c>
      <c r="L164" s="210" t="inlineStr">
        <is>
          <t>ручное</t>
        </is>
      </c>
      <c r="M164" s="210" t="inlineStr">
        <is>
          <t>рукоятка</t>
        </is>
      </c>
      <c r="N164" s="210" t="inlineStr">
        <is>
          <t>любое</t>
        </is>
      </c>
      <c r="O164"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4" s="210" t="inlineStr">
        <is>
          <t>строительная длина 255мм</t>
        </is>
      </c>
      <c r="Q164" s="197" t="n"/>
      <c r="R164" s="198">
        <f>A164</f>
        <v/>
      </c>
      <c r="S164" s="205" t="n"/>
      <c r="T164" s="205" t="n"/>
      <c r="U164" s="205" t="n"/>
      <c r="V164" s="205" t="n"/>
      <c r="W164" s="205" t="n"/>
      <c r="X164" s="205" t="n"/>
      <c r="Y164" s="205" t="n"/>
      <c r="Z164" s="205" t="n"/>
      <c r="AA164" s="205" t="n"/>
      <c r="AB164" s="205" t="n"/>
      <c r="AC164" s="205" t="n"/>
      <c r="AD164" s="205" t="n"/>
      <c r="AE164" s="205" t="n"/>
      <c r="AF164" s="205" t="n"/>
      <c r="AG164" s="205" t="n"/>
      <c r="AH164" s="205" t="n"/>
      <c r="AI164" s="202" t="n"/>
    </row>
    <row r="165" ht="76.5" customHeight="1" s="169">
      <c r="A165" s="192" t="n">
        <v>129</v>
      </c>
      <c r="B165" s="193" t="inlineStr">
        <is>
          <t>Кран шаровой 11с67п Ду 150 Ру 16 ЦУФ.001 КШ укороченный полнопроходной фланцевый с рукояткой</t>
        </is>
      </c>
      <c r="C165" s="210" t="inlineStr">
        <is>
          <t>ТУ У 046714006-003-1999</t>
        </is>
      </c>
      <c r="D165" s="210" t="n">
        <v>150</v>
      </c>
      <c r="E165" s="210" t="inlineStr">
        <is>
          <t>полнопроходной</t>
        </is>
      </c>
      <c r="F165" s="210" t="n">
        <v>1.6</v>
      </c>
      <c r="G165" s="210" t="inlineStr">
        <is>
          <t>от -40 до +200</t>
        </is>
      </c>
      <c r="H165" s="210" t="inlineStr">
        <is>
          <t>вода</t>
        </is>
      </c>
      <c r="I165" s="210" t="inlineStr">
        <is>
          <t>сталь 20</t>
        </is>
      </c>
      <c r="J165" s="210" t="inlineStr">
        <is>
          <t>У1</t>
        </is>
      </c>
      <c r="K165" s="210" t="inlineStr">
        <is>
          <t>фланцевое</t>
        </is>
      </c>
      <c r="L165" s="210" t="inlineStr">
        <is>
          <t>ручное</t>
        </is>
      </c>
      <c r="M165" s="210" t="inlineStr">
        <is>
          <t>рукоятка</t>
        </is>
      </c>
      <c r="N165" s="210" t="inlineStr">
        <is>
          <t>любое</t>
        </is>
      </c>
      <c r="O16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5" s="210" t="inlineStr">
        <is>
          <t>строительная длина 280мм</t>
        </is>
      </c>
      <c r="Q165" s="197" t="n"/>
      <c r="R165" s="198">
        <f>A165</f>
        <v/>
      </c>
      <c r="S165" s="205" t="n"/>
      <c r="T165" s="205" t="n"/>
      <c r="U165" s="205" t="n"/>
      <c r="V165" s="205" t="n"/>
      <c r="W165" s="205" t="n"/>
      <c r="X165" s="205" t="n"/>
      <c r="Y165" s="205" t="n"/>
      <c r="Z165" s="205" t="n"/>
      <c r="AA165" s="205" t="n"/>
      <c r="AB165" s="205" t="n"/>
      <c r="AC165" s="205" t="n"/>
      <c r="AD165" s="205" t="n"/>
      <c r="AE165" s="205" t="n"/>
      <c r="AF165" s="205" t="n"/>
      <c r="AG165" s="205" t="n"/>
      <c r="AH165" s="205" t="n"/>
      <c r="AI165" s="202" t="n"/>
    </row>
    <row r="166" ht="76.5" customHeight="1" s="169">
      <c r="A166" s="192" t="n">
        <v>130</v>
      </c>
      <c r="B166" s="193" t="inlineStr">
        <is>
          <t>Кран шаровой 11с67п Ду 200 Ру 16 ЦУФ.001 КШ укороченный полнопроходной фланцевый с рукояткой</t>
        </is>
      </c>
      <c r="C166" s="210" t="inlineStr">
        <is>
          <t>ТУ У 046714006-003-1999</t>
        </is>
      </c>
      <c r="D166" s="210" t="n">
        <v>200</v>
      </c>
      <c r="E166" s="210" t="inlineStr">
        <is>
          <t>полнопроходной</t>
        </is>
      </c>
      <c r="F166" s="210" t="n">
        <v>1.6</v>
      </c>
      <c r="G166" s="210" t="inlineStr">
        <is>
          <t>от -40 до +200</t>
        </is>
      </c>
      <c r="H166" s="210" t="inlineStr">
        <is>
          <t>вода</t>
        </is>
      </c>
      <c r="I166" s="210" t="inlineStr">
        <is>
          <t>сталь 20</t>
        </is>
      </c>
      <c r="J166" s="210" t="inlineStr">
        <is>
          <t>У1</t>
        </is>
      </c>
      <c r="K166" s="210" t="inlineStr">
        <is>
          <t>фланцевое</t>
        </is>
      </c>
      <c r="L166" s="210" t="inlineStr">
        <is>
          <t>ручное</t>
        </is>
      </c>
      <c r="M166" s="210" t="inlineStr">
        <is>
          <t>рукоятка</t>
        </is>
      </c>
      <c r="N166" s="210" t="inlineStr">
        <is>
          <t>любое</t>
        </is>
      </c>
      <c r="O166"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6" s="210" t="inlineStr">
        <is>
          <t>строительная длина 330мм</t>
        </is>
      </c>
      <c r="Q166" s="197" t="n"/>
      <c r="R166" s="198">
        <f>A166</f>
        <v/>
      </c>
      <c r="S166" s="205" t="n"/>
      <c r="T166" s="205" t="n"/>
      <c r="U166" s="205" t="n"/>
      <c r="V166" s="205" t="n"/>
      <c r="W166" s="205" t="n"/>
      <c r="X166" s="205" t="n"/>
      <c r="Y166" s="205" t="n"/>
      <c r="Z166" s="205" t="n"/>
      <c r="AA166" s="205" t="n"/>
      <c r="AB166" s="205" t="n"/>
      <c r="AC166" s="205" t="n"/>
      <c r="AD166" s="205" t="n"/>
      <c r="AE166" s="205" t="n"/>
      <c r="AF166" s="205" t="n"/>
      <c r="AG166" s="205" t="n"/>
      <c r="AH166" s="205" t="n"/>
      <c r="AI166" s="202" t="n"/>
    </row>
    <row r="167" ht="63.75" customHeight="1" s="169">
      <c r="A167" s="192" t="n">
        <v>131</v>
      </c>
      <c r="B167" s="193" t="inlineStr">
        <is>
          <t>Кран шаровой 11с67п Ду 40 Ру 16 ЦУФ.001 КШ укороченный полнопроходной фланцевый с рукояткой</t>
        </is>
      </c>
      <c r="C167" s="210" t="inlineStr">
        <is>
          <t>ГОСТ 21345 ГОСТ 28343</t>
        </is>
      </c>
      <c r="D167" s="210" t="n">
        <v>40</v>
      </c>
      <c r="E167" s="210" t="inlineStr">
        <is>
          <t>полнопроходной</t>
        </is>
      </c>
      <c r="F167" s="210" t="n">
        <v>1.6</v>
      </c>
      <c r="G167" s="210" t="inlineStr">
        <is>
          <t>до +200°С</t>
        </is>
      </c>
      <c r="H167" s="210" t="inlineStr">
        <is>
          <t>вода</t>
        </is>
      </c>
      <c r="I167" s="210" t="inlineStr">
        <is>
          <t>сталь 20 ГОСТ 1050</t>
        </is>
      </c>
      <c r="J167" s="210" t="inlineStr">
        <is>
          <t>У1</t>
        </is>
      </c>
      <c r="K167" s="210" t="inlineStr">
        <is>
          <t>фланец-фланец</t>
        </is>
      </c>
      <c r="L167" s="210" t="inlineStr">
        <is>
          <t xml:space="preserve">Ручное </t>
        </is>
      </c>
      <c r="M167" s="210" t="inlineStr">
        <is>
          <t>Рукоятка</t>
        </is>
      </c>
      <c r="N167" s="210" t="inlineStr">
        <is>
          <t>любое</t>
        </is>
      </c>
      <c r="O167"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7" s="210" t="n"/>
      <c r="Q167" s="210" t="n"/>
      <c r="R167" s="198">
        <f>A167</f>
        <v/>
      </c>
      <c r="S167" s="205" t="n"/>
      <c r="T167" s="205" t="n"/>
      <c r="U167" s="205" t="n"/>
      <c r="V167" s="205" t="n"/>
      <c r="W167" s="205" t="n"/>
      <c r="X167" s="205" t="n"/>
      <c r="Y167" s="205" t="n"/>
      <c r="Z167" s="205" t="n"/>
      <c r="AA167" s="205" t="n"/>
      <c r="AB167" s="205" t="n"/>
      <c r="AC167" s="205" t="n"/>
      <c r="AD167" s="205" t="n"/>
      <c r="AE167" s="205" t="n"/>
      <c r="AF167" s="205" t="n"/>
      <c r="AG167" s="205" t="n"/>
      <c r="AH167" s="205" t="n"/>
      <c r="AI167" s="202" t="n"/>
    </row>
    <row r="168" ht="63.75" customHeight="1" s="169">
      <c r="A168" s="192" t="n">
        <v>132</v>
      </c>
      <c r="B168" s="193" t="inlineStr">
        <is>
          <t>Кран шаровой 11с67п Ду 50 Ру 16 ЦУФ.001 КШ укороченный полнопроходной фланцевый с рукояткой</t>
        </is>
      </c>
      <c r="C168" s="210" t="inlineStr">
        <is>
          <t>ГОСТ 21345 ГОСТ 28343</t>
        </is>
      </c>
      <c r="D168" s="210" t="n">
        <v>50</v>
      </c>
      <c r="E168" s="210" t="inlineStr">
        <is>
          <t>полнопроходной</t>
        </is>
      </c>
      <c r="F168" s="210" t="n">
        <v>1.6</v>
      </c>
      <c r="G168" s="210" t="inlineStr">
        <is>
          <t>до +200°С</t>
        </is>
      </c>
      <c r="H168" s="210" t="inlineStr">
        <is>
          <t>вода</t>
        </is>
      </c>
      <c r="I168" s="210" t="inlineStr">
        <is>
          <t>сталь 20 ГОСТ 1050</t>
        </is>
      </c>
      <c r="J168" s="210" t="inlineStr">
        <is>
          <t>У1</t>
        </is>
      </c>
      <c r="K168" s="210" t="inlineStr">
        <is>
          <t>фланец-фланец</t>
        </is>
      </c>
      <c r="L168" s="210" t="inlineStr">
        <is>
          <t xml:space="preserve">Ручное </t>
        </is>
      </c>
      <c r="M168" s="210" t="inlineStr">
        <is>
          <t>Рукоятка</t>
        </is>
      </c>
      <c r="N168" s="210" t="inlineStr">
        <is>
          <t>любое</t>
        </is>
      </c>
      <c r="O168"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8" s="210" t="n"/>
      <c r="Q168" s="210" t="n"/>
      <c r="R168" s="198">
        <f>A168</f>
        <v/>
      </c>
      <c r="S168" s="205" t="n"/>
      <c r="T168" s="205" t="n"/>
      <c r="U168" s="205" t="n"/>
      <c r="V168" s="205" t="n"/>
      <c r="W168" s="205" t="n"/>
      <c r="X168" s="205" t="n"/>
      <c r="Y168" s="205" t="n"/>
      <c r="Z168" s="205" t="n"/>
      <c r="AA168" s="205" t="n"/>
      <c r="AB168" s="205" t="n"/>
      <c r="AC168" s="205" t="n"/>
      <c r="AD168" s="205" t="n"/>
      <c r="AE168" s="205" t="n"/>
      <c r="AF168" s="205" t="n"/>
      <c r="AG168" s="205" t="n"/>
      <c r="AH168" s="205" t="n"/>
      <c r="AI168" s="202" t="n"/>
    </row>
    <row r="169" ht="63.75" customHeight="1" s="169">
      <c r="A169" s="192" t="n">
        <v>133</v>
      </c>
      <c r="B169" s="193" t="inlineStr">
        <is>
          <t>Кран шаровой 11с67п Ду 65 Ру 16 ЦУФ.001 КШ укороченный полнопроходной фланцевый с рукояткой</t>
        </is>
      </c>
      <c r="C169" s="210" t="inlineStr">
        <is>
          <t>ГОСТ 21345 ГОСТ 28343</t>
        </is>
      </c>
      <c r="D169" s="210" t="n">
        <v>65</v>
      </c>
      <c r="E169" s="210" t="inlineStr">
        <is>
          <t>полнопроходной</t>
        </is>
      </c>
      <c r="F169" s="210" t="n">
        <v>1.6</v>
      </c>
      <c r="G169" s="210" t="inlineStr">
        <is>
          <t>до +200°С</t>
        </is>
      </c>
      <c r="H169" s="210" t="inlineStr">
        <is>
          <t>вода</t>
        </is>
      </c>
      <c r="I169" s="210" t="inlineStr">
        <is>
          <t>сталь 20 ГОСТ 1050</t>
        </is>
      </c>
      <c r="J169" s="210" t="inlineStr">
        <is>
          <t>У1</t>
        </is>
      </c>
      <c r="K169" s="210" t="inlineStr">
        <is>
          <t>фланец-фланец</t>
        </is>
      </c>
      <c r="L169" s="210" t="inlineStr">
        <is>
          <t xml:space="preserve">Ручное </t>
        </is>
      </c>
      <c r="M169" s="210" t="inlineStr">
        <is>
          <t>Рукоятка</t>
        </is>
      </c>
      <c r="N169" s="210" t="inlineStr">
        <is>
          <t>любое</t>
        </is>
      </c>
      <c r="O169"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9" s="210" t="n"/>
      <c r="Q169" s="210" t="n"/>
      <c r="R169" s="198">
        <f>A169</f>
        <v/>
      </c>
      <c r="S169" s="205" t="n"/>
      <c r="T169" s="205" t="n"/>
      <c r="U169" s="205" t="n"/>
      <c r="V169" s="205" t="n"/>
      <c r="W169" s="205" t="n"/>
      <c r="X169" s="205" t="n"/>
      <c r="Y169" s="205" t="n"/>
      <c r="Z169" s="205" t="n"/>
      <c r="AA169" s="205" t="n"/>
      <c r="AB169" s="205" t="n"/>
      <c r="AC169" s="205" t="n"/>
      <c r="AD169" s="205" t="n"/>
      <c r="AE169" s="205" t="n"/>
      <c r="AF169" s="205" t="n"/>
      <c r="AG169" s="205" t="n"/>
      <c r="AH169" s="205" t="n"/>
      <c r="AI169" s="202" t="n"/>
    </row>
    <row r="170" ht="63.75" customFormat="1" customHeight="1" s="171">
      <c r="A170" s="192" t="n">
        <v>134</v>
      </c>
      <c r="B170" s="193" t="inlineStr">
        <is>
          <t>Кран шаровой 11с67п Ду 80 Ру 16 ЦУФ.001 КШ укороченный полнопроходной фланцевый с рукояткой</t>
        </is>
      </c>
      <c r="C170" s="210" t="inlineStr">
        <is>
          <t>ГОСТ 21345 ГОСТ 28343</t>
        </is>
      </c>
      <c r="D170" s="210" t="n">
        <v>80</v>
      </c>
      <c r="E170" s="210" t="inlineStr">
        <is>
          <t>полнопроходной</t>
        </is>
      </c>
      <c r="F170" s="210" t="n">
        <v>1.6</v>
      </c>
      <c r="G170" s="210" t="inlineStr">
        <is>
          <t>до +200°С</t>
        </is>
      </c>
      <c r="H170" s="210" t="inlineStr">
        <is>
          <t>вода</t>
        </is>
      </c>
      <c r="I170" s="210" t="inlineStr">
        <is>
          <t>сталь 20 ГОСТ 1050</t>
        </is>
      </c>
      <c r="J170" s="210" t="inlineStr">
        <is>
          <t>У1</t>
        </is>
      </c>
      <c r="K170" s="210" t="inlineStr">
        <is>
          <t>фланец-фланец</t>
        </is>
      </c>
      <c r="L170" s="210" t="inlineStr">
        <is>
          <t xml:space="preserve">Ручное </t>
        </is>
      </c>
      <c r="M170" s="210" t="inlineStr">
        <is>
          <t>Рукоятка</t>
        </is>
      </c>
      <c r="N170" s="210" t="inlineStr">
        <is>
          <t>любое</t>
        </is>
      </c>
      <c r="O170"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70" s="210" t="n"/>
      <c r="Q170" s="210" t="n"/>
      <c r="R170" s="198">
        <f>A170</f>
        <v/>
      </c>
      <c r="S170" s="205" t="n"/>
      <c r="T170" s="205" t="n"/>
      <c r="U170" s="205" t="n"/>
      <c r="V170" s="205" t="n"/>
      <c r="W170" s="205" t="n"/>
      <c r="X170" s="205" t="n"/>
      <c r="Y170" s="205" t="n"/>
      <c r="Z170" s="205" t="n"/>
      <c r="AA170" s="205" t="n"/>
      <c r="AB170" s="205" t="n"/>
      <c r="AC170" s="205" t="n"/>
      <c r="AD170" s="205" t="n"/>
      <c r="AE170" s="205" t="n"/>
      <c r="AF170" s="205" t="n"/>
      <c r="AG170" s="205" t="n"/>
      <c r="AH170" s="205" t="n"/>
      <c r="AI170" s="202" t="n"/>
    </row>
    <row r="171" ht="51" customFormat="1" customHeight="1" s="171">
      <c r="A171" s="192" t="n">
        <v>135</v>
      </c>
      <c r="B171" s="193" t="inlineStr">
        <is>
          <t>Кран шаровой нержавеющий G1/2" муфтовый, полнопроходной, Ду 15 Ру 63</t>
        </is>
      </c>
      <c r="C171" s="229" t="n"/>
      <c r="D171" s="210" t="n">
        <v>15</v>
      </c>
      <c r="E171" s="210" t="inlineStr">
        <is>
          <t>полный</t>
        </is>
      </c>
      <c r="F171" s="210" t="n">
        <v>6.3</v>
      </c>
      <c r="G171" s="247" t="inlineStr">
        <is>
          <t>от -20 до +180 oC</t>
        </is>
      </c>
      <c r="H171" s="210" t="inlineStr">
        <is>
          <t>Коррозионная</t>
        </is>
      </c>
      <c r="I171" s="247" t="inlineStr">
        <is>
          <t>Нержавеющая сталь AISI/SS 316/08Х17Н13М2</t>
        </is>
      </c>
      <c r="J171" s="210" t="inlineStr">
        <is>
          <t>у1</t>
        </is>
      </c>
      <c r="K171" s="210" t="inlineStr">
        <is>
          <t>резьбовое</t>
        </is>
      </c>
      <c r="L171" s="210" t="inlineStr">
        <is>
          <t xml:space="preserve">рычаг </t>
        </is>
      </c>
      <c r="M171" s="210" t="inlineStr">
        <is>
          <t>ручное</t>
        </is>
      </c>
      <c r="N171" s="210" t="inlineStr">
        <is>
          <t>любое</t>
        </is>
      </c>
      <c r="O171" s="210" t="inlineStr">
        <is>
          <t xml:space="preserve">шар Нержавеющая сталь AISI/SS 316/08Х17Н13М2. Уплотнение шара: PTFE </t>
        </is>
      </c>
      <c r="P171" s="210" t="inlineStr">
        <is>
          <t>Длина 52 мм</t>
        </is>
      </c>
      <c r="Q171" s="210" t="n"/>
      <c r="R171" s="198">
        <f>A171</f>
        <v/>
      </c>
      <c r="S171" s="205" t="n"/>
      <c r="T171" s="205" t="n"/>
      <c r="U171" s="205" t="n"/>
      <c r="V171" s="205" t="n"/>
      <c r="W171" s="205" t="n"/>
      <c r="X171" s="205" t="n"/>
      <c r="Y171" s="205" t="n"/>
      <c r="Z171" s="205" t="n"/>
      <c r="AA171" s="205" t="n"/>
      <c r="AB171" s="205" t="n"/>
      <c r="AC171" s="205" t="n"/>
      <c r="AD171" s="205" t="n"/>
      <c r="AE171" s="205" t="n"/>
      <c r="AF171" s="205" t="n"/>
      <c r="AG171" s="205" t="n"/>
      <c r="AH171" s="205" t="n"/>
      <c r="AI171" s="202" t="n"/>
    </row>
    <row r="172" ht="165.75" customFormat="1" customHeight="1" s="171">
      <c r="A172" s="192" t="n">
        <v>136</v>
      </c>
      <c r="B172" s="193" t="inlineStr">
        <is>
          <t>Кран шаровый LD неполнопроходной 11с67п КШЦФ Ду 200 Ру 16 с КОФ</t>
        </is>
      </c>
      <c r="C172" s="210" t="inlineStr">
        <is>
          <t>ТУ 3742-001-45630744-2003</t>
        </is>
      </c>
      <c r="D172" s="210" t="n">
        <v>200</v>
      </c>
      <c r="E172" s="210" t="inlineStr">
        <is>
          <t>неполнопроходный</t>
        </is>
      </c>
      <c r="F172" s="210" t="n">
        <v>1.6</v>
      </c>
      <c r="G172" s="210" t="inlineStr">
        <is>
          <t>от -40°С до +200°С</t>
        </is>
      </c>
      <c r="H172" s="210" t="inlineStr">
        <is>
          <t>Вода, нефтепродукты и другие нетоксичные и неагрессивные среды</t>
        </is>
      </c>
      <c r="I172" s="210" t="inlineStr">
        <is>
          <t>Сталь 20</t>
        </is>
      </c>
      <c r="J172" s="210" t="inlineStr">
        <is>
          <t>У1</t>
        </is>
      </c>
      <c r="K172" s="210" t="inlineStr">
        <is>
          <t>фланцевое</t>
        </is>
      </c>
      <c r="L172" s="210" t="inlineStr">
        <is>
          <t>рукоятка</t>
        </is>
      </c>
      <c r="M172" s="210" t="n"/>
      <c r="N172" s="210" t="inlineStr">
        <is>
          <t>любое</t>
        </is>
      </c>
      <c r="O172"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2" s="210" t="inlineStr">
        <is>
          <t>строительная длина 330мм</t>
        </is>
      </c>
      <c r="Q172" s="210" t="n"/>
      <c r="R172" s="198">
        <f>A172</f>
        <v/>
      </c>
      <c r="S172" s="205" t="n"/>
      <c r="T172" s="205" t="n"/>
      <c r="U172" s="205" t="n"/>
      <c r="V172" s="205" t="n"/>
      <c r="W172" s="205" t="n"/>
      <c r="X172" s="205" t="n"/>
      <c r="Y172" s="205" t="n"/>
      <c r="Z172" s="205" t="n"/>
      <c r="AA172" s="205" t="n"/>
      <c r="AB172" s="205" t="n"/>
      <c r="AC172" s="205" t="n"/>
      <c r="AD172" s="205" t="n"/>
      <c r="AE172" s="205" t="n"/>
      <c r="AF172" s="205" t="n"/>
      <c r="AG172" s="205" t="n"/>
      <c r="AH172" s="205" t="n"/>
      <c r="AI172" s="202" t="n"/>
    </row>
    <row r="173" ht="165.75" customHeight="1" s="169">
      <c r="A173" s="192" t="n">
        <v>137</v>
      </c>
      <c r="B173" s="193" t="inlineStr">
        <is>
          <t>Кран шаровый LD полнопроходной 11с67п КШРФ Ду 100 Ру 16 с КОФ</t>
        </is>
      </c>
      <c r="C173" s="210" t="inlineStr">
        <is>
          <t>ТУ 3742-005-74212539-2015</t>
        </is>
      </c>
      <c r="D173" s="210" t="n">
        <v>100</v>
      </c>
      <c r="E173" s="210" t="inlineStr">
        <is>
          <t>полнопроходный</t>
        </is>
      </c>
      <c r="F173" s="210" t="n">
        <v>1.6</v>
      </c>
      <c r="G173" s="210" t="inlineStr">
        <is>
          <t>от -40°С до +200°С</t>
        </is>
      </c>
      <c r="H173" s="210" t="inlineStr">
        <is>
          <t>Вода, нефтепродукты и другие нетоксичные и неагрессивные среды</t>
        </is>
      </c>
      <c r="I173" s="210" t="inlineStr">
        <is>
          <t>Сталь 20</t>
        </is>
      </c>
      <c r="J173" s="210" t="inlineStr">
        <is>
          <t>У1</t>
        </is>
      </c>
      <c r="K173" s="210" t="inlineStr">
        <is>
          <t>фланцевое</t>
        </is>
      </c>
      <c r="L173" s="210" t="inlineStr">
        <is>
          <t>рукоятка</t>
        </is>
      </c>
      <c r="M173" s="210" t="n"/>
      <c r="N173" s="210" t="inlineStr">
        <is>
          <t>любое</t>
        </is>
      </c>
      <c r="O173"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3" s="210" t="inlineStr">
        <is>
          <t>строительная длина 230мм</t>
        </is>
      </c>
      <c r="Q173" s="210" t="inlineStr">
        <is>
          <t>-</t>
        </is>
      </c>
      <c r="R173" s="198">
        <f>A173</f>
        <v/>
      </c>
      <c r="S173" s="205" t="n"/>
      <c r="T173" s="205" t="n"/>
      <c r="U173" s="205" t="n"/>
      <c r="V173" s="205" t="n"/>
      <c r="W173" s="205" t="n"/>
      <c r="X173" s="205" t="n"/>
      <c r="Y173" s="205" t="n"/>
      <c r="Z173" s="205" t="n"/>
      <c r="AA173" s="205" t="n"/>
      <c r="AB173" s="205" t="n"/>
      <c r="AC173" s="205" t="n"/>
      <c r="AD173" s="205" t="n"/>
      <c r="AE173" s="205" t="n"/>
      <c r="AF173" s="205" t="n"/>
      <c r="AG173" s="205" t="n"/>
      <c r="AH173" s="205" t="n"/>
      <c r="AI173" s="202" t="n"/>
    </row>
    <row r="174" ht="165.75" customHeight="1" s="169">
      <c r="A174" s="192" t="n">
        <v>138</v>
      </c>
      <c r="B174" s="193" t="inlineStr">
        <is>
          <t>Кран шаровый LD полнопроходной 11с67п КШРФ Ду 125 Ру 16 с КОФ</t>
        </is>
      </c>
      <c r="C174" s="210" t="inlineStr">
        <is>
          <t>ТУ 3742-005-74212539-2015</t>
        </is>
      </c>
      <c r="D174" s="210" t="n">
        <v>125</v>
      </c>
      <c r="E174" s="210" t="inlineStr">
        <is>
          <t>полнопроходный</t>
        </is>
      </c>
      <c r="F174" s="210" t="n">
        <v>1.6</v>
      </c>
      <c r="G174" s="210" t="inlineStr">
        <is>
          <t>от -40°С до +200°С</t>
        </is>
      </c>
      <c r="H174" s="210" t="inlineStr">
        <is>
          <t>Вода, нефтепродукты и другие нетоксичные и неагрессивные среды</t>
        </is>
      </c>
      <c r="I174" s="210" t="inlineStr">
        <is>
          <t>Сталь 20</t>
        </is>
      </c>
      <c r="J174" s="210" t="inlineStr">
        <is>
          <t>У1</t>
        </is>
      </c>
      <c r="K174" s="210" t="inlineStr">
        <is>
          <t>фланцевое</t>
        </is>
      </c>
      <c r="L174" s="210" t="inlineStr">
        <is>
          <t>рукоятка</t>
        </is>
      </c>
      <c r="M174" s="210" t="n"/>
      <c r="N174" s="210" t="inlineStr">
        <is>
          <t>любое</t>
        </is>
      </c>
      <c r="O17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4" s="210" t="inlineStr">
        <is>
          <t>строительная длина 255 мм</t>
        </is>
      </c>
      <c r="Q174" s="210" t="inlineStr">
        <is>
          <t>-</t>
        </is>
      </c>
      <c r="R174" s="198">
        <f>A174</f>
        <v/>
      </c>
      <c r="S174" s="205" t="n"/>
      <c r="T174" s="205" t="n"/>
      <c r="U174" s="205" t="n"/>
      <c r="V174" s="205" t="n"/>
      <c r="W174" s="205" t="n"/>
      <c r="X174" s="205" t="n"/>
      <c r="Y174" s="205" t="n"/>
      <c r="Z174" s="205" t="n"/>
      <c r="AA174" s="205" t="n"/>
      <c r="AB174" s="205" t="n"/>
      <c r="AC174" s="205" t="n"/>
      <c r="AD174" s="205" t="n"/>
      <c r="AE174" s="205" t="n"/>
      <c r="AF174" s="205" t="n"/>
      <c r="AG174" s="205" t="n"/>
      <c r="AH174" s="205" t="n"/>
      <c r="AI174" s="202" t="n"/>
    </row>
    <row r="175" ht="165.75" customHeight="1" s="169">
      <c r="A175" s="192" t="n">
        <v>139</v>
      </c>
      <c r="B175" s="193" t="inlineStr">
        <is>
          <t>Кран шаровый LD полнопроходной 11с67п КШРФ Ду 150 Ру 16 с КОФ</t>
        </is>
      </c>
      <c r="C175" s="210" t="inlineStr">
        <is>
          <t>ТУ 3742-005-74212539-2015</t>
        </is>
      </c>
      <c r="D175" s="210" t="n">
        <v>150</v>
      </c>
      <c r="E175" s="210" t="inlineStr">
        <is>
          <t>полнопроходный</t>
        </is>
      </c>
      <c r="F175" s="210" t="n">
        <v>1.6</v>
      </c>
      <c r="G175" s="210" t="inlineStr">
        <is>
          <t>от -40°С до +200°С</t>
        </is>
      </c>
      <c r="H175" s="210" t="inlineStr">
        <is>
          <t>Вода, нефтепродукты и другие нетоксичные и неагрессивные среды</t>
        </is>
      </c>
      <c r="I175" s="210" t="inlineStr">
        <is>
          <t>Сталь 20</t>
        </is>
      </c>
      <c r="J175" s="210" t="inlineStr">
        <is>
          <t>У1</t>
        </is>
      </c>
      <c r="K175" s="210" t="inlineStr">
        <is>
          <t>фланцевое</t>
        </is>
      </c>
      <c r="L175" s="210" t="inlineStr">
        <is>
          <t>рукоятка</t>
        </is>
      </c>
      <c r="M175" s="210" t="n"/>
      <c r="N175" s="210" t="inlineStr">
        <is>
          <t>любое</t>
        </is>
      </c>
      <c r="O17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5" s="210" t="inlineStr">
        <is>
          <t>строительная длина 280мм</t>
        </is>
      </c>
      <c r="Q175" s="210" t="inlineStr">
        <is>
          <t>-</t>
        </is>
      </c>
      <c r="R175" s="198">
        <f>A175</f>
        <v/>
      </c>
      <c r="S175" s="205" t="n"/>
      <c r="T175" s="205" t="n"/>
      <c r="U175" s="205" t="n"/>
      <c r="V175" s="205" t="n"/>
      <c r="W175" s="205" t="n"/>
      <c r="X175" s="205" t="n"/>
      <c r="Y175" s="205" t="n"/>
      <c r="Z175" s="205" t="n"/>
      <c r="AA175" s="205" t="n"/>
      <c r="AB175" s="205" t="n"/>
      <c r="AC175" s="205" t="n"/>
      <c r="AD175" s="205" t="n"/>
      <c r="AE175" s="205" t="n"/>
      <c r="AF175" s="205" t="n"/>
      <c r="AG175" s="205" t="n"/>
      <c r="AH175" s="205" t="n"/>
      <c r="AI175" s="202" t="n"/>
    </row>
    <row r="176" ht="165.75" customHeight="1" s="169">
      <c r="A176" s="192" t="n">
        <v>140</v>
      </c>
      <c r="B176" s="193" t="inlineStr">
        <is>
          <t>Кран шаровый LD полнопроходной 11с67п КШРФ Ду 25 Ру 16 с КОФ</t>
        </is>
      </c>
      <c r="C176" s="210" t="inlineStr">
        <is>
          <t>ТУ 3742-005-74212539-2015</t>
        </is>
      </c>
      <c r="D176" s="210" t="n">
        <v>25</v>
      </c>
      <c r="E176" s="210" t="inlineStr">
        <is>
          <t>полнопроходный</t>
        </is>
      </c>
      <c r="F176" s="210" t="n">
        <v>1.6</v>
      </c>
      <c r="G176" s="210" t="inlineStr">
        <is>
          <t>от -40°С до +200°С</t>
        </is>
      </c>
      <c r="H176" s="210" t="inlineStr">
        <is>
          <t>Вода, нефтепродукты и другие нетоксичные и неагрессивные среды</t>
        </is>
      </c>
      <c r="I176" s="210" t="inlineStr">
        <is>
          <t>Сталь 20</t>
        </is>
      </c>
      <c r="J176" s="210" t="inlineStr">
        <is>
          <t>У1</t>
        </is>
      </c>
      <c r="K176" s="210" t="inlineStr">
        <is>
          <t>фланцевое</t>
        </is>
      </c>
      <c r="L176" s="210" t="inlineStr">
        <is>
          <t>рукоятка</t>
        </is>
      </c>
      <c r="M176" s="210" t="n"/>
      <c r="N176" s="210" t="inlineStr">
        <is>
          <t>любое</t>
        </is>
      </c>
      <c r="O176"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6" s="210" t="inlineStr">
        <is>
          <t>строительная длина 127мм</t>
        </is>
      </c>
      <c r="Q176" s="210" t="n"/>
      <c r="R176" s="198">
        <f>A176</f>
        <v/>
      </c>
      <c r="S176" s="205" t="n"/>
      <c r="T176" s="205" t="n"/>
      <c r="U176" s="205" t="n"/>
      <c r="V176" s="205" t="n"/>
      <c r="W176" s="205" t="n"/>
      <c r="X176" s="205" t="n"/>
      <c r="Y176" s="205" t="n"/>
      <c r="Z176" s="205" t="n"/>
      <c r="AA176" s="205" t="n"/>
      <c r="AB176" s="205" t="n"/>
      <c r="AC176" s="205" t="n"/>
      <c r="AD176" s="205" t="n"/>
      <c r="AE176" s="205" t="n"/>
      <c r="AF176" s="205" t="n"/>
      <c r="AG176" s="205" t="n"/>
      <c r="AH176" s="205" t="n"/>
      <c r="AI176" s="202" t="n"/>
    </row>
    <row r="177" ht="165.75" customHeight="1" s="169">
      <c r="A177" s="192" t="n">
        <v>141</v>
      </c>
      <c r="B177" s="193" t="inlineStr">
        <is>
          <t>Кран шаровый LD полнопроходной 11с67п КШРФ Ду 32 Ру 16 с КОФ</t>
        </is>
      </c>
      <c r="C177" s="210" t="inlineStr">
        <is>
          <t>ТУ 3742-005-74212539-2015</t>
        </is>
      </c>
      <c r="D177" s="210" t="n">
        <v>32</v>
      </c>
      <c r="E177" s="210" t="inlineStr">
        <is>
          <t>полнопроходный</t>
        </is>
      </c>
      <c r="F177" s="210" t="n">
        <v>1.6</v>
      </c>
      <c r="G177" s="210" t="inlineStr">
        <is>
          <t>от -40°С до +200°С</t>
        </is>
      </c>
      <c r="H177" s="210" t="inlineStr">
        <is>
          <t>Вода, нефтепродукты и другие нетоксичные и неагрессивные среды</t>
        </is>
      </c>
      <c r="I177" s="210" t="inlineStr">
        <is>
          <t>Сталь 20</t>
        </is>
      </c>
      <c r="J177" s="210" t="inlineStr">
        <is>
          <t>У1</t>
        </is>
      </c>
      <c r="K177" s="210" t="inlineStr">
        <is>
          <t>фланцевое</t>
        </is>
      </c>
      <c r="L177" s="210" t="inlineStr">
        <is>
          <t>рукоятка</t>
        </is>
      </c>
      <c r="M177" s="210" t="n"/>
      <c r="N177" s="210" t="inlineStr">
        <is>
          <t>любое</t>
        </is>
      </c>
      <c r="O177"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7" s="210" t="inlineStr">
        <is>
          <t>строительная длина 140мм</t>
        </is>
      </c>
      <c r="Q177" s="210" t="n"/>
      <c r="R177" s="198">
        <f>A177</f>
        <v/>
      </c>
      <c r="S177" s="205" t="n"/>
      <c r="T177" s="205" t="n"/>
      <c r="U177" s="205" t="n"/>
      <c r="V177" s="205" t="n"/>
      <c r="W177" s="205" t="n"/>
      <c r="X177" s="205" t="n"/>
      <c r="Y177" s="205" t="n"/>
      <c r="Z177" s="205" t="n"/>
      <c r="AA177" s="205" t="n"/>
      <c r="AB177" s="205" t="n"/>
      <c r="AC177" s="205" t="n"/>
      <c r="AD177" s="205" t="n"/>
      <c r="AE177" s="205" t="n"/>
      <c r="AF177" s="205" t="n"/>
      <c r="AG177" s="205" t="n"/>
      <c r="AH177" s="205" t="n"/>
      <c r="AI177" s="202" t="n"/>
    </row>
    <row r="178" ht="165.75" customHeight="1" s="169">
      <c r="A178" s="192" t="n">
        <v>142</v>
      </c>
      <c r="B178" s="193" t="inlineStr">
        <is>
          <t>Кран шаровый LD полнопроходной 11с67п КШРФ Ду 40 Ру 16 с КОФ</t>
        </is>
      </c>
      <c r="C178" s="210" t="inlineStr">
        <is>
          <t>ТУ 3742-005-74212539-2015</t>
        </is>
      </c>
      <c r="D178" s="210" t="n">
        <v>40</v>
      </c>
      <c r="E178" s="210" t="inlineStr">
        <is>
          <t>полнопроходный</t>
        </is>
      </c>
      <c r="F178" s="210" t="n">
        <v>1.6</v>
      </c>
      <c r="G178" s="210" t="inlineStr">
        <is>
          <t>от -40°С до +200°С</t>
        </is>
      </c>
      <c r="H178" s="210" t="inlineStr">
        <is>
          <t>Вода, нефтепродукты и другие нетоксичные и неагрессивные среды</t>
        </is>
      </c>
      <c r="I178" s="210" t="inlineStr">
        <is>
          <t>Сталь 20</t>
        </is>
      </c>
      <c r="J178" s="210" t="inlineStr">
        <is>
          <t>У1</t>
        </is>
      </c>
      <c r="K178" s="210" t="inlineStr">
        <is>
          <t>фланцевое</t>
        </is>
      </c>
      <c r="L178" s="210" t="inlineStr">
        <is>
          <t>рукоятка</t>
        </is>
      </c>
      <c r="M178" s="210" t="n"/>
      <c r="N178" s="210" t="inlineStr">
        <is>
          <t>любое</t>
        </is>
      </c>
      <c r="O178"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8" s="210" t="inlineStr">
        <is>
          <t>строительная длина 165мм</t>
        </is>
      </c>
      <c r="Q178" s="210" t="n"/>
      <c r="R178" s="198">
        <f>A178</f>
        <v/>
      </c>
      <c r="S178" s="205" t="n"/>
      <c r="T178" s="205" t="n"/>
      <c r="U178" s="205" t="n"/>
      <c r="V178" s="205" t="n"/>
      <c r="W178" s="205" t="n"/>
      <c r="X178" s="205" t="n"/>
      <c r="Y178" s="205" t="n"/>
      <c r="Z178" s="205" t="n"/>
      <c r="AA178" s="205" t="n"/>
      <c r="AB178" s="205" t="n"/>
      <c r="AC178" s="205" t="n"/>
      <c r="AD178" s="205" t="n"/>
      <c r="AE178" s="205" t="n"/>
      <c r="AF178" s="205" t="n"/>
      <c r="AG178" s="205" t="n"/>
      <c r="AH178" s="205" t="n"/>
      <c r="AI178" s="202" t="n"/>
    </row>
    <row r="179" ht="165.75" customHeight="1" s="169">
      <c r="A179" s="192" t="n">
        <v>143</v>
      </c>
      <c r="B179" s="193" t="inlineStr">
        <is>
          <t>Кран шаровый LD полнопроходной 11с67п КШРФ Ду 50 Ру 16 с КОФ</t>
        </is>
      </c>
      <c r="C179" s="210" t="inlineStr">
        <is>
          <t>ТУ 3742-005-74212539-2015</t>
        </is>
      </c>
      <c r="D179" s="210" t="n">
        <v>50</v>
      </c>
      <c r="E179" s="210" t="inlineStr">
        <is>
          <t>полнопроходный</t>
        </is>
      </c>
      <c r="F179" s="210" t="n">
        <v>1.6</v>
      </c>
      <c r="G179" s="210" t="inlineStr">
        <is>
          <t>от -40°С до +200°С</t>
        </is>
      </c>
      <c r="H179" s="210" t="inlineStr">
        <is>
          <t>Вода, нефтепродукты и другие нетоксичные и неагрессивные среды</t>
        </is>
      </c>
      <c r="I179" s="210" t="inlineStr">
        <is>
          <t>Сталь 20</t>
        </is>
      </c>
      <c r="J179" s="210" t="inlineStr">
        <is>
          <t>У1</t>
        </is>
      </c>
      <c r="K179" s="210" t="inlineStr">
        <is>
          <t>фланцевое</t>
        </is>
      </c>
      <c r="L179" s="210" t="inlineStr">
        <is>
          <t>рукоятка</t>
        </is>
      </c>
      <c r="M179" s="210" t="n"/>
      <c r="N179" s="210" t="inlineStr">
        <is>
          <t>любое</t>
        </is>
      </c>
      <c r="O179"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9" s="210" t="inlineStr">
        <is>
          <t>строительная длина 180мм</t>
        </is>
      </c>
      <c r="Q179" s="210" t="n"/>
      <c r="R179" s="198">
        <f>A179</f>
        <v/>
      </c>
      <c r="S179" s="205" t="n"/>
      <c r="T179" s="205" t="n"/>
      <c r="U179" s="205" t="n"/>
      <c r="V179" s="205" t="n"/>
      <c r="W179" s="205" t="n"/>
      <c r="X179" s="205" t="n"/>
      <c r="Y179" s="205" t="n"/>
      <c r="Z179" s="205" t="n"/>
      <c r="AA179" s="205" t="n"/>
      <c r="AB179" s="205" t="n"/>
      <c r="AC179" s="205" t="n"/>
      <c r="AD179" s="205" t="n"/>
      <c r="AE179" s="205" t="n"/>
      <c r="AF179" s="205" t="n"/>
      <c r="AG179" s="205" t="n"/>
      <c r="AH179" s="205" t="n"/>
      <c r="AI179" s="202" t="n"/>
    </row>
    <row r="180" ht="165.75" customHeight="1" s="169">
      <c r="A180" s="192" t="n">
        <v>144</v>
      </c>
      <c r="B180" s="193" t="inlineStr">
        <is>
          <t>Кран шаровый LD полнопроходной 11с67п КШРФ Ду 65 Ру 16 с КОФ</t>
        </is>
      </c>
      <c r="C180" s="210" t="inlineStr">
        <is>
          <t>ТУ 3742-005-74212539-2015</t>
        </is>
      </c>
      <c r="D180" s="210" t="n">
        <v>65</v>
      </c>
      <c r="E180" s="210" t="inlineStr">
        <is>
          <t>полнопроходный</t>
        </is>
      </c>
      <c r="F180" s="210" t="n">
        <v>1.6</v>
      </c>
      <c r="G180" s="210" t="inlineStr">
        <is>
          <t>от -40°С до +200°С</t>
        </is>
      </c>
      <c r="H180" s="210" t="inlineStr">
        <is>
          <t>Вода, нефтепродукты и другие нетоксичные и неагрессивные среды</t>
        </is>
      </c>
      <c r="I180" s="210" t="inlineStr">
        <is>
          <t>Сталь 20</t>
        </is>
      </c>
      <c r="J180" s="210" t="inlineStr">
        <is>
          <t>У1</t>
        </is>
      </c>
      <c r="K180" s="210" t="inlineStr">
        <is>
          <t>фланцевое</t>
        </is>
      </c>
      <c r="L180" s="210" t="inlineStr">
        <is>
          <t>рукоятка</t>
        </is>
      </c>
      <c r="M180" s="210" t="n"/>
      <c r="N180" s="210" t="inlineStr">
        <is>
          <t>любое</t>
        </is>
      </c>
      <c r="O180"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0" s="210" t="inlineStr">
        <is>
          <t>строительная длина 200мм</t>
        </is>
      </c>
      <c r="Q180" s="210" t="n"/>
      <c r="R180" s="198">
        <f>A180</f>
        <v/>
      </c>
      <c r="S180" s="205" t="n"/>
      <c r="T180" s="205" t="n"/>
      <c r="U180" s="205" t="n"/>
      <c r="V180" s="205" t="n"/>
      <c r="W180" s="205" t="n"/>
      <c r="X180" s="205" t="n"/>
      <c r="Y180" s="205" t="n"/>
      <c r="Z180" s="205" t="n"/>
      <c r="AA180" s="205" t="n"/>
      <c r="AB180" s="205" t="n"/>
      <c r="AC180" s="205" t="n"/>
      <c r="AD180" s="205" t="n"/>
      <c r="AE180" s="205" t="n"/>
      <c r="AF180" s="205" t="n"/>
      <c r="AG180" s="205" t="n"/>
      <c r="AH180" s="205" t="n"/>
      <c r="AI180" s="202" t="n"/>
    </row>
    <row r="181" ht="165.75" customHeight="1" s="169">
      <c r="A181" s="192" t="n">
        <v>145</v>
      </c>
      <c r="B181" s="193" t="inlineStr">
        <is>
          <t>Кран шаровый LD полнопроходной 11с67п КШРФ Ду 80 Ру 16 МПа с КОФ</t>
        </is>
      </c>
      <c r="C181" s="210" t="inlineStr">
        <is>
          <t>ТУ 3742-005-74212539-2015</t>
        </is>
      </c>
      <c r="D181" s="210" t="n">
        <v>80</v>
      </c>
      <c r="E181" s="210" t="inlineStr">
        <is>
          <t>полнопроходный</t>
        </is>
      </c>
      <c r="F181" s="210" t="n">
        <v>1.6</v>
      </c>
      <c r="G181" s="210" t="inlineStr">
        <is>
          <t>от -40°С до +200°С</t>
        </is>
      </c>
      <c r="H181" s="210" t="inlineStr">
        <is>
          <t>Вода, нефтепродукты и другие нетоксичные и неагрессивные среды</t>
        </is>
      </c>
      <c r="I181" s="210" t="inlineStr">
        <is>
          <t>Сталь 20</t>
        </is>
      </c>
      <c r="J181" s="210" t="inlineStr">
        <is>
          <t>У1</t>
        </is>
      </c>
      <c r="K181" s="210" t="inlineStr">
        <is>
          <t>фланцевое</t>
        </is>
      </c>
      <c r="L181" s="210" t="inlineStr">
        <is>
          <t>рукоятка</t>
        </is>
      </c>
      <c r="M181" s="210" t="n"/>
      <c r="N181" s="210" t="inlineStr">
        <is>
          <t>любое</t>
        </is>
      </c>
      <c r="O181"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1" s="210" t="inlineStr">
        <is>
          <t>строительная длина 210мм</t>
        </is>
      </c>
      <c r="Q181" s="210" t="n"/>
      <c r="R181" s="198">
        <f>A181</f>
        <v/>
      </c>
      <c r="S181" s="205" t="n"/>
      <c r="T181" s="205" t="n"/>
      <c r="U181" s="205" t="n"/>
      <c r="V181" s="205" t="n"/>
      <c r="W181" s="205" t="n"/>
      <c r="X181" s="205" t="n"/>
      <c r="Y181" s="205" t="n"/>
      <c r="Z181" s="205" t="n"/>
      <c r="AA181" s="205" t="n"/>
      <c r="AB181" s="205" t="n"/>
      <c r="AC181" s="205" t="n"/>
      <c r="AD181" s="205" t="n"/>
      <c r="AE181" s="205" t="n"/>
      <c r="AF181" s="205" t="n"/>
      <c r="AG181" s="205" t="n"/>
      <c r="AH181" s="205" t="n"/>
      <c r="AI181" s="202" t="n"/>
    </row>
    <row r="182" ht="51" customHeight="1" s="169">
      <c r="A182" s="192" t="n">
        <v>146</v>
      </c>
      <c r="B182" s="193" t="inlineStr">
        <is>
          <t>Кран шаровый химический КШХ Ду 50 Ру 16</t>
        </is>
      </c>
      <c r="C182" s="231" t="inlineStr">
        <is>
          <t>ТУ У 29.1-23392043-001</t>
        </is>
      </c>
      <c r="D182" s="210" t="n">
        <v>50</v>
      </c>
      <c r="E182" s="210" t="inlineStr">
        <is>
          <t>стандарт</t>
        </is>
      </c>
      <c r="F182" s="210" t="n">
        <v>1.6</v>
      </c>
      <c r="G182" s="210" t="inlineStr">
        <is>
          <t>От -30 до +150°С</t>
        </is>
      </c>
      <c r="H182" s="210" t="inlineStr">
        <is>
          <t>Любые жидкие реагенты и химические среды</t>
        </is>
      </c>
      <c r="I182" s="210" t="inlineStr">
        <is>
          <t>углеродистая сталь</t>
        </is>
      </c>
      <c r="J182" s="210" t="inlineStr">
        <is>
          <t>У1</t>
        </is>
      </c>
      <c r="K182" s="210" t="inlineStr">
        <is>
          <t>фланцевое</t>
        </is>
      </c>
      <c r="L182" s="210" t="inlineStr">
        <is>
          <t>ручное</t>
        </is>
      </c>
      <c r="M182" s="210" t="inlineStr">
        <is>
          <t>Рукоятка</t>
        </is>
      </c>
      <c r="N182" s="210" t="inlineStr">
        <is>
          <t>любое, кроме положения маховиком вниз</t>
        </is>
      </c>
      <c r="O182" s="210" t="inlineStr">
        <is>
          <t xml:space="preserve">Материал футерованной проточной части FEP.  </t>
        </is>
      </c>
      <c r="P182" s="210" t="inlineStr">
        <is>
          <t>строительная длина 200 мм.</t>
        </is>
      </c>
      <c r="Q182" s="210" t="n"/>
      <c r="R182" s="198">
        <f>A182</f>
        <v/>
      </c>
      <c r="S182" s="205" t="n"/>
      <c r="T182" s="205" t="n"/>
      <c r="U182" s="205" t="n"/>
      <c r="V182" s="205" t="n"/>
      <c r="W182" s="205" t="n"/>
      <c r="X182" s="205" t="n"/>
      <c r="Y182" s="205" t="n"/>
      <c r="Z182" s="205" t="n"/>
      <c r="AA182" s="205" t="n"/>
      <c r="AB182" s="205" t="n"/>
      <c r="AC182" s="205" t="n"/>
      <c r="AD182" s="205" t="n"/>
      <c r="AE182" s="205" t="n"/>
      <c r="AF182" s="205" t="n"/>
      <c r="AG182" s="205" t="n"/>
      <c r="AH182" s="205" t="n"/>
      <c r="AI182" s="202" t="n"/>
    </row>
    <row r="183" ht="51" customHeight="1" s="169">
      <c r="A183" s="192" t="n">
        <v>147</v>
      </c>
      <c r="B183" s="193" t="inlineStr">
        <is>
          <t>Кран шаровый химический КШХ Ду 80 Ру 16</t>
        </is>
      </c>
      <c r="C183" s="231" t="inlineStr">
        <is>
          <t>ТУ У 29.1-23392043-001</t>
        </is>
      </c>
      <c r="D183" s="210" t="n">
        <v>80</v>
      </c>
      <c r="E183" s="210" t="inlineStr">
        <is>
          <t>полный</t>
        </is>
      </c>
      <c r="F183" s="210" t="n">
        <v>1.6</v>
      </c>
      <c r="G183" s="247" t="inlineStr">
        <is>
          <t>От -30 до + 150 С</t>
        </is>
      </c>
      <c r="H183" s="210" t="inlineStr">
        <is>
          <t>Коррозионная</t>
        </is>
      </c>
      <c r="I183" s="210" t="inlineStr">
        <is>
          <t>сталь 25Л</t>
        </is>
      </c>
      <c r="J183" s="210" t="inlineStr">
        <is>
          <t>У1</t>
        </is>
      </c>
      <c r="K183" s="210" t="inlineStr">
        <is>
          <t>фланцевое</t>
        </is>
      </c>
      <c r="L183" s="210" t="inlineStr">
        <is>
          <t xml:space="preserve">рычаг </t>
        </is>
      </c>
      <c r="M183" s="210" t="inlineStr">
        <is>
          <t>ручное</t>
        </is>
      </c>
      <c r="N183" s="210" t="inlineStr">
        <is>
          <t>любое</t>
        </is>
      </c>
      <c r="O183" s="210" t="inlineStr">
        <is>
          <t>материал корпуса и шара — сталь 25Л, материал футеровки — фторопласт FEP</t>
        </is>
      </c>
      <c r="P183" s="210" t="inlineStr">
        <is>
          <t>Длина 230 мм</t>
        </is>
      </c>
      <c r="Q183" s="210" t="n"/>
      <c r="R183" s="198">
        <f>A183</f>
        <v/>
      </c>
      <c r="S183" s="205" t="n"/>
      <c r="T183" s="205" t="n"/>
      <c r="U183" s="205" t="n"/>
      <c r="V183" s="205" t="n"/>
      <c r="W183" s="205" t="n"/>
      <c r="X183" s="205" t="n"/>
      <c r="Y183" s="205" t="n"/>
      <c r="Z183" s="205" t="n"/>
      <c r="AA183" s="205" t="n"/>
      <c r="AB183" s="205" t="n"/>
      <c r="AC183" s="205" t="n"/>
      <c r="AD183" s="205" t="n"/>
      <c r="AE183" s="205" t="n"/>
      <c r="AF183" s="205" t="n"/>
      <c r="AG183" s="205" t="n"/>
      <c r="AH183" s="205" t="n"/>
      <c r="AI183" s="202" t="n"/>
    </row>
    <row r="184" ht="165.75" customHeight="1" s="169">
      <c r="A184" s="192" t="n">
        <v>148</v>
      </c>
      <c r="B184" s="193" t="inlineStr">
        <is>
          <t>Кран шаровый разборный полнопроходной 11с67п Ду 250 Ру 16 с КОФ</t>
        </is>
      </c>
      <c r="C184" s="210" t="inlineStr">
        <is>
          <t>ТУ 3742-005-74212539-2015</t>
        </is>
      </c>
      <c r="D184" s="210" t="n">
        <v>250</v>
      </c>
      <c r="E184" s="210" t="inlineStr">
        <is>
          <t>полнопроходной</t>
        </is>
      </c>
      <c r="F184" s="210" t="n">
        <v>1.6</v>
      </c>
      <c r="G184" s="210" t="inlineStr">
        <is>
          <t>от -40°С до +200°С</t>
        </is>
      </c>
      <c r="H184" s="210" t="inlineStr">
        <is>
          <t>Вода, нефтепродукты и другие нетоксичные и неагрессивные среды</t>
        </is>
      </c>
      <c r="I184" s="210" t="inlineStr">
        <is>
          <t>Сталь 20</t>
        </is>
      </c>
      <c r="J184" s="210" t="inlineStr">
        <is>
          <t>У1</t>
        </is>
      </c>
      <c r="K184" s="210" t="inlineStr">
        <is>
          <t>фланцевое</t>
        </is>
      </c>
      <c r="L184" s="210" t="inlineStr">
        <is>
          <t>рукоятка</t>
        </is>
      </c>
      <c r="M184" s="210" t="n"/>
      <c r="N184" s="210" t="inlineStr">
        <is>
          <t>любое</t>
        </is>
      </c>
      <c r="O18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4" s="210" t="inlineStr">
        <is>
          <t>строительная длина 450мм</t>
        </is>
      </c>
      <c r="Q184" s="210" t="n"/>
      <c r="R184" s="198">
        <f>A184</f>
        <v/>
      </c>
      <c r="S184" s="205" t="n"/>
      <c r="T184" s="205" t="n"/>
      <c r="U184" s="205" t="n"/>
      <c r="V184" s="205" t="n"/>
      <c r="W184" s="205" t="n"/>
      <c r="X184" s="205" t="n"/>
      <c r="Y184" s="205" t="n"/>
      <c r="Z184" s="205" t="n"/>
      <c r="AA184" s="205" t="n"/>
      <c r="AB184" s="205" t="n"/>
      <c r="AC184" s="205" t="n"/>
      <c r="AD184" s="205" t="n"/>
      <c r="AE184" s="205" t="n"/>
      <c r="AF184" s="205" t="n"/>
      <c r="AG184" s="205" t="n"/>
      <c r="AH184" s="205" t="n"/>
      <c r="AI184" s="202" t="n"/>
    </row>
    <row r="185" ht="165.75" customHeight="1" s="169">
      <c r="A185" s="192" t="n">
        <v>149</v>
      </c>
      <c r="B185" s="193" t="inlineStr">
        <is>
          <t>Кран шаровый цельносварной неполнопроходной 11с67п Ду 250/200 Ру 16 с КОФ</t>
        </is>
      </c>
      <c r="C185" s="210" t="inlineStr">
        <is>
          <t>ТУ 3742-005-74212539-2015</t>
        </is>
      </c>
      <c r="D185" s="210" t="n">
        <v>250</v>
      </c>
      <c r="E185" s="210" t="n">
        <v>200</v>
      </c>
      <c r="F185" s="210" t="n">
        <v>1.6</v>
      </c>
      <c r="G185" s="210" t="inlineStr">
        <is>
          <t>от -40°С до +200°С</t>
        </is>
      </c>
      <c r="H185" s="210" t="inlineStr">
        <is>
          <t>Вода, нефтепродукты и другие нетоксичные и неагрессивные среды</t>
        </is>
      </c>
      <c r="I185" s="210" t="inlineStr">
        <is>
          <t>Сталь 20</t>
        </is>
      </c>
      <c r="J185" s="210" t="n"/>
      <c r="K185" s="210" t="inlineStr">
        <is>
          <t>фланцевое</t>
        </is>
      </c>
      <c r="L185" s="210" t="inlineStr">
        <is>
          <t>рукоятка</t>
        </is>
      </c>
      <c r="M185" s="210" t="n"/>
      <c r="N185" s="210" t="inlineStr">
        <is>
          <t>любое</t>
        </is>
      </c>
      <c r="O18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5" s="210" t="inlineStr">
        <is>
          <t>строительная длина 450мм</t>
        </is>
      </c>
      <c r="Q185" s="210" t="n"/>
      <c r="R185" s="198">
        <f>A185</f>
        <v/>
      </c>
      <c r="S185" s="205" t="n"/>
      <c r="T185" s="205" t="n"/>
      <c r="U185" s="205" t="n"/>
      <c r="V185" s="205" t="n"/>
      <c r="W185" s="205" t="n"/>
      <c r="X185" s="205" t="n"/>
      <c r="Y185" s="205" t="n"/>
      <c r="Z185" s="205" t="n"/>
      <c r="AA185" s="205" t="n"/>
      <c r="AB185" s="205" t="n"/>
      <c r="AC185" s="205" t="n"/>
      <c r="AD185" s="205" t="n"/>
      <c r="AE185" s="205" t="n"/>
      <c r="AF185" s="205" t="n"/>
      <c r="AG185" s="205" t="n"/>
      <c r="AH185" s="205" t="n"/>
      <c r="AI185" s="202" t="n"/>
    </row>
    <row r="186" ht="63.75" customHeight="1" s="169">
      <c r="A186" s="192" t="n">
        <v>150</v>
      </c>
      <c r="B186" s="193" t="inlineStr">
        <is>
          <t>Затвор 32нж910р Ду 1000 Ру 10 с эл.приводом</t>
        </is>
      </c>
      <c r="C186" s="210" t="inlineStr">
        <is>
          <t>ТУ 3721-001-22294686-2008
ГОСТ 13547-2015</t>
        </is>
      </c>
      <c r="D186" s="210" t="n">
        <v>1000</v>
      </c>
      <c r="E186" s="210" t="inlineStr">
        <is>
          <t>полнопроходной</t>
        </is>
      </c>
      <c r="F186" s="210" t="n">
        <v>1</v>
      </c>
      <c r="G186" s="210" t="n">
        <v>50</v>
      </c>
      <c r="H186" s="210" t="inlineStr">
        <is>
          <t>морская вода</t>
        </is>
      </c>
      <c r="I186" s="210" t="inlineStr">
        <is>
          <t>коррозионно стойкая сталь 08Х18Н10Т</t>
        </is>
      </c>
      <c r="J186" s="210" t="inlineStr">
        <is>
          <t>УХЛ4</t>
        </is>
      </c>
      <c r="K186" s="210" t="inlineStr">
        <is>
          <t>фланцевое с КОФ</t>
        </is>
      </c>
      <c r="L186" s="210" t="inlineStr">
        <is>
          <t>ГЗ-В 600 ГРЛЕ.421322.001ТУ</t>
        </is>
      </c>
      <c r="M186" s="210" t="inlineStr">
        <is>
          <t>У1, IP-65, 1,5кВт</t>
        </is>
      </c>
      <c r="N186" s="210" t="n"/>
      <c r="O186" s="210" t="inlineStr">
        <is>
          <t>Диск (запорный элемент) 08Х18Н10Т (AISI 321), ось (вал привода) 20Х13, фланец боковой Ст20 (наплавка уплотнительной поверхности фланца - коррозионностойкая 12Х18Н9Т), редуктор Ст20, уплотнительное кольцо резина СКЕПТ (EPDM)</t>
        </is>
      </c>
      <c r="P186" s="210" t="n"/>
      <c r="Q186" s="210" t="inlineStr">
        <is>
          <t>Затвор фланцевый 32нж910р Ду1000 Ру10 с эл.приводом с комплектом ответных фланцев (90 гр. указатель поворота- визуальны и встроенный дистанционный блок (токовый выход) указателя положения (открыто, закрыто)</t>
        </is>
      </c>
      <c r="R186" s="198">
        <f>A186</f>
        <v/>
      </c>
      <c r="S186" s="205" t="n"/>
      <c r="T186" s="205" t="n"/>
      <c r="U186" s="205" t="n"/>
      <c r="V186" s="205" t="n"/>
      <c r="W186" s="205" t="n"/>
      <c r="X186" s="205" t="n"/>
      <c r="Y186" s="205" t="n"/>
      <c r="Z186" s="205" t="n"/>
      <c r="AA186" s="205" t="n"/>
      <c r="AB186" s="205" t="n"/>
      <c r="AC186" s="205" t="n"/>
      <c r="AD186" s="205" t="n"/>
      <c r="AE186" s="205" t="n"/>
      <c r="AF186" s="205" t="n"/>
      <c r="AG186" s="205" t="n"/>
      <c r="AH186" s="205" t="n"/>
      <c r="AI186" s="202" t="n"/>
    </row>
    <row r="187" ht="60" customHeight="1" s="169">
      <c r="A187" s="192" t="n">
        <v>151</v>
      </c>
      <c r="B187" s="193" t="inlineStr">
        <is>
          <t>Затвор дисковый поворотный ЗДП-150-6,3-1-М-А-УХЛ1 (не под электропривод) Ду 150 Ру 6,3</t>
        </is>
      </c>
      <c r="C187" s="210" t="inlineStr">
        <is>
          <t>ТУ 28.14.13-012-09338969-2019</t>
        </is>
      </c>
      <c r="D187" s="210" t="n">
        <v>150</v>
      </c>
      <c r="E187" s="210" t="inlineStr">
        <is>
          <t>условно полнопроходный</t>
        </is>
      </c>
      <c r="F187" s="210" t="n">
        <v>0.63</v>
      </c>
      <c r="G187" s="210" t="inlineStr">
        <is>
          <t>-45°С +95°С</t>
        </is>
      </c>
      <c r="H187" s="210" t="inlineStr">
        <is>
          <t>масло</t>
        </is>
      </c>
      <c r="I187" s="210" t="inlineStr">
        <is>
          <t>алюминий</t>
        </is>
      </c>
      <c r="J187" s="210" t="inlineStr">
        <is>
          <t>УХЛ1</t>
        </is>
      </c>
      <c r="K187" s="210" t="inlineStr">
        <is>
          <t>межфланцевый</t>
        </is>
      </c>
      <c r="L187" s="210" t="inlineStr">
        <is>
          <t>Ручной</t>
        </is>
      </c>
      <c r="M187" s="210" t="n"/>
      <c r="N187" s="210" t="n"/>
      <c r="O187" s="210" t="n"/>
      <c r="P187" s="210" t="n"/>
      <c r="Q187" s="210" t="n"/>
      <c r="R187" s="198">
        <f>A187</f>
        <v/>
      </c>
      <c r="S187" s="205" t="n"/>
      <c r="T187" s="205" t="n"/>
      <c r="U187" s="205" t="n"/>
      <c r="V187" s="205" t="n"/>
      <c r="W187" s="205" t="n"/>
      <c r="X187" s="205" t="n"/>
      <c r="Y187" s="205" t="n"/>
      <c r="Z187" s="205" t="n"/>
      <c r="AA187" s="205" t="n"/>
      <c r="AB187" s="205" t="n"/>
      <c r="AC187" s="205" t="n"/>
      <c r="AD187" s="205" t="n"/>
      <c r="AE187" s="205" t="n"/>
      <c r="AF187" s="205" t="n"/>
      <c r="AG187" s="205" t="n"/>
      <c r="AH187" s="205" t="n"/>
      <c r="AI187" s="248" t="inlineStr">
        <is>
          <t>60 мес. с ввода в эксплуатацию, не более 66 мес. с даты поставки</t>
        </is>
      </c>
    </row>
    <row r="188" ht="51" customHeight="1" s="169">
      <c r="A188" s="192" t="n">
        <v>152</v>
      </c>
      <c r="B188" s="193" t="inlineStr">
        <is>
          <t>Затвор дисковый поворотный ЗДП-50-6,3-1-М-А-УХЛ1 Ду 50 Ру 6,3</t>
        </is>
      </c>
      <c r="C188" s="210" t="inlineStr">
        <is>
          <t>ТУ 28.14.13-012-09338969-2019</t>
        </is>
      </c>
      <c r="D188" s="210" t="n">
        <v>50</v>
      </c>
      <c r="E188" s="210" t="inlineStr">
        <is>
          <t>условно полнопроходный</t>
        </is>
      </c>
      <c r="F188" s="210" t="n">
        <v>0.63</v>
      </c>
      <c r="G188" s="210" t="inlineStr">
        <is>
          <t>-45°С +95°С</t>
        </is>
      </c>
      <c r="H188" s="210" t="inlineStr">
        <is>
          <t>масло</t>
        </is>
      </c>
      <c r="I188" s="210" t="inlineStr">
        <is>
          <t>алюминий</t>
        </is>
      </c>
      <c r="J188" s="210" t="inlineStr">
        <is>
          <t>УХЛ1</t>
        </is>
      </c>
      <c r="K188" s="210" t="inlineStr">
        <is>
          <t>межфланцевый</t>
        </is>
      </c>
      <c r="L188" s="210" t="inlineStr">
        <is>
          <t>Ручной</t>
        </is>
      </c>
      <c r="M188" s="210" t="n"/>
      <c r="N188" s="210" t="n"/>
      <c r="O188" s="210" t="n"/>
      <c r="P188" s="210" t="n"/>
      <c r="Q188" s="210" t="n"/>
      <c r="R188" s="198">
        <f>A188</f>
        <v/>
      </c>
      <c r="S188" s="205" t="n"/>
      <c r="T188" s="205" t="n"/>
      <c r="U188" s="205" t="n"/>
      <c r="V188" s="205" t="n"/>
      <c r="W188" s="205" t="n"/>
      <c r="X188" s="205" t="n"/>
      <c r="Y188" s="205" t="n"/>
      <c r="Z188" s="205" t="n"/>
      <c r="AA188" s="205" t="n"/>
      <c r="AB188" s="205" t="n"/>
      <c r="AC188" s="205" t="n"/>
      <c r="AD188" s="205" t="n"/>
      <c r="AE188" s="205" t="n"/>
      <c r="AF188" s="205" t="n"/>
      <c r="AG188" s="205" t="n"/>
      <c r="AH188" s="205" t="n"/>
      <c r="AI188" s="248" t="inlineStr">
        <is>
          <t>60 мес. с ввода в эксплуатацию, не более 66 мес. с даты поставки</t>
        </is>
      </c>
    </row>
    <row r="189" ht="51" customHeight="1" s="169">
      <c r="A189" s="192" t="n">
        <v>153</v>
      </c>
      <c r="B189" s="193" t="inlineStr">
        <is>
          <t>Затвор дисковый поворотный ЗДП-80-УХЛ1 Ду 80 Ру 6,3</t>
        </is>
      </c>
      <c r="C189" s="210" t="inlineStr">
        <is>
          <t>ТУ 28.14.13-012-09338969-2019</t>
        </is>
      </c>
      <c r="D189" s="210" t="n">
        <v>80</v>
      </c>
      <c r="E189" s="210" t="inlineStr">
        <is>
          <t>условно полнопроходный</t>
        </is>
      </c>
      <c r="F189" s="210" t="n">
        <v>0.63</v>
      </c>
      <c r="G189" s="210" t="inlineStr">
        <is>
          <t>-45°С +95°С</t>
        </is>
      </c>
      <c r="H189" s="210" t="inlineStr">
        <is>
          <t>масло</t>
        </is>
      </c>
      <c r="I189" s="210" t="inlineStr">
        <is>
          <t>алюминий</t>
        </is>
      </c>
      <c r="J189" s="210" t="inlineStr">
        <is>
          <t>УХЛ1</t>
        </is>
      </c>
      <c r="K189" s="210" t="inlineStr">
        <is>
          <t>межфланцевый</t>
        </is>
      </c>
      <c r="L189" s="210" t="inlineStr">
        <is>
          <t>Ручной</t>
        </is>
      </c>
      <c r="M189" s="210" t="n"/>
      <c r="N189" s="210" t="n"/>
      <c r="O189" s="210" t="n"/>
      <c r="P189" s="210" t="n"/>
      <c r="Q189" s="210" t="n"/>
      <c r="R189" s="198">
        <f>A189</f>
        <v/>
      </c>
      <c r="S189" s="205" t="n"/>
      <c r="T189" s="205" t="n"/>
      <c r="U189" s="205" t="n"/>
      <c r="V189" s="205" t="n"/>
      <c r="W189" s="205" t="n"/>
      <c r="X189" s="205" t="n"/>
      <c r="Y189" s="205" t="n"/>
      <c r="Z189" s="205" t="n"/>
      <c r="AA189" s="205" t="n"/>
      <c r="AB189" s="205" t="n"/>
      <c r="AC189" s="205" t="n"/>
      <c r="AD189" s="205" t="n"/>
      <c r="AE189" s="205" t="n"/>
      <c r="AF189" s="205" t="n"/>
      <c r="AG189" s="205" t="n"/>
      <c r="AH189" s="205" t="n"/>
      <c r="AI189" s="248" t="inlineStr">
        <is>
          <t>60 мес. с ввода в эксплуатацию, не более 66 мес. с даты поставки</t>
        </is>
      </c>
    </row>
    <row r="190" ht="60" customHeight="1" s="169">
      <c r="A190" s="192" t="n">
        <v>154</v>
      </c>
      <c r="B190" s="193" t="inlineStr">
        <is>
          <t>Затвор дисковый поворотный(ГРЭНВЭЛ) Тип /серия FL(w)-3-MR-E Ду 100, Ру 16</t>
        </is>
      </c>
      <c r="C190" s="210" t="inlineStr">
        <is>
          <t>ТУ 3700-001-81673229-2007</t>
        </is>
      </c>
      <c r="D190" s="210" t="n">
        <v>100</v>
      </c>
      <c r="E190" s="210" t="inlineStr">
        <is>
          <t>стандарт</t>
        </is>
      </c>
      <c r="F190" s="210" t="n">
        <v>1.6</v>
      </c>
      <c r="G190" s="210" t="inlineStr">
        <is>
          <t xml:space="preserve">-20…+110      </t>
        </is>
      </c>
      <c r="H190" s="210" t="inlineStr">
        <is>
          <t>вода</t>
        </is>
      </c>
      <c r="I190" s="210" t="inlineStr">
        <is>
          <t>Серый чугун EN-GJL-250</t>
        </is>
      </c>
      <c r="J190" s="210" t="inlineStr">
        <is>
          <t>Класс герметичности: А</t>
        </is>
      </c>
      <c r="K190" s="210" t="inlineStr">
        <is>
          <t>межфланцевый</t>
        </is>
      </c>
      <c r="L190" s="210" t="inlineStr">
        <is>
          <t>Ручной</t>
        </is>
      </c>
      <c r="M190" s="210" t="inlineStr">
        <is>
          <t>Ручка с фиксацией произвольного положения</t>
        </is>
      </c>
      <c r="N190" s="210" t="inlineStr">
        <is>
          <t>-</t>
        </is>
      </c>
      <c r="O190" s="210" t="inlineStr">
        <is>
          <t>Корпус: Серый чугун GG25 Седло: EPDM Диск: Нержавеющая сталь CF8M</t>
        </is>
      </c>
      <c r="P190" s="210" t="inlineStr">
        <is>
          <t>-</t>
        </is>
      </c>
      <c r="Q190" s="210" t="inlineStr">
        <is>
          <t>-</t>
        </is>
      </c>
      <c r="R190" s="198">
        <f>A190</f>
        <v/>
      </c>
      <c r="S190" s="205" t="n"/>
      <c r="T190" s="205" t="n"/>
      <c r="U190" s="205" t="n"/>
      <c r="V190" s="205" t="n"/>
      <c r="W190" s="205" t="n"/>
      <c r="X190" s="205" t="n"/>
      <c r="Y190" s="205" t="n"/>
      <c r="Z190" s="205" t="n"/>
      <c r="AA190" s="205" t="n"/>
      <c r="AB190" s="205" t="n"/>
      <c r="AC190" s="205" t="n"/>
      <c r="AD190" s="205" t="n"/>
      <c r="AE190" s="205" t="n"/>
      <c r="AF190" s="205" t="n"/>
      <c r="AG190" s="205" t="n"/>
      <c r="AH190" s="205" t="n"/>
      <c r="AI190" s="202" t="n"/>
    </row>
    <row r="191" ht="89.25" customHeight="1" s="169">
      <c r="A191" s="192" t="n">
        <v>155</v>
      </c>
      <c r="B191" s="193" t="inlineStr">
        <is>
          <t>Затвор дисковый поворотный(ГРЭНВЭЛ) ЗП ТЛ Ду 100 Ру 16</t>
        </is>
      </c>
      <c r="C191" s="210" t="inlineStr">
        <is>
          <t>ТУ 3700-001-81673229-2007</t>
        </is>
      </c>
      <c r="D191" s="210" t="n">
        <v>100</v>
      </c>
      <c r="E191" s="210" t="inlineStr">
        <is>
          <t>стандарт</t>
        </is>
      </c>
      <c r="F191" s="210" t="n">
        <v>1.6</v>
      </c>
      <c r="G191" s="210" t="inlineStr">
        <is>
          <t>до +115°C (кратковременно до +130°C)</t>
        </is>
      </c>
      <c r="H191" s="210" t="inlineStr">
        <is>
          <t>вода (в том числе питьевая), растворы гликоля до 45%, горячий воздух, прочие нейтральные среды</t>
        </is>
      </c>
      <c r="I191" s="210" t="inlineStr">
        <is>
          <t>Корпус: - Серый чугун GG25 • Высокопрочный чугун GGG40</t>
        </is>
      </c>
      <c r="J191" s="210" t="n"/>
      <c r="K191" s="210" t="inlineStr">
        <is>
          <t>межфланцевое</t>
        </is>
      </c>
      <c r="L191" s="210" t="inlineStr">
        <is>
          <t>ручной (рукоятка)</t>
        </is>
      </c>
      <c r="M191" s="210" t="n"/>
      <c r="N191" s="210" t="n"/>
      <c r="O191" s="210" t="inlineStr">
        <is>
          <t>Седло- EPDM HT; Диск - Нержавеющая сталь CF8M</t>
        </is>
      </c>
      <c r="P191" s="210" t="n"/>
      <c r="Q191"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1" s="198">
        <f>A191</f>
        <v/>
      </c>
      <c r="S191" s="205" t="n"/>
      <c r="T191" s="205" t="n"/>
      <c r="U191" s="205" t="n"/>
      <c r="V191" s="205" t="n"/>
      <c r="W191" s="205" t="n"/>
      <c r="X191" s="205" t="n"/>
      <c r="Y191" s="205" t="n"/>
      <c r="Z191" s="205" t="n"/>
      <c r="AA191" s="205" t="n"/>
      <c r="AB191" s="205" t="n"/>
      <c r="AC191" s="205" t="n"/>
      <c r="AD191" s="205" t="n"/>
      <c r="AE191" s="205" t="n"/>
      <c r="AF191" s="205" t="n"/>
      <c r="AG191" s="205" t="n"/>
      <c r="AH191" s="205" t="n"/>
      <c r="AI191" s="202" t="n"/>
    </row>
    <row r="192" ht="89.25" customHeight="1" s="169">
      <c r="A192" s="192" t="n">
        <v>156</v>
      </c>
      <c r="B192" s="193" t="inlineStr">
        <is>
          <t>Затвор дисковый поворотный(ГРЭНВЭЛ) ЗП ТЛ Ду 150 Ру 16</t>
        </is>
      </c>
      <c r="C192" s="210" t="inlineStr">
        <is>
          <t>ТУ 3700-001-81673229-2007</t>
        </is>
      </c>
      <c r="D192" s="210" t="n">
        <v>150</v>
      </c>
      <c r="E192" s="210" t="inlineStr">
        <is>
          <t>стандарт</t>
        </is>
      </c>
      <c r="F192" s="210" t="n">
        <v>1.6</v>
      </c>
      <c r="G192" s="210" t="inlineStr">
        <is>
          <t>до +115°C (кратковременно до +130°C)</t>
        </is>
      </c>
      <c r="H192" s="210" t="inlineStr">
        <is>
          <t>вода (в том числе питьевая), растворы гликоля до 45%, горячий воздух, прочие нейтральные среды</t>
        </is>
      </c>
      <c r="I192" s="210" t="inlineStr">
        <is>
          <t>Корпус: - Серый чугун GG25 • Высокопрочный чугун GGG40</t>
        </is>
      </c>
      <c r="J192" s="210" t="n"/>
      <c r="K192" s="210" t="inlineStr">
        <is>
          <t>межфланцевое</t>
        </is>
      </c>
      <c r="L192" s="210" t="inlineStr">
        <is>
          <t>ручной (рукоятка)</t>
        </is>
      </c>
      <c r="M192" s="210" t="n"/>
      <c r="N192" s="210" t="n"/>
      <c r="O192" s="210" t="inlineStr">
        <is>
          <t>Седло- EPDM HT; Диск - Нержавеющая сталь CF8M</t>
        </is>
      </c>
      <c r="P192" s="210" t="n"/>
      <c r="Q192"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2" s="198">
        <f>A192</f>
        <v/>
      </c>
      <c r="S192" s="205" t="n"/>
      <c r="T192" s="205" t="n"/>
      <c r="U192" s="205" t="n"/>
      <c r="V192" s="205" t="n"/>
      <c r="W192" s="205" t="n"/>
      <c r="X192" s="205" t="n"/>
      <c r="Y192" s="205" t="n"/>
      <c r="Z192" s="205" t="n"/>
      <c r="AA192" s="205" t="n"/>
      <c r="AB192" s="205" t="n"/>
      <c r="AC192" s="205" t="n"/>
      <c r="AD192" s="205" t="n"/>
      <c r="AE192" s="205" t="n"/>
      <c r="AF192" s="205" t="n"/>
      <c r="AG192" s="205" t="n"/>
      <c r="AH192" s="205" t="n"/>
      <c r="AI192" s="202" t="n"/>
    </row>
    <row r="193" ht="89.25" customHeight="1" s="169">
      <c r="A193" s="192" t="n">
        <v>157</v>
      </c>
      <c r="B193" s="193" t="inlineStr">
        <is>
          <t>Затвор дисковый поворотный(ГРЭНВЭЛ) ЗП ТЛ Ду 200 Ру 16</t>
        </is>
      </c>
      <c r="C193" s="210" t="inlineStr">
        <is>
          <t>ТУ 3700-001-81673229-2007</t>
        </is>
      </c>
      <c r="D193" s="210" t="n">
        <v>200</v>
      </c>
      <c r="E193" s="210" t="inlineStr">
        <is>
          <t>стандарт</t>
        </is>
      </c>
      <c r="F193" s="210" t="n">
        <v>1.6</v>
      </c>
      <c r="G193" s="210" t="inlineStr">
        <is>
          <t>до +115°C (кратковременно до +130°C)</t>
        </is>
      </c>
      <c r="H193" s="210" t="inlineStr">
        <is>
          <t>вода (в том числе питьевая), растворы гликоля до 45%, горячий воздух, прочие нейтральные среды</t>
        </is>
      </c>
      <c r="I193" s="210" t="inlineStr">
        <is>
          <t>Корпус: - Серый чугун GG25 • Высокопрочный чугун GGG40</t>
        </is>
      </c>
      <c r="J193" s="210" t="n"/>
      <c r="K193" s="210" t="inlineStr">
        <is>
          <t>межфланцевое</t>
        </is>
      </c>
      <c r="L193" s="210" t="inlineStr">
        <is>
          <t>ручной (рукоятка)</t>
        </is>
      </c>
      <c r="M193" s="210" t="n"/>
      <c r="N193" s="210" t="n"/>
      <c r="O193" s="210" t="inlineStr">
        <is>
          <t>Седло- EPDM HT; Диск - Нержавеющая сталь CF8M</t>
        </is>
      </c>
      <c r="P193" s="210" t="n"/>
      <c r="Q193"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3" s="198">
        <f>A193</f>
        <v/>
      </c>
      <c r="S193" s="205" t="n"/>
      <c r="T193" s="205" t="n"/>
      <c r="U193" s="205" t="n"/>
      <c r="V193" s="205" t="n"/>
      <c r="W193" s="205" t="n"/>
      <c r="X193" s="205" t="n"/>
      <c r="Y193" s="205" t="n"/>
      <c r="Z193" s="205" t="n"/>
      <c r="AA193" s="205" t="n"/>
      <c r="AB193" s="205" t="n"/>
      <c r="AC193" s="205" t="n"/>
      <c r="AD193" s="205" t="n"/>
      <c r="AE193" s="205" t="n"/>
      <c r="AF193" s="205" t="n"/>
      <c r="AG193" s="205" t="n"/>
      <c r="AH193" s="205" t="n"/>
      <c r="AI193" s="202" t="n"/>
    </row>
    <row r="194" ht="89.25" customHeight="1" s="169">
      <c r="A194" s="192" t="n">
        <v>158</v>
      </c>
      <c r="B194" s="193" t="inlineStr">
        <is>
          <t>Затвор дисковый поворотный(ГРЭНВЭЛ) ЗП ТЛ Ду 80 Ру 16</t>
        </is>
      </c>
      <c r="C194" s="210" t="inlineStr">
        <is>
          <t>ТУ 3700-001-81673229-2007</t>
        </is>
      </c>
      <c r="D194" s="210" t="n">
        <v>80</v>
      </c>
      <c r="E194" s="210" t="inlineStr">
        <is>
          <t>стандарт</t>
        </is>
      </c>
      <c r="F194" s="210" t="n">
        <v>1.6</v>
      </c>
      <c r="G194" s="210" t="inlineStr">
        <is>
          <t>до +115°C (кратковременно до +130°C)</t>
        </is>
      </c>
      <c r="H194" s="210" t="inlineStr">
        <is>
          <t>вода (в том числе питьевая), растворы гликоля до 45%, горячий воздух, прочие нейтральные среды</t>
        </is>
      </c>
      <c r="I194" s="210" t="inlineStr">
        <is>
          <t>Корпус: - Серый чугун GG25 • Высокопрочный чугун GGG40</t>
        </is>
      </c>
      <c r="J194" s="210" t="n"/>
      <c r="K194" s="210" t="inlineStr">
        <is>
          <t>межфланцевое</t>
        </is>
      </c>
      <c r="L194" s="210" t="inlineStr">
        <is>
          <t>ручной (рукоятка)</t>
        </is>
      </c>
      <c r="M194" s="210" t="n"/>
      <c r="N194" s="210" t="n"/>
      <c r="O194" s="210" t="inlineStr">
        <is>
          <t>Седло- EPDM HT; Диск - Нержавеющая сталь CF8M</t>
        </is>
      </c>
      <c r="P194" s="210" t="n"/>
      <c r="Q194"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BD01M38936</t>
        </is>
      </c>
      <c r="R194" s="198">
        <f>A194</f>
        <v/>
      </c>
      <c r="S194" s="205" t="n"/>
      <c r="T194" s="205" t="n"/>
      <c r="U194" s="205" t="n"/>
      <c r="V194" s="205" t="n"/>
      <c r="W194" s="205" t="n"/>
      <c r="X194" s="205" t="n"/>
      <c r="Y194" s="205" t="n"/>
      <c r="Z194" s="205" t="n"/>
      <c r="AA194" s="205" t="n"/>
      <c r="AB194" s="205" t="n"/>
      <c r="AC194" s="205" t="n"/>
      <c r="AD194" s="205" t="n"/>
      <c r="AE194" s="205" t="n"/>
      <c r="AF194" s="205" t="n"/>
      <c r="AG194" s="205" t="n"/>
      <c r="AH194" s="205" t="n"/>
      <c r="AI194" s="202" t="n"/>
    </row>
    <row r="195" ht="60" customHeight="1" s="169">
      <c r="A195" s="192" t="n">
        <v>159</v>
      </c>
      <c r="B195" s="193" t="inlineStr">
        <is>
          <t>Затвор дисковый поворотный(ГРЭНВЭЛ) Тип /серия FL(w)-3-MR-E Ду 150 Ру 16</t>
        </is>
      </c>
      <c r="C195" s="210" t="inlineStr">
        <is>
          <t>ТУ 3700-001-81673229-2007</t>
        </is>
      </c>
      <c r="D195" s="210" t="n">
        <v>150</v>
      </c>
      <c r="E195" s="210" t="inlineStr">
        <is>
          <t>стандарт</t>
        </is>
      </c>
      <c r="F195" s="210" t="n">
        <v>1.6</v>
      </c>
      <c r="G195" s="210" t="inlineStr">
        <is>
          <t xml:space="preserve">-20…+110      </t>
        </is>
      </c>
      <c r="H195" s="210" t="inlineStr">
        <is>
          <t>вода</t>
        </is>
      </c>
      <c r="I195" s="210" t="inlineStr">
        <is>
          <t>Серый чугун EN-GJL-250</t>
        </is>
      </c>
      <c r="J195" s="210" t="inlineStr">
        <is>
          <t>Класс герметичности: А</t>
        </is>
      </c>
      <c r="K195" s="210" t="inlineStr">
        <is>
          <t>межфланцевый</t>
        </is>
      </c>
      <c r="L195" s="210" t="inlineStr">
        <is>
          <t>Ручной</t>
        </is>
      </c>
      <c r="M195" s="210" t="inlineStr">
        <is>
          <t>Ручка с фиксацией произвольного положения</t>
        </is>
      </c>
      <c r="N195" s="210" t="inlineStr">
        <is>
          <t>-</t>
        </is>
      </c>
      <c r="O195" s="210" t="inlineStr">
        <is>
          <t>Корпус: Серый чугун GG25 Седло: EPDM Диск: Нержавеющая сталь CF8M</t>
        </is>
      </c>
      <c r="P195" s="210" t="inlineStr">
        <is>
          <t>-</t>
        </is>
      </c>
      <c r="Q195" s="210" t="inlineStr">
        <is>
          <t>-</t>
        </is>
      </c>
      <c r="R195" s="198">
        <f>A195</f>
        <v/>
      </c>
      <c r="S195" s="205" t="n"/>
      <c r="T195" s="205" t="n"/>
      <c r="U195" s="205" t="n"/>
      <c r="V195" s="205" t="n"/>
      <c r="W195" s="205" t="n"/>
      <c r="X195" s="205" t="n"/>
      <c r="Y195" s="205" t="n"/>
      <c r="Z195" s="205" t="n"/>
      <c r="AA195" s="205" t="n"/>
      <c r="AB195" s="205" t="n"/>
      <c r="AC195" s="205" t="n"/>
      <c r="AD195" s="205" t="n"/>
      <c r="AE195" s="205" t="n"/>
      <c r="AF195" s="205" t="n"/>
      <c r="AG195" s="205" t="n"/>
      <c r="AH195" s="205" t="n"/>
      <c r="AI195" s="202" t="n"/>
    </row>
    <row r="196" ht="60" customHeight="1" s="169">
      <c r="A196" s="192" t="n">
        <v>160</v>
      </c>
      <c r="B196" s="193" t="inlineStr">
        <is>
          <t>Затвор дисковый поворотный(ГРЭНВЭЛ) Тип /серия FL(w)-3-MR-E Ду 200 Ру 16</t>
        </is>
      </c>
      <c r="C196" s="210" t="inlineStr">
        <is>
          <t>ТУ 3700-001-81673229-2007</t>
        </is>
      </c>
      <c r="D196" s="210" t="n">
        <v>200</v>
      </c>
      <c r="E196" s="210" t="inlineStr">
        <is>
          <t>стандарт</t>
        </is>
      </c>
      <c r="F196" s="210" t="n">
        <v>1.6</v>
      </c>
      <c r="G196" s="210" t="inlineStr">
        <is>
          <t xml:space="preserve">-20…+110      </t>
        </is>
      </c>
      <c r="H196" s="210" t="inlineStr">
        <is>
          <t>вода</t>
        </is>
      </c>
      <c r="I196" s="210" t="inlineStr">
        <is>
          <t>Серый чугун EN-GJL-250</t>
        </is>
      </c>
      <c r="J196" s="210" t="inlineStr">
        <is>
          <t>Класс герметичности: А</t>
        </is>
      </c>
      <c r="K196" s="210" t="inlineStr">
        <is>
          <t>межфланцевый</t>
        </is>
      </c>
      <c r="L196" s="210" t="inlineStr">
        <is>
          <t>Ручной</t>
        </is>
      </c>
      <c r="M196" s="210" t="inlineStr">
        <is>
          <t>Ручка с фиксацией произвольного положения</t>
        </is>
      </c>
      <c r="N196" s="210" t="inlineStr">
        <is>
          <t>-</t>
        </is>
      </c>
      <c r="O196" s="210" t="inlineStr">
        <is>
          <t>Корпус: Серый чугун GG25 Седло: EPDM Диск: Нержавеющая сталь CF8M</t>
        </is>
      </c>
      <c r="P196" s="210" t="inlineStr">
        <is>
          <t>-</t>
        </is>
      </c>
      <c r="Q196" s="210" t="inlineStr">
        <is>
          <t>-</t>
        </is>
      </c>
      <c r="R196" s="198">
        <f>A196</f>
        <v/>
      </c>
      <c r="S196" s="205" t="n"/>
      <c r="T196" s="205" t="n"/>
      <c r="U196" s="205" t="n"/>
      <c r="V196" s="205" t="n"/>
      <c r="W196" s="205" t="n"/>
      <c r="X196" s="205" t="n"/>
      <c r="Y196" s="205" t="n"/>
      <c r="Z196" s="205" t="n"/>
      <c r="AA196" s="205" t="n"/>
      <c r="AB196" s="205" t="n"/>
      <c r="AC196" s="205" t="n"/>
      <c r="AD196" s="205" t="n"/>
      <c r="AE196" s="205" t="n"/>
      <c r="AF196" s="205" t="n"/>
      <c r="AG196" s="205" t="n"/>
      <c r="AH196" s="205" t="n"/>
      <c r="AI196" s="202" t="n"/>
    </row>
    <row r="197" ht="51" customHeight="1" s="169">
      <c r="A197" s="192" t="n">
        <v>161</v>
      </c>
      <c r="B197" s="193" t="inlineStr">
        <is>
          <t>Затвор дисковый поворотный(ГРЭНВЭЛ) Тип /серия FL(w)-3-MR-E Ду 80</t>
        </is>
      </c>
      <c r="C197" s="210" t="inlineStr">
        <is>
          <t>ТУ 3700-001-81673229-2007</t>
        </is>
      </c>
      <c r="D197" s="210" t="n">
        <v>80</v>
      </c>
      <c r="E197" s="210" t="inlineStr">
        <is>
          <t>стандарт</t>
        </is>
      </c>
      <c r="F197" s="210" t="n">
        <v>1.6</v>
      </c>
      <c r="G197" s="210" t="inlineStr">
        <is>
          <t xml:space="preserve">-20…+110      </t>
        </is>
      </c>
      <c r="H197" s="210" t="inlineStr">
        <is>
          <t>вода</t>
        </is>
      </c>
      <c r="I197" s="210" t="inlineStr">
        <is>
          <t>Серый чугун EN-GJL-250</t>
        </is>
      </c>
      <c r="J197" s="210" t="inlineStr">
        <is>
          <t>Класс герметичности: А</t>
        </is>
      </c>
      <c r="K197" s="210" t="inlineStr">
        <is>
          <t>межфланцевый</t>
        </is>
      </c>
      <c r="L197" s="210" t="inlineStr">
        <is>
          <t>Ручной</t>
        </is>
      </c>
      <c r="M197" s="210" t="inlineStr">
        <is>
          <t>Ручка с фиксацией произвольного положения</t>
        </is>
      </c>
      <c r="N197" s="210" t="inlineStr">
        <is>
          <t>-</t>
        </is>
      </c>
      <c r="O197" s="210" t="inlineStr">
        <is>
          <t>Корпус: Серый чугун GG25 Седло: EPDM Диск: Нержавеющая сталь CF8M</t>
        </is>
      </c>
      <c r="P197" s="210" t="inlineStr">
        <is>
          <t>-</t>
        </is>
      </c>
      <c r="Q197" s="210" t="inlineStr">
        <is>
          <t>-</t>
        </is>
      </c>
      <c r="R197" s="198">
        <f>A197</f>
        <v/>
      </c>
      <c r="S197" s="205" t="n"/>
      <c r="T197" s="205" t="n"/>
      <c r="U197" s="205" t="n"/>
      <c r="V197" s="205" t="n"/>
      <c r="W197" s="205" t="n"/>
      <c r="X197" s="205" t="n"/>
      <c r="Y197" s="205" t="n"/>
      <c r="Z197" s="205" t="n"/>
      <c r="AA197" s="205" t="n"/>
      <c r="AB197" s="205" t="n"/>
      <c r="AC197" s="205" t="n"/>
      <c r="AD197" s="205" t="n"/>
      <c r="AE197" s="205" t="n"/>
      <c r="AF197" s="205" t="n"/>
      <c r="AG197" s="205" t="n"/>
      <c r="AH197" s="205" t="n"/>
      <c r="AI197" s="202" t="n"/>
    </row>
    <row r="198" ht="51" customHeight="1" s="169">
      <c r="A198" s="192" t="n">
        <v>162</v>
      </c>
      <c r="B198" s="193" t="inlineStr">
        <is>
          <t>Затвор поворотный дисковый Ду 65 Ру 16  ГРАНВЭЛ тип ЗПВС</t>
        </is>
      </c>
      <c r="C198" s="210" t="inlineStr">
        <is>
          <t>ТУ 3700-001-81673229-2007</t>
        </is>
      </c>
      <c r="D198" s="210" t="n">
        <v>65</v>
      </c>
      <c r="E198" s="210" t="inlineStr">
        <is>
          <t>стандарт</t>
        </is>
      </c>
      <c r="F198" s="210" t="n">
        <v>1.6</v>
      </c>
      <c r="G198" s="210" t="inlineStr">
        <is>
          <t>-20…+112</t>
        </is>
      </c>
      <c r="H198" s="210" t="inlineStr">
        <is>
          <t>Вода</t>
        </is>
      </c>
      <c r="I198" s="210" t="inlineStr">
        <is>
          <t>чугун</t>
        </is>
      </c>
      <c r="J198" s="210" t="inlineStr">
        <is>
          <t>У1</t>
        </is>
      </c>
      <c r="K198" s="210" t="inlineStr">
        <is>
          <t>межфланцовое</t>
        </is>
      </c>
      <c r="L198" s="210" t="inlineStr">
        <is>
          <t xml:space="preserve">Ручное </t>
        </is>
      </c>
      <c r="M198" s="210" t="inlineStr">
        <is>
          <t>Рукоятка</t>
        </is>
      </c>
      <c r="N198" s="210" t="inlineStr">
        <is>
          <t>любое</t>
        </is>
      </c>
      <c r="O198" s="210" t="inlineStr">
        <is>
          <t>Затвор диска поворотный ЗПВС-FL(w)-3150-MR-E, ДУ-65, РУ-16, межфланцовый, рукоятка, корпус-GG25, диск-GGG40, седло -EPDM, Т раб=-15…+110С</t>
        </is>
      </c>
      <c r="P198" s="210" t="inlineStr">
        <is>
          <t>-</t>
        </is>
      </c>
      <c r="Q198" s="210" t="n"/>
      <c r="R198" s="198">
        <f>A198</f>
        <v/>
      </c>
      <c r="S198" s="205" t="n"/>
      <c r="T198" s="205" t="n"/>
      <c r="U198" s="205" t="n"/>
      <c r="V198" s="205" t="n"/>
      <c r="W198" s="205" t="n"/>
      <c r="X198" s="205" t="n"/>
      <c r="Y198" s="205" t="n"/>
      <c r="Z198" s="205" t="n"/>
      <c r="AA198" s="205" t="n"/>
      <c r="AB198" s="205" t="n"/>
      <c r="AC198" s="205" t="n"/>
      <c r="AD198" s="205" t="n"/>
      <c r="AE198" s="205" t="n"/>
      <c r="AF198" s="205" t="n"/>
      <c r="AG198" s="205" t="n"/>
      <c r="AH198" s="205" t="n"/>
      <c r="AI198" s="202" t="n"/>
    </row>
    <row r="199" ht="204" customHeight="1" s="169">
      <c r="A199" s="192" t="n">
        <v>163</v>
      </c>
      <c r="B199" s="193" t="inlineStr">
        <is>
          <t>Электропривод прямоходный Regada SТ0 490.0-00TQV/00</t>
        </is>
      </c>
      <c r="C199" s="210" t="n"/>
      <c r="D199" s="210" t="n"/>
      <c r="E199" s="210" t="n"/>
      <c r="F199" s="210" t="n"/>
      <c r="G199" s="210" t="inlineStr">
        <is>
          <t>25°C - +55°C</t>
        </is>
      </c>
      <c r="H199" s="210" t="n"/>
      <c r="I199" s="210" t="n"/>
      <c r="J199" s="210" t="inlineStr">
        <is>
          <t>У</t>
        </is>
      </c>
      <c r="K199" s="210" t="n"/>
      <c r="L199" s="210" t="n"/>
      <c r="M199" s="210" t="n"/>
      <c r="N199" s="210" t="n"/>
      <c r="O199" s="210" t="n"/>
      <c r="P199" s="210" t="n"/>
      <c r="Q199" s="210" t="inlineStr">
        <is>
          <t>Степень защиты IP 54, Питающее напряжение 230 V AC, Схема включения Z20, Выключающая сила 2 900 N, Макс. нагрузочная сила 2 500 N, Скорость управления 4 mm/min,  Электродвигатель 1 W, Выключение злектропривода от нагрузки Двухсиловое (Схема включения Z20 выключатели S1, S2), Рабочий ход с датчиком 25 mm, Датчик положения Электронный с R/I преобразователем с токовым сигналом С источником, Включение 2-проводник, Выход 4 - 20 mA, Схема включения Z269, Механическое присоединение Столбикы, Присоединительная высота 110мм, Прицоедин. резьба тяги M8x1-22, Эскиз P-1185/B, 2 добавочные выключатели положения, Схема включения Z21.</t>
        </is>
      </c>
      <c r="R199" s="198">
        <f>A199</f>
        <v/>
      </c>
      <c r="S199" s="186" t="n"/>
      <c r="T199" s="186" t="n"/>
      <c r="U199" s="186" t="n"/>
      <c r="V199" s="186" t="n"/>
      <c r="W199" s="186" t="n"/>
      <c r="X199" s="186" t="n"/>
      <c r="Y199" s="186" t="n"/>
      <c r="Z199" s="186" t="n"/>
      <c r="AA199" s="186" t="n"/>
      <c r="AB199" s="186" t="n"/>
      <c r="AC199" s="186" t="n"/>
      <c r="AD199" s="186" t="n"/>
      <c r="AE199" s="186" t="n"/>
      <c r="AF199" s="186" t="n"/>
      <c r="AG199" s="186" t="n"/>
      <c r="AH199" s="186" t="n"/>
      <c r="AI199" s="202" t="n"/>
    </row>
    <row r="200" ht="17.85" customHeight="1" s="169">
      <c r="A200" s="249" t="inlineStr">
        <is>
          <t>Спецификация №2 Грузополучатель №2 Таблица 1.4 (филиал КТЭЦ) — Эксплуатация</t>
        </is>
      </c>
      <c r="B200" s="182" t="n"/>
      <c r="C200" s="182" t="n"/>
      <c r="D200" s="182" t="n"/>
      <c r="E200" s="182" t="n"/>
      <c r="F200" s="182" t="n"/>
      <c r="G200" s="182" t="n"/>
      <c r="H200" s="182" t="n"/>
      <c r="I200" s="182" t="n"/>
      <c r="J200" s="182" t="n"/>
      <c r="K200" s="182" t="n"/>
      <c r="L200" s="182" t="n"/>
      <c r="M200" s="182" t="n"/>
      <c r="N200" s="182" t="n"/>
      <c r="O200" s="182" t="n"/>
      <c r="P200" s="182" t="n"/>
      <c r="Q200" s="180" t="n"/>
      <c r="R200" s="250">
        <f>A200</f>
        <v/>
      </c>
      <c r="S200" s="182" t="n"/>
      <c r="T200" s="182" t="n"/>
      <c r="U200" s="182" t="n"/>
      <c r="V200" s="182" t="n"/>
      <c r="W200" s="182" t="n"/>
      <c r="X200" s="182" t="n"/>
      <c r="Y200" s="182" t="n"/>
      <c r="Z200" s="182" t="n"/>
      <c r="AA200" s="182" t="n"/>
      <c r="AB200" s="182" t="n"/>
      <c r="AC200" s="182" t="n"/>
      <c r="AD200" s="182" t="n"/>
      <c r="AE200" s="182" t="n"/>
      <c r="AF200" s="182" t="n"/>
      <c r="AG200" s="182" t="n"/>
      <c r="AH200" s="182" t="n"/>
      <c r="AI200" s="180" t="n"/>
    </row>
    <row r="201" ht="102" customHeight="1" s="169">
      <c r="A201" s="192" t="n">
        <v>1</v>
      </c>
      <c r="B201" s="193" t="inlineStr">
        <is>
          <t>Рыбозащитное устройство с потокообразователем</t>
        </is>
      </c>
      <c r="C201" s="210" t="n"/>
      <c r="D201" s="210" t="n"/>
      <c r="E201" s="210" t="n"/>
      <c r="F201" s="210" t="n"/>
      <c r="G201" s="210" t="n"/>
      <c r="H201" s="210" t="inlineStr">
        <is>
          <t>Вода</t>
        </is>
      </c>
      <c r="I201" s="210" t="inlineStr">
        <is>
          <t>Сталь 20</t>
        </is>
      </c>
      <c r="J201" s="210" t="n"/>
      <c r="K201" s="210" t="n"/>
      <c r="L201" s="210" t="n"/>
      <c r="M201" s="210" t="n"/>
      <c r="N201" s="210" t="n"/>
      <c r="O201" s="210" t="n"/>
      <c r="P201" s="210" t="n"/>
      <c r="Q201" s="210" t="inlineStr">
        <is>
          <t>Рыбозащитное устройство с потокообразователем РОП-200, под производительность насоса от 250 куб м/час. В комплекте переход на трубу ДУ 200 Материал изготовления ст.20. Покраска РОП — серебрянка. Диаметр заградительной ячейки — 4мм (длина защищаемой молоди рыбы длиной от 30мм)</t>
        </is>
      </c>
      <c r="R201" s="198" t="n">
        <v>1</v>
      </c>
      <c r="S201" s="199" t="inlineStr">
        <is>
          <t>СРО (рыбозащитный оголовок с потокообразователем), типоразмер по расходу (250 м³/ч ≈ СРО-100)</t>
        </is>
      </c>
      <c r="T201" s="224" t="n"/>
      <c r="U201" s="224" t="n"/>
      <c r="V201" s="224" t="n"/>
      <c r="W201" s="251" t="n"/>
      <c r="X201" s="251" t="n"/>
      <c r="Y201" s="251" t="n"/>
      <c r="Z201" s="251" t="n"/>
      <c r="AA201" s="251" t="n"/>
      <c r="AB201" s="251" t="n"/>
      <c r="AC201" s="251" t="n"/>
      <c r="AD201" s="251" t="n"/>
      <c r="AE201" s="251" t="n"/>
      <c r="AF201" s="251" t="n"/>
      <c r="AG201" s="251" t="n"/>
      <c r="AH201" s="251" t="n"/>
      <c r="AI201" s="202" t="n"/>
    </row>
    <row r="202" ht="17.1" customHeight="1" s="169">
      <c r="A202" s="249" t="inlineStr">
        <is>
          <t>Спецификация №2 Грузополучатель №2 Таблица 1.5 (филиал КТЭЦ) — Техническое обслуживание</t>
        </is>
      </c>
      <c r="B202" s="182" t="n"/>
      <c r="C202" s="182" t="n"/>
      <c r="D202" s="182" t="n"/>
      <c r="E202" s="182" t="n"/>
      <c r="F202" s="182" t="n"/>
      <c r="G202" s="182" t="n"/>
      <c r="H202" s="182" t="n"/>
      <c r="I202" s="182" t="n"/>
      <c r="J202" s="182" t="n"/>
      <c r="K202" s="182" t="n"/>
      <c r="L202" s="182" t="n"/>
      <c r="M202" s="182" t="n"/>
      <c r="N202" s="182" t="n"/>
      <c r="O202" s="182" t="n"/>
      <c r="P202" s="182" t="n"/>
      <c r="Q202" s="180" t="n"/>
      <c r="R202" s="250">
        <f>A202</f>
        <v/>
      </c>
      <c r="S202" s="182" t="n"/>
      <c r="T202" s="182" t="n"/>
      <c r="U202" s="182" t="n"/>
      <c r="V202" s="182" t="n"/>
      <c r="W202" s="182" t="n"/>
      <c r="X202" s="182" t="n"/>
      <c r="Y202" s="182" t="n"/>
      <c r="Z202" s="182" t="n"/>
      <c r="AA202" s="182" t="n"/>
      <c r="AB202" s="182" t="n"/>
      <c r="AC202" s="182" t="n"/>
      <c r="AD202" s="182" t="n"/>
      <c r="AE202" s="182" t="n"/>
      <c r="AF202" s="182" t="n"/>
      <c r="AG202" s="182" t="n"/>
      <c r="AH202" s="182" t="n"/>
      <c r="AI202" s="180" t="n"/>
    </row>
    <row r="203" ht="27.95" customHeight="1" s="169">
      <c r="A203" s="192" t="n">
        <v>1</v>
      </c>
      <c r="B203" s="193" t="inlineStr">
        <is>
          <t>Клапан запорный 15кч18п Ду 25 Ру 16</t>
        </is>
      </c>
      <c r="C203" s="210" t="inlineStr">
        <is>
          <t>ТУ 3732-001-00218137-94</t>
        </is>
      </c>
      <c r="D203" s="210" t="n">
        <v>25</v>
      </c>
      <c r="E203" s="210" t="inlineStr">
        <is>
          <t>-</t>
        </is>
      </c>
      <c r="F203" s="210" t="n">
        <v>1.6</v>
      </c>
      <c r="G203" s="210" t="inlineStr">
        <is>
          <t xml:space="preserve">  Вода, пар От +1°С до +150°С</t>
        </is>
      </c>
      <c r="H203" s="210" t="inlineStr">
        <is>
          <t xml:space="preserve"> вода, пар.</t>
        </is>
      </c>
      <c r="I203" s="210" t="inlineStr">
        <is>
          <t>КЧ30</t>
        </is>
      </c>
      <c r="J203" s="210" t="inlineStr">
        <is>
          <t>У</t>
        </is>
      </c>
      <c r="K203" s="210" t="inlineStr">
        <is>
          <t xml:space="preserve">Муфтовый   </t>
        </is>
      </c>
      <c r="L203" s="210" t="inlineStr">
        <is>
          <t>Ручной</t>
        </is>
      </c>
      <c r="M203" s="210" t="inlineStr">
        <is>
          <t>-</t>
        </is>
      </c>
      <c r="N203" s="210" t="inlineStr">
        <is>
          <t>любое</t>
        </is>
      </c>
      <c r="O203" s="210" t="n"/>
      <c r="P203" s="210" t="n"/>
      <c r="Q203" s="210" t="n"/>
      <c r="R203" s="198">
        <f>A203</f>
        <v/>
      </c>
      <c r="S203" s="228" t="inlineStr">
        <is>
          <t>Клапан запорный 15кч18п Китай 1" Ду25 Ру16 резьбовой, корпус - чугун, с маховиком</t>
        </is>
      </c>
      <c r="T203" s="224" t="n"/>
      <c r="U203" s="224" t="n"/>
      <c r="V203" s="224" t="n"/>
      <c r="W203" s="252" t="n"/>
      <c r="X203" s="252" t="n"/>
      <c r="Y203" s="252" t="n"/>
      <c r="Z203" s="252" t="n"/>
      <c r="AA203" s="252" t="n"/>
      <c r="AB203" s="252" t="n"/>
      <c r="AC203" s="252" t="n"/>
      <c r="AD203" s="252" t="n"/>
      <c r="AE203" s="252" t="n"/>
      <c r="AF203" s="252" t="n"/>
      <c r="AG203" s="252" t="n"/>
      <c r="AH203" s="252" t="n"/>
      <c r="AI203" s="202" t="n"/>
    </row>
    <row r="204" ht="51" customHeight="1" s="169">
      <c r="A204" s="192" t="n">
        <v>2</v>
      </c>
      <c r="B204" s="193" t="inlineStr">
        <is>
          <t>Задвижка 30с64нж Ду 50 Ру 25</t>
        </is>
      </c>
      <c r="C204" s="210" t="inlineStr">
        <is>
          <t>ГОСТ 5762-2002</t>
        </is>
      </c>
      <c r="D204" s="210" t="n">
        <v>50</v>
      </c>
      <c r="E204" s="210" t="inlineStr">
        <is>
          <t>стандарт</t>
        </is>
      </c>
      <c r="F204" s="210" t="n">
        <v>2.5</v>
      </c>
      <c r="G204" s="210" t="inlineStr">
        <is>
          <t>от −40°С  до +425°С</t>
        </is>
      </c>
      <c r="H204" s="210" t="inlineStr">
        <is>
          <t>вода, пар, неагрессивные нефтепродукты</t>
        </is>
      </c>
      <c r="I204" s="210" t="inlineStr">
        <is>
          <t>сталь 25л</t>
        </is>
      </c>
      <c r="J204" s="210" t="inlineStr">
        <is>
          <t>У1</t>
        </is>
      </c>
      <c r="K204" s="210" t="inlineStr">
        <is>
          <t>фланцевый</t>
        </is>
      </c>
      <c r="L204" s="210" t="inlineStr">
        <is>
          <t>ручной</t>
        </is>
      </c>
      <c r="M204" s="210" t="inlineStr">
        <is>
          <t>маховик</t>
        </is>
      </c>
      <c r="N204" s="210" t="inlineStr">
        <is>
          <t>горизонтальное, либо вертикальное</t>
        </is>
      </c>
      <c r="O204" s="210" t="inlineStr">
        <is>
          <t>Крышка, клин Ст25Л, шпиндель Ст20х13</t>
        </is>
      </c>
      <c r="P204" s="210" t="n"/>
      <c r="Q204" s="210" t="n"/>
      <c r="R204" s="198">
        <f>A204</f>
        <v/>
      </c>
      <c r="S204" s="205" t="n"/>
      <c r="T204" s="205" t="n"/>
      <c r="U204" s="205" t="n"/>
      <c r="V204" s="205" t="n"/>
      <c r="W204" s="205" t="n"/>
      <c r="X204" s="205" t="n"/>
      <c r="Y204" s="205" t="n"/>
      <c r="Z204" s="205" t="n"/>
      <c r="AA204" s="205" t="n"/>
      <c r="AB204" s="205" t="n"/>
      <c r="AC204" s="205" t="n"/>
      <c r="AD204" s="205" t="n"/>
      <c r="AE204" s="205" t="n"/>
      <c r="AF204" s="205" t="n"/>
      <c r="AG204" s="205" t="n"/>
      <c r="AH204" s="205" t="n"/>
      <c r="AI204" s="202" t="n"/>
    </row>
    <row r="205" ht="51" customHeight="1" s="169">
      <c r="A205" s="192" t="n">
        <v>3</v>
      </c>
      <c r="B205" s="193" t="inlineStr">
        <is>
          <t>Задвижка 30с64нж Ду 80 Ру 25</t>
        </is>
      </c>
      <c r="C205" s="210" t="inlineStr">
        <is>
          <t>ГОСТ 5762-2002</t>
        </is>
      </c>
      <c r="D205" s="210" t="n">
        <v>80</v>
      </c>
      <c r="E205" s="210" t="inlineStr">
        <is>
          <t>стандарт</t>
        </is>
      </c>
      <c r="F205" s="210" t="n">
        <v>2.5</v>
      </c>
      <c r="G205" s="210" t="inlineStr">
        <is>
          <t>от −40°С  до +425°С</t>
        </is>
      </c>
      <c r="H205" s="210" t="inlineStr">
        <is>
          <t>вода, пар, неагрессивные нефтепродукты</t>
        </is>
      </c>
      <c r="I205" s="210" t="inlineStr">
        <is>
          <t>сталь 25л</t>
        </is>
      </c>
      <c r="J205" s="210" t="inlineStr">
        <is>
          <t>У1</t>
        </is>
      </c>
      <c r="K205" s="210" t="inlineStr">
        <is>
          <t>фланцевый</t>
        </is>
      </c>
      <c r="L205" s="210" t="inlineStr">
        <is>
          <t>ручной</t>
        </is>
      </c>
      <c r="M205" s="210" t="inlineStr">
        <is>
          <t>маховик</t>
        </is>
      </c>
      <c r="N205" s="210" t="inlineStr">
        <is>
          <t>горизонтальное, либо вертикальное</t>
        </is>
      </c>
      <c r="O205" s="210" t="inlineStr">
        <is>
          <t>Крышка, клин Ст25Л, шпиндель Ст20х13</t>
        </is>
      </c>
      <c r="P205" s="210" t="n"/>
      <c r="Q205" s="210" t="n"/>
      <c r="R205" s="198">
        <f>A205</f>
        <v/>
      </c>
      <c r="S205" s="205" t="n"/>
      <c r="T205" s="205" t="n"/>
      <c r="U205" s="205" t="n"/>
      <c r="V205" s="205" t="n"/>
      <c r="W205" s="205" t="n"/>
      <c r="X205" s="205" t="n"/>
      <c r="Y205" s="205" t="n"/>
      <c r="Z205" s="205" t="n"/>
      <c r="AA205" s="205" t="n"/>
      <c r="AB205" s="205" t="n"/>
      <c r="AC205" s="205" t="n"/>
      <c r="AD205" s="205" t="n"/>
      <c r="AE205" s="205" t="n"/>
      <c r="AF205" s="205" t="n"/>
      <c r="AG205" s="205" t="n"/>
      <c r="AH205" s="205" t="n"/>
      <c r="AI205" s="202" t="n"/>
    </row>
    <row r="206" ht="63.75" customHeight="1" s="169">
      <c r="A206" s="192" t="n">
        <v>4</v>
      </c>
      <c r="B206" s="193" t="inlineStr">
        <is>
          <t>Кран шаровой 11б27п1 Ду 15 Ру 16</t>
        </is>
      </c>
      <c r="C206" s="210" t="inlineStr">
        <is>
          <t xml:space="preserve">ГОСТ 9544-2015 ГОСТ 28343 ГОСТ 21345 </t>
        </is>
      </c>
      <c r="D206" s="210" t="n">
        <v>15</v>
      </c>
      <c r="E206" s="210" t="inlineStr">
        <is>
          <t>полный</t>
        </is>
      </c>
      <c r="F206" s="210" t="n">
        <v>1.6</v>
      </c>
      <c r="G206" s="210" t="inlineStr">
        <is>
          <t>От -10 до +90 °С</t>
        </is>
      </c>
      <c r="H206" s="210" t="inlineStr">
        <is>
          <t>вода</t>
        </is>
      </c>
      <c r="I206" s="210" t="inlineStr">
        <is>
          <t>латунь HPb58-2A</t>
        </is>
      </c>
      <c r="J206" s="210" t="inlineStr">
        <is>
          <t>У1</t>
        </is>
      </c>
      <c r="K206" s="210" t="inlineStr">
        <is>
          <t>Муфта-муфта ВР-ВР</t>
        </is>
      </c>
      <c r="L206" s="210" t="inlineStr">
        <is>
          <t xml:space="preserve">Ручное </t>
        </is>
      </c>
      <c r="M206" s="210" t="inlineStr">
        <is>
          <t>рукоятка</t>
        </is>
      </c>
      <c r="N206" s="210" t="inlineStr">
        <is>
          <t>любое</t>
        </is>
      </c>
      <c r="O206"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6" s="210" t="n"/>
      <c r="Q206" s="210" t="inlineStr">
        <is>
          <t xml:space="preserve"> (класс гермитичности "А" по ГОСТ 9544-2015).  </t>
        </is>
      </c>
      <c r="R206" s="198">
        <f>A206</f>
        <v/>
      </c>
      <c r="S206" s="205" t="n"/>
      <c r="T206" s="205" t="n"/>
      <c r="U206" s="205" t="n"/>
      <c r="V206" s="205" t="n"/>
      <c r="W206" s="205" t="n"/>
      <c r="X206" s="205" t="n"/>
      <c r="Y206" s="205" t="n"/>
      <c r="Z206" s="205" t="n"/>
      <c r="AA206" s="205" t="n"/>
      <c r="AB206" s="205" t="n"/>
      <c r="AC206" s="205" t="n"/>
      <c r="AD206" s="205" t="n"/>
      <c r="AE206" s="205" t="n"/>
      <c r="AF206" s="205" t="n"/>
      <c r="AG206" s="205" t="n"/>
      <c r="AH206" s="205" t="n"/>
      <c r="AI206" s="202" t="n"/>
    </row>
    <row r="207" ht="51" customHeight="1" s="169">
      <c r="A207" s="192" t="n">
        <v>5</v>
      </c>
      <c r="B207" s="193" t="inlineStr">
        <is>
          <t>Кран шаровой 11б27п1 Ду 20 Ру 16</t>
        </is>
      </c>
      <c r="C207" s="210" t="inlineStr">
        <is>
          <t xml:space="preserve">ГОСТ 9544-2015 ГОСТ 28343 ГОСТ 21345 </t>
        </is>
      </c>
      <c r="D207" s="222" t="n">
        <v>20</v>
      </c>
      <c r="E207" s="222" t="inlineStr">
        <is>
          <t>стандарт</t>
        </is>
      </c>
      <c r="F207" s="222" t="n">
        <v>1.6</v>
      </c>
      <c r="G207" s="222" t="inlineStr">
        <is>
          <t>до +150</t>
        </is>
      </c>
      <c r="H207" s="222" t="inlineStr">
        <is>
          <t>вода, пар</t>
        </is>
      </c>
      <c r="I207" s="222" t="inlineStr">
        <is>
          <t>латунь ЛЦ40Сд</t>
        </is>
      </c>
      <c r="J207" s="222" t="inlineStr">
        <is>
          <t>УХЛ4</t>
        </is>
      </c>
      <c r="K207" s="222" t="inlineStr">
        <is>
          <t>муфтовый</t>
        </is>
      </c>
      <c r="L207" s="222" t="inlineStr">
        <is>
          <t>ручной (рукоятка)</t>
        </is>
      </c>
      <c r="M207" s="253" t="inlineStr">
        <is>
          <t>-</t>
        </is>
      </c>
      <c r="N207" s="222" t="inlineStr">
        <is>
          <t>любое</t>
        </is>
      </c>
      <c r="O20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07" s="222" t="inlineStr">
        <is>
          <t>-</t>
        </is>
      </c>
      <c r="Q207" s="222" t="inlineStr">
        <is>
          <t>-</t>
        </is>
      </c>
      <c r="R207" s="198">
        <f>A207</f>
        <v/>
      </c>
      <c r="S207" s="205" t="n"/>
      <c r="T207" s="205" t="n"/>
      <c r="U207" s="205" t="n"/>
      <c r="V207" s="205" t="n"/>
      <c r="W207" s="205" t="n"/>
      <c r="X207" s="205" t="n"/>
      <c r="Y207" s="205" t="n"/>
      <c r="Z207" s="205" t="n"/>
      <c r="AA207" s="205" t="n"/>
      <c r="AB207" s="205" t="n"/>
      <c r="AC207" s="205" t="n"/>
      <c r="AD207" s="205" t="n"/>
      <c r="AE207" s="205" t="n"/>
      <c r="AF207" s="205" t="n"/>
      <c r="AG207" s="205" t="n"/>
      <c r="AH207" s="205" t="n"/>
      <c r="AI207" s="202" t="n"/>
    </row>
    <row r="208" ht="63.75" customHeight="1" s="169">
      <c r="A208" s="192" t="n">
        <v>6</v>
      </c>
      <c r="B208" s="193" t="inlineStr">
        <is>
          <t>Кран шаровой 11б27п1 Ду 25 Ру 16</t>
        </is>
      </c>
      <c r="C208" s="210" t="inlineStr">
        <is>
          <t xml:space="preserve">ГОСТ 9544-2015 ГОСТ 28343 ГОСТ 21345 </t>
        </is>
      </c>
      <c r="D208" s="210" t="n">
        <v>25</v>
      </c>
      <c r="E208" s="210" t="inlineStr">
        <is>
          <t>полный</t>
        </is>
      </c>
      <c r="F208" s="210" t="n">
        <v>1.6</v>
      </c>
      <c r="G208" s="210" t="inlineStr">
        <is>
          <t>От -10 до +90 °С</t>
        </is>
      </c>
      <c r="H208" s="210" t="inlineStr">
        <is>
          <t>вода</t>
        </is>
      </c>
      <c r="I208" s="210" t="inlineStr">
        <is>
          <t>латунь HPb58-2A</t>
        </is>
      </c>
      <c r="J208" s="210" t="inlineStr">
        <is>
          <t>У1</t>
        </is>
      </c>
      <c r="K208" s="210" t="inlineStr">
        <is>
          <t>Муфта-муфта ВР-ВР</t>
        </is>
      </c>
      <c r="L208" s="210" t="inlineStr">
        <is>
          <t xml:space="preserve">Ручное </t>
        </is>
      </c>
      <c r="M208" s="210" t="inlineStr">
        <is>
          <t>рукоятка</t>
        </is>
      </c>
      <c r="N208" s="210" t="inlineStr">
        <is>
          <t>любое</t>
        </is>
      </c>
      <c r="O20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8" s="210" t="n"/>
      <c r="Q208" s="210" t="n"/>
      <c r="R208" s="198">
        <f>A208</f>
        <v/>
      </c>
      <c r="S208" s="205" t="n"/>
      <c r="T208" s="205" t="n"/>
      <c r="U208" s="205" t="n"/>
      <c r="V208" s="205" t="n"/>
      <c r="W208" s="205" t="n"/>
      <c r="X208" s="205" t="n"/>
      <c r="Y208" s="205" t="n"/>
      <c r="Z208" s="205" t="n"/>
      <c r="AA208" s="205" t="n"/>
      <c r="AB208" s="205" t="n"/>
      <c r="AC208" s="205" t="n"/>
      <c r="AD208" s="205" t="n"/>
      <c r="AE208" s="205" t="n"/>
      <c r="AF208" s="205" t="n"/>
      <c r="AG208" s="205" t="n"/>
      <c r="AH208" s="205" t="n"/>
      <c r="AI208" s="202" t="n"/>
    </row>
    <row r="209" ht="63.75" customHeight="1" s="169">
      <c r="A209" s="192" t="n">
        <v>7</v>
      </c>
      <c r="B209" s="193" t="inlineStr">
        <is>
          <t>Кран шаровой 11б27п1 Ду 32 Ру 16</t>
        </is>
      </c>
      <c r="C209" s="210" t="inlineStr">
        <is>
          <t xml:space="preserve">ГОСТ 9544-2015 ГОСТ 28343 ГОСТ 21345 </t>
        </is>
      </c>
      <c r="D209" s="210" t="n">
        <v>32</v>
      </c>
      <c r="E209" s="210" t="inlineStr">
        <is>
          <t>полный</t>
        </is>
      </c>
      <c r="F209" s="210" t="n">
        <v>1.6</v>
      </c>
      <c r="G209" s="210" t="inlineStr">
        <is>
          <t>От -10 до +90 °С</t>
        </is>
      </c>
      <c r="H209" s="210" t="inlineStr">
        <is>
          <t>вода</t>
        </is>
      </c>
      <c r="I209" s="210" t="inlineStr">
        <is>
          <t>латунь HPb58-2A</t>
        </is>
      </c>
      <c r="J209" s="210" t="inlineStr">
        <is>
          <t>У1</t>
        </is>
      </c>
      <c r="K209" s="210" t="inlineStr">
        <is>
          <t>Муфта-муфта ВР-ВР</t>
        </is>
      </c>
      <c r="L209" s="210" t="inlineStr">
        <is>
          <t xml:space="preserve">Ручное </t>
        </is>
      </c>
      <c r="M209" s="210" t="inlineStr">
        <is>
          <t>рукоятка</t>
        </is>
      </c>
      <c r="N209" s="210" t="inlineStr">
        <is>
          <t>любое</t>
        </is>
      </c>
      <c r="O20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9" s="210" t="n"/>
      <c r="Q209" s="210" t="inlineStr">
        <is>
          <t xml:space="preserve">(класс гермитичности "А" по ГОСТ 9544-2015). </t>
        </is>
      </c>
      <c r="R209" s="198">
        <f>A209</f>
        <v/>
      </c>
      <c r="S209" s="205" t="n"/>
      <c r="T209" s="205" t="n"/>
      <c r="U209" s="205" t="n"/>
      <c r="V209" s="205" t="n"/>
      <c r="W209" s="205" t="n"/>
      <c r="X209" s="205" t="n"/>
      <c r="Y209" s="205" t="n"/>
      <c r="Z209" s="205" t="n"/>
      <c r="AA209" s="205" t="n"/>
      <c r="AB209" s="205" t="n"/>
      <c r="AC209" s="205" t="n"/>
      <c r="AD209" s="205" t="n"/>
      <c r="AE209" s="205" t="n"/>
      <c r="AF209" s="205" t="n"/>
      <c r="AG209" s="205" t="n"/>
      <c r="AH209" s="205" t="n"/>
      <c r="AI209" s="202" t="n"/>
    </row>
    <row r="210" ht="63.75" customHeight="1" s="169">
      <c r="A210" s="192" t="n">
        <v>8</v>
      </c>
      <c r="B210" s="193" t="inlineStr">
        <is>
          <t>Кран шаровой 11б27п1 Ду 50 Ру 16</t>
        </is>
      </c>
      <c r="C210" s="210" t="inlineStr">
        <is>
          <t xml:space="preserve">ГОСТ 9544-2015 ГОСТ 28343 ГОСТ 21345 </t>
        </is>
      </c>
      <c r="D210" s="210" t="n">
        <v>50</v>
      </c>
      <c r="E210" s="210" t="inlineStr">
        <is>
          <t>полный</t>
        </is>
      </c>
      <c r="F210" s="210" t="n">
        <v>1.6</v>
      </c>
      <c r="G210" s="210" t="inlineStr">
        <is>
          <t>От -10 до +90 °С</t>
        </is>
      </c>
      <c r="H210" s="210" t="inlineStr">
        <is>
          <t>вода</t>
        </is>
      </c>
      <c r="I210" s="210" t="inlineStr">
        <is>
          <t>латунь HPb58-2A</t>
        </is>
      </c>
      <c r="J210" s="210" t="inlineStr">
        <is>
          <t>У1</t>
        </is>
      </c>
      <c r="K210" s="210" t="inlineStr">
        <is>
          <t>Муфта-муфта ВР-ВР</t>
        </is>
      </c>
      <c r="L210" s="210" t="inlineStr">
        <is>
          <t xml:space="preserve">Ручное </t>
        </is>
      </c>
      <c r="M210" s="210" t="inlineStr">
        <is>
          <t>рукоятка</t>
        </is>
      </c>
      <c r="N210" s="210" t="inlineStr">
        <is>
          <t>любое</t>
        </is>
      </c>
      <c r="O21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0" s="210" t="inlineStr">
        <is>
          <t>размер b (толщина) согласно ГОСТ 33259-2015: b = 22 мм</t>
        </is>
      </c>
      <c r="Q210" s="210" t="n"/>
      <c r="R210" s="198">
        <f>A210</f>
        <v/>
      </c>
      <c r="S210" s="205" t="n"/>
      <c r="T210" s="205" t="n"/>
      <c r="U210" s="205" t="n"/>
      <c r="V210" s="205" t="n"/>
      <c r="W210" s="205" t="n"/>
      <c r="X210" s="205" t="n"/>
      <c r="Y210" s="205" t="n"/>
      <c r="Z210" s="205" t="n"/>
      <c r="AA210" s="205" t="n"/>
      <c r="AB210" s="205" t="n"/>
      <c r="AC210" s="205" t="n"/>
      <c r="AD210" s="205" t="n"/>
      <c r="AE210" s="205" t="n"/>
      <c r="AF210" s="205" t="n"/>
      <c r="AG210" s="205" t="n"/>
      <c r="AH210" s="205" t="n"/>
      <c r="AI210" s="202" t="n"/>
    </row>
    <row r="211" ht="114.75" customHeight="1" s="169">
      <c r="A211" s="192" t="n">
        <v>9</v>
      </c>
      <c r="B211" s="193" t="inlineStr">
        <is>
          <t>Кран шаровой 11с22п Ду 50 Ру 16</t>
        </is>
      </c>
      <c r="C211" s="222" t="inlineStr">
        <is>
          <t>ГОСТ 21345-2005</t>
        </is>
      </c>
      <c r="D211" s="222" t="n">
        <v>50</v>
      </c>
      <c r="E211" s="222" t="inlineStr">
        <is>
          <t>стандарт</t>
        </is>
      </c>
      <c r="F211" s="222" t="n">
        <v>1.6</v>
      </c>
      <c r="G211" s="222" t="inlineStr">
        <is>
          <t>до +200</t>
        </is>
      </c>
      <c r="H211" s="222" t="inlineStr">
        <is>
          <t>вода, природный газ, нефтепродукты, инертные газы</t>
        </is>
      </c>
      <c r="I211" s="222" t="inlineStr">
        <is>
          <t>сталь 20</t>
        </is>
      </c>
      <c r="J211" s="222" t="inlineStr">
        <is>
          <t>У1</t>
        </is>
      </c>
      <c r="K211" s="222" t="inlineStr">
        <is>
          <t>фланцевый</t>
        </is>
      </c>
      <c r="L211" s="222" t="inlineStr">
        <is>
          <t>ручной (рукоятка)</t>
        </is>
      </c>
      <c r="M211" s="253" t="inlineStr">
        <is>
          <t>-</t>
        </is>
      </c>
      <c r="N211" s="222" t="inlineStr">
        <is>
          <t>любое</t>
        </is>
      </c>
      <c r="O21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1" s="222" t="inlineStr">
        <is>
          <t>-</t>
        </is>
      </c>
      <c r="Q211" s="222" t="inlineStr">
        <is>
          <t>-</t>
        </is>
      </c>
      <c r="R211" s="198">
        <f>A211</f>
        <v/>
      </c>
      <c r="S211" s="205" t="n"/>
      <c r="T211" s="205" t="n"/>
      <c r="U211" s="205" t="n"/>
      <c r="V211" s="205" t="n"/>
      <c r="W211" s="205" t="n"/>
      <c r="X211" s="205" t="n"/>
      <c r="Y211" s="205" t="n"/>
      <c r="Z211" s="205" t="n"/>
      <c r="AA211" s="205" t="n"/>
      <c r="AB211" s="205" t="n"/>
      <c r="AC211" s="205" t="n"/>
      <c r="AD211" s="205" t="n"/>
      <c r="AE211" s="205" t="n"/>
      <c r="AF211" s="205" t="n"/>
      <c r="AG211" s="205" t="n"/>
      <c r="AH211" s="205" t="n"/>
      <c r="AI211" s="202" t="n"/>
    </row>
    <row r="212" ht="114.75" customHeight="1" s="169">
      <c r="A212" s="192" t="n">
        <v>10</v>
      </c>
      <c r="B212" s="193" t="inlineStr">
        <is>
          <t>Кран шаровой 11с22п Ду 80 Ру 16</t>
        </is>
      </c>
      <c r="C212" s="222" t="inlineStr">
        <is>
          <t>ГОСТ 21345-2005</t>
        </is>
      </c>
      <c r="D212" s="222" t="n">
        <v>80</v>
      </c>
      <c r="E212" s="222" t="inlineStr">
        <is>
          <t>стандарт</t>
        </is>
      </c>
      <c r="F212" s="222" t="n">
        <v>1.6</v>
      </c>
      <c r="G212" s="222" t="inlineStr">
        <is>
          <t>до +200</t>
        </is>
      </c>
      <c r="H212" s="222" t="inlineStr">
        <is>
          <t>вода, природный газ, нефтепродукты, инертные газы</t>
        </is>
      </c>
      <c r="I212" s="222" t="inlineStr">
        <is>
          <t>сталь 20</t>
        </is>
      </c>
      <c r="J212" s="222" t="inlineStr">
        <is>
          <t>У1</t>
        </is>
      </c>
      <c r="K212" s="222" t="inlineStr">
        <is>
          <t>фланцевый</t>
        </is>
      </c>
      <c r="L212" s="222" t="inlineStr">
        <is>
          <t>ручной (рукоятка)</t>
        </is>
      </c>
      <c r="M212" s="253" t="inlineStr">
        <is>
          <t>-</t>
        </is>
      </c>
      <c r="N212" s="222" t="inlineStr">
        <is>
          <t>любое</t>
        </is>
      </c>
      <c r="O21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2" s="222" t="inlineStr">
        <is>
          <t>-</t>
        </is>
      </c>
      <c r="Q212" s="222" t="inlineStr">
        <is>
          <t>-</t>
        </is>
      </c>
      <c r="R212" s="198">
        <f>A212</f>
        <v/>
      </c>
      <c r="S212" s="205" t="n"/>
      <c r="T212" s="205" t="n"/>
      <c r="U212" s="205" t="n"/>
      <c r="V212" s="205" t="n"/>
      <c r="W212" s="205" t="n"/>
      <c r="X212" s="205" t="n"/>
      <c r="Y212" s="205" t="n"/>
      <c r="Z212" s="205" t="n"/>
      <c r="AA212" s="205" t="n"/>
      <c r="AB212" s="205" t="n"/>
      <c r="AC212" s="205" t="n"/>
      <c r="AD212" s="205" t="n"/>
      <c r="AE212" s="205" t="n"/>
      <c r="AF212" s="205" t="n"/>
      <c r="AG212" s="205" t="n"/>
      <c r="AH212" s="205" t="n"/>
      <c r="AI212" s="202" t="n"/>
    </row>
    <row r="213" ht="114.75" customHeight="1" s="169">
      <c r="A213" s="192" t="n">
        <v>11</v>
      </c>
      <c r="B213" s="193" t="inlineStr">
        <is>
          <t>Кран шаровой 11с22п Ду 100 Ру 16</t>
        </is>
      </c>
      <c r="C213" s="222" t="inlineStr">
        <is>
          <t>ГОСТ 21345-2005</t>
        </is>
      </c>
      <c r="D213" s="222" t="n">
        <v>100</v>
      </c>
      <c r="E213" s="222" t="inlineStr">
        <is>
          <t>стандарт</t>
        </is>
      </c>
      <c r="F213" s="222" t="n">
        <v>1.6</v>
      </c>
      <c r="G213" s="222" t="inlineStr">
        <is>
          <t>до +200</t>
        </is>
      </c>
      <c r="H213" s="222" t="inlineStr">
        <is>
          <t>вода, природный газ, нефтепродукты, инертные газы</t>
        </is>
      </c>
      <c r="I213" s="222" t="inlineStr">
        <is>
          <t>сталь 20</t>
        </is>
      </c>
      <c r="J213" s="222" t="inlineStr">
        <is>
          <t>У1</t>
        </is>
      </c>
      <c r="K213" s="222" t="inlineStr">
        <is>
          <t>фланцевый</t>
        </is>
      </c>
      <c r="L213" s="222" t="inlineStr">
        <is>
          <t>ручной (рукоятка)</t>
        </is>
      </c>
      <c r="M213" s="253" t="inlineStr">
        <is>
          <t>-</t>
        </is>
      </c>
      <c r="N213" s="222" t="inlineStr">
        <is>
          <t>любое</t>
        </is>
      </c>
      <c r="O21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3" s="222" t="inlineStr">
        <is>
          <t>-</t>
        </is>
      </c>
      <c r="Q213" s="222" t="inlineStr">
        <is>
          <t>-</t>
        </is>
      </c>
      <c r="R213" s="198">
        <f>A213</f>
        <v/>
      </c>
      <c r="S213" s="205" t="n"/>
      <c r="T213" s="205" t="n"/>
      <c r="U213" s="205" t="n"/>
      <c r="V213" s="205" t="n"/>
      <c r="W213" s="205" t="n"/>
      <c r="X213" s="205" t="n"/>
      <c r="Y213" s="205" t="n"/>
      <c r="Z213" s="205" t="n"/>
      <c r="AA213" s="205" t="n"/>
      <c r="AB213" s="205" t="n"/>
      <c r="AC213" s="205" t="n"/>
      <c r="AD213" s="205" t="n"/>
      <c r="AE213" s="205" t="n"/>
      <c r="AF213" s="205" t="n"/>
      <c r="AG213" s="205" t="n"/>
      <c r="AH213" s="205" t="n"/>
      <c r="AI213" s="202" t="n"/>
    </row>
    <row r="214" ht="51" customHeight="1" s="169">
      <c r="A214" s="192" t="n">
        <v>12</v>
      </c>
      <c r="B214" s="193" t="inlineStr">
        <is>
          <t>Кран шаровой 11с67п Ду 15 Ру 25 цельносварной под приварку</t>
        </is>
      </c>
      <c r="C214" s="210" t="inlineStr">
        <is>
          <t>ГОСТ 21345-2005</t>
        </is>
      </c>
      <c r="D214" s="210" t="n">
        <v>15</v>
      </c>
      <c r="E214" s="210" t="inlineStr">
        <is>
          <t>полнопроходной</t>
        </is>
      </c>
      <c r="F214" s="210" t="n">
        <v>2.5</v>
      </c>
      <c r="G214" s="210" t="inlineStr">
        <is>
          <t>От -40°С до +200°С</t>
        </is>
      </c>
      <c r="H214" s="210" t="inlineStr">
        <is>
          <t>Вода</t>
        </is>
      </c>
      <c r="I214" s="210" t="inlineStr">
        <is>
          <t>сталь 20</t>
        </is>
      </c>
      <c r="J214" s="210" t="inlineStr">
        <is>
          <t>У1</t>
        </is>
      </c>
      <c r="K214" s="210" t="inlineStr">
        <is>
          <t>под приварку</t>
        </is>
      </c>
      <c r="L214" s="210" t="inlineStr">
        <is>
          <t xml:space="preserve">Ручное </t>
        </is>
      </c>
      <c r="M214" s="210" t="inlineStr">
        <is>
          <t>Рукоятка</t>
        </is>
      </c>
      <c r="N214" s="210" t="inlineStr">
        <is>
          <t>любое</t>
        </is>
      </c>
      <c r="O214" s="210" t="inlineStr">
        <is>
          <t>Шток:  сталь, 20Х13 
Уплотнения штока: фторопласт Ф4Г3К6 
Уплотнения шара: фторопласт Ф4Г3К6       
Шар: нержавеющая сталь</t>
        </is>
      </c>
      <c r="P214" s="210" t="n"/>
      <c r="Q214" s="210" t="n"/>
      <c r="R214" s="198">
        <f>A214</f>
        <v/>
      </c>
      <c r="S214" s="205" t="n"/>
      <c r="T214" s="205" t="n"/>
      <c r="U214" s="205" t="n"/>
      <c r="V214" s="205" t="n"/>
      <c r="W214" s="205" t="n"/>
      <c r="X214" s="205" t="n"/>
      <c r="Y214" s="205" t="n"/>
      <c r="Z214" s="205" t="n"/>
      <c r="AA214" s="205" t="n"/>
      <c r="AB214" s="205" t="n"/>
      <c r="AC214" s="205" t="n"/>
      <c r="AD214" s="205" t="n"/>
      <c r="AE214" s="205" t="n"/>
      <c r="AF214" s="205" t="n"/>
      <c r="AG214" s="205" t="n"/>
      <c r="AH214" s="205" t="n"/>
      <c r="AI214" s="202" t="n"/>
    </row>
    <row r="215" ht="89.25" customHeight="1" s="169">
      <c r="A215" s="192" t="n">
        <v>13</v>
      </c>
      <c r="B215" s="193" t="inlineStr">
        <is>
          <t>Кран шаровой 11с67п Ду 25 Ру 25 цельносварной под приварку</t>
        </is>
      </c>
      <c r="C215" s="210" t="inlineStr">
        <is>
          <t>ГОСТ 21345-2005</t>
        </is>
      </c>
      <c r="D215" s="210" t="n">
        <v>25</v>
      </c>
      <c r="E215" s="210" t="inlineStr">
        <is>
          <t>полнопроходной</t>
        </is>
      </c>
      <c r="F215" s="210" t="n">
        <v>2.5</v>
      </c>
      <c r="G215" s="210" t="inlineStr">
        <is>
          <t>От -40°С до +180°С</t>
        </is>
      </c>
      <c r="H215" s="210" t="inlineStr">
        <is>
          <t>Вода, газ, нефтепродукты и другие нетоксичные и не агрессивные среды, нейтральные к материалам деталей крана.</t>
        </is>
      </c>
      <c r="I215" s="210" t="inlineStr">
        <is>
          <t>сталь 20</t>
        </is>
      </c>
      <c r="J215" s="210" t="inlineStr">
        <is>
          <t>У1</t>
        </is>
      </c>
      <c r="K215" s="210" t="inlineStr">
        <is>
          <t>под приварку</t>
        </is>
      </c>
      <c r="L215" s="210" t="inlineStr">
        <is>
          <t>Ручной</t>
        </is>
      </c>
      <c r="M215" s="210" t="inlineStr">
        <is>
          <t>Рукоятка</t>
        </is>
      </c>
      <c r="N215" s="210" t="n"/>
      <c r="O21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5" s="210" t="n"/>
      <c r="Q215" s="210" t="n"/>
      <c r="R215" s="198">
        <f>A215</f>
        <v/>
      </c>
      <c r="S215" s="205" t="n"/>
      <c r="T215" s="205" t="n"/>
      <c r="U215" s="205" t="n"/>
      <c r="V215" s="205" t="n"/>
      <c r="W215" s="205" t="n"/>
      <c r="X215" s="205" t="n"/>
      <c r="Y215" s="205" t="n"/>
      <c r="Z215" s="205" t="n"/>
      <c r="AA215" s="205" t="n"/>
      <c r="AB215" s="205" t="n"/>
      <c r="AC215" s="205" t="n"/>
      <c r="AD215" s="205" t="n"/>
      <c r="AE215" s="205" t="n"/>
      <c r="AF215" s="205" t="n"/>
      <c r="AG215" s="205" t="n"/>
      <c r="AH215" s="205" t="n"/>
      <c r="AI215" s="202" t="n"/>
    </row>
    <row r="216" ht="89.25" customHeight="1" s="169">
      <c r="A216" s="192" t="n">
        <v>14</v>
      </c>
      <c r="B216" s="193" t="inlineStr">
        <is>
          <t>Кран шаровой 11с67п Ду 32 Ру 25 цельносварной под приварку</t>
        </is>
      </c>
      <c r="C216" s="210" t="inlineStr">
        <is>
          <t>ГОСТ 21345-2005</t>
        </is>
      </c>
      <c r="D216" s="210" t="n">
        <v>32</v>
      </c>
      <c r="E216" s="210" t="inlineStr">
        <is>
          <t>полнопроходной</t>
        </is>
      </c>
      <c r="F216" s="210" t="n">
        <v>2.5</v>
      </c>
      <c r="G216" s="210" t="inlineStr">
        <is>
          <t>От -40°С до +180°С</t>
        </is>
      </c>
      <c r="H216" s="210" t="inlineStr">
        <is>
          <t>Вода, газ, нефтепродукты и другие нетоксичные и не агрессивные среды, нейтральные к материалам деталей крана.</t>
        </is>
      </c>
      <c r="I216" s="210" t="inlineStr">
        <is>
          <t>сталь 20</t>
        </is>
      </c>
      <c r="J216" s="210" t="inlineStr">
        <is>
          <t>У1</t>
        </is>
      </c>
      <c r="K216" s="210" t="inlineStr">
        <is>
          <t>под приварку</t>
        </is>
      </c>
      <c r="L216" s="210" t="inlineStr">
        <is>
          <t>Ручной</t>
        </is>
      </c>
      <c r="M216" s="210" t="inlineStr">
        <is>
          <t>Рукоятка</t>
        </is>
      </c>
      <c r="N216" s="210" t="inlineStr">
        <is>
          <t>любое</t>
        </is>
      </c>
      <c r="O21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6" s="210" t="inlineStr">
        <is>
          <t>строительная длина 260мм</t>
        </is>
      </c>
      <c r="Q216" s="210" t="n"/>
      <c r="R216" s="198">
        <f>A216</f>
        <v/>
      </c>
      <c r="S216" s="205" t="n"/>
      <c r="T216" s="205" t="n"/>
      <c r="U216" s="205" t="n"/>
      <c r="V216" s="205" t="n"/>
      <c r="W216" s="205" t="n"/>
      <c r="X216" s="205" t="n"/>
      <c r="Y216" s="205" t="n"/>
      <c r="Z216" s="205" t="n"/>
      <c r="AA216" s="205" t="n"/>
      <c r="AB216" s="205" t="n"/>
      <c r="AC216" s="205" t="n"/>
      <c r="AD216" s="205" t="n"/>
      <c r="AE216" s="205" t="n"/>
      <c r="AF216" s="205" t="n"/>
      <c r="AG216" s="205" t="n"/>
      <c r="AH216" s="205" t="n"/>
      <c r="AI216" s="202" t="n"/>
    </row>
    <row r="217" ht="51" customHeight="1" s="169">
      <c r="A217" s="192" t="n">
        <v>15</v>
      </c>
      <c r="B217" s="193" t="inlineStr">
        <is>
          <t>Кран шаровой 11с67п Ду 40 Ру 25 цельносварной под приварку</t>
        </is>
      </c>
      <c r="C217" s="210" t="inlineStr">
        <is>
          <t>ГОСТ 21345-2005</t>
        </is>
      </c>
      <c r="D217" s="210" t="n">
        <v>40</v>
      </c>
      <c r="E217" s="210" t="inlineStr">
        <is>
          <t>полнопроходной</t>
        </is>
      </c>
      <c r="F217" s="210" t="n">
        <v>2.5</v>
      </c>
      <c r="G217" s="210" t="inlineStr">
        <is>
          <t>От -40°С до +200°С</t>
        </is>
      </c>
      <c r="H217" s="210" t="inlineStr">
        <is>
          <t>Вода</t>
        </is>
      </c>
      <c r="I217" s="210" t="inlineStr">
        <is>
          <t>сталь 20</t>
        </is>
      </c>
      <c r="J217" s="210" t="inlineStr">
        <is>
          <t>У1</t>
        </is>
      </c>
      <c r="K217" s="210" t="inlineStr">
        <is>
          <t>под приварку</t>
        </is>
      </c>
      <c r="L217" s="210" t="inlineStr">
        <is>
          <t xml:space="preserve">Ручное </t>
        </is>
      </c>
      <c r="M217" s="210" t="inlineStr">
        <is>
          <t>Рукоятка</t>
        </is>
      </c>
      <c r="N217" s="210" t="inlineStr">
        <is>
          <t>любое</t>
        </is>
      </c>
      <c r="O217" s="210" t="inlineStr">
        <is>
          <t>Шток:  сталь, 20Х13 
Уплотнения штока: фторопласт Ф4Г3К6 
Уплотнения шара: фторопласт Ф4Г3К6
 Шар: нержавеющая сталь</t>
        </is>
      </c>
      <c r="P217" s="210" t="n"/>
      <c r="Q217" s="210" t="n"/>
      <c r="R217" s="198">
        <f>A217</f>
        <v/>
      </c>
      <c r="S217" s="205" t="n"/>
      <c r="T217" s="205" t="n"/>
      <c r="U217" s="205" t="n"/>
      <c r="V217" s="205" t="n"/>
      <c r="W217" s="205" t="n"/>
      <c r="X217" s="205" t="n"/>
      <c r="Y217" s="205" t="n"/>
      <c r="Z217" s="205" t="n"/>
      <c r="AA217" s="205" t="n"/>
      <c r="AB217" s="205" t="n"/>
      <c r="AC217" s="205" t="n"/>
      <c r="AD217" s="205" t="n"/>
      <c r="AE217" s="205" t="n"/>
      <c r="AF217" s="205" t="n"/>
      <c r="AG217" s="205" t="n"/>
      <c r="AH217" s="205" t="n"/>
      <c r="AI217" s="202" t="n"/>
    </row>
    <row r="218" ht="51" customHeight="1" s="169">
      <c r="A218" s="192" t="n">
        <v>16</v>
      </c>
      <c r="B218" s="193" t="inlineStr">
        <is>
          <t>Кран шаровой 11с67п Ду 50 Ру 25 цельносварной под приварку</t>
        </is>
      </c>
      <c r="C218" s="210" t="inlineStr">
        <is>
          <t>ГОСТ 21345-2005</t>
        </is>
      </c>
      <c r="D218" s="210" t="n">
        <v>50</v>
      </c>
      <c r="E218" s="210" t="inlineStr">
        <is>
          <t>полнопроходной</t>
        </is>
      </c>
      <c r="F218" s="210" t="n">
        <v>2.5</v>
      </c>
      <c r="G218" s="210" t="inlineStr">
        <is>
          <t>от -40 до +200</t>
        </is>
      </c>
      <c r="H218" s="210" t="inlineStr">
        <is>
          <t>вода</t>
        </is>
      </c>
      <c r="I218" s="210" t="inlineStr">
        <is>
          <t>сталь 20</t>
        </is>
      </c>
      <c r="J218" s="210" t="inlineStr">
        <is>
          <t>У1</t>
        </is>
      </c>
      <c r="K218" s="210" t="inlineStr">
        <is>
          <t>под приварку</t>
        </is>
      </c>
      <c r="L218" s="210" t="inlineStr">
        <is>
          <t>ручное</t>
        </is>
      </c>
      <c r="M218" s="210" t="inlineStr">
        <is>
          <t>рукоятка</t>
        </is>
      </c>
      <c r="N218" s="210" t="inlineStr">
        <is>
          <t>любое</t>
        </is>
      </c>
      <c r="O218"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218" s="210" t="inlineStr">
        <is>
          <t>строительная длина 300мм</t>
        </is>
      </c>
      <c r="Q218" s="210" t="n"/>
      <c r="R218" s="198">
        <f>A218</f>
        <v/>
      </c>
      <c r="S218" s="205" t="n"/>
      <c r="T218" s="205" t="n"/>
      <c r="U218" s="205" t="n"/>
      <c r="V218" s="205" t="n"/>
      <c r="W218" s="205" t="n"/>
      <c r="X218" s="205" t="n"/>
      <c r="Y218" s="205" t="n"/>
      <c r="Z218" s="205" t="n"/>
      <c r="AA218" s="205" t="n"/>
      <c r="AB218" s="205" t="n"/>
      <c r="AC218" s="205" t="n"/>
      <c r="AD218" s="205" t="n"/>
      <c r="AE218" s="205" t="n"/>
      <c r="AF218" s="205" t="n"/>
      <c r="AG218" s="205" t="n"/>
      <c r="AH218" s="205" t="n"/>
      <c r="AI218" s="202" t="n"/>
    </row>
    <row r="219" ht="51" customHeight="1" s="169">
      <c r="A219" s="192" t="n">
        <v>17</v>
      </c>
      <c r="B219" s="193" t="inlineStr">
        <is>
          <t>Кран шаровой 11с67п Ду 100 Ру 25 цельносварной под приварку</t>
        </is>
      </c>
      <c r="C219" s="210" t="inlineStr">
        <is>
          <t>ГОСТ 21345-2005</t>
        </is>
      </c>
      <c r="D219" s="210" t="n">
        <v>100</v>
      </c>
      <c r="E219" s="210" t="inlineStr">
        <is>
          <t>полнопроходной</t>
        </is>
      </c>
      <c r="F219" s="210" t="n">
        <v>2.5</v>
      </c>
      <c r="G219" s="210" t="inlineStr">
        <is>
          <t>от -40 до +200</t>
        </is>
      </c>
      <c r="H219" s="210" t="inlineStr">
        <is>
          <t>вода</t>
        </is>
      </c>
      <c r="I219" s="210" t="inlineStr">
        <is>
          <t>сталь 20</t>
        </is>
      </c>
      <c r="J219" s="210" t="inlineStr">
        <is>
          <t>У1</t>
        </is>
      </c>
      <c r="K219" s="210" t="inlineStr">
        <is>
          <t>под приварку</t>
        </is>
      </c>
      <c r="L219" s="210" t="inlineStr">
        <is>
          <t>ручное</t>
        </is>
      </c>
      <c r="M219" s="210" t="inlineStr">
        <is>
          <t>рукоятка</t>
        </is>
      </c>
      <c r="N219" s="210" t="inlineStr">
        <is>
          <t>любое</t>
        </is>
      </c>
      <c r="O21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9" s="210" t="inlineStr">
        <is>
          <t>строительная длина 390мм</t>
        </is>
      </c>
      <c r="Q219" s="210" t="n"/>
      <c r="R219" s="198">
        <f>A219</f>
        <v/>
      </c>
      <c r="S219" s="205" t="n"/>
      <c r="T219" s="205" t="n"/>
      <c r="U219" s="205" t="n"/>
      <c r="V219" s="205" t="n"/>
      <c r="W219" s="205" t="n"/>
      <c r="X219" s="205" t="n"/>
      <c r="Y219" s="205" t="n"/>
      <c r="Z219" s="205" t="n"/>
      <c r="AA219" s="205" t="n"/>
      <c r="AB219" s="205" t="n"/>
      <c r="AC219" s="205" t="n"/>
      <c r="AD219" s="205" t="n"/>
      <c r="AE219" s="205" t="n"/>
      <c r="AF219" s="205" t="n"/>
      <c r="AG219" s="205" t="n"/>
      <c r="AH219" s="205" t="n"/>
      <c r="AI219" s="202" t="n"/>
    </row>
    <row r="220" ht="51" customHeight="1" s="169">
      <c r="A220" s="192" t="n">
        <v>18</v>
      </c>
      <c r="B220" s="193" t="inlineStr">
        <is>
          <t>Кран шаровой 11с67п Ду 150 Ру 25 цельносварной под приварку</t>
        </is>
      </c>
      <c r="C220" s="210" t="inlineStr">
        <is>
          <t>ГОСТ 21345-2005</t>
        </is>
      </c>
      <c r="D220" s="210" t="n">
        <v>150</v>
      </c>
      <c r="E220" s="210" t="inlineStr">
        <is>
          <t>полнопроходной</t>
        </is>
      </c>
      <c r="F220" s="210" t="n">
        <v>2.5</v>
      </c>
      <c r="G220" s="210" t="inlineStr">
        <is>
          <t>от -40 до +200</t>
        </is>
      </c>
      <c r="H220" s="210" t="inlineStr">
        <is>
          <t>вода</t>
        </is>
      </c>
      <c r="I220" s="210" t="inlineStr">
        <is>
          <t>сталь 20</t>
        </is>
      </c>
      <c r="J220" s="210" t="inlineStr">
        <is>
          <t>У1</t>
        </is>
      </c>
      <c r="K220" s="210" t="inlineStr">
        <is>
          <t>под приварку</t>
        </is>
      </c>
      <c r="L220" s="210" t="inlineStr">
        <is>
          <t>ручное</t>
        </is>
      </c>
      <c r="M220" s="210" t="inlineStr">
        <is>
          <t>рукоятка</t>
        </is>
      </c>
      <c r="N220" s="210" t="inlineStr">
        <is>
          <t>любое</t>
        </is>
      </c>
      <c r="O22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20" s="210" t="inlineStr">
        <is>
          <t>строительная длина 390мм</t>
        </is>
      </c>
      <c r="Q220" s="210" t="n"/>
      <c r="R220" s="198">
        <f>A220</f>
        <v/>
      </c>
      <c r="S220" s="186" t="n"/>
      <c r="T220" s="186" t="n"/>
      <c r="U220" s="186" t="n"/>
      <c r="V220" s="186" t="n"/>
      <c r="W220" s="186" t="n"/>
      <c r="X220" s="186" t="n"/>
      <c r="Y220" s="186" t="n"/>
      <c r="Z220" s="186" t="n"/>
      <c r="AA220" s="186" t="n"/>
      <c r="AB220" s="186" t="n"/>
      <c r="AC220" s="186" t="n"/>
      <c r="AD220" s="186" t="n"/>
      <c r="AE220" s="186" t="n"/>
      <c r="AF220" s="186" t="n"/>
      <c r="AG220" s="186" t="n"/>
      <c r="AH220" s="186" t="n"/>
      <c r="AI220" s="202" t="n"/>
    </row>
    <row r="221" ht="15" customHeight="1" s="169">
      <c r="A221" s="219" t="inlineStr">
        <is>
          <t>Спецификация №3 Грузополучатель №3 Таблица 1.6 (филиал Коммунальная энергетика) — Ремонт</t>
        </is>
      </c>
      <c r="B221" s="182" t="n"/>
      <c r="C221" s="182" t="n"/>
      <c r="D221" s="182" t="n"/>
      <c r="E221" s="182" t="n"/>
      <c r="F221" s="182" t="n"/>
      <c r="G221" s="182" t="n"/>
      <c r="H221" s="182" t="n"/>
      <c r="I221" s="182" t="n"/>
      <c r="J221" s="182" t="n"/>
      <c r="K221" s="182" t="n"/>
      <c r="L221" s="182" t="n"/>
      <c r="M221" s="182" t="n"/>
      <c r="N221" s="182" t="n"/>
      <c r="O221" s="182" t="n"/>
      <c r="P221" s="182" t="n"/>
      <c r="Q221" s="183" t="n"/>
      <c r="R221" s="250">
        <f>A221</f>
        <v/>
      </c>
      <c r="S221" s="182" t="n"/>
      <c r="T221" s="182" t="n"/>
      <c r="U221" s="182" t="n"/>
      <c r="V221" s="182" t="n"/>
      <c r="W221" s="182" t="n"/>
      <c r="X221" s="182" t="n"/>
      <c r="Y221" s="182" t="n"/>
      <c r="Z221" s="182" t="n"/>
      <c r="AA221" s="182" t="n"/>
      <c r="AB221" s="182" t="n"/>
      <c r="AC221" s="182" t="n"/>
      <c r="AD221" s="182" t="n"/>
      <c r="AE221" s="182" t="n"/>
      <c r="AF221" s="182" t="n"/>
      <c r="AG221" s="182" t="n"/>
      <c r="AH221" s="180" t="n"/>
      <c r="AI221" s="191" t="n"/>
    </row>
    <row r="222" ht="54.75" customFormat="1" customHeight="1" s="171">
      <c r="A222" s="192" t="n">
        <v>1</v>
      </c>
      <c r="B222" s="193" t="inlineStr">
        <is>
          <t>Клапан регулирующий 25с947нж Ду 25 Ру 25 с ЭИМ</t>
        </is>
      </c>
      <c r="C222" s="254" t="inlineStr">
        <is>
          <t>ТУ 3742-002-22294686-2005</t>
        </is>
      </c>
      <c r="D222" s="253" t="n">
        <v>25</v>
      </c>
      <c r="E222" s="253" t="inlineStr">
        <is>
          <t>стандарт</t>
        </is>
      </c>
      <c r="F222" s="253" t="n">
        <v>2.5</v>
      </c>
      <c r="G222" s="254" t="inlineStr">
        <is>
          <t>от -40 до +425</t>
        </is>
      </c>
      <c r="H222" s="254" t="inlineStr">
        <is>
          <t>вода, воздух, пар, аммиак, природный газ, нефть, нефтепродукты.</t>
        </is>
      </c>
      <c r="I222" s="222" t="inlineStr">
        <is>
          <t>сталь</t>
        </is>
      </c>
      <c r="J222" s="253" t="inlineStr">
        <is>
          <t>У1</t>
        </is>
      </c>
      <c r="K222" s="222" t="inlineStr">
        <is>
          <t>фланцевый</t>
        </is>
      </c>
      <c r="L222" s="222" t="inlineStr">
        <is>
          <t>электропривод ST «Regada»</t>
        </is>
      </c>
      <c r="M222" s="222" t="inlineStr">
        <is>
          <t>взравозащищённый</t>
        </is>
      </c>
      <c r="N222" s="222" t="inlineStr">
        <is>
          <t>вертикальное</t>
        </is>
      </c>
      <c r="O222" s="253" t="inlineStr">
        <is>
          <t>-</t>
        </is>
      </c>
      <c r="P222" s="253" t="inlineStr">
        <is>
          <t>-</t>
        </is>
      </c>
      <c r="Q222" s="254" t="inlineStr">
        <is>
          <t>"REGADA", АС 220 В, АС 380 В, DC 24 В</t>
        </is>
      </c>
      <c r="R222" s="198">
        <f>A222</f>
        <v/>
      </c>
      <c r="S222" s="255" t="inlineStr">
        <is>
          <t>Клапан регулирующий Авангард КР 25с947нж Ду25 Ру25 с электроприводом 15-20 109 Regada ST mini</t>
        </is>
      </c>
      <c r="T222" s="256" t="n"/>
      <c r="U222" s="256" t="n"/>
      <c r="V222" s="256" t="n"/>
      <c r="W222" s="256" t="n"/>
      <c r="X222" s="256" t="n"/>
      <c r="Y222" s="256" t="n"/>
      <c r="Z222" s="256" t="n"/>
      <c r="AA222" s="256" t="n"/>
      <c r="AB222" s="256" t="n"/>
      <c r="AC222" s="256" t="n"/>
      <c r="AD222" s="256" t="n"/>
      <c r="AE222" s="256" t="n"/>
      <c r="AF222" s="256" t="n"/>
      <c r="AG222" s="256" t="n"/>
      <c r="AH222" s="256" t="n"/>
      <c r="AI222" s="202" t="n"/>
    </row>
    <row r="223" ht="63.75" customFormat="1" customHeight="1" s="171">
      <c r="A223" s="192" t="n">
        <v>2</v>
      </c>
      <c r="B223" s="193" t="inlineStr">
        <is>
          <t>Клапан регулирующий 25с947нж Ду 50 Ру 25 с ЭИМ</t>
        </is>
      </c>
      <c r="C223" s="254" t="inlineStr">
        <is>
          <t>ТУ 3742-002-22294686-2005</t>
        </is>
      </c>
      <c r="D223" s="253" t="n">
        <v>50</v>
      </c>
      <c r="E223" s="253" t="inlineStr">
        <is>
          <t>стандарт</t>
        </is>
      </c>
      <c r="F223" s="253" t="n">
        <v>2.5</v>
      </c>
      <c r="G223" s="254" t="inlineStr">
        <is>
          <t>от -40 до +425</t>
        </is>
      </c>
      <c r="H223" s="254" t="inlineStr">
        <is>
          <t>вода, воздух, пар, аммиак, природный газ, нефть, нефтепродукты.</t>
        </is>
      </c>
      <c r="I223" s="222" t="inlineStr">
        <is>
          <t>сталь</t>
        </is>
      </c>
      <c r="J223" s="253" t="inlineStr">
        <is>
          <t>У1</t>
        </is>
      </c>
      <c r="K223" s="222" t="inlineStr">
        <is>
          <t>фланцевый</t>
        </is>
      </c>
      <c r="L223" s="222" t="inlineStr">
        <is>
          <t>электропривод ST «Regada»</t>
        </is>
      </c>
      <c r="M223" s="222" t="inlineStr">
        <is>
          <t>взравозащищённый</t>
        </is>
      </c>
      <c r="N223" s="222" t="inlineStr">
        <is>
          <t>вертикальное</t>
        </is>
      </c>
      <c r="O223" s="253" t="inlineStr">
        <is>
          <t>-</t>
        </is>
      </c>
      <c r="P223" s="253" t="inlineStr">
        <is>
          <t>-</t>
        </is>
      </c>
      <c r="Q223" s="254" t="inlineStr">
        <is>
          <t>"REGADA", АС 220 В, АС 380 В, DC 24 В</t>
        </is>
      </c>
      <c r="R223" s="198">
        <f>A223</f>
        <v/>
      </c>
      <c r="S223" s="205" t="n"/>
      <c r="T223" s="205" t="n"/>
      <c r="U223" s="205" t="n"/>
      <c r="V223" s="205" t="n"/>
      <c r="W223" s="205" t="n"/>
      <c r="X223" s="205" t="n"/>
      <c r="Y223" s="205" t="n"/>
      <c r="Z223" s="205" t="n"/>
      <c r="AA223" s="205" t="n"/>
      <c r="AB223" s="205" t="n"/>
      <c r="AC223" s="205" t="n"/>
      <c r="AD223" s="205" t="n"/>
      <c r="AE223" s="205" t="n"/>
      <c r="AF223" s="205" t="n"/>
      <c r="AG223" s="205" t="n"/>
      <c r="AH223" s="205" t="n"/>
      <c r="AI223" s="202" t="n"/>
    </row>
    <row r="224" ht="127.5" customFormat="1" customHeight="1" s="171">
      <c r="A224" s="192" t="n">
        <v>3</v>
      </c>
      <c r="B224" s="193" t="inlineStr">
        <is>
          <t>Регулирующий клапан Ридан VFG-2R Ду 80, Kvs 80, Ру 16</t>
        </is>
      </c>
      <c r="C224" s="254" t="inlineStr">
        <is>
          <t>ТУ 28.14.11-002-72323163-2022</t>
        </is>
      </c>
      <c r="D224" s="253" t="n">
        <v>80</v>
      </c>
      <c r="E224" s="257" t="inlineStr">
        <is>
          <t>стандарт</t>
        </is>
      </c>
      <c r="F224" s="253" t="n">
        <v>1.6</v>
      </c>
      <c r="G224" s="254" t="inlineStr">
        <is>
          <t>от 2 до +150 C</t>
        </is>
      </c>
      <c r="H224" s="254" t="inlineStr">
        <is>
          <t>вода, 30% водный раствор гликоля</t>
        </is>
      </c>
      <c r="I224" s="223" t="inlineStr">
        <is>
          <t>чугун</t>
        </is>
      </c>
      <c r="J224" s="253" t="inlineStr">
        <is>
          <t>-</t>
        </is>
      </c>
      <c r="K224" s="223" t="inlineStr">
        <is>
          <t>фланцевый</t>
        </is>
      </c>
      <c r="L224" s="222" t="inlineStr">
        <is>
          <t>-</t>
        </is>
      </c>
      <c r="M224" s="222" t="inlineStr">
        <is>
          <t>-</t>
        </is>
      </c>
      <c r="N224" s="222" t="inlineStr">
        <is>
          <t>-</t>
        </is>
      </c>
      <c r="O224" s="222" t="inlineStr">
        <is>
          <t>Температура рабочей среды, °С	2–150 °С
Тип присоединения к трубопроводу	фланцы по ГОСТ 33259
Масса, кг, не более	33
Пропускная способность Kvs, м³/ч	80
Рабочая среда	Вода или 30% водный раствор гликоля
Модель	VFG-2R
Диаметр, Ду	80
Давление, Ру	16</t>
        </is>
      </c>
      <c r="P224" s="253" t="inlineStr">
        <is>
          <t>-</t>
        </is>
      </c>
      <c r="Q224" s="254" t="inlineStr">
        <is>
          <t>-</t>
        </is>
      </c>
      <c r="R224" s="198">
        <f>A224</f>
        <v/>
      </c>
      <c r="S224" s="205" t="n"/>
      <c r="T224" s="205" t="n"/>
      <c r="U224" s="205" t="n"/>
      <c r="V224" s="205" t="n"/>
      <c r="W224" s="205" t="n"/>
      <c r="X224" s="205" t="n"/>
      <c r="Y224" s="205" t="n"/>
      <c r="Z224" s="205" t="n"/>
      <c r="AA224" s="205" t="n"/>
      <c r="AB224" s="205" t="n"/>
      <c r="AC224" s="205" t="n"/>
      <c r="AD224" s="205" t="n"/>
      <c r="AE224" s="205" t="n"/>
      <c r="AF224" s="205" t="n"/>
      <c r="AG224" s="205" t="n"/>
      <c r="AH224" s="205" t="n"/>
      <c r="AI224" s="202" t="n"/>
    </row>
    <row r="225" ht="51" customFormat="1" customHeight="1" s="171">
      <c r="A225" s="192" t="n">
        <v>4</v>
      </c>
      <c r="B225" s="193" t="inlineStr">
        <is>
          <t>Клапан обратный межфланцевый 19ч21бр Ду 100 Ру 16</t>
        </is>
      </c>
      <c r="C225" s="210" t="inlineStr">
        <is>
          <t>ТУ 372240-001-48140495-05</t>
        </is>
      </c>
      <c r="D225" s="210" t="n">
        <v>100</v>
      </c>
      <c r="E225" s="212" t="inlineStr">
        <is>
          <t>стандарт</t>
        </is>
      </c>
      <c r="F225" s="210" t="n">
        <v>1.6</v>
      </c>
      <c r="G225" s="210" t="inlineStr">
        <is>
          <t>до +225</t>
        </is>
      </c>
      <c r="H225" s="210" t="inlineStr">
        <is>
          <t>жидкости, пар и газы</t>
        </is>
      </c>
      <c r="I225" s="210" t="inlineStr">
        <is>
          <t>чугун</t>
        </is>
      </c>
      <c r="J225" s="210" t="inlineStr">
        <is>
          <t>У</t>
        </is>
      </c>
      <c r="K225" s="210" t="inlineStr">
        <is>
          <t>межфланцевый</t>
        </is>
      </c>
      <c r="L225" s="212" t="inlineStr">
        <is>
          <t>-</t>
        </is>
      </c>
      <c r="M225" s="212" t="inlineStr">
        <is>
          <t>-</t>
        </is>
      </c>
      <c r="N225" s="210" t="inlineStr">
        <is>
          <t>любое</t>
        </is>
      </c>
      <c r="O225" s="210" t="inlineStr">
        <is>
          <t>материал уплотнения - латунь ЛЦ40С</t>
        </is>
      </c>
      <c r="P225" s="212" t="inlineStr">
        <is>
          <t>-</t>
        </is>
      </c>
      <c r="Q225" s="212" t="inlineStr">
        <is>
          <t>-</t>
        </is>
      </c>
      <c r="R225" s="198">
        <f>A225</f>
        <v/>
      </c>
      <c r="S225" s="205" t="n"/>
      <c r="T225" s="205" t="n"/>
      <c r="U225" s="205" t="n"/>
      <c r="V225" s="205" t="n"/>
      <c r="W225" s="205" t="n"/>
      <c r="X225" s="205" t="n"/>
      <c r="Y225" s="205" t="n"/>
      <c r="Z225" s="205" t="n"/>
      <c r="AA225" s="205" t="n"/>
      <c r="AB225" s="205" t="n"/>
      <c r="AC225" s="205" t="n"/>
      <c r="AD225" s="205" t="n"/>
      <c r="AE225" s="205" t="n"/>
      <c r="AF225" s="205" t="n"/>
      <c r="AG225" s="205" t="n"/>
      <c r="AH225" s="205" t="n"/>
      <c r="AI225" s="202" t="n"/>
    </row>
    <row r="226" ht="51" customHeight="1" s="169">
      <c r="A226" s="192" t="n">
        <v>5</v>
      </c>
      <c r="B226" s="193" t="inlineStr">
        <is>
          <t xml:space="preserve">Клапан обратный межфланцевый 19ч21бр Ду 50 Ру 16 </t>
        </is>
      </c>
      <c r="C226" s="210" t="inlineStr">
        <is>
          <t>ТУ 372240-001-48140495-05</t>
        </is>
      </c>
      <c r="D226" s="210" t="n">
        <v>50</v>
      </c>
      <c r="E226" s="212" t="inlineStr">
        <is>
          <t>стандарт</t>
        </is>
      </c>
      <c r="F226" s="210" t="n">
        <v>1.6</v>
      </c>
      <c r="G226" s="210" t="inlineStr">
        <is>
          <t>до +225</t>
        </is>
      </c>
      <c r="H226" s="210" t="inlineStr">
        <is>
          <t>жидкости, пар и газы</t>
        </is>
      </c>
      <c r="I226" s="210" t="inlineStr">
        <is>
          <t>чугун</t>
        </is>
      </c>
      <c r="J226" s="210" t="inlineStr">
        <is>
          <t>У</t>
        </is>
      </c>
      <c r="K226" s="210" t="inlineStr">
        <is>
          <t>межфланцевый</t>
        </is>
      </c>
      <c r="L226" s="212" t="inlineStr">
        <is>
          <t>-</t>
        </is>
      </c>
      <c r="M226" s="212" t="inlineStr">
        <is>
          <t>-</t>
        </is>
      </c>
      <c r="N226" s="210" t="inlineStr">
        <is>
          <t>любое</t>
        </is>
      </c>
      <c r="O226" s="210" t="inlineStr">
        <is>
          <t>материал уплотнения - латунь ЛЦ40С</t>
        </is>
      </c>
      <c r="P226" s="212" t="inlineStr">
        <is>
          <t>-</t>
        </is>
      </c>
      <c r="Q226" s="212" t="inlineStr">
        <is>
          <t>-</t>
        </is>
      </c>
      <c r="R226" s="198">
        <f>A226</f>
        <v/>
      </c>
      <c r="S226" s="205" t="n"/>
      <c r="T226" s="205" t="n"/>
      <c r="U226" s="205" t="n"/>
      <c r="V226" s="205" t="n"/>
      <c r="W226" s="205" t="n"/>
      <c r="X226" s="205" t="n"/>
      <c r="Y226" s="205" t="n"/>
      <c r="Z226" s="205" t="n"/>
      <c r="AA226" s="205" t="n"/>
      <c r="AB226" s="205" t="n"/>
      <c r="AC226" s="205" t="n"/>
      <c r="AD226" s="205" t="n"/>
      <c r="AE226" s="205" t="n"/>
      <c r="AF226" s="205" t="n"/>
      <c r="AG226" s="205" t="n"/>
      <c r="AH226" s="205" t="n"/>
      <c r="AI226" s="202" t="n"/>
    </row>
    <row r="227" ht="51" customFormat="1" customHeight="1" s="171">
      <c r="A227" s="192" t="n">
        <v>6</v>
      </c>
      <c r="B227" s="193" t="inlineStr">
        <is>
          <t>Клапан обратный межфланцевый 19ч21бр Ду 80 Ру 16</t>
        </is>
      </c>
      <c r="C227" s="210" t="inlineStr">
        <is>
          <t>ТУ 372240-001-48140495-05</t>
        </is>
      </c>
      <c r="D227" s="212" t="n">
        <v>80</v>
      </c>
      <c r="E227" s="212" t="inlineStr">
        <is>
          <t>стандарт</t>
        </is>
      </c>
      <c r="F227" s="210" t="n">
        <v>1.6</v>
      </c>
      <c r="G227" s="210" t="inlineStr">
        <is>
          <t>до +225</t>
        </is>
      </c>
      <c r="H227" s="210" t="inlineStr">
        <is>
          <t>жидкости, пар и газы</t>
        </is>
      </c>
      <c r="I227" s="210" t="inlineStr">
        <is>
          <t>чугун</t>
        </is>
      </c>
      <c r="J227" s="210" t="inlineStr">
        <is>
          <t>У</t>
        </is>
      </c>
      <c r="K227" s="210" t="inlineStr">
        <is>
          <t>межфланцевый</t>
        </is>
      </c>
      <c r="L227" s="212" t="inlineStr">
        <is>
          <t>-</t>
        </is>
      </c>
      <c r="M227" s="212" t="inlineStr">
        <is>
          <t>-</t>
        </is>
      </c>
      <c r="N227" s="210" t="inlineStr">
        <is>
          <t>любое</t>
        </is>
      </c>
      <c r="O227" s="210" t="inlineStr">
        <is>
          <t>материал уплотнения - латунь ЛЦ40С</t>
        </is>
      </c>
      <c r="P227" s="212" t="inlineStr">
        <is>
          <t>-</t>
        </is>
      </c>
      <c r="Q227" s="212" t="inlineStr">
        <is>
          <t>-</t>
        </is>
      </c>
      <c r="R227" s="198">
        <f>A227</f>
        <v/>
      </c>
      <c r="S227" s="205" t="n"/>
      <c r="T227" s="205" t="n"/>
      <c r="U227" s="205" t="n"/>
      <c r="V227" s="205" t="n"/>
      <c r="W227" s="205" t="n"/>
      <c r="X227" s="205" t="n"/>
      <c r="Y227" s="205" t="n"/>
      <c r="Z227" s="205" t="n"/>
      <c r="AA227" s="205" t="n"/>
      <c r="AB227" s="205" t="n"/>
      <c r="AC227" s="205" t="n"/>
      <c r="AD227" s="205" t="n"/>
      <c r="AE227" s="205" t="n"/>
      <c r="AF227" s="205" t="n"/>
      <c r="AG227" s="205" t="n"/>
      <c r="AH227" s="205" t="n"/>
      <c r="AI227" s="202" t="n"/>
    </row>
    <row r="228" ht="63.75" customHeight="1" s="169">
      <c r="A228" s="192" t="n">
        <v>7</v>
      </c>
      <c r="B228" s="193" t="inlineStr">
        <is>
          <t xml:space="preserve">Клапан обратный двухстворчатый DENDOR 010C Ду 100 Ру 16 межфланцевый </t>
        </is>
      </c>
      <c r="C228" s="210" t="inlineStr">
        <is>
          <t>Клапан соответствует требованиям
ГОСТ Р 51052-2002</t>
        </is>
      </c>
      <c r="D228" s="212" t="n">
        <v>100</v>
      </c>
      <c r="E228" s="212" t="inlineStr">
        <is>
          <t>стандарт</t>
        </is>
      </c>
      <c r="F228" s="210" t="n">
        <v>1.6</v>
      </c>
      <c r="G228" s="210" t="inlineStr">
        <is>
          <t>от - 25 до +130</t>
        </is>
      </c>
      <c r="H228" s="210" t="inlineStr">
        <is>
          <t>вода, воздух, пар</t>
        </is>
      </c>
      <c r="I228" s="210" t="inlineStr">
        <is>
          <t>Чугун GGG40</t>
        </is>
      </c>
      <c r="J228" s="210" t="inlineStr">
        <is>
          <t>У, Т, УХЛ, ОМ по ГОСТ 15150</t>
        </is>
      </c>
      <c r="K228" s="210" t="inlineStr">
        <is>
          <t>межфланцевый</t>
        </is>
      </c>
      <c r="L228" s="212" t="inlineStr">
        <is>
          <t>-</t>
        </is>
      </c>
      <c r="M228" s="212" t="inlineStr">
        <is>
          <t>-</t>
        </is>
      </c>
      <c r="N228" s="210" t="inlineStr">
        <is>
          <t>горизонтальное, либо вертикальное</t>
        </is>
      </c>
      <c r="O228" s="210" t="inlineStr">
        <is>
          <t>Уплотнение EPDM</t>
        </is>
      </c>
      <c r="P228" s="210" t="inlineStr">
        <is>
          <t>Строительная длина 64мм, диаметр корпуса  215мм</t>
        </is>
      </c>
      <c r="Q228" s="212" t="n"/>
      <c r="R228" s="198">
        <f>A228</f>
        <v/>
      </c>
      <c r="S228" s="205" t="n"/>
      <c r="T228" s="205" t="n"/>
      <c r="U228" s="205" t="n"/>
      <c r="V228" s="205" t="n"/>
      <c r="W228" s="205" t="n"/>
      <c r="X228" s="205" t="n"/>
      <c r="Y228" s="205" t="n"/>
      <c r="Z228" s="205" t="n"/>
      <c r="AA228" s="205" t="n"/>
      <c r="AB228" s="205" t="n"/>
      <c r="AC228" s="205" t="n"/>
      <c r="AD228" s="205" t="n"/>
      <c r="AE228" s="205" t="n"/>
      <c r="AF228" s="205" t="n"/>
      <c r="AG228" s="205" t="n"/>
      <c r="AH228" s="205" t="n"/>
      <c r="AI228" s="202" t="n"/>
    </row>
    <row r="229" ht="63.75" customHeight="1" s="169">
      <c r="A229" s="192" t="n">
        <v>8</v>
      </c>
      <c r="B229" s="193" t="inlineStr">
        <is>
          <t>Клапан обратный двухстворчатый DENDOR 010C Ду 150 Ру 16 межфланцевый</t>
        </is>
      </c>
      <c r="C229" s="210" t="inlineStr">
        <is>
          <t>Клапан соответствует требованиям
ГОСТ Р 51052-2002</t>
        </is>
      </c>
      <c r="D229" s="212" t="n">
        <v>150</v>
      </c>
      <c r="E229" s="212" t="inlineStr">
        <is>
          <t>стандарт</t>
        </is>
      </c>
      <c r="F229" s="210" t="n">
        <v>1.6</v>
      </c>
      <c r="G229" s="210" t="inlineStr">
        <is>
          <t>от - 25 до +130</t>
        </is>
      </c>
      <c r="H229" s="210" t="inlineStr">
        <is>
          <t>вода, воздух, пар</t>
        </is>
      </c>
      <c r="I229" s="210" t="inlineStr">
        <is>
          <t>Чугун GGG40</t>
        </is>
      </c>
      <c r="J229" s="210" t="inlineStr">
        <is>
          <t>У, Т, УХЛ, ОМ по ГОСТ 15150</t>
        </is>
      </c>
      <c r="K229" s="210" t="inlineStr">
        <is>
          <t>межфланцевый</t>
        </is>
      </c>
      <c r="L229" s="212" t="inlineStr">
        <is>
          <t>-</t>
        </is>
      </c>
      <c r="M229" s="212" t="inlineStr">
        <is>
          <t>-</t>
        </is>
      </c>
      <c r="N229" s="210" t="inlineStr">
        <is>
          <t>горизонтальное, либо вертикальное</t>
        </is>
      </c>
      <c r="O229" s="210" t="inlineStr">
        <is>
          <t>Уплотнение EPDM</t>
        </is>
      </c>
      <c r="P229" s="210" t="inlineStr">
        <is>
          <t>Строительная длина 76мм, диаметр корпуса  218мм</t>
        </is>
      </c>
      <c r="Q229" s="212" t="inlineStr">
        <is>
          <t>-</t>
        </is>
      </c>
      <c r="R229" s="198">
        <f>A229</f>
        <v/>
      </c>
      <c r="S229" s="205" t="n"/>
      <c r="T229" s="205" t="n"/>
      <c r="U229" s="205" t="n"/>
      <c r="V229" s="205" t="n"/>
      <c r="W229" s="205" t="n"/>
      <c r="X229" s="205" t="n"/>
      <c r="Y229" s="205" t="n"/>
      <c r="Z229" s="205" t="n"/>
      <c r="AA229" s="205" t="n"/>
      <c r="AB229" s="205" t="n"/>
      <c r="AC229" s="205" t="n"/>
      <c r="AD229" s="205" t="n"/>
      <c r="AE229" s="205" t="n"/>
      <c r="AF229" s="205" t="n"/>
      <c r="AG229" s="205" t="n"/>
      <c r="AH229" s="205" t="n"/>
      <c r="AI229" s="202" t="n"/>
    </row>
    <row r="230" ht="63.75" customHeight="1" s="169">
      <c r="A230" s="192" t="n">
        <v>9</v>
      </c>
      <c r="B230" s="193" t="inlineStr">
        <is>
          <t>Клапан обратный двухстворчатый DENDOR 010C Ду 200 Ру 16 межфланцевый</t>
        </is>
      </c>
      <c r="C230" s="210" t="inlineStr">
        <is>
          <t>Клапан соответствует требованиям
ГОСТ Р 51052-2002</t>
        </is>
      </c>
      <c r="D230" s="212" t="n">
        <v>200</v>
      </c>
      <c r="E230" s="212" t="inlineStr">
        <is>
          <t>стандарт</t>
        </is>
      </c>
      <c r="F230" s="210" t="n">
        <v>1.6</v>
      </c>
      <c r="G230" s="210" t="inlineStr">
        <is>
          <t>от - 25 до +130</t>
        </is>
      </c>
      <c r="H230" s="210" t="inlineStr">
        <is>
          <t>вода, воздух, пар</t>
        </is>
      </c>
      <c r="I230" s="210" t="inlineStr">
        <is>
          <t>Чугун GGG40</t>
        </is>
      </c>
      <c r="J230" s="210" t="inlineStr">
        <is>
          <t>У, Т, УХЛ, ОМ по ГОСТ 15150</t>
        </is>
      </c>
      <c r="K230" s="210" t="inlineStr">
        <is>
          <t>межфланцевый</t>
        </is>
      </c>
      <c r="L230" s="212" t="inlineStr">
        <is>
          <t>-</t>
        </is>
      </c>
      <c r="M230" s="212" t="inlineStr">
        <is>
          <t>-</t>
        </is>
      </c>
      <c r="N230" s="210" t="inlineStr">
        <is>
          <t>горизонтальное, либо вертикальное</t>
        </is>
      </c>
      <c r="O230" s="210" t="inlineStr">
        <is>
          <t>Уплотнение EPDM</t>
        </is>
      </c>
      <c r="P230" s="210" t="inlineStr">
        <is>
          <t>Строительная длина 89мм, диаметр корпуса  273мм</t>
        </is>
      </c>
      <c r="Q230" s="212" t="inlineStr">
        <is>
          <t>-</t>
        </is>
      </c>
      <c r="R230" s="198">
        <f>A230</f>
        <v/>
      </c>
      <c r="S230" s="205" t="n"/>
      <c r="T230" s="205" t="n"/>
      <c r="U230" s="205" t="n"/>
      <c r="V230" s="205" t="n"/>
      <c r="W230" s="205" t="n"/>
      <c r="X230" s="205" t="n"/>
      <c r="Y230" s="205" t="n"/>
      <c r="Z230" s="205" t="n"/>
      <c r="AA230" s="205" t="n"/>
      <c r="AB230" s="205" t="n"/>
      <c r="AC230" s="205" t="n"/>
      <c r="AD230" s="205" t="n"/>
      <c r="AE230" s="205" t="n"/>
      <c r="AF230" s="205" t="n"/>
      <c r="AG230" s="205" t="n"/>
      <c r="AH230" s="205" t="n"/>
      <c r="AI230" s="202" t="n"/>
    </row>
    <row r="231" ht="140.25" customFormat="1" customHeight="1" s="171">
      <c r="A231" s="192" t="n">
        <v>10</v>
      </c>
      <c r="B231" s="193" t="inlineStr">
        <is>
          <t>Клапан предохранительный сбросный ПСК 50C/125 Ду 50</t>
        </is>
      </c>
      <c r="C231" s="222" t="inlineStr">
        <is>
          <t>-</t>
        </is>
      </c>
      <c r="D231" s="222" t="n">
        <v>50</v>
      </c>
      <c r="E231" s="222" t="inlineStr">
        <is>
          <t>-</t>
        </is>
      </c>
      <c r="F231" s="222" t="inlineStr">
        <is>
          <t>-</t>
        </is>
      </c>
      <c r="G231" s="258" t="inlineStr">
        <is>
          <t>от -40°С до +50°С</t>
        </is>
      </c>
      <c r="H231" s="222" t="inlineStr">
        <is>
          <t>газ</t>
        </is>
      </c>
      <c r="I231" s="223" t="inlineStr">
        <is>
          <t>алюминий</t>
        </is>
      </c>
      <c r="J231" s="222" t="inlineStr">
        <is>
          <t>У2</t>
        </is>
      </c>
      <c r="K231" s="223" t="inlineStr">
        <is>
          <t>муфтовый</t>
        </is>
      </c>
      <c r="L231" s="253" t="inlineStr">
        <is>
          <t>-</t>
        </is>
      </c>
      <c r="M231" s="253" t="inlineStr">
        <is>
          <t>-</t>
        </is>
      </c>
      <c r="N231" s="222" t="inlineStr">
        <is>
          <t>-</t>
        </is>
      </c>
      <c r="O231" s="222" t="inlineStr">
        <is>
          <t xml:space="preserve">Предохранительный сбросной клапан ПСК-50С/125 предназначен для ограничения давления природного газа путем сброса избыточного давления газа в атмосферу. Максимальное давление открытия клапана: 125кПа (1.25кгс/см2)
Диаметр условного прохода: 50мм
Диапазон настройки срабатывания клапана: 50..125кПа
Присоединение: муфтовое
</t>
        </is>
      </c>
      <c r="P231" s="222" t="inlineStr">
        <is>
          <t>-</t>
        </is>
      </c>
      <c r="Q231" s="222" t="inlineStr">
        <is>
          <t>-</t>
        </is>
      </c>
      <c r="R231" s="198">
        <f>A231</f>
        <v/>
      </c>
      <c r="S231" s="205" t="n"/>
      <c r="T231" s="205" t="n"/>
      <c r="U231" s="205" t="n"/>
      <c r="V231" s="205" t="n"/>
      <c r="W231" s="205" t="n"/>
      <c r="X231" s="205" t="n"/>
      <c r="Y231" s="205" t="n"/>
      <c r="Z231" s="205" t="n"/>
      <c r="AA231" s="205" t="n"/>
      <c r="AB231" s="205" t="n"/>
      <c r="AC231" s="205" t="n"/>
      <c r="AD231" s="205" t="n"/>
      <c r="AE231" s="205" t="n"/>
      <c r="AF231" s="205" t="n"/>
      <c r="AG231" s="205" t="n"/>
      <c r="AH231" s="205" t="n"/>
      <c r="AI231" s="202" t="n"/>
    </row>
    <row r="232" ht="409.5" customFormat="1" customHeight="1" s="171">
      <c r="A232" s="192" t="n">
        <v>11</v>
      </c>
      <c r="B232" s="259" t="inlineStr">
        <is>
          <t>Клапан предохранительный 17с11нж Ду 25 Ру 16</t>
        </is>
      </c>
      <c r="C232" s="221" t="inlineStr">
        <is>
          <t>ТУ 3742-005-22294686-2009</t>
        </is>
      </c>
      <c r="D232" s="253" t="n">
        <v>25</v>
      </c>
      <c r="E232" s="257" t="inlineStr">
        <is>
          <t>стандарт</t>
        </is>
      </c>
      <c r="F232" s="222" t="n">
        <v>1.6</v>
      </c>
      <c r="G232" s="222" t="inlineStr">
        <is>
          <t>От -40 до +225</t>
        </is>
      </c>
      <c r="H232" s="222" t="inlineStr">
        <is>
          <t>Вода, воздух, пар, аммиак, нефть, жидкие углеводороды и нефтепродукты, масляные фракции и другие, среды, в которых скорость коррозии материала корпуса не превышает 0,2мм в год</t>
        </is>
      </c>
      <c r="I232" s="222" t="inlineStr">
        <is>
          <t>Углеродистая сталь</t>
        </is>
      </c>
      <c r="J232" s="223" t="inlineStr">
        <is>
          <t>У</t>
        </is>
      </c>
      <c r="K232" s="222" t="inlineStr">
        <is>
          <t>Штуцерно-торцевое</t>
        </is>
      </c>
      <c r="L232" s="253" t="inlineStr">
        <is>
          <t>-</t>
        </is>
      </c>
      <c r="M232" s="253" t="inlineStr">
        <is>
          <t>-</t>
        </is>
      </c>
      <c r="N232" s="222" t="inlineStr">
        <is>
          <t>-</t>
        </is>
      </c>
      <c r="O232" s="222" t="inlineStr">
        <is>
          <t xml:space="preserve">Наименование
Клапан предохранительный
Условный диаметр входа, мм
25
Тип присоединения входа
Наружная резьба
Возможность регулировки давления срабатывания Да
Диапазон регулировки (нижний), атм. (кг/см.кв., Bar) 8,0
Диапазон регулировки (верхний), атм. (кг/см.кв., Bar)
16,0
Наличие подрыва ?Нет
Материал Сталь
Модель 17с11нж
Страна происхождения Россия
Условный диметр выхода, мм 25
Тип присоединения выхода Наружная резьба
Максимальное давление, атм. (кг/см.кв., Bar) 16
Рабочая температура, °С от -40 до +225
Подъемность клапана Малоподъемный Рабочая среда Аммиак, хладон и газообразные или жидкие среды Покрытие Лакокрасочное
Особенность конструкции
Присоединение - Штуцерно-торцевое по ГОСТ 5890. Пружина №3 Регламентирующий документ ОСТ 26-07-1023-80
Назначение использования
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
</t>
        </is>
      </c>
      <c r="P232" s="210" t="n"/>
      <c r="Q232" s="212" t="n"/>
      <c r="R232" s="198">
        <f>A232</f>
        <v/>
      </c>
      <c r="S232" s="205" t="n"/>
      <c r="T232" s="205" t="n"/>
      <c r="U232" s="205" t="n"/>
      <c r="V232" s="205" t="n"/>
      <c r="W232" s="205" t="n"/>
      <c r="X232" s="205" t="n"/>
      <c r="Y232" s="205" t="n"/>
      <c r="Z232" s="205" t="n"/>
      <c r="AA232" s="205" t="n"/>
      <c r="AB232" s="205" t="n"/>
      <c r="AC232" s="205" t="n"/>
      <c r="AD232" s="205" t="n"/>
      <c r="AE232" s="205" t="n"/>
      <c r="AF232" s="205" t="n"/>
      <c r="AG232" s="205" t="n"/>
      <c r="AH232" s="205" t="n"/>
      <c r="AI232" s="202" t="n"/>
    </row>
    <row r="233" ht="63.75" customHeight="1" s="169">
      <c r="A233" s="192" t="n">
        <v>12</v>
      </c>
      <c r="B233" s="193" t="inlineStr">
        <is>
          <t>Клапан предохранительный 17с28нж Ду 50 Ру16 (Рн 10-16)</t>
        </is>
      </c>
      <c r="C233" s="222" t="inlineStr">
        <is>
          <t>ТУ 3742-003-22294686-2007</t>
        </is>
      </c>
      <c r="D233" s="222" t="n">
        <v>50</v>
      </c>
      <c r="E233" s="222" t="inlineStr">
        <is>
          <t>стандарт</t>
        </is>
      </c>
      <c r="F233" s="222" t="n">
        <v>1.6</v>
      </c>
      <c r="G233" s="222" t="inlineStr">
        <is>
          <t>от -40 до +425</t>
        </is>
      </c>
      <c r="H233" s="222" t="inlineStr">
        <is>
          <t>вода, воздух, пар, аммиак, природный газ, нефть, нефтепродукты</t>
        </is>
      </c>
      <c r="I233" s="222" t="inlineStr">
        <is>
          <t>сталь 25Л</t>
        </is>
      </c>
      <c r="J233" s="222" t="inlineStr">
        <is>
          <t>У1</t>
        </is>
      </c>
      <c r="K233" s="222" t="inlineStr">
        <is>
          <t>фланцевый</t>
        </is>
      </c>
      <c r="L233" s="253" t="inlineStr">
        <is>
          <t>-</t>
        </is>
      </c>
      <c r="M233" s="253" t="inlineStr">
        <is>
          <t>-</t>
        </is>
      </c>
      <c r="N233" s="222" t="inlineStr">
        <is>
          <t>вертикальное, колпаком вверх</t>
        </is>
      </c>
      <c r="O233" s="222" t="inlineStr">
        <is>
          <t>Уплотнение в затворе - нержавеющая сталь; Пружина - Сталь 50ХФА; Золотник, седло, шток - Сталь 20Х13</t>
        </is>
      </c>
      <c r="P233" s="222" t="inlineStr">
        <is>
          <t>-</t>
        </is>
      </c>
      <c r="Q233" s="222" t="inlineStr">
        <is>
          <t>-</t>
        </is>
      </c>
      <c r="R233" s="198">
        <f>A233</f>
        <v/>
      </c>
      <c r="S233" s="205" t="n"/>
      <c r="T233" s="205" t="n"/>
      <c r="U233" s="205" t="n"/>
      <c r="V233" s="205" t="n"/>
      <c r="W233" s="205" t="n"/>
      <c r="X233" s="205" t="n"/>
      <c r="Y233" s="205" t="n"/>
      <c r="Z233" s="205" t="n"/>
      <c r="AA233" s="205" t="n"/>
      <c r="AB233" s="205" t="n"/>
      <c r="AC233" s="205" t="n"/>
      <c r="AD233" s="205" t="n"/>
      <c r="AE233" s="205" t="n"/>
      <c r="AF233" s="205" t="n"/>
      <c r="AG233" s="205" t="n"/>
      <c r="AH233" s="205" t="n"/>
      <c r="AI233" s="202" t="n"/>
    </row>
    <row r="234" ht="76.5" customHeight="1" s="169">
      <c r="A234" s="192" t="n">
        <v>13</v>
      </c>
      <c r="B234" s="193" t="inlineStr">
        <is>
          <t>Клапан предохранительный 17с6нж Ду 50 Ру 16</t>
        </is>
      </c>
      <c r="C234" s="222" t="inlineStr">
        <is>
          <t>ТУ 3742-005-22294686-2009</t>
        </is>
      </c>
      <c r="D234" s="222" t="n">
        <v>50</v>
      </c>
      <c r="E234" s="222" t="inlineStr">
        <is>
          <t>стандарт</t>
        </is>
      </c>
      <c r="F234" s="222" t="n">
        <v>1.6</v>
      </c>
      <c r="G234" s="222" t="inlineStr">
        <is>
          <t>от -40 до +425</t>
        </is>
      </c>
      <c r="H234" s="222" t="inlineStr">
        <is>
          <t>жидкие и газообразные, нефть, нефтепродукты, углеводородные газы, вода, пар</t>
        </is>
      </c>
      <c r="I234" s="222" t="inlineStr">
        <is>
          <t>сталь 25Л</t>
        </is>
      </c>
      <c r="J234" s="222" t="inlineStr">
        <is>
          <t>У1</t>
        </is>
      </c>
      <c r="K234" s="222" t="inlineStr">
        <is>
          <t>фланцевый</t>
        </is>
      </c>
      <c r="L234" s="253" t="n"/>
      <c r="M234" s="253" t="n"/>
      <c r="N234" s="222" t="inlineStr">
        <is>
          <t>вертикальное, колпаком вверх</t>
        </is>
      </c>
      <c r="O234" s="222" t="inlineStr">
        <is>
          <t>Седло: сталь 20Х13
Шток: сталь 20Х13.
Пружина: 50ХФА
Прокладка: Паронит
Шпилька: сталь 35</t>
        </is>
      </c>
      <c r="P234" s="222" t="inlineStr">
        <is>
          <t>-</t>
        </is>
      </c>
      <c r="Q234" s="222" t="inlineStr">
        <is>
          <t>-</t>
        </is>
      </c>
      <c r="R234" s="198">
        <f>A234</f>
        <v/>
      </c>
      <c r="S234" s="205" t="n"/>
      <c r="T234" s="205" t="n"/>
      <c r="U234" s="205" t="n"/>
      <c r="V234" s="205" t="n"/>
      <c r="W234" s="205" t="n"/>
      <c r="X234" s="205" t="n"/>
      <c r="Y234" s="205" t="n"/>
      <c r="Z234" s="205" t="n"/>
      <c r="AA234" s="205" t="n"/>
      <c r="AB234" s="205" t="n"/>
      <c r="AC234" s="205" t="n"/>
      <c r="AD234" s="205" t="n"/>
      <c r="AE234" s="205" t="n"/>
      <c r="AF234" s="205" t="n"/>
      <c r="AG234" s="205" t="n"/>
      <c r="AH234" s="205" t="n"/>
      <c r="AI234" s="202" t="n"/>
    </row>
    <row r="235" ht="76.5" customHeight="1" s="169">
      <c r="A235" s="192" t="n">
        <v>14</v>
      </c>
      <c r="B235" s="193" t="inlineStr">
        <is>
          <t>Клапан предохранительный 17с6нж Ду 80 Ру 16</t>
        </is>
      </c>
      <c r="C235" s="222" t="inlineStr">
        <is>
          <t>ТУ 3742-005-22294686-2009</t>
        </is>
      </c>
      <c r="D235" s="222" t="n">
        <v>80</v>
      </c>
      <c r="E235" s="222" t="inlineStr">
        <is>
          <t>стандарт</t>
        </is>
      </c>
      <c r="F235" s="222" t="n">
        <v>1.6</v>
      </c>
      <c r="G235" s="222" t="inlineStr">
        <is>
          <t>от -40 до +425</t>
        </is>
      </c>
      <c r="H235" s="222" t="inlineStr">
        <is>
          <t>жидкие и газообразные, нефть, нефтепродукты, углеводородные газы, вода, пар</t>
        </is>
      </c>
      <c r="I235" s="222" t="inlineStr">
        <is>
          <t>сталь 25Л</t>
        </is>
      </c>
      <c r="J235" s="222" t="inlineStr">
        <is>
          <t>У1</t>
        </is>
      </c>
      <c r="K235" s="222" t="inlineStr">
        <is>
          <t>фланцевый</t>
        </is>
      </c>
      <c r="L235" s="253" t="n"/>
      <c r="M235" s="253" t="n"/>
      <c r="N235" s="222" t="inlineStr">
        <is>
          <t>вертикальное, колпаком вверх</t>
        </is>
      </c>
      <c r="O235" s="222" t="inlineStr">
        <is>
          <t>Седло: сталь 20Х13
Шток: сталь 20Х13.
Пружина: 50ХФА
Прокладка: Паронит
Шпилька: сталь 35</t>
        </is>
      </c>
      <c r="P235" s="222" t="inlineStr">
        <is>
          <t>-</t>
        </is>
      </c>
      <c r="Q235" s="222" t="inlineStr">
        <is>
          <t>-</t>
        </is>
      </c>
      <c r="R235" s="198">
        <f>A235</f>
        <v/>
      </c>
      <c r="S235" s="205" t="n"/>
      <c r="T235" s="205" t="n"/>
      <c r="U235" s="205" t="n"/>
      <c r="V235" s="205" t="n"/>
      <c r="W235" s="205" t="n"/>
      <c r="X235" s="205" t="n"/>
      <c r="Y235" s="205" t="n"/>
      <c r="Z235" s="205" t="n"/>
      <c r="AA235" s="205" t="n"/>
      <c r="AB235" s="205" t="n"/>
      <c r="AC235" s="205" t="n"/>
      <c r="AD235" s="205" t="n"/>
      <c r="AE235" s="205" t="n"/>
      <c r="AF235" s="205" t="n"/>
      <c r="AG235" s="205" t="n"/>
      <c r="AH235" s="205" t="n"/>
      <c r="AI235" s="202" t="n"/>
    </row>
    <row r="236" ht="153" customHeight="1" s="169">
      <c r="A236" s="192" t="n">
        <v>15</v>
      </c>
      <c r="B236" s="193" t="inlineStr">
        <is>
          <t>Клапан 15с18нж Ду 32, Ру 25</t>
        </is>
      </c>
      <c r="C236" s="222" t="inlineStr">
        <is>
          <t>ТУ 3742-005-27844275</t>
        </is>
      </c>
      <c r="D236" s="253" t="n">
        <v>32</v>
      </c>
      <c r="E236" s="222" t="inlineStr">
        <is>
          <t>стандарт</t>
        </is>
      </c>
      <c r="F236" s="253" t="n">
        <v>2.5</v>
      </c>
      <c r="G236" s="260" t="inlineStr">
        <is>
          <t>от -40°С до +425°С</t>
        </is>
      </c>
      <c r="H236" s="222" t="inlineStr">
        <is>
          <t>Среды жидкие и газообразные по отношению, к которым уплотнения и детали крана коррозиестойки (вода, пар, газообразные смеси, нефтепродукты и т.п.)</t>
        </is>
      </c>
      <c r="I236" s="261" t="inlineStr">
        <is>
          <t>сталь 20Л.</t>
        </is>
      </c>
      <c r="J236" s="222" t="inlineStr">
        <is>
          <t>У1</t>
        </is>
      </c>
      <c r="K236" s="222" t="inlineStr">
        <is>
          <t>фланцевый</t>
        </is>
      </c>
      <c r="L236" s="253" t="n"/>
      <c r="M236" s="253" t="n"/>
      <c r="N236" s="222" t="inlineStr">
        <is>
          <t>вертикальное, колпаком вверх</t>
        </is>
      </c>
      <c r="O236" s="222" t="inlineStr">
        <is>
          <t>ручное - маховик (многооборотное)  Корпусные детали: Сталь 20Л, 20ГЛ.
Тарельчатый затвор: Сталь 20Л, 20ГЛ с наплавкой из стали 20Х13.
Уплотнения сальника: ТРГ.
Уплотнения затвора: металл по металлу.
Коэффициент гидравлического сопротивления: не более 5.
Монтаж односторонний по стрелке на корпусе, подача среды под тарельчатый затвор.</t>
        </is>
      </c>
      <c r="P236" s="210" t="n"/>
      <c r="Q236" s="210" t="n"/>
      <c r="R236" s="198">
        <f>A236</f>
        <v/>
      </c>
      <c r="S236" s="205" t="n"/>
      <c r="T236" s="205" t="n"/>
      <c r="U236" s="205" t="n"/>
      <c r="V236" s="205" t="n"/>
      <c r="W236" s="205" t="n"/>
      <c r="X236" s="205" t="n"/>
      <c r="Y236" s="205" t="n"/>
      <c r="Z236" s="205" t="n"/>
      <c r="AA236" s="205" t="n"/>
      <c r="AB236" s="205" t="n"/>
      <c r="AC236" s="205" t="n"/>
      <c r="AD236" s="205" t="n"/>
      <c r="AE236" s="205" t="n"/>
      <c r="AF236" s="205" t="n"/>
      <c r="AG236" s="205" t="n"/>
      <c r="AH236" s="205" t="n"/>
      <c r="AI236" s="202" t="n"/>
    </row>
    <row r="237" ht="51" customHeight="1" s="169">
      <c r="A237" s="192" t="n">
        <v>16</v>
      </c>
      <c r="B237" s="193" t="inlineStr">
        <is>
          <t>Кран для манометра трехходовой Ду 15 Ру 16</t>
        </is>
      </c>
      <c r="C237" s="222" t="inlineStr">
        <is>
          <t>Нормы герметичности затвора: ГОСТ 9544-2015</t>
        </is>
      </c>
      <c r="D237" s="222" t="n">
        <v>15</v>
      </c>
      <c r="E237" s="222" t="inlineStr">
        <is>
          <t>полный</t>
        </is>
      </c>
      <c r="F237" s="222" t="n">
        <v>1.6</v>
      </c>
      <c r="G237" s="222" t="inlineStr">
        <is>
          <t>до +225</t>
        </is>
      </c>
      <c r="H237" s="222" t="inlineStr">
        <is>
          <t>вода, пар</t>
        </is>
      </c>
      <c r="I237" s="222" t="inlineStr">
        <is>
          <t>латунь ЛЦ40Сд</t>
        </is>
      </c>
      <c r="J237" s="222" t="inlineStr">
        <is>
          <t>У1</t>
        </is>
      </c>
      <c r="K237" s="222" t="inlineStr">
        <is>
          <t>муфтовый</t>
        </is>
      </c>
      <c r="L237" s="222" t="inlineStr">
        <is>
          <t>ручной (рукоятка)</t>
        </is>
      </c>
      <c r="M237" s="253" t="inlineStr">
        <is>
          <t>-</t>
        </is>
      </c>
      <c r="N237" s="222" t="inlineStr">
        <is>
          <t>любое</t>
        </is>
      </c>
      <c r="O237" s="222" t="inlineStr">
        <is>
          <t>шаровая пробка - хромированная латунь ЛЦ40Сд; уплотнительные кольца - фторопласт-4</t>
        </is>
      </c>
      <c r="P237" s="262" t="inlineStr">
        <is>
          <t>-</t>
        </is>
      </c>
      <c r="Q237" s="262" t="inlineStr">
        <is>
          <t>-</t>
        </is>
      </c>
      <c r="R237" s="198">
        <f>A237</f>
        <v/>
      </c>
      <c r="S237" s="205" t="n"/>
      <c r="T237" s="205" t="n"/>
      <c r="U237" s="205" t="n"/>
      <c r="V237" s="205" t="n"/>
      <c r="W237" s="205" t="n"/>
      <c r="X237" s="205" t="n"/>
      <c r="Y237" s="205" t="n"/>
      <c r="Z237" s="205" t="n"/>
      <c r="AA237" s="205" t="n"/>
      <c r="AB237" s="205" t="n"/>
      <c r="AC237" s="205" t="n"/>
      <c r="AD237" s="205" t="n"/>
      <c r="AE237" s="205" t="n"/>
      <c r="AF237" s="205" t="n"/>
      <c r="AG237" s="205" t="n"/>
      <c r="AH237" s="205" t="n"/>
      <c r="AI237" s="202" t="n"/>
    </row>
    <row r="238" ht="51" customHeight="1" s="169">
      <c r="A238" s="192" t="n">
        <v>17</v>
      </c>
      <c r="B238" s="193" t="inlineStr">
        <is>
          <t>Клапан запорный муфтовый 15б1п Ду 15 Ру 16</t>
        </is>
      </c>
      <c r="C238" s="210" t="inlineStr">
        <is>
          <t>ТУ 3712-001-04606952-2004</t>
        </is>
      </c>
      <c r="D238" s="210" t="n">
        <v>15</v>
      </c>
      <c r="E238" s="210" t="inlineStr">
        <is>
          <t>стандарт</t>
        </is>
      </c>
      <c r="F238" s="210" t="n">
        <v>1.6</v>
      </c>
      <c r="G238" s="210" t="inlineStr">
        <is>
          <t>до +200</t>
        </is>
      </c>
      <c r="H238" s="210" t="inlineStr">
        <is>
          <t>вода, пар</t>
        </is>
      </c>
      <c r="I238" s="210" t="inlineStr">
        <is>
          <t>латунь ЛЦ40Сд</t>
        </is>
      </c>
      <c r="J238" s="210" t="inlineStr">
        <is>
          <t>УХЛ4. температура окружающей среды от +1 до +40</t>
        </is>
      </c>
      <c r="K238" s="210" t="inlineStr">
        <is>
          <t>муфтовый</t>
        </is>
      </c>
      <c r="L238" s="210" t="inlineStr">
        <is>
          <t>ручной (маховик)</t>
        </is>
      </c>
      <c r="M238" s="212" t="inlineStr">
        <is>
          <t>-</t>
        </is>
      </c>
      <c r="N238" s="210" t="inlineStr">
        <is>
          <t>любое</t>
        </is>
      </c>
      <c r="O238" s="210" t="inlineStr">
        <is>
          <t>Уплотнение: фторопласт</t>
        </is>
      </c>
      <c r="P238" s="262" t="inlineStr">
        <is>
          <t>-</t>
        </is>
      </c>
      <c r="Q238" s="262" t="inlineStr">
        <is>
          <t>-</t>
        </is>
      </c>
      <c r="R238" s="198">
        <f>A238</f>
        <v/>
      </c>
      <c r="S238" s="205" t="n"/>
      <c r="T238" s="205" t="n"/>
      <c r="U238" s="205" t="n"/>
      <c r="V238" s="205" t="n"/>
      <c r="W238" s="205" t="n"/>
      <c r="X238" s="205" t="n"/>
      <c r="Y238" s="205" t="n"/>
      <c r="Z238" s="205" t="n"/>
      <c r="AA238" s="205" t="n"/>
      <c r="AB238" s="205" t="n"/>
      <c r="AC238" s="205" t="n"/>
      <c r="AD238" s="205" t="n"/>
      <c r="AE238" s="205" t="n"/>
      <c r="AF238" s="205" t="n"/>
      <c r="AG238" s="205" t="n"/>
      <c r="AH238" s="205" t="n"/>
      <c r="AI238" s="202" t="n"/>
    </row>
    <row r="239" ht="51" customHeight="1" s="169">
      <c r="A239" s="192" t="n">
        <v>18</v>
      </c>
      <c r="B239" s="193" t="inlineStr">
        <is>
          <t>Клапан запорный муфтовый 15б1п Ду 20 Ру 16</t>
        </is>
      </c>
      <c r="C239" s="210" t="inlineStr">
        <is>
          <t>ТУ 3712-001-04606952-2004</t>
        </is>
      </c>
      <c r="D239" s="210" t="n">
        <v>20</v>
      </c>
      <c r="E239" s="210" t="inlineStr">
        <is>
          <t>стандарт</t>
        </is>
      </c>
      <c r="F239" s="210" t="n">
        <v>1.6</v>
      </c>
      <c r="G239" s="210" t="inlineStr">
        <is>
          <t>до +200</t>
        </is>
      </c>
      <c r="H239" s="210" t="inlineStr">
        <is>
          <t>вода, пар</t>
        </is>
      </c>
      <c r="I239" s="210" t="inlineStr">
        <is>
          <t>латунь ЛЦ40Сд</t>
        </is>
      </c>
      <c r="J239" s="210" t="inlineStr">
        <is>
          <t>УХЛ4. температура окружающей среды от +1 до +40</t>
        </is>
      </c>
      <c r="K239" s="210" t="inlineStr">
        <is>
          <t>муфтовый</t>
        </is>
      </c>
      <c r="L239" s="210" t="inlineStr">
        <is>
          <t>ручной (маховик)</t>
        </is>
      </c>
      <c r="M239" s="212" t="inlineStr">
        <is>
          <t>-</t>
        </is>
      </c>
      <c r="N239" s="210" t="inlineStr">
        <is>
          <t>любое</t>
        </is>
      </c>
      <c r="O239" s="210" t="inlineStr">
        <is>
          <t>Уплотнение: фторопласт</t>
        </is>
      </c>
      <c r="P239" s="262" t="inlineStr">
        <is>
          <t>-</t>
        </is>
      </c>
      <c r="Q239" s="262" t="inlineStr">
        <is>
          <t>-</t>
        </is>
      </c>
      <c r="R239" s="198">
        <f>A239</f>
        <v/>
      </c>
      <c r="S239" s="205" t="n"/>
      <c r="T239" s="205" t="n"/>
      <c r="U239" s="205" t="n"/>
      <c r="V239" s="205" t="n"/>
      <c r="W239" s="205" t="n"/>
      <c r="X239" s="205" t="n"/>
      <c r="Y239" s="205" t="n"/>
      <c r="Z239" s="205" t="n"/>
      <c r="AA239" s="205" t="n"/>
      <c r="AB239" s="205" t="n"/>
      <c r="AC239" s="205" t="n"/>
      <c r="AD239" s="205" t="n"/>
      <c r="AE239" s="205" t="n"/>
      <c r="AF239" s="205" t="n"/>
      <c r="AG239" s="205" t="n"/>
      <c r="AH239" s="205" t="n"/>
      <c r="AI239" s="202" t="n"/>
    </row>
    <row r="240" ht="51" customHeight="1" s="169">
      <c r="A240" s="192" t="n">
        <v>19</v>
      </c>
      <c r="B240" s="193" t="inlineStr">
        <is>
          <t>Клапан запорный муфтовый 15б1п Ду 25 Ру 16</t>
        </is>
      </c>
      <c r="C240" s="210" t="inlineStr">
        <is>
          <t>ТУ 3712-001-04606952-2004</t>
        </is>
      </c>
      <c r="D240" s="210" t="n">
        <v>25</v>
      </c>
      <c r="E240" s="210" t="inlineStr">
        <is>
          <t>стандарт</t>
        </is>
      </c>
      <c r="F240" s="210" t="n">
        <v>1.6</v>
      </c>
      <c r="G240" s="210" t="inlineStr">
        <is>
          <t>до +200</t>
        </is>
      </c>
      <c r="H240" s="210" t="inlineStr">
        <is>
          <t>вода, пар</t>
        </is>
      </c>
      <c r="I240" s="210" t="inlineStr">
        <is>
          <t>латунь ЛЦ40Сд</t>
        </is>
      </c>
      <c r="J240" s="210" t="inlineStr">
        <is>
          <t>УХЛ4. температура окружающей среды от +1 до +40</t>
        </is>
      </c>
      <c r="K240" s="210" t="inlineStr">
        <is>
          <t>муфтовый</t>
        </is>
      </c>
      <c r="L240" s="210" t="inlineStr">
        <is>
          <t>ручной (маховик)</t>
        </is>
      </c>
      <c r="M240" s="212" t="inlineStr">
        <is>
          <t>-</t>
        </is>
      </c>
      <c r="N240" s="210" t="inlineStr">
        <is>
          <t>любое</t>
        </is>
      </c>
      <c r="O240" s="210" t="inlineStr">
        <is>
          <t>Уплотнение: фторопласт</t>
        </is>
      </c>
      <c r="P240" s="262" t="inlineStr">
        <is>
          <t>-</t>
        </is>
      </c>
      <c r="Q240" s="262" t="inlineStr">
        <is>
          <t>-</t>
        </is>
      </c>
      <c r="R240" s="198">
        <f>A240</f>
        <v/>
      </c>
      <c r="S240" s="205" t="n"/>
      <c r="T240" s="205" t="n"/>
      <c r="U240" s="205" t="n"/>
      <c r="V240" s="205" t="n"/>
      <c r="W240" s="205" t="n"/>
      <c r="X240" s="205" t="n"/>
      <c r="Y240" s="205" t="n"/>
      <c r="Z240" s="205" t="n"/>
      <c r="AA240" s="205" t="n"/>
      <c r="AB240" s="205" t="n"/>
      <c r="AC240" s="205" t="n"/>
      <c r="AD240" s="205" t="n"/>
      <c r="AE240" s="205" t="n"/>
      <c r="AF240" s="205" t="n"/>
      <c r="AG240" s="205" t="n"/>
      <c r="AH240" s="205" t="n"/>
      <c r="AI240" s="202" t="n"/>
    </row>
    <row r="241" ht="51" customHeight="1" s="169">
      <c r="A241" s="192" t="n">
        <v>20</v>
      </c>
      <c r="B241" s="193" t="inlineStr">
        <is>
          <t>Клапан запорный 15кч12пМ Ду 25 Ру 25</t>
        </is>
      </c>
      <c r="C241" s="222" t="inlineStr">
        <is>
          <t>ТУ 3732-001-00218137-94</t>
        </is>
      </c>
      <c r="D241" s="222" t="n">
        <v>25</v>
      </c>
      <c r="E241" s="222" t="inlineStr">
        <is>
          <t>стандарт</t>
        </is>
      </c>
      <c r="F241" s="222" t="n">
        <v>2.5</v>
      </c>
      <c r="G241" s="222" t="inlineStr">
        <is>
          <t>от -40 до +150</t>
        </is>
      </c>
      <c r="H241" s="222" t="inlineStr">
        <is>
          <t>Хладон, аммиак, вода, пар</t>
        </is>
      </c>
      <c r="I241" s="222" t="inlineStr">
        <is>
          <t>ковкий чугун КЧ 30-6</t>
        </is>
      </c>
      <c r="J241" s="222" t="inlineStr">
        <is>
          <t>УХЛ4 Температура окружающей среды от - 30 до +50</t>
        </is>
      </c>
      <c r="K241" s="222" t="inlineStr">
        <is>
          <t>фланцевый</t>
        </is>
      </c>
      <c r="L241" s="222" t="inlineStr">
        <is>
          <t>ручной (маховик)</t>
        </is>
      </c>
      <c r="M241" s="253" t="inlineStr">
        <is>
          <t>-</t>
        </is>
      </c>
      <c r="N241" s="222" t="inlineStr">
        <is>
          <t>любое</t>
        </is>
      </c>
      <c r="O241" s="222" t="inlineStr">
        <is>
          <t>Золотник, шпиндель - сталь;
Уплотнение - Фторопласт-4</t>
        </is>
      </c>
      <c r="P241" s="262" t="inlineStr">
        <is>
          <t>-</t>
        </is>
      </c>
      <c r="Q241" s="262" t="inlineStr">
        <is>
          <t>-</t>
        </is>
      </c>
      <c r="R241" s="198">
        <f>A241</f>
        <v/>
      </c>
      <c r="S241" s="205" t="n"/>
      <c r="T241" s="205" t="n"/>
      <c r="U241" s="205" t="n"/>
      <c r="V241" s="205" t="n"/>
      <c r="W241" s="205" t="n"/>
      <c r="X241" s="205" t="n"/>
      <c r="Y241" s="205" t="n"/>
      <c r="Z241" s="205" t="n"/>
      <c r="AA241" s="205" t="n"/>
      <c r="AB241" s="205" t="n"/>
      <c r="AC241" s="205" t="n"/>
      <c r="AD241" s="205" t="n"/>
      <c r="AE241" s="205" t="n"/>
      <c r="AF241" s="205" t="n"/>
      <c r="AG241" s="205" t="n"/>
      <c r="AH241" s="205" t="n"/>
      <c r="AI241" s="202" t="n"/>
    </row>
    <row r="242" ht="51" customHeight="1" s="169">
      <c r="A242" s="192" t="n">
        <v>21</v>
      </c>
      <c r="B242" s="193" t="inlineStr">
        <is>
          <t>Клапан запорный 15кч16п1 Ду 32 Ру 25</t>
        </is>
      </c>
      <c r="C242" s="222" t="inlineStr">
        <is>
          <t>ГОСТ 33423-2015</t>
        </is>
      </c>
      <c r="D242" s="222" t="n">
        <v>32</v>
      </c>
      <c r="E242" s="222" t="inlineStr">
        <is>
          <t>стандарт</t>
        </is>
      </c>
      <c r="F242" s="222" t="n">
        <v>2.5</v>
      </c>
      <c r="G242" s="222" t="inlineStr">
        <is>
          <t>не более +200</t>
        </is>
      </c>
      <c r="H242" s="222" t="inlineStr">
        <is>
          <t>вода, нефтепродукты, пар, жидкие среды</t>
        </is>
      </c>
      <c r="I242" s="222" t="inlineStr">
        <is>
          <t>ковкий чугун КЧ 30-6</t>
        </is>
      </c>
      <c r="J242" s="222" t="inlineStr">
        <is>
          <t>У1</t>
        </is>
      </c>
      <c r="K242" s="222" t="inlineStr">
        <is>
          <t>фланцевый</t>
        </is>
      </c>
      <c r="L242" s="222" t="inlineStr">
        <is>
          <t>ручной (маховик)</t>
        </is>
      </c>
      <c r="M242" s="253" t="inlineStr">
        <is>
          <t>-</t>
        </is>
      </c>
      <c r="N242" s="222" t="inlineStr">
        <is>
          <t>любое, кроме расположения маховика вниз</t>
        </is>
      </c>
      <c r="O242" s="222" t="inlineStr">
        <is>
          <t>Шпиндель, золотник - сталь конструкционная;
Уплотнение на золотнике - фторопласт;
Уплотнение корпуса - паронит;</t>
        </is>
      </c>
      <c r="P242" s="262" t="inlineStr">
        <is>
          <t>-</t>
        </is>
      </c>
      <c r="Q242" s="262" t="inlineStr">
        <is>
          <t>-</t>
        </is>
      </c>
      <c r="R242" s="198">
        <f>A242</f>
        <v/>
      </c>
      <c r="S242" s="205" t="n"/>
      <c r="T242" s="205" t="n"/>
      <c r="U242" s="205" t="n"/>
      <c r="V242" s="205" t="n"/>
      <c r="W242" s="205" t="n"/>
      <c r="X242" s="205" t="n"/>
      <c r="Y242" s="205" t="n"/>
      <c r="Z242" s="205" t="n"/>
      <c r="AA242" s="205" t="n"/>
      <c r="AB242" s="205" t="n"/>
      <c r="AC242" s="205" t="n"/>
      <c r="AD242" s="205" t="n"/>
      <c r="AE242" s="205" t="n"/>
      <c r="AF242" s="205" t="n"/>
      <c r="AG242" s="205" t="n"/>
      <c r="AH242" s="205" t="n"/>
      <c r="AI242" s="202" t="n"/>
    </row>
    <row r="243" ht="51" customHeight="1" s="169">
      <c r="A243" s="192" t="n">
        <v>22</v>
      </c>
      <c r="B243" s="193" t="inlineStr">
        <is>
          <t>Клапан запорный 15кч16п1 Ду 40 Ру 25</t>
        </is>
      </c>
      <c r="C243" s="222" t="inlineStr">
        <is>
          <t>ГОСТ 33423-2015</t>
        </is>
      </c>
      <c r="D243" s="222" t="n">
        <v>40</v>
      </c>
      <c r="E243" s="222" t="inlineStr">
        <is>
          <t>стандарт</t>
        </is>
      </c>
      <c r="F243" s="222" t="n">
        <v>2.5</v>
      </c>
      <c r="G243" s="222" t="inlineStr">
        <is>
          <t>не более +200</t>
        </is>
      </c>
      <c r="H243" s="222" t="inlineStr">
        <is>
          <t>вода, нефтепродукты, пар, жидкие среды</t>
        </is>
      </c>
      <c r="I243" s="222" t="inlineStr">
        <is>
          <t>ковкий чугун КЧ 30-6</t>
        </is>
      </c>
      <c r="J243" s="222" t="inlineStr">
        <is>
          <t>У1</t>
        </is>
      </c>
      <c r="K243" s="222" t="inlineStr">
        <is>
          <t>фланцевый</t>
        </is>
      </c>
      <c r="L243" s="222" t="inlineStr">
        <is>
          <t>ручной (маховик)</t>
        </is>
      </c>
      <c r="M243" s="253" t="inlineStr">
        <is>
          <t>-</t>
        </is>
      </c>
      <c r="N243" s="222" t="inlineStr">
        <is>
          <t>любое, кроме расположения маховика вниз</t>
        </is>
      </c>
      <c r="O243" s="222" t="inlineStr">
        <is>
          <t>Шпиндель, золотник - сталь конструкционная;
Уплотнение на золотнике - фторопласт;
Уплотнение корпуса - паронит;</t>
        </is>
      </c>
      <c r="P243" s="262" t="inlineStr">
        <is>
          <t>-</t>
        </is>
      </c>
      <c r="Q243" s="262" t="inlineStr">
        <is>
          <t>-</t>
        </is>
      </c>
      <c r="R243" s="198">
        <f>A243</f>
        <v/>
      </c>
      <c r="S243" s="205" t="n"/>
      <c r="T243" s="205" t="n"/>
      <c r="U243" s="205" t="n"/>
      <c r="V243" s="205" t="n"/>
      <c r="W243" s="205" t="n"/>
      <c r="X243" s="205" t="n"/>
      <c r="Y243" s="205" t="n"/>
      <c r="Z243" s="205" t="n"/>
      <c r="AA243" s="205" t="n"/>
      <c r="AB243" s="205" t="n"/>
      <c r="AC243" s="205" t="n"/>
      <c r="AD243" s="205" t="n"/>
      <c r="AE243" s="205" t="n"/>
      <c r="AF243" s="205" t="n"/>
      <c r="AG243" s="205" t="n"/>
      <c r="AH243" s="205" t="n"/>
      <c r="AI243" s="202" t="n"/>
    </row>
    <row r="244" ht="51" customHeight="1" s="169">
      <c r="A244" s="192" t="n">
        <v>23</v>
      </c>
      <c r="B244" s="193" t="inlineStr">
        <is>
          <t>Клапан запорный 15кч16п1 Ду 50 Ру 25</t>
        </is>
      </c>
      <c r="C244" s="222" t="inlineStr">
        <is>
          <t>ГОСТ 33423-2015</t>
        </is>
      </c>
      <c r="D244" s="222" t="n">
        <v>50</v>
      </c>
      <c r="E244" s="222" t="inlineStr">
        <is>
          <t>стандарт</t>
        </is>
      </c>
      <c r="F244" s="222" t="n">
        <v>2.5</v>
      </c>
      <c r="G244" s="222" t="inlineStr">
        <is>
          <t>не более +200</t>
        </is>
      </c>
      <c r="H244" s="222" t="inlineStr">
        <is>
          <t>вода, нефтепродукты, пар, жидкие среды</t>
        </is>
      </c>
      <c r="I244" s="222" t="inlineStr">
        <is>
          <t>ковкий чугун КЧ 30-6</t>
        </is>
      </c>
      <c r="J244" s="222" t="inlineStr">
        <is>
          <t>У1</t>
        </is>
      </c>
      <c r="K244" s="222" t="inlineStr">
        <is>
          <t>фланцевый</t>
        </is>
      </c>
      <c r="L244" s="222" t="inlineStr">
        <is>
          <t>ручной (маховик)</t>
        </is>
      </c>
      <c r="M244" s="253" t="inlineStr">
        <is>
          <t>-</t>
        </is>
      </c>
      <c r="N244" s="222" t="inlineStr">
        <is>
          <t>любое, кроме расположения маховика вниз</t>
        </is>
      </c>
      <c r="O244" s="222" t="inlineStr">
        <is>
          <t>Шпиндель, золотник - сталь конструкционная;
Уплотнение на золотнике - фторопласт;
Уплотнение корпуса - паронит;</t>
        </is>
      </c>
      <c r="P244" s="262" t="inlineStr">
        <is>
          <t>-</t>
        </is>
      </c>
      <c r="Q244" s="262" t="inlineStr">
        <is>
          <t>-</t>
        </is>
      </c>
      <c r="R244" s="198">
        <f>A244</f>
        <v/>
      </c>
      <c r="S244" s="205" t="n"/>
      <c r="T244" s="205" t="n"/>
      <c r="U244" s="205" t="n"/>
      <c r="V244" s="205" t="n"/>
      <c r="W244" s="205" t="n"/>
      <c r="X244" s="205" t="n"/>
      <c r="Y244" s="205" t="n"/>
      <c r="Z244" s="205" t="n"/>
      <c r="AA244" s="205" t="n"/>
      <c r="AB244" s="205" t="n"/>
      <c r="AC244" s="205" t="n"/>
      <c r="AD244" s="205" t="n"/>
      <c r="AE244" s="205" t="n"/>
      <c r="AF244" s="205" t="n"/>
      <c r="AG244" s="205" t="n"/>
      <c r="AH244" s="205" t="n"/>
      <c r="AI244" s="202" t="n"/>
    </row>
    <row r="245" ht="63.75" customHeight="1" s="169">
      <c r="A245" s="192" t="n">
        <v>24</v>
      </c>
      <c r="B245" s="193" t="inlineStr">
        <is>
          <t>Клапан запорный 15кч19п Ду 25 Ру 16</t>
        </is>
      </c>
      <c r="C245" s="254" t="inlineStr">
        <is>
          <t>ТУ 3732-002-00218137-95</t>
        </is>
      </c>
      <c r="D245" s="263" t="n">
        <v>25</v>
      </c>
      <c r="E245" s="254" t="inlineStr">
        <is>
          <t>стандарт</t>
        </is>
      </c>
      <c r="F245" s="263" t="n">
        <v>1.6</v>
      </c>
      <c r="G245" s="263" t="inlineStr">
        <is>
          <t>до +225</t>
        </is>
      </c>
      <c r="H245" s="263" t="inlineStr">
        <is>
          <t>вода, пар</t>
        </is>
      </c>
      <c r="I245" s="254" t="inlineStr">
        <is>
          <t>чугун</t>
        </is>
      </c>
      <c r="J245" s="222" t="inlineStr">
        <is>
          <t>У1</t>
        </is>
      </c>
      <c r="K245" s="254" t="inlineStr">
        <is>
          <t>фланцевый</t>
        </is>
      </c>
      <c r="L245" s="254" t="inlineStr">
        <is>
          <t>ручной (маховик)</t>
        </is>
      </c>
      <c r="M245" s="263" t="inlineStr">
        <is>
          <t>-</t>
        </is>
      </c>
      <c r="N245" s="222" t="inlineStr">
        <is>
          <t>любое</t>
        </is>
      </c>
      <c r="O245" s="254" t="inlineStr">
        <is>
          <t>Корпус, крышка Чугун (GG18)
Шпиндель Сталь
Золотник Чугун (GG18)
Уплотнительные поверхности затвора PTFE
Маховик Чугун (GG18) с цинковым покрытием</t>
        </is>
      </c>
      <c r="P245" s="263" t="inlineStr">
        <is>
          <t>-</t>
        </is>
      </c>
      <c r="Q245" s="263" t="inlineStr">
        <is>
          <t>-</t>
        </is>
      </c>
      <c r="R245" s="198">
        <f>A245</f>
        <v/>
      </c>
      <c r="S245" s="205" t="n"/>
      <c r="T245" s="205" t="n"/>
      <c r="U245" s="205" t="n"/>
      <c r="V245" s="205" t="n"/>
      <c r="W245" s="205" t="n"/>
      <c r="X245" s="205" t="n"/>
      <c r="Y245" s="205" t="n"/>
      <c r="Z245" s="205" t="n"/>
      <c r="AA245" s="205" t="n"/>
      <c r="AB245" s="205" t="n"/>
      <c r="AC245" s="205" t="n"/>
      <c r="AD245" s="205" t="n"/>
      <c r="AE245" s="205" t="n"/>
      <c r="AF245" s="205" t="n"/>
      <c r="AG245" s="205" t="n"/>
      <c r="AH245" s="205" t="n"/>
      <c r="AI245" s="202" t="n"/>
    </row>
    <row r="246" ht="63.75" customHeight="1" s="169">
      <c r="A246" s="192" t="n">
        <v>25</v>
      </c>
      <c r="B246" s="193" t="inlineStr">
        <is>
          <t>Клапан запорный 15кч19п Ду 50 Ру 16</t>
        </is>
      </c>
      <c r="C246" s="254" t="inlineStr">
        <is>
          <t>ТУ 3732-002-00218137-95</t>
        </is>
      </c>
      <c r="D246" s="263" t="n">
        <v>50</v>
      </c>
      <c r="E246" s="254" t="inlineStr">
        <is>
          <t>стандарт</t>
        </is>
      </c>
      <c r="F246" s="263" t="n">
        <v>1.6</v>
      </c>
      <c r="G246" s="263" t="inlineStr">
        <is>
          <t>до +225</t>
        </is>
      </c>
      <c r="H246" s="263" t="inlineStr">
        <is>
          <t>вода, пар</t>
        </is>
      </c>
      <c r="I246" s="254" t="inlineStr">
        <is>
          <t>чугун</t>
        </is>
      </c>
      <c r="J246" s="222" t="inlineStr">
        <is>
          <t>У1</t>
        </is>
      </c>
      <c r="K246" s="254" t="inlineStr">
        <is>
          <t>фланцевый</t>
        </is>
      </c>
      <c r="L246" s="254" t="inlineStr">
        <is>
          <t>ручной (маховик)</t>
        </is>
      </c>
      <c r="M246" s="263" t="inlineStr">
        <is>
          <t>-</t>
        </is>
      </c>
      <c r="N246" s="222" t="inlineStr">
        <is>
          <t>любое</t>
        </is>
      </c>
      <c r="O246" s="254" t="inlineStr">
        <is>
          <t>Корпус, крышка Чугун (GG18)
Шпиндель Сталь
Золотник Чугун (GG18)
Уплотнительные поверхности затвора PTFE
Маховик Чугун (GG18) с цинковым покрытием</t>
        </is>
      </c>
      <c r="P246" s="263" t="inlineStr">
        <is>
          <t>-</t>
        </is>
      </c>
      <c r="Q246" s="263" t="inlineStr">
        <is>
          <t>-</t>
        </is>
      </c>
      <c r="R246" s="198">
        <f>A246</f>
        <v/>
      </c>
      <c r="S246" s="205" t="n"/>
      <c r="T246" s="205" t="n"/>
      <c r="U246" s="205" t="n"/>
      <c r="V246" s="205" t="n"/>
      <c r="W246" s="205" t="n"/>
      <c r="X246" s="205" t="n"/>
      <c r="Y246" s="205" t="n"/>
      <c r="Z246" s="205" t="n"/>
      <c r="AA246" s="205" t="n"/>
      <c r="AB246" s="205" t="n"/>
      <c r="AC246" s="205" t="n"/>
      <c r="AD246" s="205" t="n"/>
      <c r="AE246" s="205" t="n"/>
      <c r="AF246" s="205" t="n"/>
      <c r="AG246" s="205" t="n"/>
      <c r="AH246" s="205" t="n"/>
      <c r="AI246" s="202" t="n"/>
    </row>
    <row r="247" ht="63.75" customHeight="1" s="169">
      <c r="A247" s="192" t="n">
        <v>26</v>
      </c>
      <c r="B247" s="193" t="inlineStr">
        <is>
          <t>Клапан запорный 15нж65нж Ду 80 Ру 16</t>
        </is>
      </c>
      <c r="C247" s="222" t="inlineStr">
        <is>
          <t>ГОСТ 33423-2015</t>
        </is>
      </c>
      <c r="D247" s="222" t="n">
        <v>80</v>
      </c>
      <c r="E247" s="222" t="inlineStr">
        <is>
          <t>стандарт</t>
        </is>
      </c>
      <c r="F247" s="222" t="n">
        <v>1.6</v>
      </c>
      <c r="G247" s="222" t="inlineStr">
        <is>
          <t>от -60 до +560</t>
        </is>
      </c>
      <c r="H247" s="222" t="inlineStr">
        <is>
          <t>нефть, нефтепродукты, природный и топливный газ, аммиак, вода, пар</t>
        </is>
      </c>
      <c r="I247" s="222" t="inlineStr">
        <is>
          <t>сталь AISI 304</t>
        </is>
      </c>
      <c r="J247" s="222" t="inlineStr">
        <is>
          <t>УХЛ1</t>
        </is>
      </c>
      <c r="K247" s="222" t="inlineStr">
        <is>
          <t>фланцевый</t>
        </is>
      </c>
      <c r="L247" s="222" t="inlineStr">
        <is>
          <t>ручной (маховик)</t>
        </is>
      </c>
      <c r="M247" s="253" t="inlineStr">
        <is>
          <t>-</t>
        </is>
      </c>
      <c r="N247" s="222" t="inlineStr">
        <is>
          <t>управляющим органом вверх</t>
        </is>
      </c>
      <c r="O247" s="222" t="inlineStr">
        <is>
          <t>Втулка сальника, болт откидной, шпилька, гайка - сталь 14Х17Н2 (ГОСТ 5632)
уплотнение затвора - "металл по металлу", уплотнение сальниковое - ТРГ</t>
        </is>
      </c>
      <c r="P247" s="222" t="inlineStr">
        <is>
          <t>-</t>
        </is>
      </c>
      <c r="Q247" s="222" t="inlineStr">
        <is>
          <t>-</t>
        </is>
      </c>
      <c r="R247" s="198">
        <f>A247</f>
        <v/>
      </c>
      <c r="S247" s="205" t="n"/>
      <c r="T247" s="205" t="n"/>
      <c r="U247" s="205" t="n"/>
      <c r="V247" s="205" t="n"/>
      <c r="W247" s="205" t="n"/>
      <c r="X247" s="205" t="n"/>
      <c r="Y247" s="205" t="n"/>
      <c r="Z247" s="205" t="n"/>
      <c r="AA247" s="205" t="n"/>
      <c r="AB247" s="205" t="n"/>
      <c r="AC247" s="205" t="n"/>
      <c r="AD247" s="205" t="n"/>
      <c r="AE247" s="205" t="n"/>
      <c r="AF247" s="205" t="n"/>
      <c r="AG247" s="205" t="n"/>
      <c r="AH247" s="205" t="n"/>
      <c r="AI247" s="202" t="n"/>
    </row>
    <row r="248" ht="63.75" customHeight="1" s="169">
      <c r="A248" s="192" t="n">
        <v>27</v>
      </c>
      <c r="B248" s="193" t="inlineStr">
        <is>
          <t>Клапан запорный 15нж65нж Ду 100 Ру 16</t>
        </is>
      </c>
      <c r="C248" s="222" t="inlineStr">
        <is>
          <t>ГОСТ 33423-2015</t>
        </is>
      </c>
      <c r="D248" s="222" t="n">
        <v>100</v>
      </c>
      <c r="E248" s="222" t="inlineStr">
        <is>
          <t>стандарт</t>
        </is>
      </c>
      <c r="F248" s="222" t="n">
        <v>1.6</v>
      </c>
      <c r="G248" s="222" t="inlineStr">
        <is>
          <t>от -60 до +560</t>
        </is>
      </c>
      <c r="H248" s="222" t="inlineStr">
        <is>
          <t>нефть, нефтепродукты, природный и топливный газ, аммиак, вода, пар</t>
        </is>
      </c>
      <c r="I248" s="222" t="inlineStr">
        <is>
          <t>сталь AISI 304</t>
        </is>
      </c>
      <c r="J248" s="222" t="inlineStr">
        <is>
          <t>УХЛ1</t>
        </is>
      </c>
      <c r="K248" s="222" t="inlineStr">
        <is>
          <t>фланцевый</t>
        </is>
      </c>
      <c r="L248" s="222" t="inlineStr">
        <is>
          <t>ручной (маховик)</t>
        </is>
      </c>
      <c r="M248" s="253" t="inlineStr">
        <is>
          <t>-</t>
        </is>
      </c>
      <c r="N248" s="222" t="inlineStr">
        <is>
          <t>управляющим органом вверх</t>
        </is>
      </c>
      <c r="O248" s="222" t="inlineStr">
        <is>
          <t>Втулка сальника, болт откидной, шпилька, гайка - сталь 14Х17Н2 (ГОСТ 5632)
уплотнение затвора - "металл по металлу", уплотнение сальниковое - ТРГ</t>
        </is>
      </c>
      <c r="P248" s="222" t="inlineStr">
        <is>
          <t>-</t>
        </is>
      </c>
      <c r="Q248" s="222" t="inlineStr">
        <is>
          <t>-</t>
        </is>
      </c>
      <c r="R248" s="198">
        <f>A248</f>
        <v/>
      </c>
      <c r="S248" s="205" t="n"/>
      <c r="T248" s="205" t="n"/>
      <c r="U248" s="205" t="n"/>
      <c r="V248" s="205" t="n"/>
      <c r="W248" s="205" t="n"/>
      <c r="X248" s="205" t="n"/>
      <c r="Y248" s="205" t="n"/>
      <c r="Z248" s="205" t="n"/>
      <c r="AA248" s="205" t="n"/>
      <c r="AB248" s="205" t="n"/>
      <c r="AC248" s="205" t="n"/>
      <c r="AD248" s="205" t="n"/>
      <c r="AE248" s="205" t="n"/>
      <c r="AF248" s="205" t="n"/>
      <c r="AG248" s="205" t="n"/>
      <c r="AH248" s="205" t="n"/>
      <c r="AI248" s="202" t="n"/>
    </row>
    <row r="249" ht="63.75" customHeight="1" s="169">
      <c r="A249" s="192" t="n">
        <v>28</v>
      </c>
      <c r="B249" s="193" t="inlineStr">
        <is>
          <t>Клапан запорный 15нж65нж Ду 32 Ру 16</t>
        </is>
      </c>
      <c r="C249" s="222" t="inlineStr">
        <is>
          <t>ГОСТ 33423-2015</t>
        </is>
      </c>
      <c r="D249" s="222" t="n">
        <v>32</v>
      </c>
      <c r="E249" s="222" t="inlineStr">
        <is>
          <t>стандарт</t>
        </is>
      </c>
      <c r="F249" s="222" t="n">
        <v>1.6</v>
      </c>
      <c r="G249" s="222" t="inlineStr">
        <is>
          <t>от -60 до +560</t>
        </is>
      </c>
      <c r="H249" s="222" t="inlineStr">
        <is>
          <t>нефть, нефтепродукты, природный и топливный газ, аммиак, вода, пар</t>
        </is>
      </c>
      <c r="I249" s="222" t="inlineStr">
        <is>
          <t>сталь AISI 304</t>
        </is>
      </c>
      <c r="J249" s="222" t="inlineStr">
        <is>
          <t>УХЛ1</t>
        </is>
      </c>
      <c r="K249" s="222" t="inlineStr">
        <is>
          <t>фланцевый</t>
        </is>
      </c>
      <c r="L249" s="222" t="inlineStr">
        <is>
          <t>ручной (маховик)</t>
        </is>
      </c>
      <c r="M249" s="253" t="inlineStr">
        <is>
          <t>-</t>
        </is>
      </c>
      <c r="N249" s="222" t="inlineStr">
        <is>
          <t>управляющим органом вверх</t>
        </is>
      </c>
      <c r="O249" s="222" t="inlineStr">
        <is>
          <t>Втулка сальника, болт откидной, шпилька, гайка - сталь 14Х17Н2 (ГОСТ 5632)
уплотнение затвора - "металл по металлу", уплотнение сальниковое - ТРГ</t>
        </is>
      </c>
      <c r="P249" s="222" t="inlineStr">
        <is>
          <t>-</t>
        </is>
      </c>
      <c r="Q249" s="222" t="inlineStr">
        <is>
          <t>-</t>
        </is>
      </c>
      <c r="R249" s="198">
        <f>A249</f>
        <v/>
      </c>
      <c r="S249" s="205" t="n"/>
      <c r="T249" s="205" t="n"/>
      <c r="U249" s="205" t="n"/>
      <c r="V249" s="205" t="n"/>
      <c r="W249" s="205" t="n"/>
      <c r="X249" s="205" t="n"/>
      <c r="Y249" s="205" t="n"/>
      <c r="Z249" s="205" t="n"/>
      <c r="AA249" s="205" t="n"/>
      <c r="AB249" s="205" t="n"/>
      <c r="AC249" s="205" t="n"/>
      <c r="AD249" s="205" t="n"/>
      <c r="AE249" s="205" t="n"/>
      <c r="AF249" s="205" t="n"/>
      <c r="AG249" s="205" t="n"/>
      <c r="AH249" s="205" t="n"/>
      <c r="AI249" s="202" t="n"/>
    </row>
    <row r="250" ht="153" customHeight="1" s="169">
      <c r="A250" s="192" t="n">
        <v>29</v>
      </c>
      <c r="B250" s="193" t="inlineStr">
        <is>
          <t>Клапан стальной запорный фланцевый 15с18нж Ду 32 Ру 16</t>
        </is>
      </c>
      <c r="C250" s="223" t="inlineStr">
        <is>
          <t>ГОСТ 33423-2015</t>
        </is>
      </c>
      <c r="D250" s="222" t="n">
        <v>32</v>
      </c>
      <c r="E250" s="223" t="inlineStr">
        <is>
          <t>стандарт</t>
        </is>
      </c>
      <c r="F250" s="222" t="n">
        <v>1.6</v>
      </c>
      <c r="G250" s="258" t="inlineStr">
        <is>
          <t>от -40°С до +425°С</t>
        </is>
      </c>
      <c r="H250" s="222" t="inlineStr">
        <is>
          <t>Жидкие и газообразные среды, в том числе хлорсодержащие с содержанием влаги в хлоре не более 0,04%, по отношению к которым применяемые материалы коррозионностойки</t>
        </is>
      </c>
      <c r="I250" s="222" t="inlineStr">
        <is>
          <t>Углеродистая сталь</t>
        </is>
      </c>
      <c r="J250" s="223" t="inlineStr">
        <is>
          <t>У1</t>
        </is>
      </c>
      <c r="K250" s="222" t="inlineStr">
        <is>
          <t>фланцевый</t>
        </is>
      </c>
      <c r="L250" s="223" t="inlineStr">
        <is>
          <t>ручной (маховик)</t>
        </is>
      </c>
      <c r="M250" s="253" t="inlineStr">
        <is>
          <t>-</t>
        </is>
      </c>
      <c r="N250" s="222" t="inlineStr">
        <is>
          <t>-</t>
        </is>
      </c>
      <c r="O250" s="222" t="inlineStr">
        <is>
          <t>-</t>
        </is>
      </c>
      <c r="P250" s="222" t="n"/>
      <c r="Q250" s="222" t="n"/>
      <c r="R250" s="198">
        <f>A250</f>
        <v/>
      </c>
      <c r="S250" s="205" t="n"/>
      <c r="T250" s="205" t="n"/>
      <c r="U250" s="205" t="n"/>
      <c r="V250" s="205" t="n"/>
      <c r="W250" s="205" t="n"/>
      <c r="X250" s="205" t="n"/>
      <c r="Y250" s="205" t="n"/>
      <c r="Z250" s="205" t="n"/>
      <c r="AA250" s="205" t="n"/>
      <c r="AB250" s="205" t="n"/>
      <c r="AC250" s="205" t="n"/>
      <c r="AD250" s="205" t="n"/>
      <c r="AE250" s="205" t="n"/>
      <c r="AF250" s="205" t="n"/>
      <c r="AG250" s="205" t="n"/>
      <c r="AH250" s="205" t="n"/>
      <c r="AI250" s="202" t="n"/>
    </row>
    <row r="251" ht="204" customHeight="1" s="169">
      <c r="A251" s="192" t="n">
        <v>30</v>
      </c>
      <c r="B251" s="193" t="inlineStr">
        <is>
          <t>Клапан запорный 15с18п Ду 80 Ру 25</t>
        </is>
      </c>
      <c r="C251" s="222" t="inlineStr">
        <is>
          <t>ГОСТ 33423-2015</t>
        </is>
      </c>
      <c r="D251" s="222" t="n">
        <v>80</v>
      </c>
      <c r="E251" s="222" t="inlineStr">
        <is>
          <t>стандарт</t>
        </is>
      </c>
      <c r="F251" s="222" t="n">
        <v>2.5</v>
      </c>
      <c r="G251" s="222" t="inlineStr">
        <is>
          <t xml:space="preserve">	от -40 до +150 °С</t>
        </is>
      </c>
      <c r="H251" s="222" t="inlineStr">
        <is>
          <t>аммиак при температуре от -40 до +150 °С; топливный газ при температуре до 100°С</t>
        </is>
      </c>
      <c r="I251" s="222" t="inlineStr">
        <is>
          <t xml:space="preserve">	сталь 25Л</t>
        </is>
      </c>
      <c r="J251" s="222" t="inlineStr">
        <is>
          <t>-</t>
        </is>
      </c>
      <c r="K251" s="223" t="inlineStr">
        <is>
          <t>фланцевый</t>
        </is>
      </c>
      <c r="L251" s="222" t="inlineStr">
        <is>
          <t>ручной (маховик)</t>
        </is>
      </c>
      <c r="M251" s="253" t="inlineStr">
        <is>
          <t>-</t>
        </is>
      </c>
      <c r="N251" s="222" t="inlineStr">
        <is>
          <t>-</t>
        </is>
      </c>
      <c r="O251" s="222"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1" s="222" t="n"/>
      <c r="Q251" s="222" t="n"/>
      <c r="R251" s="198">
        <f>A251</f>
        <v/>
      </c>
      <c r="S251" s="205" t="n"/>
      <c r="T251" s="205" t="n"/>
      <c r="U251" s="205" t="n"/>
      <c r="V251" s="205" t="n"/>
      <c r="W251" s="205" t="n"/>
      <c r="X251" s="205" t="n"/>
      <c r="Y251" s="205" t="n"/>
      <c r="Z251" s="205" t="n"/>
      <c r="AA251" s="205" t="n"/>
      <c r="AB251" s="205" t="n"/>
      <c r="AC251" s="205" t="n"/>
      <c r="AD251" s="205" t="n"/>
      <c r="AE251" s="205" t="n"/>
      <c r="AF251" s="205" t="n"/>
      <c r="AG251" s="205" t="n"/>
      <c r="AH251" s="205" t="n"/>
      <c r="AI251" s="202" t="n"/>
    </row>
    <row r="252" ht="204" customHeight="1" s="169">
      <c r="A252" s="192" t="n">
        <v>31</v>
      </c>
      <c r="B252" s="193" t="inlineStr">
        <is>
          <t>Клапан запорный 15с18п Ду 100 Ру 25</t>
        </is>
      </c>
      <c r="C252" s="223" t="inlineStr">
        <is>
          <t>ГОСТ 33423-2015</t>
        </is>
      </c>
      <c r="D252" s="222" t="n">
        <v>100</v>
      </c>
      <c r="E252" s="223" t="inlineStr">
        <is>
          <t>стандарт</t>
        </is>
      </c>
      <c r="F252" s="222" t="n">
        <v>2.5</v>
      </c>
      <c r="G252" s="223" t="inlineStr">
        <is>
          <t xml:space="preserve">	от -40 до +150 °С</t>
        </is>
      </c>
      <c r="H252" s="222" t="inlineStr">
        <is>
          <t>аммиак при температуре от -40 до +150 °С; топливный газ при температуре до 100°С</t>
        </is>
      </c>
      <c r="I252" s="223" t="inlineStr">
        <is>
          <t xml:space="preserve">	сталь 25Л</t>
        </is>
      </c>
      <c r="J252" s="222" t="inlineStr">
        <is>
          <t>-</t>
        </is>
      </c>
      <c r="K252" s="222" t="inlineStr">
        <is>
          <t>фланцевый</t>
        </is>
      </c>
      <c r="L252" s="223" t="inlineStr">
        <is>
          <t>ручной (маховик)</t>
        </is>
      </c>
      <c r="M252" s="253" t="inlineStr">
        <is>
          <t>-</t>
        </is>
      </c>
      <c r="N252" s="222" t="inlineStr">
        <is>
          <t>-</t>
        </is>
      </c>
      <c r="O252" s="223"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2" s="222" t="n"/>
      <c r="Q252" s="222" t="n"/>
      <c r="R252" s="198">
        <f>A252</f>
        <v/>
      </c>
      <c r="S252" s="205" t="n"/>
      <c r="T252" s="205" t="n"/>
      <c r="U252" s="205" t="n"/>
      <c r="V252" s="205" t="n"/>
      <c r="W252" s="205" t="n"/>
      <c r="X252" s="205" t="n"/>
      <c r="Y252" s="205" t="n"/>
      <c r="Z252" s="205" t="n"/>
      <c r="AA252" s="205" t="n"/>
      <c r="AB252" s="205" t="n"/>
      <c r="AC252" s="205" t="n"/>
      <c r="AD252" s="205" t="n"/>
      <c r="AE252" s="205" t="n"/>
      <c r="AF252" s="205" t="n"/>
      <c r="AG252" s="205" t="n"/>
      <c r="AH252" s="205" t="n"/>
      <c r="AI252" s="202" t="n"/>
    </row>
    <row r="253" ht="127.5" customFormat="1" customHeight="1" s="171">
      <c r="A253" s="192" t="n">
        <v>32</v>
      </c>
      <c r="B253" s="193" t="inlineStr">
        <is>
          <t xml:space="preserve">Клапан запорный 15с22нж Ду 25 Ру 40 </t>
        </is>
      </c>
      <c r="C253" s="222" t="inlineStr">
        <is>
          <t>ТУ 3740-002-30995032-2014</t>
        </is>
      </c>
      <c r="D253" s="222" t="n">
        <v>25</v>
      </c>
      <c r="E253" s="222" t="inlineStr">
        <is>
          <t>стандарт</t>
        </is>
      </c>
      <c r="F253" s="222" t="n">
        <v>4</v>
      </c>
      <c r="G253" s="222" t="inlineStr">
        <is>
          <t>до +425</t>
        </is>
      </c>
      <c r="H253" s="222" t="inlineStr">
        <is>
          <t>Вода, пар, аммиак, жидкие и газообразные углеводороды, нефть, нефтепродукты,
топливный и природный газ, воздух и другие жидкости и газы.</t>
        </is>
      </c>
      <c r="I253" s="222" t="inlineStr">
        <is>
          <t>сталь 25Л</t>
        </is>
      </c>
      <c r="J253" s="222" t="inlineStr">
        <is>
          <t>Температура окружающей среды от -40 до +40 °C</t>
        </is>
      </c>
      <c r="K253" s="222" t="inlineStr">
        <is>
          <t>фланцевый</t>
        </is>
      </c>
      <c r="L253" s="222" t="inlineStr">
        <is>
          <t>ручной (маховик)</t>
        </is>
      </c>
      <c r="M253" s="253" t="inlineStr">
        <is>
          <t>-</t>
        </is>
      </c>
      <c r="N253" s="222" t="inlineStr">
        <is>
          <t>любое</t>
        </is>
      </c>
      <c r="O253" s="222" t="inlineStr">
        <is>
          <t>Золотник: Сталь 20Х13
Шпиндель: Сталь 20Х13
Контргайка: Сталь 35
Маховик: Сталь 25Л</t>
        </is>
      </c>
      <c r="P253" s="222" t="inlineStr">
        <is>
          <t>-</t>
        </is>
      </c>
      <c r="Q253" s="222" t="inlineStr">
        <is>
          <t>-</t>
        </is>
      </c>
      <c r="R253" s="198">
        <f>A253</f>
        <v/>
      </c>
      <c r="S253" s="205" t="n"/>
      <c r="T253" s="205" t="n"/>
      <c r="U253" s="205" t="n"/>
      <c r="V253" s="205" t="n"/>
      <c r="W253" s="205" t="n"/>
      <c r="X253" s="205" t="n"/>
      <c r="Y253" s="205" t="n"/>
      <c r="Z253" s="205" t="n"/>
      <c r="AA253" s="205" t="n"/>
      <c r="AB253" s="205" t="n"/>
      <c r="AC253" s="205" t="n"/>
      <c r="AD253" s="205" t="n"/>
      <c r="AE253" s="205" t="n"/>
      <c r="AF253" s="205" t="n"/>
      <c r="AG253" s="205" t="n"/>
      <c r="AH253" s="205" t="n"/>
      <c r="AI253" s="202" t="n"/>
    </row>
    <row r="254" ht="127.5" customFormat="1" customHeight="1" s="171">
      <c r="A254" s="192" t="n">
        <v>33</v>
      </c>
      <c r="B254" s="193" t="inlineStr">
        <is>
          <t>Клапан запорный 15с22нж Ду 32 Ру 40</t>
        </is>
      </c>
      <c r="C254" s="222" t="inlineStr">
        <is>
          <t>ТУ 3740-002-30995032-2014</t>
        </is>
      </c>
      <c r="D254" s="222" t="n">
        <v>32</v>
      </c>
      <c r="E254" s="222" t="inlineStr">
        <is>
          <t>стандарт</t>
        </is>
      </c>
      <c r="F254" s="222" t="n">
        <v>4</v>
      </c>
      <c r="G254" s="222" t="inlineStr">
        <is>
          <t>до +425</t>
        </is>
      </c>
      <c r="H254" s="222" t="inlineStr">
        <is>
          <t>Вода, пар, аммиак, жидкие и газообразные углеводороды, нефть, нефтепродукты,
топливный и природный газ, воздух и другие жидкости и газы.</t>
        </is>
      </c>
      <c r="I254" s="222" t="inlineStr">
        <is>
          <t>сталь 25Л</t>
        </is>
      </c>
      <c r="J254" s="222" t="inlineStr">
        <is>
          <t>Температура окружающей среды от -40 до +40 °C</t>
        </is>
      </c>
      <c r="K254" s="222" t="inlineStr">
        <is>
          <t>фланцевый</t>
        </is>
      </c>
      <c r="L254" s="222" t="inlineStr">
        <is>
          <t>ручной (маховик)</t>
        </is>
      </c>
      <c r="M254" s="253" t="inlineStr">
        <is>
          <t>-</t>
        </is>
      </c>
      <c r="N254" s="222" t="inlineStr">
        <is>
          <t>любое</t>
        </is>
      </c>
      <c r="O254" s="222" t="inlineStr">
        <is>
          <t>Золотник: Сталь 20Х13
Шпиндель: Сталь 20Х13
Контргайка: Сталь 35
Маховик: Сталь 25Л</t>
        </is>
      </c>
      <c r="P254" s="222" t="inlineStr">
        <is>
          <t>-</t>
        </is>
      </c>
      <c r="Q254" s="222" t="inlineStr">
        <is>
          <t>-</t>
        </is>
      </c>
      <c r="R254" s="198">
        <f>A254</f>
        <v/>
      </c>
      <c r="S254" s="205" t="n"/>
      <c r="T254" s="205" t="n"/>
      <c r="U254" s="205" t="n"/>
      <c r="V254" s="205" t="n"/>
      <c r="W254" s="205" t="n"/>
      <c r="X254" s="205" t="n"/>
      <c r="Y254" s="205" t="n"/>
      <c r="Z254" s="205" t="n"/>
      <c r="AA254" s="205" t="n"/>
      <c r="AB254" s="205" t="n"/>
      <c r="AC254" s="205" t="n"/>
      <c r="AD254" s="205" t="n"/>
      <c r="AE254" s="205" t="n"/>
      <c r="AF254" s="205" t="n"/>
      <c r="AG254" s="205" t="n"/>
      <c r="AH254" s="205" t="n"/>
      <c r="AI254" s="202" t="n"/>
    </row>
    <row r="255" ht="127.5" customFormat="1" customHeight="1" s="171">
      <c r="A255" s="192" t="n">
        <v>34</v>
      </c>
      <c r="B255" s="193" t="inlineStr">
        <is>
          <t>Клапан запорный 15с22нж Ду 40 Ру 40</t>
        </is>
      </c>
      <c r="C255" s="222" t="inlineStr">
        <is>
          <t>ТУ 3740-002-30995032-2014</t>
        </is>
      </c>
      <c r="D255" s="222" t="n">
        <v>40</v>
      </c>
      <c r="E255" s="222" t="inlineStr">
        <is>
          <t>стандарт</t>
        </is>
      </c>
      <c r="F255" s="222" t="n">
        <v>4</v>
      </c>
      <c r="G255" s="222" t="inlineStr">
        <is>
          <t>до +425</t>
        </is>
      </c>
      <c r="H255" s="222" t="inlineStr">
        <is>
          <t>Вода, пар, аммиак, жидкие и газообразные углеводороды, нефть, нефтепродукты,
топливный и природный газ, воздух и другие жидкости и газы.</t>
        </is>
      </c>
      <c r="I255" s="222" t="inlineStr">
        <is>
          <t>сталь 25Л</t>
        </is>
      </c>
      <c r="J255" s="222" t="inlineStr">
        <is>
          <t>Температура окружающей среды от -40 до +40 °C</t>
        </is>
      </c>
      <c r="K255" s="222" t="inlineStr">
        <is>
          <t>фланцевый</t>
        </is>
      </c>
      <c r="L255" s="222" t="inlineStr">
        <is>
          <t>ручной (маховик)</t>
        </is>
      </c>
      <c r="M255" s="253" t="inlineStr">
        <is>
          <t>-</t>
        </is>
      </c>
      <c r="N255" s="222" t="inlineStr">
        <is>
          <t>любое</t>
        </is>
      </c>
      <c r="O255" s="222" t="inlineStr">
        <is>
          <t>Золотник: Сталь 20Х13
Шпиндель: Сталь 20Х13
Контргайка: Сталь 35
Маховик: Сталь 25Л</t>
        </is>
      </c>
      <c r="P255" s="222" t="inlineStr">
        <is>
          <t>-</t>
        </is>
      </c>
      <c r="Q255" s="222" t="inlineStr">
        <is>
          <t>-</t>
        </is>
      </c>
      <c r="R255" s="198">
        <f>A255</f>
        <v/>
      </c>
      <c r="S255" s="205" t="n"/>
      <c r="T255" s="205" t="n"/>
      <c r="U255" s="205" t="n"/>
      <c r="V255" s="205" t="n"/>
      <c r="W255" s="205" t="n"/>
      <c r="X255" s="205" t="n"/>
      <c r="Y255" s="205" t="n"/>
      <c r="Z255" s="205" t="n"/>
      <c r="AA255" s="205" t="n"/>
      <c r="AB255" s="205" t="n"/>
      <c r="AC255" s="205" t="n"/>
      <c r="AD255" s="205" t="n"/>
      <c r="AE255" s="205" t="n"/>
      <c r="AF255" s="205" t="n"/>
      <c r="AG255" s="205" t="n"/>
      <c r="AH255" s="205" t="n"/>
      <c r="AI255" s="202" t="n"/>
    </row>
    <row r="256" ht="127.5" customFormat="1" customHeight="1" s="171">
      <c r="A256" s="192" t="n">
        <v>35</v>
      </c>
      <c r="B256" s="193" t="inlineStr">
        <is>
          <t>Клапан запорный 15с22нж Ду 50 Ру 40</t>
        </is>
      </c>
      <c r="C256" s="222" t="inlineStr">
        <is>
          <t>ТУ 3740-002-30995032-2014</t>
        </is>
      </c>
      <c r="D256" s="222" t="n">
        <v>50</v>
      </c>
      <c r="E256" s="222" t="inlineStr">
        <is>
          <t>стандарт</t>
        </is>
      </c>
      <c r="F256" s="222" t="n">
        <v>4</v>
      </c>
      <c r="G256" s="222" t="inlineStr">
        <is>
          <t>до +425</t>
        </is>
      </c>
      <c r="H256" s="222" t="inlineStr">
        <is>
          <t>Вода, пар, аммиак, жидкие и газообразные углеводороды, нефть, нефтепродукты,
топливный и природный газ, воздух и другие жидкости и газы.</t>
        </is>
      </c>
      <c r="I256" s="222" t="inlineStr">
        <is>
          <t>сталь 25Л</t>
        </is>
      </c>
      <c r="J256" s="222" t="inlineStr">
        <is>
          <t>Температура окружающей среды от -40 до +40 °C</t>
        </is>
      </c>
      <c r="K256" s="222" t="inlineStr">
        <is>
          <t>фланцевый</t>
        </is>
      </c>
      <c r="L256" s="222" t="inlineStr">
        <is>
          <t>ручной (маховик)</t>
        </is>
      </c>
      <c r="M256" s="253" t="inlineStr">
        <is>
          <t>-</t>
        </is>
      </c>
      <c r="N256" s="222" t="inlineStr">
        <is>
          <t>любое</t>
        </is>
      </c>
      <c r="O256" s="222" t="inlineStr">
        <is>
          <t>Золотник: Сталь 20Х13
Шпиндель: Сталь 20Х13
Контргайка: Сталь 35
Маховик: Сталь 25Л</t>
        </is>
      </c>
      <c r="P256" s="222" t="inlineStr">
        <is>
          <t>-</t>
        </is>
      </c>
      <c r="Q256" s="222" t="inlineStr">
        <is>
          <t>-</t>
        </is>
      </c>
      <c r="R256" s="198">
        <f>A256</f>
        <v/>
      </c>
      <c r="S256" s="205" t="n"/>
      <c r="T256" s="205" t="n"/>
      <c r="U256" s="205" t="n"/>
      <c r="V256" s="205" t="n"/>
      <c r="W256" s="205" t="n"/>
      <c r="X256" s="205" t="n"/>
      <c r="Y256" s="205" t="n"/>
      <c r="Z256" s="205" t="n"/>
      <c r="AA256" s="205" t="n"/>
      <c r="AB256" s="205" t="n"/>
      <c r="AC256" s="205" t="n"/>
      <c r="AD256" s="205" t="n"/>
      <c r="AE256" s="205" t="n"/>
      <c r="AF256" s="205" t="n"/>
      <c r="AG256" s="205" t="n"/>
      <c r="AH256" s="205" t="n"/>
      <c r="AI256" s="202" t="n"/>
    </row>
    <row r="257" ht="127.5" customFormat="1" customHeight="1" s="171">
      <c r="A257" s="192" t="n">
        <v>36</v>
      </c>
      <c r="B257" s="193" t="inlineStr">
        <is>
          <t>Клапан запорный 15с22нж Ду 80 Ру 40</t>
        </is>
      </c>
      <c r="C257" s="222" t="inlineStr">
        <is>
          <t>ТУ 3740-002-30995032-2014</t>
        </is>
      </c>
      <c r="D257" s="222" t="n">
        <v>80</v>
      </c>
      <c r="E257" s="222" t="inlineStr">
        <is>
          <t>стандарт</t>
        </is>
      </c>
      <c r="F257" s="222" t="n">
        <v>4</v>
      </c>
      <c r="G257" s="222" t="inlineStr">
        <is>
          <t>до +425</t>
        </is>
      </c>
      <c r="H257" s="222" t="inlineStr">
        <is>
          <t>Вода, пар, аммиак, жидкие и газообразные углеводороды, нефть, нефтепродукты,
топливный и природный газ, воздух и другие жидкости и газы.</t>
        </is>
      </c>
      <c r="I257" s="222" t="inlineStr">
        <is>
          <t>сталь 25Л</t>
        </is>
      </c>
      <c r="J257" s="222" t="inlineStr">
        <is>
          <t>Температура окружающей среды от -40 до +40 °C</t>
        </is>
      </c>
      <c r="K257" s="222" t="inlineStr">
        <is>
          <t>фланцевый</t>
        </is>
      </c>
      <c r="L257" s="222" t="inlineStr">
        <is>
          <t>ручной (маховик)</t>
        </is>
      </c>
      <c r="M257" s="253" t="inlineStr">
        <is>
          <t>-</t>
        </is>
      </c>
      <c r="N257" s="222" t="inlineStr">
        <is>
          <t>любое</t>
        </is>
      </c>
      <c r="O257" s="222" t="inlineStr">
        <is>
          <t>Золотник: Сталь 20Х13
Шпиндель: Сталь 20Х13
Контргайка: Сталь 35
Маховик: Сталь 25Л</t>
        </is>
      </c>
      <c r="P257" s="222" t="inlineStr">
        <is>
          <t>-</t>
        </is>
      </c>
      <c r="Q257" s="222" t="inlineStr">
        <is>
          <t>-</t>
        </is>
      </c>
      <c r="R257" s="198">
        <f>A257</f>
        <v/>
      </c>
      <c r="S257" s="205" t="n"/>
      <c r="T257" s="205" t="n"/>
      <c r="U257" s="205" t="n"/>
      <c r="V257" s="205" t="n"/>
      <c r="W257" s="205" t="n"/>
      <c r="X257" s="205" t="n"/>
      <c r="Y257" s="205" t="n"/>
      <c r="Z257" s="205" t="n"/>
      <c r="AA257" s="205" t="n"/>
      <c r="AB257" s="205" t="n"/>
      <c r="AC257" s="205" t="n"/>
      <c r="AD257" s="205" t="n"/>
      <c r="AE257" s="205" t="n"/>
      <c r="AF257" s="205" t="n"/>
      <c r="AG257" s="205" t="n"/>
      <c r="AH257" s="205" t="n"/>
      <c r="AI257" s="202" t="n"/>
    </row>
    <row r="258" ht="51" customHeight="1" s="169">
      <c r="A258" s="192" t="n">
        <v>37</v>
      </c>
      <c r="B258" s="193" t="inlineStr">
        <is>
          <t>Клапан запорный 15с65нж Ду 100 Ру 16 с КОФ</t>
        </is>
      </c>
      <c r="C258" s="222" t="inlineStr">
        <is>
          <t>ТУ У 32200218325-004-94</t>
        </is>
      </c>
      <c r="D258" s="222" t="n">
        <v>100</v>
      </c>
      <c r="E258" s="222" t="inlineStr">
        <is>
          <t>стандарт</t>
        </is>
      </c>
      <c r="F258" s="222" t="n">
        <v>1.6</v>
      </c>
      <c r="G258" s="222" t="inlineStr">
        <is>
          <t>от -40 до +425</t>
        </is>
      </c>
      <c r="H258" s="222" t="inlineStr">
        <is>
          <t>вода, пар, неагрессивные среды</t>
        </is>
      </c>
      <c r="I258" s="222" t="inlineStr">
        <is>
          <t>сталь 25Л</t>
        </is>
      </c>
      <c r="J258" s="222" t="inlineStr">
        <is>
          <t>У1</t>
        </is>
      </c>
      <c r="K258" s="222" t="inlineStr">
        <is>
          <t>фланцевый</t>
        </is>
      </c>
      <c r="L258" s="222" t="inlineStr">
        <is>
          <t>ручной (маховик)</t>
        </is>
      </c>
      <c r="M258" s="253" t="inlineStr">
        <is>
          <t>-</t>
        </is>
      </c>
      <c r="N258" s="222" t="inlineStr">
        <is>
          <t>любое</t>
        </is>
      </c>
      <c r="O258" s="222" t="inlineStr">
        <is>
          <t>-</t>
        </is>
      </c>
      <c r="P258" s="222" t="inlineStr">
        <is>
          <t>-</t>
        </is>
      </c>
      <c r="Q258" s="222" t="inlineStr">
        <is>
          <t>с комплектом ответных фланцев</t>
        </is>
      </c>
      <c r="R258" s="198">
        <f>A258</f>
        <v/>
      </c>
      <c r="S258" s="205" t="n"/>
      <c r="T258" s="205" t="n"/>
      <c r="U258" s="205" t="n"/>
      <c r="V258" s="205" t="n"/>
      <c r="W258" s="205" t="n"/>
      <c r="X258" s="205" t="n"/>
      <c r="Y258" s="205" t="n"/>
      <c r="Z258" s="205" t="n"/>
      <c r="AA258" s="205" t="n"/>
      <c r="AB258" s="205" t="n"/>
      <c r="AC258" s="205" t="n"/>
      <c r="AD258" s="205" t="n"/>
      <c r="AE258" s="205" t="n"/>
      <c r="AF258" s="205" t="n"/>
      <c r="AG258" s="205" t="n"/>
      <c r="AH258" s="205" t="n"/>
      <c r="AI258" s="202" t="n"/>
    </row>
    <row r="259" ht="51" customHeight="1" s="169">
      <c r="A259" s="192" t="n">
        <v>38</v>
      </c>
      <c r="B259" s="193" t="inlineStr">
        <is>
          <t>Клапан запорный 15с65нж Ду 25 Ру 16 с КОФ</t>
        </is>
      </c>
      <c r="C259" s="222" t="inlineStr">
        <is>
          <t>ТУ У 32200218325-004-94</t>
        </is>
      </c>
      <c r="D259" s="222" t="n">
        <v>25</v>
      </c>
      <c r="E259" s="222" t="inlineStr">
        <is>
          <t>стандарт</t>
        </is>
      </c>
      <c r="F259" s="222" t="n">
        <v>1.6</v>
      </c>
      <c r="G259" s="222" t="inlineStr">
        <is>
          <t>от -40 до +425</t>
        </is>
      </c>
      <c r="H259" s="222" t="inlineStr">
        <is>
          <t>вода, пар, неагрессивные среды</t>
        </is>
      </c>
      <c r="I259" s="222" t="inlineStr">
        <is>
          <t>сталь 25Л</t>
        </is>
      </c>
      <c r="J259" s="222" t="inlineStr">
        <is>
          <t>У1</t>
        </is>
      </c>
      <c r="K259" s="222" t="inlineStr">
        <is>
          <t>фланцевый</t>
        </is>
      </c>
      <c r="L259" s="222" t="inlineStr">
        <is>
          <t>ручной (маховик)</t>
        </is>
      </c>
      <c r="M259" s="253" t="inlineStr">
        <is>
          <t>-</t>
        </is>
      </c>
      <c r="N259" s="222" t="inlineStr">
        <is>
          <t>любое</t>
        </is>
      </c>
      <c r="O259" s="222" t="inlineStr">
        <is>
          <t>-</t>
        </is>
      </c>
      <c r="P259" s="222" t="inlineStr">
        <is>
          <t>-</t>
        </is>
      </c>
      <c r="Q259" s="222" t="inlineStr">
        <is>
          <t>с комплектом ответных фланцев</t>
        </is>
      </c>
      <c r="R259" s="198">
        <f>A259</f>
        <v/>
      </c>
      <c r="S259" s="205" t="n"/>
      <c r="T259" s="205" t="n"/>
      <c r="U259" s="205" t="n"/>
      <c r="V259" s="205" t="n"/>
      <c r="W259" s="205" t="n"/>
      <c r="X259" s="205" t="n"/>
      <c r="Y259" s="205" t="n"/>
      <c r="Z259" s="205" t="n"/>
      <c r="AA259" s="205" t="n"/>
      <c r="AB259" s="205" t="n"/>
      <c r="AC259" s="205" t="n"/>
      <c r="AD259" s="205" t="n"/>
      <c r="AE259" s="205" t="n"/>
      <c r="AF259" s="205" t="n"/>
      <c r="AG259" s="205" t="n"/>
      <c r="AH259" s="205" t="n"/>
      <c r="AI259" s="202" t="n"/>
    </row>
    <row r="260" ht="51" customHeight="1" s="169">
      <c r="A260" s="192" t="n">
        <v>39</v>
      </c>
      <c r="B260" s="193" t="inlineStr">
        <is>
          <t>Клапан запорный 15с65нж Ду 40 Ру 16 с КОФ</t>
        </is>
      </c>
      <c r="C260" s="222" t="inlineStr">
        <is>
          <t>ТУ У 32200218325-004-94</t>
        </is>
      </c>
      <c r="D260" s="222" t="n">
        <v>40</v>
      </c>
      <c r="E260" s="222" t="inlineStr">
        <is>
          <t>стандарт</t>
        </is>
      </c>
      <c r="F260" s="222" t="n">
        <v>1.6</v>
      </c>
      <c r="G260" s="222" t="inlineStr">
        <is>
          <t>от -40 до +425</t>
        </is>
      </c>
      <c r="H260" s="222" t="inlineStr">
        <is>
          <t>вода, пар, неагрессивные среды</t>
        </is>
      </c>
      <c r="I260" s="222" t="inlineStr">
        <is>
          <t>сталь 25Л</t>
        </is>
      </c>
      <c r="J260" s="222" t="inlineStr">
        <is>
          <t>У1</t>
        </is>
      </c>
      <c r="K260" s="222" t="inlineStr">
        <is>
          <t>фланцевый</t>
        </is>
      </c>
      <c r="L260" s="222" t="inlineStr">
        <is>
          <t>ручной (маховик)</t>
        </is>
      </c>
      <c r="M260" s="253" t="inlineStr">
        <is>
          <t>-</t>
        </is>
      </c>
      <c r="N260" s="222" t="inlineStr">
        <is>
          <t>любое</t>
        </is>
      </c>
      <c r="O260" s="222" t="inlineStr">
        <is>
          <t>-</t>
        </is>
      </c>
      <c r="P260" s="222" t="inlineStr">
        <is>
          <t>-</t>
        </is>
      </c>
      <c r="Q260" s="222" t="inlineStr">
        <is>
          <t>с комплектом ответных фланцев</t>
        </is>
      </c>
      <c r="R260" s="198">
        <f>A260</f>
        <v/>
      </c>
      <c r="S260" s="205" t="n"/>
      <c r="T260" s="205" t="n"/>
      <c r="U260" s="205" t="n"/>
      <c r="V260" s="205" t="n"/>
      <c r="W260" s="205" t="n"/>
      <c r="X260" s="205" t="n"/>
      <c r="Y260" s="205" t="n"/>
      <c r="Z260" s="205" t="n"/>
      <c r="AA260" s="205" t="n"/>
      <c r="AB260" s="205" t="n"/>
      <c r="AC260" s="205" t="n"/>
      <c r="AD260" s="205" t="n"/>
      <c r="AE260" s="205" t="n"/>
      <c r="AF260" s="205" t="n"/>
      <c r="AG260" s="205" t="n"/>
      <c r="AH260" s="205" t="n"/>
      <c r="AI260" s="202" t="n"/>
    </row>
    <row r="261" ht="51" customHeight="1" s="169">
      <c r="A261" s="192" t="n">
        <v>40</v>
      </c>
      <c r="B261" s="193" t="inlineStr">
        <is>
          <t>Клапан запорный 15с65нж Ду 50 Ру 16 с КОФ</t>
        </is>
      </c>
      <c r="C261" s="222" t="inlineStr">
        <is>
          <t>ТУ У 32200218325-004-94</t>
        </is>
      </c>
      <c r="D261" s="222" t="n">
        <v>50</v>
      </c>
      <c r="E261" s="222" t="inlineStr">
        <is>
          <t>стандарт</t>
        </is>
      </c>
      <c r="F261" s="222" t="n">
        <v>1.6</v>
      </c>
      <c r="G261" s="222" t="inlineStr">
        <is>
          <t>от -40 до +425</t>
        </is>
      </c>
      <c r="H261" s="222" t="inlineStr">
        <is>
          <t>вода, пар, неагрессивные среды</t>
        </is>
      </c>
      <c r="I261" s="222" t="inlineStr">
        <is>
          <t>сталь 25Л</t>
        </is>
      </c>
      <c r="J261" s="222" t="inlineStr">
        <is>
          <t>У1</t>
        </is>
      </c>
      <c r="K261" s="222" t="inlineStr">
        <is>
          <t>фланцевый</t>
        </is>
      </c>
      <c r="L261" s="222" t="inlineStr">
        <is>
          <t>ручной (маховик)</t>
        </is>
      </c>
      <c r="M261" s="253" t="inlineStr">
        <is>
          <t>-</t>
        </is>
      </c>
      <c r="N261" s="222" t="inlineStr">
        <is>
          <t>любое</t>
        </is>
      </c>
      <c r="O261" s="222" t="inlineStr">
        <is>
          <t>-</t>
        </is>
      </c>
      <c r="P261" s="222" t="inlineStr">
        <is>
          <t>-</t>
        </is>
      </c>
      <c r="Q261" s="222" t="inlineStr">
        <is>
          <t>с комплектом ответных фланцев</t>
        </is>
      </c>
      <c r="R261" s="198">
        <f>A261</f>
        <v/>
      </c>
      <c r="S261" s="205" t="n"/>
      <c r="T261" s="205" t="n"/>
      <c r="U261" s="205" t="n"/>
      <c r="V261" s="205" t="n"/>
      <c r="W261" s="205" t="n"/>
      <c r="X261" s="205" t="n"/>
      <c r="Y261" s="205" t="n"/>
      <c r="Z261" s="205" t="n"/>
      <c r="AA261" s="205" t="n"/>
      <c r="AB261" s="205" t="n"/>
      <c r="AC261" s="205" t="n"/>
      <c r="AD261" s="205" t="n"/>
      <c r="AE261" s="205" t="n"/>
      <c r="AF261" s="205" t="n"/>
      <c r="AG261" s="205" t="n"/>
      <c r="AH261" s="205" t="n"/>
      <c r="AI261" s="202" t="n"/>
    </row>
    <row r="262" ht="114.75" customHeight="1" s="169">
      <c r="A262" s="192" t="n">
        <v>41</v>
      </c>
      <c r="B262" s="193" t="inlineStr">
        <is>
          <t>Задвижка 30нж41нж Ду 80 Ру 16 1исп. САЗ</t>
        </is>
      </c>
      <c r="C262" s="222" t="inlineStr">
        <is>
          <t>ГОСТ 5762-2002</t>
        </is>
      </c>
      <c r="D262" s="222" t="n">
        <v>80</v>
      </c>
      <c r="E262" s="222" t="inlineStr">
        <is>
          <t>стандарт</t>
        </is>
      </c>
      <c r="F262" s="222" t="n">
        <v>1.6</v>
      </c>
      <c r="G262" s="222" t="inlineStr">
        <is>
          <t>от -60 до +560</t>
        </is>
      </c>
      <c r="H262" s="222" t="inlineStr">
        <is>
          <t>Жидкие и газообразные углеводороды, нефть, нефтепродукты, природный газ, газоконденсат, вода пар и другие жидкости и газы</t>
        </is>
      </c>
      <c r="I262" s="222" t="inlineStr">
        <is>
          <t>сталь 12Х18Н9ТЛ</t>
        </is>
      </c>
      <c r="J262" s="222" t="inlineStr">
        <is>
          <t>УХЛ1</t>
        </is>
      </c>
      <c r="K262" s="222" t="inlineStr">
        <is>
          <t>фланцевый</t>
        </is>
      </c>
      <c r="L262" s="222" t="inlineStr">
        <is>
          <t>ручной (маховик)</t>
        </is>
      </c>
      <c r="M262" s="253" t="inlineStr">
        <is>
          <t>-</t>
        </is>
      </c>
      <c r="N262" s="222" t="inlineStr">
        <is>
          <t>любое</t>
        </is>
      </c>
      <c r="O262" s="222"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262" s="222" t="inlineStr">
        <is>
          <t>-</t>
        </is>
      </c>
      <c r="Q262" s="222" t="inlineStr">
        <is>
          <t>1 исп. САЗ</t>
        </is>
      </c>
      <c r="R262" s="198">
        <f>A262</f>
        <v/>
      </c>
      <c r="S262" s="205" t="n"/>
      <c r="T262" s="205" t="n"/>
      <c r="U262" s="205" t="n"/>
      <c r="V262" s="205" t="n"/>
      <c r="W262" s="205" t="n"/>
      <c r="X262" s="205" t="n"/>
      <c r="Y262" s="205" t="n"/>
      <c r="Z262" s="205" t="n"/>
      <c r="AA262" s="205" t="n"/>
      <c r="AB262" s="205" t="n"/>
      <c r="AC262" s="205" t="n"/>
      <c r="AD262" s="205" t="n"/>
      <c r="AE262" s="205" t="n"/>
      <c r="AF262" s="205" t="n"/>
      <c r="AG262" s="205" t="n"/>
      <c r="AH262" s="205" t="n"/>
      <c r="AI262" s="202" t="n"/>
    </row>
    <row r="263" ht="76.5" customHeight="1" s="169">
      <c r="A263" s="192" t="n">
        <v>42</v>
      </c>
      <c r="B263" s="193" t="inlineStr">
        <is>
          <t>Задвижка 30с41нж Ду 50 Ру 16</t>
        </is>
      </c>
      <c r="C263" s="222" t="inlineStr">
        <is>
          <t>ТУ 3741–001–24380482–2016</t>
        </is>
      </c>
      <c r="D263" s="222" t="n">
        <v>50</v>
      </c>
      <c r="E263" s="222" t="inlineStr">
        <is>
          <t>стандарт</t>
        </is>
      </c>
      <c r="F263" s="222" t="n">
        <v>1.6</v>
      </c>
      <c r="G263" s="222" t="inlineStr">
        <is>
          <t>до +425</t>
        </is>
      </c>
      <c r="H263" s="222" t="inlineStr">
        <is>
          <t>вода, пар, жидкие неагрессивные среды</t>
        </is>
      </c>
      <c r="I263" s="222" t="inlineStr">
        <is>
          <t>сталь 25Л</t>
        </is>
      </c>
      <c r="J263" s="222" t="inlineStr">
        <is>
          <t>У1</t>
        </is>
      </c>
      <c r="K263" s="222" t="inlineStr">
        <is>
          <t>фланцевый</t>
        </is>
      </c>
      <c r="L263" s="222" t="inlineStr">
        <is>
          <t>ручной (маховик)</t>
        </is>
      </c>
      <c r="M263" s="253" t="inlineStr">
        <is>
          <t>-</t>
        </is>
      </c>
      <c r="N263" s="222" t="inlineStr">
        <is>
          <t>маховиком вверх</t>
        </is>
      </c>
      <c r="O263"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3" s="262" t="inlineStr">
        <is>
          <t>-</t>
        </is>
      </c>
      <c r="Q263" s="262" t="inlineStr">
        <is>
          <t>-</t>
        </is>
      </c>
      <c r="R263" s="198">
        <f>A263</f>
        <v/>
      </c>
      <c r="S263" s="205" t="n"/>
      <c r="T263" s="205" t="n"/>
      <c r="U263" s="205" t="n"/>
      <c r="V263" s="205" t="n"/>
      <c r="W263" s="205" t="n"/>
      <c r="X263" s="205" t="n"/>
      <c r="Y263" s="205" t="n"/>
      <c r="Z263" s="205" t="n"/>
      <c r="AA263" s="205" t="n"/>
      <c r="AB263" s="205" t="n"/>
      <c r="AC263" s="205" t="n"/>
      <c r="AD263" s="205" t="n"/>
      <c r="AE263" s="205" t="n"/>
      <c r="AF263" s="205" t="n"/>
      <c r="AG263" s="205" t="n"/>
      <c r="AH263" s="205" t="n"/>
      <c r="AI263" s="202" t="n"/>
    </row>
    <row r="264" ht="63.75" customFormat="1" customHeight="1" s="171">
      <c r="A264" s="192" t="n">
        <v>43</v>
      </c>
      <c r="B264" s="193" t="inlineStr">
        <is>
          <t>Задвижка 30с41нж Ду 80 Ру 16</t>
        </is>
      </c>
      <c r="C264" s="210" t="inlineStr">
        <is>
          <t>ТУ 3741–001–24380482–2016</t>
        </is>
      </c>
      <c r="D264" s="210" t="n">
        <v>80</v>
      </c>
      <c r="E264" s="210" t="inlineStr">
        <is>
          <t>стандарт</t>
        </is>
      </c>
      <c r="F264" s="210" t="n">
        <v>1.6</v>
      </c>
      <c r="G264" s="210" t="inlineStr">
        <is>
          <t>до +425</t>
        </is>
      </c>
      <c r="H264" s="210" t="inlineStr">
        <is>
          <t>вода, пар, жидкие неагрессивные среды</t>
        </is>
      </c>
      <c r="I264" s="210" t="inlineStr">
        <is>
          <t>сталь 25Л</t>
        </is>
      </c>
      <c r="J264" s="210" t="inlineStr">
        <is>
          <t>У1</t>
        </is>
      </c>
      <c r="K264" s="210" t="inlineStr">
        <is>
          <t>фланцевый</t>
        </is>
      </c>
      <c r="L264" s="210" t="inlineStr">
        <is>
          <t>ручной (маховик)</t>
        </is>
      </c>
      <c r="M264" s="212" t="inlineStr">
        <is>
          <t>-</t>
        </is>
      </c>
      <c r="N264" s="210" t="inlineStr">
        <is>
          <t>маховиком вверх</t>
        </is>
      </c>
      <c r="O26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4" s="262" t="inlineStr">
        <is>
          <t>-</t>
        </is>
      </c>
      <c r="Q264" s="262" t="inlineStr">
        <is>
          <t>-</t>
        </is>
      </c>
      <c r="R264" s="198">
        <f>A264</f>
        <v/>
      </c>
      <c r="S264" s="205" t="n"/>
      <c r="T264" s="205" t="n"/>
      <c r="U264" s="205" t="n"/>
      <c r="V264" s="205" t="n"/>
      <c r="W264" s="205" t="n"/>
      <c r="X264" s="205" t="n"/>
      <c r="Y264" s="205" t="n"/>
      <c r="Z264" s="205" t="n"/>
      <c r="AA264" s="205" t="n"/>
      <c r="AB264" s="205" t="n"/>
      <c r="AC264" s="205" t="n"/>
      <c r="AD264" s="205" t="n"/>
      <c r="AE264" s="205" t="n"/>
      <c r="AF264" s="205" t="n"/>
      <c r="AG264" s="205" t="n"/>
      <c r="AH264" s="205" t="n"/>
      <c r="AI264" s="202" t="n"/>
    </row>
    <row r="265" ht="63.75" customHeight="1" s="169">
      <c r="A265" s="192" t="n">
        <v>44</v>
      </c>
      <c r="B265" s="193" t="inlineStr">
        <is>
          <t>Задвижка 30с41нж Ду 100 Ру 16</t>
        </is>
      </c>
      <c r="C265" s="210" t="inlineStr">
        <is>
          <t>ТУ 3741–001–24380482–2016</t>
        </is>
      </c>
      <c r="D265" s="210" t="n">
        <v>100</v>
      </c>
      <c r="E265" s="210" t="inlineStr">
        <is>
          <t>стандарт</t>
        </is>
      </c>
      <c r="F265" s="210" t="n">
        <v>1.6</v>
      </c>
      <c r="G265" s="210" t="inlineStr">
        <is>
          <t>до +425</t>
        </is>
      </c>
      <c r="H265" s="210" t="inlineStr">
        <is>
          <t>вода, пар, жидкие неагрессивные среды</t>
        </is>
      </c>
      <c r="I265" s="210" t="inlineStr">
        <is>
          <t>сталь 25Л</t>
        </is>
      </c>
      <c r="J265" s="210" t="inlineStr">
        <is>
          <t>У1</t>
        </is>
      </c>
      <c r="K265" s="210" t="inlineStr">
        <is>
          <t>фланцевый</t>
        </is>
      </c>
      <c r="L265" s="210" t="inlineStr">
        <is>
          <t>ручной (маховик)</t>
        </is>
      </c>
      <c r="M265" s="212" t="inlineStr">
        <is>
          <t>-</t>
        </is>
      </c>
      <c r="N265" s="210" t="inlineStr">
        <is>
          <t>маховиком вверх</t>
        </is>
      </c>
      <c r="O265"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5" s="262" t="inlineStr">
        <is>
          <t>-</t>
        </is>
      </c>
      <c r="Q265" s="262" t="inlineStr">
        <is>
          <t>-</t>
        </is>
      </c>
      <c r="R265" s="198">
        <f>A265</f>
        <v/>
      </c>
      <c r="S265" s="205" t="n"/>
      <c r="T265" s="205" t="n"/>
      <c r="U265" s="205" t="n"/>
      <c r="V265" s="205" t="n"/>
      <c r="W265" s="205" t="n"/>
      <c r="X265" s="205" t="n"/>
      <c r="Y265" s="205" t="n"/>
      <c r="Z265" s="205" t="n"/>
      <c r="AA265" s="205" t="n"/>
      <c r="AB265" s="205" t="n"/>
      <c r="AC265" s="205" t="n"/>
      <c r="AD265" s="205" t="n"/>
      <c r="AE265" s="205" t="n"/>
      <c r="AF265" s="205" t="n"/>
      <c r="AG265" s="205" t="n"/>
      <c r="AH265" s="205" t="n"/>
      <c r="AI265" s="202" t="n"/>
    </row>
    <row r="266" ht="76.5" customHeight="1" s="169">
      <c r="A266" s="192" t="n">
        <v>45</v>
      </c>
      <c r="B266" s="193" t="inlineStr">
        <is>
          <t>Задвижка 30с41нж Ду 150 Ру 16</t>
        </is>
      </c>
      <c r="C266" s="222" t="inlineStr">
        <is>
          <t>ТУ 3741–001–24380482–2016</t>
        </is>
      </c>
      <c r="D266" s="222" t="n">
        <v>150</v>
      </c>
      <c r="E266" s="222" t="inlineStr">
        <is>
          <t>стандарт</t>
        </is>
      </c>
      <c r="F266" s="222" t="n">
        <v>1.6</v>
      </c>
      <c r="G266" s="222" t="inlineStr">
        <is>
          <t>до +425</t>
        </is>
      </c>
      <c r="H266" s="222" t="inlineStr">
        <is>
          <t>вода, пар, жидкие неагрессивные среды</t>
        </is>
      </c>
      <c r="I266" s="222" t="inlineStr">
        <is>
          <t>сталь 25Л</t>
        </is>
      </c>
      <c r="J266" s="222" t="inlineStr">
        <is>
          <t>У1</t>
        </is>
      </c>
      <c r="K266" s="222" t="inlineStr">
        <is>
          <t>фланцевый</t>
        </is>
      </c>
      <c r="L266" s="222" t="inlineStr">
        <is>
          <t>ручной (маховик)</t>
        </is>
      </c>
      <c r="M266" s="253" t="inlineStr">
        <is>
          <t>-</t>
        </is>
      </c>
      <c r="N266" s="222" t="inlineStr">
        <is>
          <t>маховиком вверх</t>
        </is>
      </c>
      <c r="O266"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6" s="262" t="inlineStr">
        <is>
          <t>-</t>
        </is>
      </c>
      <c r="Q266" s="262" t="inlineStr">
        <is>
          <t>-</t>
        </is>
      </c>
      <c r="R266" s="198">
        <f>A266</f>
        <v/>
      </c>
      <c r="S266" s="205" t="n"/>
      <c r="T266" s="205" t="n"/>
      <c r="U266" s="205" t="n"/>
      <c r="V266" s="205" t="n"/>
      <c r="W266" s="205" t="n"/>
      <c r="X266" s="205" t="n"/>
      <c r="Y266" s="205" t="n"/>
      <c r="Z266" s="205" t="n"/>
      <c r="AA266" s="205" t="n"/>
      <c r="AB266" s="205" t="n"/>
      <c r="AC266" s="205" t="n"/>
      <c r="AD266" s="205" t="n"/>
      <c r="AE266" s="205" t="n"/>
      <c r="AF266" s="205" t="n"/>
      <c r="AG266" s="205" t="n"/>
      <c r="AH266" s="205" t="n"/>
      <c r="AI266" s="202" t="n"/>
    </row>
    <row r="267" ht="76.5" customHeight="1" s="169">
      <c r="A267" s="192" t="n">
        <v>46</v>
      </c>
      <c r="B267" s="193" t="inlineStr">
        <is>
          <t>Задвижка 30с41нж Ду 200 Ру 16</t>
        </is>
      </c>
      <c r="C267" s="222" t="inlineStr">
        <is>
          <t>ТУ 3741–001–24380482–2016</t>
        </is>
      </c>
      <c r="D267" s="222" t="n">
        <v>200</v>
      </c>
      <c r="E267" s="222" t="inlineStr">
        <is>
          <t>стандарт</t>
        </is>
      </c>
      <c r="F267" s="222" t="n">
        <v>1.6</v>
      </c>
      <c r="G267" s="222" t="inlineStr">
        <is>
          <t>до +425</t>
        </is>
      </c>
      <c r="H267" s="222" t="inlineStr">
        <is>
          <t>вода, пар, жидкие неагрессивные среды</t>
        </is>
      </c>
      <c r="I267" s="222" t="inlineStr">
        <is>
          <t>сталь 25Л</t>
        </is>
      </c>
      <c r="J267" s="222" t="inlineStr">
        <is>
          <t>У1</t>
        </is>
      </c>
      <c r="K267" s="222" t="inlineStr">
        <is>
          <t>фланцевый</t>
        </is>
      </c>
      <c r="L267" s="222" t="inlineStr">
        <is>
          <t>ручной (маховик)</t>
        </is>
      </c>
      <c r="M267" s="253" t="inlineStr">
        <is>
          <t>-</t>
        </is>
      </c>
      <c r="N267" s="222" t="inlineStr">
        <is>
          <t>маховиком вверх</t>
        </is>
      </c>
      <c r="O267"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7" s="262" t="inlineStr">
        <is>
          <t>-</t>
        </is>
      </c>
      <c r="Q267" s="262" t="inlineStr">
        <is>
          <t>-</t>
        </is>
      </c>
      <c r="R267" s="198">
        <f>A267</f>
        <v/>
      </c>
      <c r="S267" s="205" t="n"/>
      <c r="T267" s="205" t="n"/>
      <c r="U267" s="205" t="n"/>
      <c r="V267" s="205" t="n"/>
      <c r="W267" s="205" t="n"/>
      <c r="X267" s="205" t="n"/>
      <c r="Y267" s="205" t="n"/>
      <c r="Z267" s="205" t="n"/>
      <c r="AA267" s="205" t="n"/>
      <c r="AB267" s="205" t="n"/>
      <c r="AC267" s="205" t="n"/>
      <c r="AD267" s="205" t="n"/>
      <c r="AE267" s="205" t="n"/>
      <c r="AF267" s="205" t="n"/>
      <c r="AG267" s="205" t="n"/>
      <c r="AH267" s="205" t="n"/>
      <c r="AI267" s="202" t="n"/>
    </row>
    <row r="268" ht="63.75" customHeight="1" s="169">
      <c r="A268" s="192" t="n">
        <v>47</v>
      </c>
      <c r="B268" s="193" t="inlineStr">
        <is>
          <t>Задвижка 30ч6бр Ду 50 Ру 10</t>
        </is>
      </c>
      <c r="C268" s="222" t="inlineStr">
        <is>
          <t>ТУ УЗ 22-03326877-021-96</t>
        </is>
      </c>
      <c r="D268" s="222" t="n">
        <v>50</v>
      </c>
      <c r="E268" s="222" t="inlineStr">
        <is>
          <t>стандарт</t>
        </is>
      </c>
      <c r="F268" s="222" t="n">
        <v>1</v>
      </c>
      <c r="G268" s="222" t="inlineStr">
        <is>
          <t>до +225</t>
        </is>
      </c>
      <c r="H268" s="222" t="inlineStr">
        <is>
          <t>вода, пар</t>
        </is>
      </c>
      <c r="I268" s="222" t="inlineStr">
        <is>
          <t>серый чугун СЧ 18 (СЧ 20)</t>
        </is>
      </c>
      <c r="J268" s="222" t="inlineStr">
        <is>
          <t>У</t>
        </is>
      </c>
      <c r="K268" s="222" t="inlineStr">
        <is>
          <t>фланцевый</t>
        </is>
      </c>
      <c r="L268" s="222" t="inlineStr">
        <is>
          <t>ручной (маховик)</t>
        </is>
      </c>
      <c r="M268" s="253" t="inlineStr">
        <is>
          <t>-</t>
        </is>
      </c>
      <c r="N268" s="222" t="inlineStr">
        <is>
          <t>любое, кроме маховиком вниз</t>
        </is>
      </c>
      <c r="O268"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8" s="262" t="inlineStr">
        <is>
          <t>-</t>
        </is>
      </c>
      <c r="Q268" s="262" t="inlineStr">
        <is>
          <t>-</t>
        </is>
      </c>
      <c r="R268" s="198">
        <f>A268</f>
        <v/>
      </c>
      <c r="S268" s="205" t="n"/>
      <c r="T268" s="205" t="n"/>
      <c r="U268" s="205" t="n"/>
      <c r="V268" s="205" t="n"/>
      <c r="W268" s="205" t="n"/>
      <c r="X268" s="205" t="n"/>
      <c r="Y268" s="205" t="n"/>
      <c r="Z268" s="205" t="n"/>
      <c r="AA268" s="205" t="n"/>
      <c r="AB268" s="205" t="n"/>
      <c r="AC268" s="205" t="n"/>
      <c r="AD268" s="205" t="n"/>
      <c r="AE268" s="205" t="n"/>
      <c r="AF268" s="205" t="n"/>
      <c r="AG268" s="205" t="n"/>
      <c r="AH268" s="205" t="n"/>
      <c r="AI268" s="202" t="n"/>
    </row>
    <row r="269" ht="63.75" customHeight="1" s="169">
      <c r="A269" s="192" t="n">
        <v>48</v>
      </c>
      <c r="B269" s="193" t="inlineStr">
        <is>
          <t>Задвижка 30ч6бр Ду 80 Ру 10</t>
        </is>
      </c>
      <c r="C269" s="222" t="inlineStr">
        <is>
          <t>ТУ УЗ 22-03326877-021-96</t>
        </is>
      </c>
      <c r="D269" s="222" t="n">
        <v>80</v>
      </c>
      <c r="E269" s="222" t="inlineStr">
        <is>
          <t>стандарт</t>
        </is>
      </c>
      <c r="F269" s="222" t="n">
        <v>1</v>
      </c>
      <c r="G269" s="222" t="inlineStr">
        <is>
          <t>до +225</t>
        </is>
      </c>
      <c r="H269" s="222" t="inlineStr">
        <is>
          <t>вода, пар</t>
        </is>
      </c>
      <c r="I269" s="222" t="inlineStr">
        <is>
          <t>серый чугун СЧ 18 (СЧ 20)</t>
        </is>
      </c>
      <c r="J269" s="222" t="inlineStr">
        <is>
          <t>У</t>
        </is>
      </c>
      <c r="K269" s="222" t="inlineStr">
        <is>
          <t>фланцевый</t>
        </is>
      </c>
      <c r="L269" s="222" t="inlineStr">
        <is>
          <t>ручной (маховик)</t>
        </is>
      </c>
      <c r="M269" s="253" t="inlineStr">
        <is>
          <t>-</t>
        </is>
      </c>
      <c r="N269" s="222" t="inlineStr">
        <is>
          <t>любое, кроме маховиком вниз</t>
        </is>
      </c>
      <c r="O269"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9" s="262" t="inlineStr">
        <is>
          <t>-</t>
        </is>
      </c>
      <c r="Q269" s="262" t="inlineStr">
        <is>
          <t>-</t>
        </is>
      </c>
      <c r="R269" s="198">
        <f>A269</f>
        <v/>
      </c>
      <c r="S269" s="205" t="n"/>
      <c r="T269" s="205" t="n"/>
      <c r="U269" s="205" t="n"/>
      <c r="V269" s="205" t="n"/>
      <c r="W269" s="205" t="n"/>
      <c r="X269" s="205" t="n"/>
      <c r="Y269" s="205" t="n"/>
      <c r="Z269" s="205" t="n"/>
      <c r="AA269" s="205" t="n"/>
      <c r="AB269" s="205" t="n"/>
      <c r="AC269" s="205" t="n"/>
      <c r="AD269" s="205" t="n"/>
      <c r="AE269" s="205" t="n"/>
      <c r="AF269" s="205" t="n"/>
      <c r="AG269" s="205" t="n"/>
      <c r="AH269" s="205" t="n"/>
      <c r="AI269" s="202" t="n"/>
    </row>
    <row r="270" ht="63.75" customHeight="1" s="169">
      <c r="A270" s="192" t="n">
        <v>49</v>
      </c>
      <c r="B270" s="193" t="inlineStr">
        <is>
          <t>Задвижка 30ч6бр Ду 100 Ру 10</t>
        </is>
      </c>
      <c r="C270" s="222" t="inlineStr">
        <is>
          <t>ТУ УЗ 22-03326877-021-96</t>
        </is>
      </c>
      <c r="D270" s="222" t="n">
        <v>100</v>
      </c>
      <c r="E270" s="222" t="inlineStr">
        <is>
          <t>стандарт</t>
        </is>
      </c>
      <c r="F270" s="222" t="n">
        <v>1</v>
      </c>
      <c r="G270" s="222" t="inlineStr">
        <is>
          <t>до +225</t>
        </is>
      </c>
      <c r="H270" s="222" t="inlineStr">
        <is>
          <t>вода, пар</t>
        </is>
      </c>
      <c r="I270" s="222" t="inlineStr">
        <is>
          <t>серый чугун СЧ 18 (СЧ 20)</t>
        </is>
      </c>
      <c r="J270" s="222" t="inlineStr">
        <is>
          <t>У</t>
        </is>
      </c>
      <c r="K270" s="222" t="inlineStr">
        <is>
          <t>фланцевый</t>
        </is>
      </c>
      <c r="L270" s="222" t="inlineStr">
        <is>
          <t>ручной (маховик)</t>
        </is>
      </c>
      <c r="M270" s="253" t="inlineStr">
        <is>
          <t>-</t>
        </is>
      </c>
      <c r="N270" s="222" t="inlineStr">
        <is>
          <t>любое, кроме маховиком вниз</t>
        </is>
      </c>
      <c r="O270"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70" s="262" t="inlineStr">
        <is>
          <t>-</t>
        </is>
      </c>
      <c r="Q270" s="262" t="inlineStr">
        <is>
          <t>-</t>
        </is>
      </c>
      <c r="R270" s="198">
        <f>A270</f>
        <v/>
      </c>
      <c r="S270" s="205" t="n"/>
      <c r="T270" s="205" t="n"/>
      <c r="U270" s="205" t="n"/>
      <c r="V270" s="205" t="n"/>
      <c r="W270" s="205" t="n"/>
      <c r="X270" s="205" t="n"/>
      <c r="Y270" s="205" t="n"/>
      <c r="Z270" s="205" t="n"/>
      <c r="AA270" s="205" t="n"/>
      <c r="AB270" s="205" t="n"/>
      <c r="AC270" s="205" t="n"/>
      <c r="AD270" s="205" t="n"/>
      <c r="AE270" s="205" t="n"/>
      <c r="AF270" s="205" t="n"/>
      <c r="AG270" s="205" t="n"/>
      <c r="AH270" s="205" t="n"/>
      <c r="AI270" s="202" t="n"/>
    </row>
    <row r="271" ht="51" customHeight="1" s="169">
      <c r="A271" s="192" t="n">
        <v>50</v>
      </c>
      <c r="B271" s="193" t="inlineStr">
        <is>
          <t>Кран шаровой 11б27п(м) Ду 015 Ру16 3-х ходовой для манометров</t>
        </is>
      </c>
      <c r="C271" s="222" t="inlineStr">
        <is>
          <t>Нормы герметичности затвора: ГОСТ 9544-2015</t>
        </is>
      </c>
      <c r="D271" s="222" t="n">
        <v>15</v>
      </c>
      <c r="E271" s="222" t="inlineStr">
        <is>
          <t>полный</t>
        </is>
      </c>
      <c r="F271" s="222" t="n">
        <v>1.6</v>
      </c>
      <c r="G271" s="222" t="inlineStr">
        <is>
          <t>до +225</t>
        </is>
      </c>
      <c r="H271" s="222" t="inlineStr">
        <is>
          <t>вода, пар</t>
        </is>
      </c>
      <c r="I271" s="222" t="inlineStr">
        <is>
          <t>латунь ЛЦ40Сд</t>
        </is>
      </c>
      <c r="J271" s="222" t="inlineStr">
        <is>
          <t>У1</t>
        </is>
      </c>
      <c r="K271" s="222" t="inlineStr">
        <is>
          <t>муфтовый</t>
        </is>
      </c>
      <c r="L271" s="222" t="inlineStr">
        <is>
          <t>ручной (рукоятка)</t>
        </is>
      </c>
      <c r="M271" s="253" t="inlineStr">
        <is>
          <t>-</t>
        </is>
      </c>
      <c r="N271" s="222" t="inlineStr">
        <is>
          <t>любое</t>
        </is>
      </c>
      <c r="O271" s="222" t="inlineStr">
        <is>
          <t>шаровая пробка - хромированная латунь ЛЦ40Сд; уплотнительные кольца - фторопласт-4</t>
        </is>
      </c>
      <c r="P271" s="262" t="inlineStr">
        <is>
          <t>-</t>
        </is>
      </c>
      <c r="Q271" s="262" t="inlineStr">
        <is>
          <t>-</t>
        </is>
      </c>
      <c r="R271" s="198">
        <f>A271</f>
        <v/>
      </c>
      <c r="S271" s="205" t="n"/>
      <c r="T271" s="205" t="n"/>
      <c r="U271" s="205" t="n"/>
      <c r="V271" s="205" t="n"/>
      <c r="W271" s="205" t="n"/>
      <c r="X271" s="205" t="n"/>
      <c r="Y271" s="205" t="n"/>
      <c r="Z271" s="205" t="n"/>
      <c r="AA271" s="205" t="n"/>
      <c r="AB271" s="205" t="n"/>
      <c r="AC271" s="205" t="n"/>
      <c r="AD271" s="205" t="n"/>
      <c r="AE271" s="205" t="n"/>
      <c r="AF271" s="205" t="n"/>
      <c r="AG271" s="205" t="n"/>
      <c r="AH271" s="205" t="n"/>
      <c r="AI271" s="202" t="n"/>
    </row>
    <row r="272" ht="51" customHeight="1" s="169">
      <c r="A272" s="192" t="n">
        <v>51</v>
      </c>
      <c r="B272" s="193" t="inlineStr">
        <is>
          <t>Кран шаровой 11б27п1 Ду 15 Ру 16</t>
        </is>
      </c>
      <c r="C272" s="222" t="inlineStr">
        <is>
          <t>ТУ 3712-002-04606952-03</t>
        </is>
      </c>
      <c r="D272" s="222" t="n">
        <v>15</v>
      </c>
      <c r="E272" s="222" t="inlineStr">
        <is>
          <t>стандарт</t>
        </is>
      </c>
      <c r="F272" s="222" t="n">
        <v>1.6</v>
      </c>
      <c r="G272" s="222" t="inlineStr">
        <is>
          <t>до +150</t>
        </is>
      </c>
      <c r="H272" s="222" t="inlineStr">
        <is>
          <t>вода, пар</t>
        </is>
      </c>
      <c r="I272" s="222" t="inlineStr">
        <is>
          <t>латунь ЛЦ40Сд</t>
        </is>
      </c>
      <c r="J272" s="222" t="inlineStr">
        <is>
          <t>УХЛ4</t>
        </is>
      </c>
      <c r="K272" s="222" t="inlineStr">
        <is>
          <t>муфтовый</t>
        </is>
      </c>
      <c r="L272" s="222" t="inlineStr">
        <is>
          <t>ручной (рукоятка)</t>
        </is>
      </c>
      <c r="M272" s="253" t="inlineStr">
        <is>
          <t>-</t>
        </is>
      </c>
      <c r="N272" s="222" t="inlineStr">
        <is>
          <t>любое</t>
        </is>
      </c>
      <c r="O272"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2" s="222" t="inlineStr">
        <is>
          <t>-</t>
        </is>
      </c>
      <c r="Q272" s="222" t="inlineStr">
        <is>
          <t>-</t>
        </is>
      </c>
      <c r="R272" s="198">
        <f>A272</f>
        <v/>
      </c>
      <c r="S272" s="205" t="n"/>
      <c r="T272" s="205" t="n"/>
      <c r="U272" s="205" t="n"/>
      <c r="V272" s="205" t="n"/>
      <c r="W272" s="205" t="n"/>
      <c r="X272" s="205" t="n"/>
      <c r="Y272" s="205" t="n"/>
      <c r="Z272" s="205" t="n"/>
      <c r="AA272" s="205" t="n"/>
      <c r="AB272" s="205" t="n"/>
      <c r="AC272" s="205" t="n"/>
      <c r="AD272" s="205" t="n"/>
      <c r="AE272" s="205" t="n"/>
      <c r="AF272" s="205" t="n"/>
      <c r="AG272" s="205" t="n"/>
      <c r="AH272" s="205" t="n"/>
      <c r="AI272" s="202" t="n"/>
    </row>
    <row r="273" ht="51" customHeight="1" s="169">
      <c r="A273" s="192" t="n">
        <v>52</v>
      </c>
      <c r="B273" s="193" t="inlineStr">
        <is>
          <t>Кран шаровой 11б27п1 Ду 20 Ру 16</t>
        </is>
      </c>
      <c r="C273" s="222" t="inlineStr">
        <is>
          <t>ТУ 3712-002-04606952-03</t>
        </is>
      </c>
      <c r="D273" s="222" t="n">
        <v>20</v>
      </c>
      <c r="E273" s="222" t="inlineStr">
        <is>
          <t>стандарт</t>
        </is>
      </c>
      <c r="F273" s="222" t="n">
        <v>1.6</v>
      </c>
      <c r="G273" s="222" t="inlineStr">
        <is>
          <t>до +150</t>
        </is>
      </c>
      <c r="H273" s="222" t="inlineStr">
        <is>
          <t>вода, пар</t>
        </is>
      </c>
      <c r="I273" s="222" t="inlineStr">
        <is>
          <t>латунь ЛЦ40Сд</t>
        </is>
      </c>
      <c r="J273" s="222" t="inlineStr">
        <is>
          <t>УХЛ4</t>
        </is>
      </c>
      <c r="K273" s="222" t="inlineStr">
        <is>
          <t>муфтовый</t>
        </is>
      </c>
      <c r="L273" s="222" t="inlineStr">
        <is>
          <t>ручной (рукоятка)</t>
        </is>
      </c>
      <c r="M273" s="253" t="inlineStr">
        <is>
          <t>-</t>
        </is>
      </c>
      <c r="N273" s="222" t="inlineStr">
        <is>
          <t>любое</t>
        </is>
      </c>
      <c r="O273"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3" s="222" t="inlineStr">
        <is>
          <t>-</t>
        </is>
      </c>
      <c r="Q273" s="222" t="inlineStr">
        <is>
          <t>-</t>
        </is>
      </c>
      <c r="R273" s="198">
        <f>A273</f>
        <v/>
      </c>
      <c r="S273" s="205" t="n"/>
      <c r="T273" s="205" t="n"/>
      <c r="U273" s="205" t="n"/>
      <c r="V273" s="205" t="n"/>
      <c r="W273" s="205" t="n"/>
      <c r="X273" s="205" t="n"/>
      <c r="Y273" s="205" t="n"/>
      <c r="Z273" s="205" t="n"/>
      <c r="AA273" s="205" t="n"/>
      <c r="AB273" s="205" t="n"/>
      <c r="AC273" s="205" t="n"/>
      <c r="AD273" s="205" t="n"/>
      <c r="AE273" s="205" t="n"/>
      <c r="AF273" s="205" t="n"/>
      <c r="AG273" s="205" t="n"/>
      <c r="AH273" s="205" t="n"/>
      <c r="AI273" s="202" t="n"/>
    </row>
    <row r="274" ht="51" customHeight="1" s="169">
      <c r="A274" s="192" t="n">
        <v>53</v>
      </c>
      <c r="B274" s="193" t="inlineStr">
        <is>
          <t>Кран шаровой 11б27п1 Ду 25 Ру 16</t>
        </is>
      </c>
      <c r="C274" s="222" t="inlineStr">
        <is>
          <t>ТУ 3712-002-04606952-03</t>
        </is>
      </c>
      <c r="D274" s="222" t="n">
        <v>25</v>
      </c>
      <c r="E274" s="222" t="inlineStr">
        <is>
          <t>стандарт</t>
        </is>
      </c>
      <c r="F274" s="222" t="n">
        <v>1.6</v>
      </c>
      <c r="G274" s="222" t="inlineStr">
        <is>
          <t>до +150</t>
        </is>
      </c>
      <c r="H274" s="222" t="inlineStr">
        <is>
          <t>вода, пар</t>
        </is>
      </c>
      <c r="I274" s="222" t="inlineStr">
        <is>
          <t>латунь ЛЦ40Сд</t>
        </is>
      </c>
      <c r="J274" s="222" t="inlineStr">
        <is>
          <t>УХЛ4</t>
        </is>
      </c>
      <c r="K274" s="222" t="inlineStr">
        <is>
          <t>муфтовый</t>
        </is>
      </c>
      <c r="L274" s="222" t="inlineStr">
        <is>
          <t>ручной (рукоятка)</t>
        </is>
      </c>
      <c r="M274" s="253" t="inlineStr">
        <is>
          <t>-</t>
        </is>
      </c>
      <c r="N274" s="222" t="inlineStr">
        <is>
          <t>любое</t>
        </is>
      </c>
      <c r="O274"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4" s="222" t="inlineStr">
        <is>
          <t>-</t>
        </is>
      </c>
      <c r="Q274" s="222" t="inlineStr">
        <is>
          <t>-</t>
        </is>
      </c>
      <c r="R274" s="198">
        <f>A274</f>
        <v/>
      </c>
      <c r="S274" s="205" t="n"/>
      <c r="T274" s="205" t="n"/>
      <c r="U274" s="205" t="n"/>
      <c r="V274" s="205" t="n"/>
      <c r="W274" s="205" t="n"/>
      <c r="X274" s="205" t="n"/>
      <c r="Y274" s="205" t="n"/>
      <c r="Z274" s="205" t="n"/>
      <c r="AA274" s="205" t="n"/>
      <c r="AB274" s="205" t="n"/>
      <c r="AC274" s="205" t="n"/>
      <c r="AD274" s="205" t="n"/>
      <c r="AE274" s="205" t="n"/>
      <c r="AF274" s="205" t="n"/>
      <c r="AG274" s="205" t="n"/>
      <c r="AH274" s="205" t="n"/>
      <c r="AI274" s="202" t="n"/>
    </row>
    <row r="275" ht="51" customFormat="1" customHeight="1" s="171">
      <c r="A275" s="192" t="n">
        <v>54</v>
      </c>
      <c r="B275" s="193" t="inlineStr">
        <is>
          <t>Кран шаровой 11б27п1 Ду 32 Ру 16</t>
        </is>
      </c>
      <c r="C275" s="222" t="inlineStr">
        <is>
          <t>ТУ 3712-002-04606952-03</t>
        </is>
      </c>
      <c r="D275" s="222" t="n">
        <v>32</v>
      </c>
      <c r="E275" s="222" t="inlineStr">
        <is>
          <t>стандарт</t>
        </is>
      </c>
      <c r="F275" s="222" t="n">
        <v>1.6</v>
      </c>
      <c r="G275" s="222" t="inlineStr">
        <is>
          <t>до +150</t>
        </is>
      </c>
      <c r="H275" s="222" t="inlineStr">
        <is>
          <t>вода, пар</t>
        </is>
      </c>
      <c r="I275" s="222" t="inlineStr">
        <is>
          <t>латунь ЛЦ40Сд</t>
        </is>
      </c>
      <c r="J275" s="222" t="inlineStr">
        <is>
          <t>УХЛ4</t>
        </is>
      </c>
      <c r="K275" s="222" t="inlineStr">
        <is>
          <t>муфтовый</t>
        </is>
      </c>
      <c r="L275" s="222" t="inlineStr">
        <is>
          <t>ручной (рукоятка)</t>
        </is>
      </c>
      <c r="M275" s="253" t="inlineStr">
        <is>
          <t>-</t>
        </is>
      </c>
      <c r="N275" s="222" t="inlineStr">
        <is>
          <t>любое</t>
        </is>
      </c>
      <c r="O275"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5" s="222" t="inlineStr">
        <is>
          <t>-</t>
        </is>
      </c>
      <c r="Q275" s="222" t="inlineStr">
        <is>
          <t>-</t>
        </is>
      </c>
      <c r="R275" s="198">
        <f>A275</f>
        <v/>
      </c>
      <c r="S275" s="205" t="n"/>
      <c r="T275" s="205" t="n"/>
      <c r="U275" s="205" t="n"/>
      <c r="V275" s="205" t="n"/>
      <c r="W275" s="205" t="n"/>
      <c r="X275" s="205" t="n"/>
      <c r="Y275" s="205" t="n"/>
      <c r="Z275" s="205" t="n"/>
      <c r="AA275" s="205" t="n"/>
      <c r="AB275" s="205" t="n"/>
      <c r="AC275" s="205" t="n"/>
      <c r="AD275" s="205" t="n"/>
      <c r="AE275" s="205" t="n"/>
      <c r="AF275" s="205" t="n"/>
      <c r="AG275" s="205" t="n"/>
      <c r="AH275" s="205" t="n"/>
      <c r="AI275" s="202" t="n"/>
    </row>
    <row r="276" ht="51" customFormat="1" customHeight="1" s="171">
      <c r="A276" s="192" t="n">
        <v>55</v>
      </c>
      <c r="B276" s="193" t="inlineStr">
        <is>
          <t>Кран шаровой 11б27п1 Ду 40 Ру 16</t>
        </is>
      </c>
      <c r="C276" s="222" t="inlineStr">
        <is>
          <t>ТУ 3712-002-04606952-03</t>
        </is>
      </c>
      <c r="D276" s="222" t="n">
        <v>40</v>
      </c>
      <c r="E276" s="222" t="inlineStr">
        <is>
          <t>стандарт</t>
        </is>
      </c>
      <c r="F276" s="222" t="n">
        <v>1.6</v>
      </c>
      <c r="G276" s="222" t="inlineStr">
        <is>
          <t>до +150</t>
        </is>
      </c>
      <c r="H276" s="222" t="inlineStr">
        <is>
          <t>вода, пар</t>
        </is>
      </c>
      <c r="I276" s="222" t="inlineStr">
        <is>
          <t>латунь ЛЦ40Сд</t>
        </is>
      </c>
      <c r="J276" s="222" t="inlineStr">
        <is>
          <t>УХЛ4</t>
        </is>
      </c>
      <c r="K276" s="222" t="inlineStr">
        <is>
          <t>муфтовый</t>
        </is>
      </c>
      <c r="L276" s="222" t="inlineStr">
        <is>
          <t>ручной (рукоятка)</t>
        </is>
      </c>
      <c r="M276" s="253" t="inlineStr">
        <is>
          <t>-</t>
        </is>
      </c>
      <c r="N276" s="222" t="inlineStr">
        <is>
          <t>любое</t>
        </is>
      </c>
      <c r="O276"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6" s="222" t="inlineStr">
        <is>
          <t>-</t>
        </is>
      </c>
      <c r="Q276" s="222" t="inlineStr">
        <is>
          <t>-</t>
        </is>
      </c>
      <c r="R276" s="198">
        <f>A276</f>
        <v/>
      </c>
      <c r="S276" s="205" t="n"/>
      <c r="T276" s="205" t="n"/>
      <c r="U276" s="205" t="n"/>
      <c r="V276" s="205" t="n"/>
      <c r="W276" s="205" t="n"/>
      <c r="X276" s="205" t="n"/>
      <c r="Y276" s="205" t="n"/>
      <c r="Z276" s="205" t="n"/>
      <c r="AA276" s="205" t="n"/>
      <c r="AB276" s="205" t="n"/>
      <c r="AC276" s="205" t="n"/>
      <c r="AD276" s="205" t="n"/>
      <c r="AE276" s="205" t="n"/>
      <c r="AF276" s="205" t="n"/>
      <c r="AG276" s="205" t="n"/>
      <c r="AH276" s="205" t="n"/>
      <c r="AI276" s="202" t="n"/>
    </row>
    <row r="277" ht="51" customFormat="1" customHeight="1" s="171">
      <c r="A277" s="192" t="n">
        <v>56</v>
      </c>
      <c r="B277" s="193" t="inlineStr">
        <is>
          <t>Кран шаровой 11б27п1 Ду 50 Ру 16</t>
        </is>
      </c>
      <c r="C277" s="222" t="inlineStr">
        <is>
          <t>ТУ 3712-002-04606952-03</t>
        </is>
      </c>
      <c r="D277" s="222" t="n">
        <v>50</v>
      </c>
      <c r="E277" s="222" t="inlineStr">
        <is>
          <t>стандарт</t>
        </is>
      </c>
      <c r="F277" s="222" t="n">
        <v>1.6</v>
      </c>
      <c r="G277" s="222" t="inlineStr">
        <is>
          <t>до +150</t>
        </is>
      </c>
      <c r="H277" s="222" t="inlineStr">
        <is>
          <t>вода, пар</t>
        </is>
      </c>
      <c r="I277" s="222" t="inlineStr">
        <is>
          <t>латунь ЛЦ40Сд</t>
        </is>
      </c>
      <c r="J277" s="222" t="inlineStr">
        <is>
          <t>УХЛ4</t>
        </is>
      </c>
      <c r="K277" s="222" t="inlineStr">
        <is>
          <t>муфтовый</t>
        </is>
      </c>
      <c r="L277" s="222" t="inlineStr">
        <is>
          <t>ручной (рукоятка)</t>
        </is>
      </c>
      <c r="M277" s="253" t="inlineStr">
        <is>
          <t>-</t>
        </is>
      </c>
      <c r="N277" s="222" t="inlineStr">
        <is>
          <t>любое</t>
        </is>
      </c>
      <c r="O27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7" s="222" t="inlineStr">
        <is>
          <t>-</t>
        </is>
      </c>
      <c r="Q277" s="222" t="inlineStr">
        <is>
          <t>-</t>
        </is>
      </c>
      <c r="R277" s="198">
        <f>A277</f>
        <v/>
      </c>
      <c r="S277" s="205" t="n"/>
      <c r="T277" s="205" t="n"/>
      <c r="U277" s="205" t="n"/>
      <c r="V277" s="205" t="n"/>
      <c r="W277" s="205" t="n"/>
      <c r="X277" s="205" t="n"/>
      <c r="Y277" s="205" t="n"/>
      <c r="Z277" s="205" t="n"/>
      <c r="AA277" s="205" t="n"/>
      <c r="AB277" s="205" t="n"/>
      <c r="AC277" s="205" t="n"/>
      <c r="AD277" s="205" t="n"/>
      <c r="AE277" s="205" t="n"/>
      <c r="AF277" s="205" t="n"/>
      <c r="AG277" s="205" t="n"/>
      <c r="AH277" s="205" t="n"/>
      <c r="AI277" s="202" t="n"/>
    </row>
    <row r="278" ht="114.75" customHeight="1" s="169">
      <c r="A278" s="192" t="n">
        <v>57</v>
      </c>
      <c r="B278" s="193" t="inlineStr">
        <is>
          <t>Кран шаровой 11с22п Ду 32 Ру 16</t>
        </is>
      </c>
      <c r="C278" s="222" t="inlineStr">
        <is>
          <t>ГОСТ 21345-2005</t>
        </is>
      </c>
      <c r="D278" s="222" t="n">
        <v>32</v>
      </c>
      <c r="E278" s="222" t="inlineStr">
        <is>
          <t>стандарт</t>
        </is>
      </c>
      <c r="F278" s="222" t="n">
        <v>1.6</v>
      </c>
      <c r="G278" s="222" t="inlineStr">
        <is>
          <t>до +200</t>
        </is>
      </c>
      <c r="H278" s="222" t="inlineStr">
        <is>
          <t>вода, природный газ, нефтепродукты, инертные газы</t>
        </is>
      </c>
      <c r="I278" s="222" t="inlineStr">
        <is>
          <t>сталь 20</t>
        </is>
      </c>
      <c r="J278" s="222" t="inlineStr">
        <is>
          <t>У1</t>
        </is>
      </c>
      <c r="K278" s="222" t="inlineStr">
        <is>
          <t>фланцевый</t>
        </is>
      </c>
      <c r="L278" s="222" t="inlineStr">
        <is>
          <t>ручной (рукоятка)</t>
        </is>
      </c>
      <c r="M278" s="253" t="inlineStr">
        <is>
          <t>-</t>
        </is>
      </c>
      <c r="N278" s="222" t="inlineStr">
        <is>
          <t>любое</t>
        </is>
      </c>
      <c r="O278"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8" s="222" t="inlineStr">
        <is>
          <t>-</t>
        </is>
      </c>
      <c r="Q278" s="222" t="inlineStr">
        <is>
          <t>-</t>
        </is>
      </c>
      <c r="R278" s="198">
        <f>A278</f>
        <v/>
      </c>
      <c r="S278" s="205" t="n"/>
      <c r="T278" s="205" t="n"/>
      <c r="U278" s="205" t="n"/>
      <c r="V278" s="205" t="n"/>
      <c r="W278" s="205" t="n"/>
      <c r="X278" s="205" t="n"/>
      <c r="Y278" s="205" t="n"/>
      <c r="Z278" s="205" t="n"/>
      <c r="AA278" s="205" t="n"/>
      <c r="AB278" s="205" t="n"/>
      <c r="AC278" s="205" t="n"/>
      <c r="AD278" s="205" t="n"/>
      <c r="AE278" s="205" t="n"/>
      <c r="AF278" s="205" t="n"/>
      <c r="AG278" s="205" t="n"/>
      <c r="AH278" s="205" t="n"/>
      <c r="AI278" s="202" t="n"/>
    </row>
    <row r="279" ht="114.75" customHeight="1" s="169">
      <c r="A279" s="192" t="n">
        <v>58</v>
      </c>
      <c r="B279" s="193" t="inlineStr">
        <is>
          <t>Кран шаровой 11с22п Ду 50 Ру 16</t>
        </is>
      </c>
      <c r="C279" s="222" t="inlineStr">
        <is>
          <t>ГОСТ 21345-2005</t>
        </is>
      </c>
      <c r="D279" s="222" t="n">
        <v>50</v>
      </c>
      <c r="E279" s="222" t="inlineStr">
        <is>
          <t>стандарт</t>
        </is>
      </c>
      <c r="F279" s="222" t="n">
        <v>1.6</v>
      </c>
      <c r="G279" s="222" t="inlineStr">
        <is>
          <t>до +200</t>
        </is>
      </c>
      <c r="H279" s="222" t="inlineStr">
        <is>
          <t>вода, природный газ, нефтепродукты, инертные газы</t>
        </is>
      </c>
      <c r="I279" s="222" t="inlineStr">
        <is>
          <t>сталь 20</t>
        </is>
      </c>
      <c r="J279" s="222" t="inlineStr">
        <is>
          <t>У1</t>
        </is>
      </c>
      <c r="K279" s="222" t="inlineStr">
        <is>
          <t>фланцевый</t>
        </is>
      </c>
      <c r="L279" s="222" t="inlineStr">
        <is>
          <t>ручной (рукоятка)</t>
        </is>
      </c>
      <c r="M279" s="253" t="inlineStr">
        <is>
          <t>-</t>
        </is>
      </c>
      <c r="N279" s="222" t="inlineStr">
        <is>
          <t>любое</t>
        </is>
      </c>
      <c r="O279"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9" s="222" t="inlineStr">
        <is>
          <t>-</t>
        </is>
      </c>
      <c r="Q279" s="222" t="inlineStr">
        <is>
          <t>-</t>
        </is>
      </c>
      <c r="R279" s="198">
        <f>A279</f>
        <v/>
      </c>
      <c r="S279" s="205" t="n"/>
      <c r="T279" s="205" t="n"/>
      <c r="U279" s="205" t="n"/>
      <c r="V279" s="205" t="n"/>
      <c r="W279" s="205" t="n"/>
      <c r="X279" s="205" t="n"/>
      <c r="Y279" s="205" t="n"/>
      <c r="Z279" s="205" t="n"/>
      <c r="AA279" s="205" t="n"/>
      <c r="AB279" s="205" t="n"/>
      <c r="AC279" s="205" t="n"/>
      <c r="AD279" s="205" t="n"/>
      <c r="AE279" s="205" t="n"/>
      <c r="AF279" s="205" t="n"/>
      <c r="AG279" s="205" t="n"/>
      <c r="AH279" s="205" t="n"/>
      <c r="AI279" s="202" t="n"/>
    </row>
    <row r="280" ht="114.75" customHeight="1" s="169">
      <c r="A280" s="192" t="n">
        <v>59</v>
      </c>
      <c r="B280" s="193" t="inlineStr">
        <is>
          <t>Кран шаровой 11с22п Ду 80 Ру 16</t>
        </is>
      </c>
      <c r="C280" s="222" t="inlineStr">
        <is>
          <t>ГОСТ 21345-2005</t>
        </is>
      </c>
      <c r="D280" s="222" t="n">
        <v>80</v>
      </c>
      <c r="E280" s="222" t="inlineStr">
        <is>
          <t>стандарт</t>
        </is>
      </c>
      <c r="F280" s="222" t="n">
        <v>1.6</v>
      </c>
      <c r="G280" s="222" t="inlineStr">
        <is>
          <t>до +200</t>
        </is>
      </c>
      <c r="H280" s="222" t="inlineStr">
        <is>
          <t>вода, природный газ, нефтепродукты, инертные газы</t>
        </is>
      </c>
      <c r="I280" s="222" t="inlineStr">
        <is>
          <t>сталь 20</t>
        </is>
      </c>
      <c r="J280" s="222" t="inlineStr">
        <is>
          <t>У1</t>
        </is>
      </c>
      <c r="K280" s="222" t="inlineStr">
        <is>
          <t>фланцевый</t>
        </is>
      </c>
      <c r="L280" s="222" t="inlineStr">
        <is>
          <t>ручной (рукоятка)</t>
        </is>
      </c>
      <c r="M280" s="253" t="inlineStr">
        <is>
          <t>-</t>
        </is>
      </c>
      <c r="N280" s="222" t="inlineStr">
        <is>
          <t>любое</t>
        </is>
      </c>
      <c r="O280"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0" s="222" t="inlineStr">
        <is>
          <t>-</t>
        </is>
      </c>
      <c r="Q280" s="222" t="inlineStr">
        <is>
          <t>-</t>
        </is>
      </c>
      <c r="R280" s="198">
        <f>A280</f>
        <v/>
      </c>
      <c r="S280" s="205" t="n"/>
      <c r="T280" s="205" t="n"/>
      <c r="U280" s="205" t="n"/>
      <c r="V280" s="205" t="n"/>
      <c r="W280" s="205" t="n"/>
      <c r="X280" s="205" t="n"/>
      <c r="Y280" s="205" t="n"/>
      <c r="Z280" s="205" t="n"/>
      <c r="AA280" s="205" t="n"/>
      <c r="AB280" s="205" t="n"/>
      <c r="AC280" s="205" t="n"/>
      <c r="AD280" s="205" t="n"/>
      <c r="AE280" s="205" t="n"/>
      <c r="AF280" s="205" t="n"/>
      <c r="AG280" s="205" t="n"/>
      <c r="AH280" s="205" t="n"/>
      <c r="AI280" s="202" t="n"/>
    </row>
    <row r="281" ht="114.75" customHeight="1" s="169">
      <c r="A281" s="192" t="n">
        <v>60</v>
      </c>
      <c r="B281" s="193" t="inlineStr">
        <is>
          <t>Кран шаровой 11с22п Ду 100 Ру 16</t>
        </is>
      </c>
      <c r="C281" s="222" t="inlineStr">
        <is>
          <t>ГОСТ 21345-2005</t>
        </is>
      </c>
      <c r="D281" s="222" t="n">
        <v>100</v>
      </c>
      <c r="E281" s="222" t="inlineStr">
        <is>
          <t>стандарт</t>
        </is>
      </c>
      <c r="F281" s="222" t="n">
        <v>1.6</v>
      </c>
      <c r="G281" s="222" t="inlineStr">
        <is>
          <t>до +200</t>
        </is>
      </c>
      <c r="H281" s="222" t="inlineStr">
        <is>
          <t>вода, природный газ, нефтепродукты, инертные газы</t>
        </is>
      </c>
      <c r="I281" s="222" t="inlineStr">
        <is>
          <t>сталь 20</t>
        </is>
      </c>
      <c r="J281" s="222" t="inlineStr">
        <is>
          <t>У1</t>
        </is>
      </c>
      <c r="K281" s="222" t="inlineStr">
        <is>
          <t>фланцевый</t>
        </is>
      </c>
      <c r="L281" s="222" t="inlineStr">
        <is>
          <t>ручной (рукоятка)</t>
        </is>
      </c>
      <c r="M281" s="253" t="inlineStr">
        <is>
          <t>-</t>
        </is>
      </c>
      <c r="N281" s="222" t="inlineStr">
        <is>
          <t>любое</t>
        </is>
      </c>
      <c r="O28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1" s="222" t="inlineStr">
        <is>
          <t>-</t>
        </is>
      </c>
      <c r="Q281" s="222" t="inlineStr">
        <is>
          <t>-</t>
        </is>
      </c>
      <c r="R281" s="198">
        <f>A281</f>
        <v/>
      </c>
      <c r="S281" s="205" t="n"/>
      <c r="T281" s="205" t="n"/>
      <c r="U281" s="205" t="n"/>
      <c r="V281" s="205" t="n"/>
      <c r="W281" s="205" t="n"/>
      <c r="X281" s="205" t="n"/>
      <c r="Y281" s="205" t="n"/>
      <c r="Z281" s="205" t="n"/>
      <c r="AA281" s="205" t="n"/>
      <c r="AB281" s="205" t="n"/>
      <c r="AC281" s="205" t="n"/>
      <c r="AD281" s="205" t="n"/>
      <c r="AE281" s="205" t="n"/>
      <c r="AF281" s="205" t="n"/>
      <c r="AG281" s="205" t="n"/>
      <c r="AH281" s="205" t="n"/>
      <c r="AI281" s="202" t="n"/>
    </row>
    <row r="282" ht="114.75" customHeight="1" s="169">
      <c r="A282" s="192" t="n">
        <v>61</v>
      </c>
      <c r="B282" s="193" t="inlineStr">
        <is>
          <t>Кран шаровой 11с22п Ду 150 Ру 16</t>
        </is>
      </c>
      <c r="C282" s="222" t="inlineStr">
        <is>
          <t>ГОСТ 21345-2005</t>
        </is>
      </c>
      <c r="D282" s="222" t="n">
        <v>150</v>
      </c>
      <c r="E282" s="222" t="inlineStr">
        <is>
          <t>стандарт</t>
        </is>
      </c>
      <c r="F282" s="222" t="n">
        <v>1.6</v>
      </c>
      <c r="G282" s="222" t="inlineStr">
        <is>
          <t>до +200</t>
        </is>
      </c>
      <c r="H282" s="222" t="inlineStr">
        <is>
          <t>вода, природный газ, нефтепродукты, инертные газы</t>
        </is>
      </c>
      <c r="I282" s="222" t="inlineStr">
        <is>
          <t>сталь 20</t>
        </is>
      </c>
      <c r="J282" s="222" t="inlineStr">
        <is>
          <t>У1</t>
        </is>
      </c>
      <c r="K282" s="222" t="inlineStr">
        <is>
          <t>фланцевый</t>
        </is>
      </c>
      <c r="L282" s="222" t="inlineStr">
        <is>
          <t>ручной (рукоятка)</t>
        </is>
      </c>
      <c r="M282" s="253" t="inlineStr">
        <is>
          <t>-</t>
        </is>
      </c>
      <c r="N282" s="222" t="inlineStr">
        <is>
          <t>любое</t>
        </is>
      </c>
      <c r="O28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2" s="222" t="inlineStr">
        <is>
          <t>-</t>
        </is>
      </c>
      <c r="Q282" s="222" t="inlineStr">
        <is>
          <t>-</t>
        </is>
      </c>
      <c r="R282" s="198">
        <f>A282</f>
        <v/>
      </c>
      <c r="S282" s="205" t="n"/>
      <c r="T282" s="205" t="n"/>
      <c r="U282" s="205" t="n"/>
      <c r="V282" s="205" t="n"/>
      <c r="W282" s="205" t="n"/>
      <c r="X282" s="205" t="n"/>
      <c r="Y282" s="205" t="n"/>
      <c r="Z282" s="205" t="n"/>
      <c r="AA282" s="205" t="n"/>
      <c r="AB282" s="205" t="n"/>
      <c r="AC282" s="205" t="n"/>
      <c r="AD282" s="205" t="n"/>
      <c r="AE282" s="205" t="n"/>
      <c r="AF282" s="205" t="n"/>
      <c r="AG282" s="205" t="n"/>
      <c r="AH282" s="205" t="n"/>
      <c r="AI282" s="202" t="n"/>
    </row>
    <row r="283" ht="114.75" customHeight="1" s="169">
      <c r="A283" s="192" t="n">
        <v>62</v>
      </c>
      <c r="B283" s="193" t="inlineStr">
        <is>
          <t>Кран шаровой 11с22п Ду 200 Ру 16</t>
        </is>
      </c>
      <c r="C283" s="222" t="inlineStr">
        <is>
          <t>ГОСТ 21345-2005</t>
        </is>
      </c>
      <c r="D283" s="222" t="n">
        <v>200</v>
      </c>
      <c r="E283" s="222" t="inlineStr">
        <is>
          <t>стандарт</t>
        </is>
      </c>
      <c r="F283" s="222" t="n">
        <v>1.6</v>
      </c>
      <c r="G283" s="222" t="inlineStr">
        <is>
          <t>до +200</t>
        </is>
      </c>
      <c r="H283" s="222" t="inlineStr">
        <is>
          <t>вода, природный газ, нефтепродукты, инертные газы</t>
        </is>
      </c>
      <c r="I283" s="222" t="inlineStr">
        <is>
          <t>сталь 20</t>
        </is>
      </c>
      <c r="J283" s="222" t="inlineStr">
        <is>
          <t>У1</t>
        </is>
      </c>
      <c r="K283" s="222" t="inlineStr">
        <is>
          <t>фланцевый</t>
        </is>
      </c>
      <c r="L283" s="222" t="inlineStr">
        <is>
          <t>ручной (рукоятка)</t>
        </is>
      </c>
      <c r="M283" s="253" t="inlineStr">
        <is>
          <t>-</t>
        </is>
      </c>
      <c r="N283" s="222" t="inlineStr">
        <is>
          <t>любое</t>
        </is>
      </c>
      <c r="O28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3" s="222" t="inlineStr">
        <is>
          <t>-</t>
        </is>
      </c>
      <c r="Q283" s="222" t="inlineStr">
        <is>
          <t>-</t>
        </is>
      </c>
      <c r="R283" s="198">
        <f>A283</f>
        <v/>
      </c>
      <c r="S283" s="205" t="n"/>
      <c r="T283" s="205" t="n"/>
      <c r="U283" s="205" t="n"/>
      <c r="V283" s="205" t="n"/>
      <c r="W283" s="205" t="n"/>
      <c r="X283" s="205" t="n"/>
      <c r="Y283" s="205" t="n"/>
      <c r="Z283" s="205" t="n"/>
      <c r="AA283" s="205" t="n"/>
      <c r="AB283" s="205" t="n"/>
      <c r="AC283" s="205" t="n"/>
      <c r="AD283" s="205" t="n"/>
      <c r="AE283" s="205" t="n"/>
      <c r="AF283" s="205" t="n"/>
      <c r="AG283" s="205" t="n"/>
      <c r="AH283" s="205" t="n"/>
      <c r="AI283" s="202" t="n"/>
    </row>
    <row r="284" ht="76.5" customHeight="1" s="169">
      <c r="A284" s="192" t="n">
        <v>63</v>
      </c>
      <c r="B284" s="193" t="inlineStr">
        <is>
          <t xml:space="preserve">Кран запорный шаровой 11С67П Ду 100 Ру 16 </t>
        </is>
      </c>
      <c r="C284" s="222" t="inlineStr">
        <is>
          <t>ТУ У 04671406-003-1999</t>
        </is>
      </c>
      <c r="D284" s="222" t="n">
        <v>100</v>
      </c>
      <c r="E284" s="222" t="inlineStr">
        <is>
          <t>стандарт</t>
        </is>
      </c>
      <c r="F284" s="222" t="n">
        <v>1.6</v>
      </c>
      <c r="G284" s="222" t="inlineStr">
        <is>
          <t>от -30 до +200</t>
        </is>
      </c>
      <c r="H284" s="222" t="inlineStr">
        <is>
          <t>вода, холодная и горячая, газ, нефтепродукты и прочие слабоагрессивные среды</t>
        </is>
      </c>
      <c r="I284" s="222" t="inlineStr">
        <is>
          <t>сталь 20</t>
        </is>
      </c>
      <c r="J284" s="222" t="inlineStr">
        <is>
          <t>У1</t>
        </is>
      </c>
      <c r="K284" s="222" t="inlineStr">
        <is>
          <t>фланцевый</t>
        </is>
      </c>
      <c r="L284" s="222" t="inlineStr">
        <is>
          <t>ручной (рукоятка)</t>
        </is>
      </c>
      <c r="M284" s="253" t="inlineStr">
        <is>
          <t>-</t>
        </is>
      </c>
      <c r="N284" s="222" t="inlineStr">
        <is>
          <t>любое</t>
        </is>
      </c>
      <c r="O284" s="222" t="inlineStr">
        <is>
          <t>уплотнение шпинделя: резина ИРП-1287;
шар: нержавеющая сталь 12Х18Н10Т;
уплотнение затвора: фторопласт-4</t>
        </is>
      </c>
      <c r="P284" s="222" t="inlineStr">
        <is>
          <t>-</t>
        </is>
      </c>
      <c r="Q284" s="222" t="inlineStr">
        <is>
          <t>-</t>
        </is>
      </c>
      <c r="R284" s="198">
        <f>A284</f>
        <v/>
      </c>
      <c r="S284" s="205" t="n"/>
      <c r="T284" s="205" t="n"/>
      <c r="U284" s="205" t="n"/>
      <c r="V284" s="205" t="n"/>
      <c r="W284" s="205" t="n"/>
      <c r="X284" s="205" t="n"/>
      <c r="Y284" s="205" t="n"/>
      <c r="Z284" s="205" t="n"/>
      <c r="AA284" s="205" t="n"/>
      <c r="AB284" s="205" t="n"/>
      <c r="AC284" s="205" t="n"/>
      <c r="AD284" s="205" t="n"/>
      <c r="AE284" s="205" t="n"/>
      <c r="AF284" s="205" t="n"/>
      <c r="AG284" s="205" t="n"/>
      <c r="AH284" s="205" t="n"/>
      <c r="AI284" s="202" t="n"/>
    </row>
    <row r="285" ht="76.5" customHeight="1" s="169">
      <c r="A285" s="192" t="n">
        <v>64</v>
      </c>
      <c r="B285" s="193" t="inlineStr">
        <is>
          <t>Кран запорный шаровой 11С67П Ду 150 Ру 16</t>
        </is>
      </c>
      <c r="C285" s="222" t="inlineStr">
        <is>
          <t>ТУ У 04671406-003-1999</t>
        </is>
      </c>
      <c r="D285" s="222" t="n">
        <v>150</v>
      </c>
      <c r="E285" s="222" t="inlineStr">
        <is>
          <t>стандарт</t>
        </is>
      </c>
      <c r="F285" s="222" t="n">
        <v>1.6</v>
      </c>
      <c r="G285" s="222" t="inlineStr">
        <is>
          <t>от -30 до +200</t>
        </is>
      </c>
      <c r="H285" s="222" t="inlineStr">
        <is>
          <t>вода, холодная и горячая, газ, нефтепродукты и прочие слабоагрессивные среды</t>
        </is>
      </c>
      <c r="I285" s="222" t="inlineStr">
        <is>
          <t>сталь 20</t>
        </is>
      </c>
      <c r="J285" s="222" t="inlineStr">
        <is>
          <t>У1</t>
        </is>
      </c>
      <c r="K285" s="222" t="inlineStr">
        <is>
          <t>фланцевый</t>
        </is>
      </c>
      <c r="L285" s="222" t="inlineStr">
        <is>
          <t>ручной (рукоятка)</t>
        </is>
      </c>
      <c r="M285" s="253" t="inlineStr">
        <is>
          <t>-</t>
        </is>
      </c>
      <c r="N285" s="222" t="inlineStr">
        <is>
          <t>любое</t>
        </is>
      </c>
      <c r="O285" s="222" t="inlineStr">
        <is>
          <t>уплотнение шпинделя: резина ИРП-1287;
шар: нержавеющая сталь 12Х18Н10Т;
уплотнение затвора: фторопласт-4</t>
        </is>
      </c>
      <c r="P285" s="222" t="inlineStr">
        <is>
          <t>-</t>
        </is>
      </c>
      <c r="Q285" s="222" t="inlineStr">
        <is>
          <t>-</t>
        </is>
      </c>
      <c r="R285" s="198">
        <f>A285</f>
        <v/>
      </c>
      <c r="S285" s="205" t="n"/>
      <c r="T285" s="205" t="n"/>
      <c r="U285" s="205" t="n"/>
      <c r="V285" s="205" t="n"/>
      <c r="W285" s="205" t="n"/>
      <c r="X285" s="205" t="n"/>
      <c r="Y285" s="205" t="n"/>
      <c r="Z285" s="205" t="n"/>
      <c r="AA285" s="205" t="n"/>
      <c r="AB285" s="205" t="n"/>
      <c r="AC285" s="205" t="n"/>
      <c r="AD285" s="205" t="n"/>
      <c r="AE285" s="205" t="n"/>
      <c r="AF285" s="205" t="n"/>
      <c r="AG285" s="205" t="n"/>
      <c r="AH285" s="205" t="n"/>
      <c r="AI285" s="202" t="n"/>
    </row>
    <row r="286" ht="76.5" customHeight="1" s="169">
      <c r="A286" s="192" t="n">
        <v>65</v>
      </c>
      <c r="B286" s="193" t="inlineStr">
        <is>
          <t>Кран запорный шаровой 11С67П Ду 200 Ру 16</t>
        </is>
      </c>
      <c r="C286" s="222" t="inlineStr">
        <is>
          <t>ТУ У 04671406-003-1999</t>
        </is>
      </c>
      <c r="D286" s="222" t="n">
        <v>200</v>
      </c>
      <c r="E286" s="222" t="inlineStr">
        <is>
          <t>стандарт</t>
        </is>
      </c>
      <c r="F286" s="222" t="n">
        <v>1.6</v>
      </c>
      <c r="G286" s="222" t="inlineStr">
        <is>
          <t>от -30 до +200</t>
        </is>
      </c>
      <c r="H286" s="222" t="inlineStr">
        <is>
          <t>вода, холодная и горячая, газ, нефтепродукты и прочие слабоагрессивные среды</t>
        </is>
      </c>
      <c r="I286" s="222" t="inlineStr">
        <is>
          <t>сталь 20</t>
        </is>
      </c>
      <c r="J286" s="222" t="inlineStr">
        <is>
          <t>У1</t>
        </is>
      </c>
      <c r="K286" s="222" t="inlineStr">
        <is>
          <t>фланцевый</t>
        </is>
      </c>
      <c r="L286" s="222" t="inlineStr">
        <is>
          <t>ручной (рукоятка)</t>
        </is>
      </c>
      <c r="M286" s="253" t="inlineStr">
        <is>
          <t>-</t>
        </is>
      </c>
      <c r="N286" s="222" t="inlineStr">
        <is>
          <t>любое</t>
        </is>
      </c>
      <c r="O286" s="222" t="inlineStr">
        <is>
          <t>уплотнение шпинделя: резина ИРП-1287;
шар: нержавеющая сталь 12Х18Н10Т;
уплотнение затвора: фторопласт-4</t>
        </is>
      </c>
      <c r="P286" s="253" t="inlineStr">
        <is>
          <t>-</t>
        </is>
      </c>
      <c r="Q286" s="253" t="inlineStr">
        <is>
          <t>-</t>
        </is>
      </c>
      <c r="R286" s="198">
        <f>A286</f>
        <v/>
      </c>
      <c r="S286" s="205" t="n"/>
      <c r="T286" s="205" t="n"/>
      <c r="U286" s="205" t="n"/>
      <c r="V286" s="205" t="n"/>
      <c r="W286" s="205" t="n"/>
      <c r="X286" s="205" t="n"/>
      <c r="Y286" s="205" t="n"/>
      <c r="Z286" s="205" t="n"/>
      <c r="AA286" s="205" t="n"/>
      <c r="AB286" s="205" t="n"/>
      <c r="AC286" s="205" t="n"/>
      <c r="AD286" s="205" t="n"/>
      <c r="AE286" s="205" t="n"/>
      <c r="AF286" s="205" t="n"/>
      <c r="AG286" s="205" t="n"/>
      <c r="AH286" s="205" t="n"/>
      <c r="AI286" s="202" t="n"/>
    </row>
    <row r="287" ht="76.5" customHeight="1" s="169">
      <c r="A287" s="192" t="n">
        <v>66</v>
      </c>
      <c r="B287" s="193" t="inlineStr">
        <is>
          <t>Кран запорный шаровой 11С67П Ду 50 Ру 16</t>
        </is>
      </c>
      <c r="C287" s="222" t="inlineStr">
        <is>
          <t>ТУ У 04671406-003-1999</t>
        </is>
      </c>
      <c r="D287" s="222" t="n">
        <v>50</v>
      </c>
      <c r="E287" s="222" t="inlineStr">
        <is>
          <t>стандарт</t>
        </is>
      </c>
      <c r="F287" s="222" t="n">
        <v>1.6</v>
      </c>
      <c r="G287" s="222" t="inlineStr">
        <is>
          <t>от -30 до +200</t>
        </is>
      </c>
      <c r="H287" s="222" t="inlineStr">
        <is>
          <t>вода, холодная и горячая, газ, нефтепродукты и прочие слабоагрессивные среды</t>
        </is>
      </c>
      <c r="I287" s="222" t="inlineStr">
        <is>
          <t>сталь 20</t>
        </is>
      </c>
      <c r="J287" s="222" t="inlineStr">
        <is>
          <t>У1</t>
        </is>
      </c>
      <c r="K287" s="222" t="inlineStr">
        <is>
          <t>фланцевый</t>
        </is>
      </c>
      <c r="L287" s="222" t="inlineStr">
        <is>
          <t>ручной (рукоятка)</t>
        </is>
      </c>
      <c r="M287" s="253" t="inlineStr">
        <is>
          <t>-</t>
        </is>
      </c>
      <c r="N287" s="222" t="inlineStr">
        <is>
          <t>любое</t>
        </is>
      </c>
      <c r="O287" s="222" t="inlineStr">
        <is>
          <t>уплотнение шпинделя: резина ИРП-1287;
шар: нержавеющая сталь 12Х18Н10Т;
уплотнение затвора: фторопласт-4</t>
        </is>
      </c>
      <c r="P287" s="222" t="inlineStr">
        <is>
          <t>-</t>
        </is>
      </c>
      <c r="Q287" s="222" t="inlineStr">
        <is>
          <t>-</t>
        </is>
      </c>
      <c r="R287" s="198">
        <f>A287</f>
        <v/>
      </c>
      <c r="S287" s="205" t="n"/>
      <c r="T287" s="205" t="n"/>
      <c r="U287" s="205" t="n"/>
      <c r="V287" s="205" t="n"/>
      <c r="W287" s="205" t="n"/>
      <c r="X287" s="205" t="n"/>
      <c r="Y287" s="205" t="n"/>
      <c r="Z287" s="205" t="n"/>
      <c r="AA287" s="205" t="n"/>
      <c r="AB287" s="205" t="n"/>
      <c r="AC287" s="205" t="n"/>
      <c r="AD287" s="205" t="n"/>
      <c r="AE287" s="205" t="n"/>
      <c r="AF287" s="205" t="n"/>
      <c r="AG287" s="205" t="n"/>
      <c r="AH287" s="205" t="n"/>
      <c r="AI287" s="202" t="n"/>
    </row>
    <row r="288" ht="76.5" customHeight="1" s="169">
      <c r="A288" s="192" t="n">
        <v>67</v>
      </c>
      <c r="B288" s="193" t="inlineStr">
        <is>
          <t>Кран запорный шаровой 11С67П Ду 80 Ру 16</t>
        </is>
      </c>
      <c r="C288" s="222" t="inlineStr">
        <is>
          <t>ТУ У 04671406-003-1999</t>
        </is>
      </c>
      <c r="D288" s="222" t="n">
        <v>80</v>
      </c>
      <c r="E288" s="222" t="inlineStr">
        <is>
          <t>стандарт</t>
        </is>
      </c>
      <c r="F288" s="222" t="n">
        <v>1.6</v>
      </c>
      <c r="G288" s="222" t="inlineStr">
        <is>
          <t>от -30 до +200</t>
        </is>
      </c>
      <c r="H288" s="222" t="inlineStr">
        <is>
          <t>вода, холодная и горячая, газ, нефтепродукты и прочие слабоагрессивные среды</t>
        </is>
      </c>
      <c r="I288" s="222" t="inlineStr">
        <is>
          <t>сталь 20</t>
        </is>
      </c>
      <c r="J288" s="222" t="inlineStr">
        <is>
          <t>У1</t>
        </is>
      </c>
      <c r="K288" s="222" t="inlineStr">
        <is>
          <t>фланцевый</t>
        </is>
      </c>
      <c r="L288" s="222" t="inlineStr">
        <is>
          <t>ручной (рукоятка)</t>
        </is>
      </c>
      <c r="M288" s="253" t="inlineStr">
        <is>
          <t>-</t>
        </is>
      </c>
      <c r="N288" s="222" t="inlineStr">
        <is>
          <t>любое</t>
        </is>
      </c>
      <c r="O288" s="222" t="inlineStr">
        <is>
          <t>уплотнение шпинделя: резина ИРП-1287;
шар: нержавеющая сталь 12Х18Н10Т;
уплотнение затвора: фторопласт-4</t>
        </is>
      </c>
      <c r="P288" s="222" t="inlineStr">
        <is>
          <t>-</t>
        </is>
      </c>
      <c r="Q288" s="222" t="inlineStr">
        <is>
          <t>-</t>
        </is>
      </c>
      <c r="R288" s="198">
        <f>A288</f>
        <v/>
      </c>
      <c r="S288" s="205" t="n"/>
      <c r="T288" s="205" t="n"/>
      <c r="U288" s="205" t="n"/>
      <c r="V288" s="205" t="n"/>
      <c r="W288" s="205" t="n"/>
      <c r="X288" s="205" t="n"/>
      <c r="Y288" s="205" t="n"/>
      <c r="Z288" s="205" t="n"/>
      <c r="AA288" s="205" t="n"/>
      <c r="AB288" s="205" t="n"/>
      <c r="AC288" s="205" t="n"/>
      <c r="AD288" s="205" t="n"/>
      <c r="AE288" s="205" t="n"/>
      <c r="AF288" s="205" t="n"/>
      <c r="AG288" s="205" t="n"/>
      <c r="AH288" s="205" t="n"/>
      <c r="AI288" s="202" t="n"/>
    </row>
    <row r="289" ht="76.5" customHeight="1" s="169">
      <c r="A289" s="192" t="n">
        <v>68</v>
      </c>
      <c r="B289" s="193" t="inlineStr">
        <is>
          <t>Кран шаровой 11с67п Ду 25 Ру 25 цельносварной под приварку</t>
        </is>
      </c>
      <c r="C289" s="222" t="inlineStr">
        <is>
          <t>ТУ У 04671406-003-1999; ГОСТ 21345-2005</t>
        </is>
      </c>
      <c r="D289" s="222" t="n">
        <v>25</v>
      </c>
      <c r="E289" s="222" t="inlineStr">
        <is>
          <t>стандарт</t>
        </is>
      </c>
      <c r="F289" s="222" t="n">
        <v>2.5</v>
      </c>
      <c r="G289" s="222" t="inlineStr">
        <is>
          <t>от -30 до +180</t>
        </is>
      </c>
      <c r="H289" s="222" t="inlineStr">
        <is>
          <t>природный газ, вода, нефтепродукты, сжиженный  газ и прочие среды</t>
        </is>
      </c>
      <c r="I289" s="222" t="inlineStr">
        <is>
          <t>сталь 20</t>
        </is>
      </c>
      <c r="J289" s="222" t="inlineStr">
        <is>
          <t>У1</t>
        </is>
      </c>
      <c r="K289" s="222" t="inlineStr">
        <is>
          <t>приварной</t>
        </is>
      </c>
      <c r="L289" s="222" t="inlineStr">
        <is>
          <t>ручной (рукоятка)</t>
        </is>
      </c>
      <c r="M289" s="253" t="inlineStr">
        <is>
          <t>-</t>
        </is>
      </c>
      <c r="N289" s="222" t="inlineStr">
        <is>
          <t>любое</t>
        </is>
      </c>
      <c r="O28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89" s="222" t="inlineStr">
        <is>
          <t>-</t>
        </is>
      </c>
      <c r="Q289" s="222" t="inlineStr">
        <is>
          <t>-</t>
        </is>
      </c>
      <c r="R289" s="198">
        <f>A289</f>
        <v/>
      </c>
      <c r="S289" s="205" t="n"/>
      <c r="T289" s="205" t="n"/>
      <c r="U289" s="205" t="n"/>
      <c r="V289" s="205" t="n"/>
      <c r="W289" s="205" t="n"/>
      <c r="X289" s="205" t="n"/>
      <c r="Y289" s="205" t="n"/>
      <c r="Z289" s="205" t="n"/>
      <c r="AA289" s="205" t="n"/>
      <c r="AB289" s="205" t="n"/>
      <c r="AC289" s="205" t="n"/>
      <c r="AD289" s="205" t="n"/>
      <c r="AE289" s="205" t="n"/>
      <c r="AF289" s="205" t="n"/>
      <c r="AG289" s="205" t="n"/>
      <c r="AH289" s="205" t="n"/>
      <c r="AI289" s="202" t="n"/>
    </row>
    <row r="290" ht="76.5" customHeight="1" s="169">
      <c r="A290" s="192" t="n">
        <v>69</v>
      </c>
      <c r="B290" s="193" t="inlineStr">
        <is>
          <t>Кран шаровой 11с67п Ду 32 Ру 25 цельносварной под приварку</t>
        </is>
      </c>
      <c r="C290" s="222" t="inlineStr">
        <is>
          <t>ТУ У 04671406-003-1999; ГОСТ 21345-2005</t>
        </is>
      </c>
      <c r="D290" s="222" t="n">
        <v>32</v>
      </c>
      <c r="E290" s="222" t="inlineStr">
        <is>
          <t>стандарт</t>
        </is>
      </c>
      <c r="F290" s="222" t="n">
        <v>2.5</v>
      </c>
      <c r="G290" s="222" t="inlineStr">
        <is>
          <t>от -30 до +180</t>
        </is>
      </c>
      <c r="H290" s="222" t="inlineStr">
        <is>
          <t>природный газ, вода, нефтепродукты, сжиженный  газ и прочие среды</t>
        </is>
      </c>
      <c r="I290" s="222" t="inlineStr">
        <is>
          <t>сталь 20</t>
        </is>
      </c>
      <c r="J290" s="222" t="inlineStr">
        <is>
          <t>У1</t>
        </is>
      </c>
      <c r="K290" s="222" t="inlineStr">
        <is>
          <t>приварной</t>
        </is>
      </c>
      <c r="L290" s="222" t="inlineStr">
        <is>
          <t>ручной (рукоятка)</t>
        </is>
      </c>
      <c r="M290" s="253" t="inlineStr">
        <is>
          <t>-</t>
        </is>
      </c>
      <c r="N290" s="222" t="inlineStr">
        <is>
          <t>любое</t>
        </is>
      </c>
      <c r="O290"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0" s="222" t="inlineStr">
        <is>
          <t>-</t>
        </is>
      </c>
      <c r="Q290" s="222" t="inlineStr">
        <is>
          <t>-</t>
        </is>
      </c>
      <c r="R290" s="198">
        <f>A290</f>
        <v/>
      </c>
      <c r="S290" s="205" t="n"/>
      <c r="T290" s="205" t="n"/>
      <c r="U290" s="205" t="n"/>
      <c r="V290" s="205" t="n"/>
      <c r="W290" s="205" t="n"/>
      <c r="X290" s="205" t="n"/>
      <c r="Y290" s="205" t="n"/>
      <c r="Z290" s="205" t="n"/>
      <c r="AA290" s="205" t="n"/>
      <c r="AB290" s="205" t="n"/>
      <c r="AC290" s="205" t="n"/>
      <c r="AD290" s="205" t="n"/>
      <c r="AE290" s="205" t="n"/>
      <c r="AF290" s="205" t="n"/>
      <c r="AG290" s="205" t="n"/>
      <c r="AH290" s="205" t="n"/>
      <c r="AI290" s="202" t="n"/>
    </row>
    <row r="291" ht="76.5" customHeight="1" s="169">
      <c r="A291" s="192" t="n">
        <v>70</v>
      </c>
      <c r="B291" s="193" t="inlineStr">
        <is>
          <t>Кран шаровой 11с67п Ду 40 Ру 25 цельносварной под приварку</t>
        </is>
      </c>
      <c r="C291" s="222" t="inlineStr">
        <is>
          <t>ТУ У 04671406-003-1999; ГОСТ 21345-2005</t>
        </is>
      </c>
      <c r="D291" s="222" t="n">
        <v>40</v>
      </c>
      <c r="E291" s="222" t="inlineStr">
        <is>
          <t>стандарт</t>
        </is>
      </c>
      <c r="F291" s="222" t="n">
        <v>2.5</v>
      </c>
      <c r="G291" s="222" t="inlineStr">
        <is>
          <t>от -30 до +180</t>
        </is>
      </c>
      <c r="H291" s="222" t="inlineStr">
        <is>
          <t>природный газ, вода, нефтепродукты, сжиженный  газ и прочие среды</t>
        </is>
      </c>
      <c r="I291" s="222" t="inlineStr">
        <is>
          <t>сталь 20</t>
        </is>
      </c>
      <c r="J291" s="222" t="inlineStr">
        <is>
          <t>У1</t>
        </is>
      </c>
      <c r="K291" s="222" t="inlineStr">
        <is>
          <t>приварной</t>
        </is>
      </c>
      <c r="L291" s="222" t="inlineStr">
        <is>
          <t>ручной (рукоятка)</t>
        </is>
      </c>
      <c r="M291" s="253" t="inlineStr">
        <is>
          <t>-</t>
        </is>
      </c>
      <c r="N291" s="222" t="inlineStr">
        <is>
          <t>любое</t>
        </is>
      </c>
      <c r="O291"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1" s="222" t="inlineStr">
        <is>
          <t>-</t>
        </is>
      </c>
      <c r="Q291" s="222" t="inlineStr">
        <is>
          <t>-</t>
        </is>
      </c>
      <c r="R291" s="198">
        <f>A291</f>
        <v/>
      </c>
      <c r="S291" s="205" t="n"/>
      <c r="T291" s="205" t="n"/>
      <c r="U291" s="205" t="n"/>
      <c r="V291" s="205" t="n"/>
      <c r="W291" s="205" t="n"/>
      <c r="X291" s="205" t="n"/>
      <c r="Y291" s="205" t="n"/>
      <c r="Z291" s="205" t="n"/>
      <c r="AA291" s="205" t="n"/>
      <c r="AB291" s="205" t="n"/>
      <c r="AC291" s="205" t="n"/>
      <c r="AD291" s="205" t="n"/>
      <c r="AE291" s="205" t="n"/>
      <c r="AF291" s="205" t="n"/>
      <c r="AG291" s="205" t="n"/>
      <c r="AH291" s="205" t="n"/>
      <c r="AI291" s="202" t="n"/>
    </row>
    <row r="292" ht="76.5" customHeight="1" s="169">
      <c r="A292" s="192" t="n">
        <v>71</v>
      </c>
      <c r="B292" s="193" t="inlineStr">
        <is>
          <t>Кран шаровой 11с67п Ду 20 Ру 25 полнопрох. с КОФ (КЗШС41нж)</t>
        </is>
      </c>
      <c r="C292" s="222" t="inlineStr">
        <is>
          <t>ТУ У 04671406-003-1999 (ТУ У 04671406-02-96)</t>
        </is>
      </c>
      <c r="D292" s="222" t="n">
        <v>20</v>
      </c>
      <c r="E292" s="222" t="inlineStr">
        <is>
          <t>полный</t>
        </is>
      </c>
      <c r="F292" s="222" t="n">
        <v>2.5</v>
      </c>
      <c r="G292" s="222" t="inlineStr">
        <is>
          <t>от -40 до +250</t>
        </is>
      </c>
      <c r="H292" s="222" t="inlineStr">
        <is>
          <t>пар, вода, газ, нефтепродукты и другие нетоксичные и неагрессивные среды,</t>
        </is>
      </c>
      <c r="I292" s="222" t="inlineStr">
        <is>
          <t>сталь 20</t>
        </is>
      </c>
      <c r="J292" s="222" t="inlineStr">
        <is>
          <t>У1</t>
        </is>
      </c>
      <c r="K292" s="222" t="inlineStr">
        <is>
          <t>фланцевый</t>
        </is>
      </c>
      <c r="L292" s="222" t="inlineStr">
        <is>
          <t>ручной (рукоятка)</t>
        </is>
      </c>
      <c r="M292" s="253" t="inlineStr">
        <is>
          <t>-</t>
        </is>
      </c>
      <c r="N292" s="222" t="inlineStr">
        <is>
          <t>любое</t>
        </is>
      </c>
      <c r="O292"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2" s="222" t="inlineStr">
        <is>
          <t>-</t>
        </is>
      </c>
      <c r="Q292" s="222" t="inlineStr">
        <is>
          <t>с комплектом ответных фланцев</t>
        </is>
      </c>
      <c r="R292" s="198">
        <f>A292</f>
        <v/>
      </c>
      <c r="S292" s="205" t="n"/>
      <c r="T292" s="205" t="n"/>
      <c r="U292" s="205" t="n"/>
      <c r="V292" s="205" t="n"/>
      <c r="W292" s="205" t="n"/>
      <c r="X292" s="205" t="n"/>
      <c r="Y292" s="205" t="n"/>
      <c r="Z292" s="205" t="n"/>
      <c r="AA292" s="205" t="n"/>
      <c r="AB292" s="205" t="n"/>
      <c r="AC292" s="205" t="n"/>
      <c r="AD292" s="205" t="n"/>
      <c r="AE292" s="205" t="n"/>
      <c r="AF292" s="205" t="n"/>
      <c r="AG292" s="205" t="n"/>
      <c r="AH292" s="205" t="n"/>
      <c r="AI292" s="202" t="n"/>
    </row>
    <row r="293" ht="76.5" customHeight="1" s="169">
      <c r="A293" s="192" t="n">
        <v>72</v>
      </c>
      <c r="B293" s="193" t="inlineStr">
        <is>
          <t>Кран шаровой 11с67п Ду 25 Ру 25 полнопрох. с КОФ (КЗШС41нж)</t>
        </is>
      </c>
      <c r="C293" s="222" t="inlineStr">
        <is>
          <t>ТУ У 04671406-003-1999 (ТУ У 04671406-02-96)</t>
        </is>
      </c>
      <c r="D293" s="222" t="n">
        <v>25</v>
      </c>
      <c r="E293" s="222" t="inlineStr">
        <is>
          <t>полный</t>
        </is>
      </c>
      <c r="F293" s="222" t="n">
        <v>2.5</v>
      </c>
      <c r="G293" s="222" t="inlineStr">
        <is>
          <t>от -40 до +250</t>
        </is>
      </c>
      <c r="H293" s="222" t="inlineStr">
        <is>
          <t>пар, вода, газ, нефтепродукты и другие нетоксичные и неагрессивные среды,</t>
        </is>
      </c>
      <c r="I293" s="222" t="inlineStr">
        <is>
          <t>сталь 20</t>
        </is>
      </c>
      <c r="J293" s="222" t="inlineStr">
        <is>
          <t>У1</t>
        </is>
      </c>
      <c r="K293" s="222" t="inlineStr">
        <is>
          <t>фланцевый</t>
        </is>
      </c>
      <c r="L293" s="222" t="inlineStr">
        <is>
          <t>ручной (рукоятка)</t>
        </is>
      </c>
      <c r="M293" s="253" t="inlineStr">
        <is>
          <t>-</t>
        </is>
      </c>
      <c r="N293" s="222" t="inlineStr">
        <is>
          <t>любое</t>
        </is>
      </c>
      <c r="O293"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3" s="222" t="inlineStr">
        <is>
          <t>-</t>
        </is>
      </c>
      <c r="Q293" s="222" t="inlineStr">
        <is>
          <t>с комплектом ответных фланцев</t>
        </is>
      </c>
      <c r="R293" s="198">
        <f>A293</f>
        <v/>
      </c>
      <c r="S293" s="205" t="n"/>
      <c r="T293" s="205" t="n"/>
      <c r="U293" s="205" t="n"/>
      <c r="V293" s="205" t="n"/>
      <c r="W293" s="205" t="n"/>
      <c r="X293" s="205" t="n"/>
      <c r="Y293" s="205" t="n"/>
      <c r="Z293" s="205" t="n"/>
      <c r="AA293" s="205" t="n"/>
      <c r="AB293" s="205" t="n"/>
      <c r="AC293" s="205" t="n"/>
      <c r="AD293" s="205" t="n"/>
      <c r="AE293" s="205" t="n"/>
      <c r="AF293" s="205" t="n"/>
      <c r="AG293" s="205" t="n"/>
      <c r="AH293" s="205" t="n"/>
      <c r="AI293" s="202" t="n"/>
    </row>
    <row r="294" ht="76.5" customHeight="1" s="169">
      <c r="A294" s="192" t="n">
        <v>73</v>
      </c>
      <c r="B294" s="193" t="inlineStr">
        <is>
          <t>Кран шаровой 11с67п Ду 32 Ру 25 полнопрох. с КОФ (КЗШС41нж)</t>
        </is>
      </c>
      <c r="C294" s="222" t="inlineStr">
        <is>
          <t>ТУ У 04671406-003-1999 (ТУ У 04671406-02-96)</t>
        </is>
      </c>
      <c r="D294" s="222" t="n">
        <v>32</v>
      </c>
      <c r="E294" s="222" t="inlineStr">
        <is>
          <t>полный</t>
        </is>
      </c>
      <c r="F294" s="222" t="n">
        <v>2.5</v>
      </c>
      <c r="G294" s="222" t="inlineStr">
        <is>
          <t>от -40 до +250</t>
        </is>
      </c>
      <c r="H294" s="222" t="inlineStr">
        <is>
          <t>пар, вода, газ, нефтепродукты и другие нетоксичные и неагрессивные среды,</t>
        </is>
      </c>
      <c r="I294" s="222" t="inlineStr">
        <is>
          <t>сталь 20</t>
        </is>
      </c>
      <c r="J294" s="222" t="inlineStr">
        <is>
          <t>У1</t>
        </is>
      </c>
      <c r="K294" s="222" t="inlineStr">
        <is>
          <t>фланцевый</t>
        </is>
      </c>
      <c r="L294" s="222" t="inlineStr">
        <is>
          <t>ручной (рукоятка)</t>
        </is>
      </c>
      <c r="M294" s="253" t="inlineStr">
        <is>
          <t>-</t>
        </is>
      </c>
      <c r="N294" s="222" t="inlineStr">
        <is>
          <t>любое</t>
        </is>
      </c>
      <c r="O294"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4" s="222" t="inlineStr">
        <is>
          <t>-</t>
        </is>
      </c>
      <c r="Q294" s="222" t="inlineStr">
        <is>
          <t>с комплектом ответных фланцев</t>
        </is>
      </c>
      <c r="R294" s="198">
        <f>A294</f>
        <v/>
      </c>
      <c r="S294" s="205" t="n"/>
      <c r="T294" s="205" t="n"/>
      <c r="U294" s="205" t="n"/>
      <c r="V294" s="205" t="n"/>
      <c r="W294" s="205" t="n"/>
      <c r="X294" s="205" t="n"/>
      <c r="Y294" s="205" t="n"/>
      <c r="Z294" s="205" t="n"/>
      <c r="AA294" s="205" t="n"/>
      <c r="AB294" s="205" t="n"/>
      <c r="AC294" s="205" t="n"/>
      <c r="AD294" s="205" t="n"/>
      <c r="AE294" s="205" t="n"/>
      <c r="AF294" s="205" t="n"/>
      <c r="AG294" s="205" t="n"/>
      <c r="AH294" s="205" t="n"/>
      <c r="AI294" s="202" t="n"/>
    </row>
    <row r="295" ht="76.5" customHeight="1" s="169">
      <c r="A295" s="192" t="n">
        <v>74</v>
      </c>
      <c r="B295" s="193" t="inlineStr">
        <is>
          <t>Кран шаровой 11с67п Ду 40 Ру 25 полнопрох. с КОФ (КЗШС41нж)</t>
        </is>
      </c>
      <c r="C295" s="222" t="inlineStr">
        <is>
          <t>ТУ У 04671406-003-1999 (ТУ У 04671406-02-96)</t>
        </is>
      </c>
      <c r="D295" s="222" t="n">
        <v>40</v>
      </c>
      <c r="E295" s="222" t="inlineStr">
        <is>
          <t>полный</t>
        </is>
      </c>
      <c r="F295" s="222" t="n">
        <v>2.5</v>
      </c>
      <c r="G295" s="222" t="inlineStr">
        <is>
          <t>от -40 до +250</t>
        </is>
      </c>
      <c r="H295" s="222" t="inlineStr">
        <is>
          <t>пар, вода, газ, нефтепродукты и другие нетоксичные и неагрессивные среды,</t>
        </is>
      </c>
      <c r="I295" s="222" t="inlineStr">
        <is>
          <t>сталь 20</t>
        </is>
      </c>
      <c r="J295" s="222" t="inlineStr">
        <is>
          <t>У1</t>
        </is>
      </c>
      <c r="K295" s="222" t="inlineStr">
        <is>
          <t>фланцевый</t>
        </is>
      </c>
      <c r="L295" s="222" t="inlineStr">
        <is>
          <t>ручной (рукоятка)</t>
        </is>
      </c>
      <c r="M295" s="253" t="inlineStr">
        <is>
          <t>-</t>
        </is>
      </c>
      <c r="N295" s="222" t="inlineStr">
        <is>
          <t>любое</t>
        </is>
      </c>
      <c r="O295"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5" s="222" t="inlineStr">
        <is>
          <t>-</t>
        </is>
      </c>
      <c r="Q295" s="222" t="inlineStr">
        <is>
          <t>с комплектом ответных фланцев</t>
        </is>
      </c>
      <c r="R295" s="198">
        <f>A295</f>
        <v/>
      </c>
      <c r="S295" s="205" t="n"/>
      <c r="T295" s="205" t="n"/>
      <c r="U295" s="205" t="n"/>
      <c r="V295" s="205" t="n"/>
      <c r="W295" s="205" t="n"/>
      <c r="X295" s="205" t="n"/>
      <c r="Y295" s="205" t="n"/>
      <c r="Z295" s="205" t="n"/>
      <c r="AA295" s="205" t="n"/>
      <c r="AB295" s="205" t="n"/>
      <c r="AC295" s="205" t="n"/>
      <c r="AD295" s="205" t="n"/>
      <c r="AE295" s="205" t="n"/>
      <c r="AF295" s="205" t="n"/>
      <c r="AG295" s="205" t="n"/>
      <c r="AH295" s="205" t="n"/>
      <c r="AI295" s="202" t="n"/>
    </row>
    <row r="296" ht="76.5" customHeight="1" s="169">
      <c r="A296" s="192" t="n">
        <v>75</v>
      </c>
      <c r="B296" s="193" t="inlineStr">
        <is>
          <t>Кран шаровой 11с67п Ду 50 Ру 25 полнопрох. с КОФ (КЗШС41нж)</t>
        </is>
      </c>
      <c r="C296" s="222" t="inlineStr">
        <is>
          <t>ТУ У 04671406-003-1999 (ТУ У 04671406-02-96)</t>
        </is>
      </c>
      <c r="D296" s="222" t="n">
        <v>50</v>
      </c>
      <c r="E296" s="222" t="inlineStr">
        <is>
          <t>полный</t>
        </is>
      </c>
      <c r="F296" s="222" t="n">
        <v>2.5</v>
      </c>
      <c r="G296" s="222" t="inlineStr">
        <is>
          <t>от -40 до +250</t>
        </is>
      </c>
      <c r="H296" s="222" t="inlineStr">
        <is>
          <t>пар, вода, газ, нефтепродукты и другие нетоксичные и неагрессивные среды,</t>
        </is>
      </c>
      <c r="I296" s="222" t="inlineStr">
        <is>
          <t>сталь 20</t>
        </is>
      </c>
      <c r="J296" s="222" t="inlineStr">
        <is>
          <t>У1</t>
        </is>
      </c>
      <c r="K296" s="222" t="inlineStr">
        <is>
          <t>фланцевый</t>
        </is>
      </c>
      <c r="L296" s="222" t="inlineStr">
        <is>
          <t>ручной (рукоятка)</t>
        </is>
      </c>
      <c r="M296" s="253" t="inlineStr">
        <is>
          <t>-</t>
        </is>
      </c>
      <c r="N296" s="222" t="inlineStr">
        <is>
          <t>любое</t>
        </is>
      </c>
      <c r="O296"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6" s="222" t="inlineStr">
        <is>
          <t>-</t>
        </is>
      </c>
      <c r="Q296" s="222" t="inlineStr">
        <is>
          <t>с комплектом ответных фланцев</t>
        </is>
      </c>
      <c r="R296" s="198">
        <f>A296</f>
        <v/>
      </c>
      <c r="S296" s="205" t="n"/>
      <c r="T296" s="205" t="n"/>
      <c r="U296" s="205" t="n"/>
      <c r="V296" s="205" t="n"/>
      <c r="W296" s="205" t="n"/>
      <c r="X296" s="205" t="n"/>
      <c r="Y296" s="205" t="n"/>
      <c r="Z296" s="205" t="n"/>
      <c r="AA296" s="205" t="n"/>
      <c r="AB296" s="205" t="n"/>
      <c r="AC296" s="205" t="n"/>
      <c r="AD296" s="205" t="n"/>
      <c r="AE296" s="205" t="n"/>
      <c r="AF296" s="205" t="n"/>
      <c r="AG296" s="205" t="n"/>
      <c r="AH296" s="205" t="n"/>
      <c r="AI296" s="202" t="n"/>
    </row>
    <row r="297" ht="76.5" customHeight="1" s="169">
      <c r="A297" s="192" t="n">
        <v>76</v>
      </c>
      <c r="B297" s="193" t="inlineStr">
        <is>
          <t>Кран шаровой 11с67п Ду 80 Ру 25 полнопрох. с КОФ (КЗШС41нж)</t>
        </is>
      </c>
      <c r="C297" s="222" t="inlineStr">
        <is>
          <t>ТУ У 04671406-003-1999 (ТУ У 04671406-02-96)</t>
        </is>
      </c>
      <c r="D297" s="222" t="n">
        <v>80</v>
      </c>
      <c r="E297" s="222" t="inlineStr">
        <is>
          <t>полный</t>
        </is>
      </c>
      <c r="F297" s="222" t="n">
        <v>2.5</v>
      </c>
      <c r="G297" s="222" t="inlineStr">
        <is>
          <t>от -40 до +250</t>
        </is>
      </c>
      <c r="H297" s="222" t="inlineStr">
        <is>
          <t>пар, вода, газ, нефтепродукты и другие нетоксичные и неагрессивные среды,</t>
        </is>
      </c>
      <c r="I297" s="222" t="inlineStr">
        <is>
          <t>сталь 20</t>
        </is>
      </c>
      <c r="J297" s="222" t="inlineStr">
        <is>
          <t>У1</t>
        </is>
      </c>
      <c r="K297" s="222" t="inlineStr">
        <is>
          <t>фланцевый</t>
        </is>
      </c>
      <c r="L297" s="222" t="inlineStr">
        <is>
          <t>ручной (рукоятка)</t>
        </is>
      </c>
      <c r="M297" s="253" t="inlineStr">
        <is>
          <t>-</t>
        </is>
      </c>
      <c r="N297" s="222" t="inlineStr">
        <is>
          <t>любое</t>
        </is>
      </c>
      <c r="O297"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7" s="222" t="inlineStr">
        <is>
          <t>-</t>
        </is>
      </c>
      <c r="Q297" s="222" t="inlineStr">
        <is>
          <t>с комплектом ответных фланцев</t>
        </is>
      </c>
      <c r="R297" s="198">
        <f>A297</f>
        <v/>
      </c>
      <c r="S297" s="205" t="n"/>
      <c r="T297" s="205" t="n"/>
      <c r="U297" s="205" t="n"/>
      <c r="V297" s="205" t="n"/>
      <c r="W297" s="205" t="n"/>
      <c r="X297" s="205" t="n"/>
      <c r="Y297" s="205" t="n"/>
      <c r="Z297" s="205" t="n"/>
      <c r="AA297" s="205" t="n"/>
      <c r="AB297" s="205" t="n"/>
      <c r="AC297" s="205" t="n"/>
      <c r="AD297" s="205" t="n"/>
      <c r="AE297" s="205" t="n"/>
      <c r="AF297" s="205" t="n"/>
      <c r="AG297" s="205" t="n"/>
      <c r="AH297" s="205" t="n"/>
      <c r="AI297" s="202" t="n"/>
    </row>
    <row r="298" ht="102" customHeight="1" s="169">
      <c r="A298" s="192" t="n">
        <v>77</v>
      </c>
      <c r="B298" s="193" t="inlineStr">
        <is>
          <t>Кран шаровой 11с67п Ду 100 Ру 16 ЦУФ.001 КШ укороченный полнопроходной фланцевый с рукояткой</t>
        </is>
      </c>
      <c r="C298" s="253" t="inlineStr">
        <is>
          <t>ГОСТ 28343</t>
        </is>
      </c>
      <c r="D298" s="253" t="n">
        <v>100</v>
      </c>
      <c r="E298" s="222" t="inlineStr">
        <is>
          <t>полный</t>
        </is>
      </c>
      <c r="F298" s="253" t="n">
        <v>1.6</v>
      </c>
      <c r="G298" s="254" t="inlineStr">
        <is>
          <t>от -40 до +200</t>
        </is>
      </c>
      <c r="H298" s="254" t="inlineStr">
        <is>
          <t>вода техническая, неагрессивная среда, нефтепродукты, сжиженный газ</t>
        </is>
      </c>
      <c r="I298" s="222" t="inlineStr">
        <is>
          <t xml:space="preserve">сталь </t>
        </is>
      </c>
      <c r="J298" s="253" t="inlineStr">
        <is>
          <t>У1, ХЛ1</t>
        </is>
      </c>
      <c r="K298" s="222" t="inlineStr">
        <is>
          <t>фланцевый</t>
        </is>
      </c>
      <c r="L298" s="263" t="inlineStr">
        <is>
          <t>Ручка-рычаг</t>
        </is>
      </c>
      <c r="M298" s="253" t="inlineStr">
        <is>
          <t>-</t>
        </is>
      </c>
      <c r="N298" s="222" t="inlineStr">
        <is>
          <t>любое</t>
        </is>
      </c>
      <c r="O298"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8" s="253" t="inlineStr">
        <is>
          <t>-</t>
        </is>
      </c>
      <c r="Q298" s="253" t="inlineStr">
        <is>
          <t>-</t>
        </is>
      </c>
      <c r="R298" s="198">
        <f>A298</f>
        <v/>
      </c>
      <c r="S298" s="205" t="n"/>
      <c r="T298" s="205" t="n"/>
      <c r="U298" s="205" t="n"/>
      <c r="V298" s="205" t="n"/>
      <c r="W298" s="205" t="n"/>
      <c r="X298" s="205" t="n"/>
      <c r="Y298" s="205" t="n"/>
      <c r="Z298" s="205" t="n"/>
      <c r="AA298" s="205" t="n"/>
      <c r="AB298" s="205" t="n"/>
      <c r="AC298" s="205" t="n"/>
      <c r="AD298" s="205" t="n"/>
      <c r="AE298" s="205" t="n"/>
      <c r="AF298" s="205" t="n"/>
      <c r="AG298" s="205" t="n"/>
      <c r="AH298" s="205" t="n"/>
      <c r="AI298" s="202" t="n"/>
    </row>
    <row r="299" ht="102" customHeight="1" s="169">
      <c r="A299" s="192" t="n">
        <v>78</v>
      </c>
      <c r="B299" s="193" t="inlineStr">
        <is>
          <t>Кран шаровой 11с67п Ду 32 Ру 16 ЦУФ.001 КШ укороченный полнопроходной фланцевый с рукояткой</t>
        </is>
      </c>
      <c r="C299" s="253" t="inlineStr">
        <is>
          <t>ГОСТ 28343</t>
        </is>
      </c>
      <c r="D299" s="253" t="n">
        <v>32</v>
      </c>
      <c r="E299" s="222" t="inlineStr">
        <is>
          <t>полный</t>
        </is>
      </c>
      <c r="F299" s="253" t="n">
        <v>1.6</v>
      </c>
      <c r="G299" s="254" t="inlineStr">
        <is>
          <t>от -40 до +200</t>
        </is>
      </c>
      <c r="H299" s="254" t="inlineStr">
        <is>
          <t>вода техническая, неагрессивная среда, нефтепродукты, сжиженный газ</t>
        </is>
      </c>
      <c r="I299" s="222" t="inlineStr">
        <is>
          <t xml:space="preserve">сталь </t>
        </is>
      </c>
      <c r="J299" s="253" t="inlineStr">
        <is>
          <t>У1, ХЛ1</t>
        </is>
      </c>
      <c r="K299" s="222" t="inlineStr">
        <is>
          <t>фланцевый</t>
        </is>
      </c>
      <c r="L299" s="263" t="inlineStr">
        <is>
          <t>Ручка-рычаг</t>
        </is>
      </c>
      <c r="M299" s="253" t="inlineStr">
        <is>
          <t>-</t>
        </is>
      </c>
      <c r="N299" s="222" t="inlineStr">
        <is>
          <t>любое</t>
        </is>
      </c>
      <c r="O299"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9" s="253" t="inlineStr">
        <is>
          <t>-</t>
        </is>
      </c>
      <c r="Q299" s="253" t="inlineStr">
        <is>
          <t>-</t>
        </is>
      </c>
      <c r="R299" s="198">
        <f>A299</f>
        <v/>
      </c>
      <c r="S299" s="205" t="n"/>
      <c r="T299" s="205" t="n"/>
      <c r="U299" s="205" t="n"/>
      <c r="V299" s="205" t="n"/>
      <c r="W299" s="205" t="n"/>
      <c r="X299" s="205" t="n"/>
      <c r="Y299" s="205" t="n"/>
      <c r="Z299" s="205" t="n"/>
      <c r="AA299" s="205" t="n"/>
      <c r="AB299" s="205" t="n"/>
      <c r="AC299" s="205" t="n"/>
      <c r="AD299" s="205" t="n"/>
      <c r="AE299" s="205" t="n"/>
      <c r="AF299" s="205" t="n"/>
      <c r="AG299" s="205" t="n"/>
      <c r="AH299" s="205" t="n"/>
      <c r="AI299" s="202" t="n"/>
    </row>
    <row r="300" ht="102" customHeight="1" s="169">
      <c r="A300" s="192" t="n">
        <v>79</v>
      </c>
      <c r="B300" s="193" t="inlineStr">
        <is>
          <t>Кран шаровой 11с67п Ду 40 Ру 16 ЦУФ.001 КШ укороченный полнопроходной фланцевый с рукояткой</t>
        </is>
      </c>
      <c r="C300" s="253" t="inlineStr">
        <is>
          <t>ГОСТ 28343</t>
        </is>
      </c>
      <c r="D300" s="253" t="n">
        <v>40</v>
      </c>
      <c r="E300" s="222" t="inlineStr">
        <is>
          <t>полный</t>
        </is>
      </c>
      <c r="F300" s="253" t="n">
        <v>1.6</v>
      </c>
      <c r="G300" s="254" t="inlineStr">
        <is>
          <t>от -40 до +200</t>
        </is>
      </c>
      <c r="H300" s="254" t="inlineStr">
        <is>
          <t>вода техническая, неагрессивная среда, нефтепродукты, сжиженный газ</t>
        </is>
      </c>
      <c r="I300" s="222" t="inlineStr">
        <is>
          <t xml:space="preserve">сталь </t>
        </is>
      </c>
      <c r="J300" s="253" t="inlineStr">
        <is>
          <t>У1, ХЛ1</t>
        </is>
      </c>
      <c r="K300" s="222" t="inlineStr">
        <is>
          <t>фланцевый</t>
        </is>
      </c>
      <c r="L300" s="263" t="inlineStr">
        <is>
          <t>Ручка-рычаг</t>
        </is>
      </c>
      <c r="M300" s="253" t="inlineStr">
        <is>
          <t>-</t>
        </is>
      </c>
      <c r="N300" s="222" t="inlineStr">
        <is>
          <t>любое</t>
        </is>
      </c>
      <c r="O300"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0" s="253" t="inlineStr">
        <is>
          <t>-</t>
        </is>
      </c>
      <c r="Q300" s="253" t="inlineStr">
        <is>
          <t>-</t>
        </is>
      </c>
      <c r="R300" s="198">
        <f>A300</f>
        <v/>
      </c>
      <c r="S300" s="205" t="n"/>
      <c r="T300" s="205" t="n"/>
      <c r="U300" s="205" t="n"/>
      <c r="V300" s="205" t="n"/>
      <c r="W300" s="205" t="n"/>
      <c r="X300" s="205" t="n"/>
      <c r="Y300" s="205" t="n"/>
      <c r="Z300" s="205" t="n"/>
      <c r="AA300" s="205" t="n"/>
      <c r="AB300" s="205" t="n"/>
      <c r="AC300" s="205" t="n"/>
      <c r="AD300" s="205" t="n"/>
      <c r="AE300" s="205" t="n"/>
      <c r="AF300" s="205" t="n"/>
      <c r="AG300" s="205" t="n"/>
      <c r="AH300" s="205" t="n"/>
      <c r="AI300" s="202" t="n"/>
    </row>
    <row r="301" ht="102" customHeight="1" s="169">
      <c r="A301" s="192" t="n">
        <v>80</v>
      </c>
      <c r="B301" s="193" t="inlineStr">
        <is>
          <t>Кран шаровой 11с67п Ду 50 Ру 16 ЦУФ.001 КШ укороченный полнопроходной фланцевый с рукояткой</t>
        </is>
      </c>
      <c r="C301" s="253" t="inlineStr">
        <is>
          <t>ГОСТ 28343</t>
        </is>
      </c>
      <c r="D301" s="253" t="n">
        <v>50</v>
      </c>
      <c r="E301" s="222" t="inlineStr">
        <is>
          <t>полный</t>
        </is>
      </c>
      <c r="F301" s="253" t="n">
        <v>1.6</v>
      </c>
      <c r="G301" s="254" t="inlineStr">
        <is>
          <t>от -40 до +200</t>
        </is>
      </c>
      <c r="H301" s="254" t="inlineStr">
        <is>
          <t>вода техническая, неагрессивная среда, нефтепродукты, сжиженный газ</t>
        </is>
      </c>
      <c r="I301" s="222" t="inlineStr">
        <is>
          <t xml:space="preserve">сталь </t>
        </is>
      </c>
      <c r="J301" s="253" t="inlineStr">
        <is>
          <t>У1, ХЛ1</t>
        </is>
      </c>
      <c r="K301" s="222" t="inlineStr">
        <is>
          <t>фланцевый</t>
        </is>
      </c>
      <c r="L301" s="263" t="inlineStr">
        <is>
          <t>Ручка-рычаг</t>
        </is>
      </c>
      <c r="M301" s="253" t="inlineStr">
        <is>
          <t>-</t>
        </is>
      </c>
      <c r="N301" s="222" t="inlineStr">
        <is>
          <t>любое</t>
        </is>
      </c>
      <c r="O301"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1" s="253" t="inlineStr">
        <is>
          <t>-</t>
        </is>
      </c>
      <c r="Q301" s="253" t="inlineStr">
        <is>
          <t>-</t>
        </is>
      </c>
      <c r="R301" s="198">
        <f>A301</f>
        <v/>
      </c>
      <c r="S301" s="205" t="n"/>
      <c r="T301" s="205" t="n"/>
      <c r="U301" s="205" t="n"/>
      <c r="V301" s="205" t="n"/>
      <c r="W301" s="205" t="n"/>
      <c r="X301" s="205" t="n"/>
      <c r="Y301" s="205" t="n"/>
      <c r="Z301" s="205" t="n"/>
      <c r="AA301" s="205" t="n"/>
      <c r="AB301" s="205" t="n"/>
      <c r="AC301" s="205" t="n"/>
      <c r="AD301" s="205" t="n"/>
      <c r="AE301" s="205" t="n"/>
      <c r="AF301" s="205" t="n"/>
      <c r="AG301" s="205" t="n"/>
      <c r="AH301" s="205" t="n"/>
      <c r="AI301" s="202" t="n"/>
    </row>
    <row r="302" ht="102" customHeight="1" s="169">
      <c r="A302" s="192" t="n">
        <v>81</v>
      </c>
      <c r="B302" s="193" t="inlineStr">
        <is>
          <t>Кран шаровой 11с67п Ду 80 Ру 16 ЦУФ.001 КШ укороченный полнопроходной фланцевый с рукояткой</t>
        </is>
      </c>
      <c r="C302" s="253" t="inlineStr">
        <is>
          <t>ГОСТ 28343</t>
        </is>
      </c>
      <c r="D302" s="253" t="n">
        <v>80</v>
      </c>
      <c r="E302" s="222" t="inlineStr">
        <is>
          <t>полный</t>
        </is>
      </c>
      <c r="F302" s="253" t="n">
        <v>1.6</v>
      </c>
      <c r="G302" s="254" t="inlineStr">
        <is>
          <t>от -40 до +200</t>
        </is>
      </c>
      <c r="H302" s="254" t="inlineStr">
        <is>
          <t>вода техническая, неагрессивная среда, нефтепродукты, сжиженный газ</t>
        </is>
      </c>
      <c r="I302" s="222" t="inlineStr">
        <is>
          <t xml:space="preserve">сталь </t>
        </is>
      </c>
      <c r="J302" s="253" t="inlineStr">
        <is>
          <t>У1, ХЛ1</t>
        </is>
      </c>
      <c r="K302" s="222" t="inlineStr">
        <is>
          <t>фланцевый</t>
        </is>
      </c>
      <c r="L302" s="263" t="inlineStr">
        <is>
          <t>Ручка-рычаг</t>
        </is>
      </c>
      <c r="M302" s="253" t="inlineStr">
        <is>
          <t>-</t>
        </is>
      </c>
      <c r="N302" s="222" t="inlineStr">
        <is>
          <t>любое</t>
        </is>
      </c>
      <c r="O302"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2" s="210" t="n"/>
      <c r="Q302" s="210" t="n"/>
      <c r="R302" s="198">
        <f>A302</f>
        <v/>
      </c>
      <c r="S302" s="205" t="n"/>
      <c r="T302" s="205" t="n"/>
      <c r="U302" s="205" t="n"/>
      <c r="V302" s="205" t="n"/>
      <c r="W302" s="205" t="n"/>
      <c r="X302" s="205" t="n"/>
      <c r="Y302" s="205" t="n"/>
      <c r="Z302" s="205" t="n"/>
      <c r="AA302" s="205" t="n"/>
      <c r="AB302" s="205" t="n"/>
      <c r="AC302" s="205" t="n"/>
      <c r="AD302" s="205" t="n"/>
      <c r="AE302" s="205" t="n"/>
      <c r="AF302" s="205" t="n"/>
      <c r="AG302" s="205" t="n"/>
      <c r="AH302" s="205" t="n"/>
      <c r="AI302" s="202" t="n"/>
    </row>
    <row r="303" ht="76.5" customHeight="1" s="169">
      <c r="A303" s="192" t="n">
        <v>82</v>
      </c>
      <c r="B303" s="193" t="inlineStr">
        <is>
          <t>Кран шаровой TEMPER 28020025 муфтовый, Ду 25, Ру 40</t>
        </is>
      </c>
      <c r="C303" s="222" t="inlineStr">
        <is>
          <t>ГОСТ Р54808-2011</t>
        </is>
      </c>
      <c r="D303" s="253" t="n">
        <v>25</v>
      </c>
      <c r="E303" s="222" t="inlineStr">
        <is>
          <t>полный</t>
        </is>
      </c>
      <c r="F303" s="253" t="n">
        <v>4</v>
      </c>
      <c r="G303" s="254" t="inlineStr">
        <is>
          <t>от - 40 °С до + 200 °С</t>
        </is>
      </c>
      <c r="H303" s="254" t="inlineStr">
        <is>
          <t xml:space="preserve">
вода, нейтральные среды, нефтепродукты</t>
        </is>
      </c>
      <c r="I303" s="223" t="inlineStr">
        <is>
          <t xml:space="preserve">сталь </t>
        </is>
      </c>
      <c r="J303" s="253" t="inlineStr">
        <is>
          <t>-</t>
        </is>
      </c>
      <c r="K303" s="222" t="inlineStr">
        <is>
          <t>внутренняя резьба</t>
        </is>
      </c>
      <c r="L303" s="223" t="inlineStr">
        <is>
          <t>ручной (рукоятка)</t>
        </is>
      </c>
      <c r="M303" s="253" t="inlineStr">
        <is>
          <t>-</t>
        </is>
      </c>
      <c r="N303" s="222" t="inlineStr">
        <is>
          <t>-</t>
        </is>
      </c>
      <c r="O303" s="222" t="inlineStr">
        <is>
          <t>Мах.температура (Т) град.: до +200 -  Мт.температура (Т) град.: до -40 -  Материал корпуса: Ст.20 -  Герметичность: Класс «А» ГОСТ Р54808-2011 - Ресурс: Не менее 10 000 циклов*- Полный срок службы: Не менее 25 лет*- Гарантийный срок: 3 года</t>
        </is>
      </c>
      <c r="P303" s="210" t="n"/>
      <c r="Q303" s="210" t="n"/>
      <c r="R303" s="198">
        <f>A303</f>
        <v/>
      </c>
      <c r="S303" s="205" t="n"/>
      <c r="T303" s="205" t="n"/>
      <c r="U303" s="205" t="n"/>
      <c r="V303" s="205" t="n"/>
      <c r="W303" s="205" t="n"/>
      <c r="X303" s="205" t="n"/>
      <c r="Y303" s="205" t="n"/>
      <c r="Z303" s="205" t="n"/>
      <c r="AA303" s="205" t="n"/>
      <c r="AB303" s="205" t="n"/>
      <c r="AC303" s="205" t="n"/>
      <c r="AD303" s="205" t="n"/>
      <c r="AE303" s="205" t="n"/>
      <c r="AF303" s="205" t="n"/>
      <c r="AG303" s="205" t="n"/>
      <c r="AH303" s="205" t="n"/>
      <c r="AI303" s="202" t="n"/>
    </row>
    <row r="304" ht="114.75" customHeight="1" s="169">
      <c r="A304" s="192" t="n">
        <v>83</v>
      </c>
      <c r="B304" s="193" t="inlineStr">
        <is>
          <t>Кран шаровый LD полнопроходной 11с67п КШРФ Ду 100 Ру 16 с КОФ</t>
        </is>
      </c>
      <c r="C304" s="254" t="inlineStr">
        <is>
          <t>ТУ 374-00145630744-2003</t>
        </is>
      </c>
      <c r="D304" s="263" t="n">
        <v>100</v>
      </c>
      <c r="E304" s="223" t="inlineStr">
        <is>
          <t>полный</t>
        </is>
      </c>
      <c r="F304" s="263" t="n">
        <v>1.6</v>
      </c>
      <c r="G304" s="254" t="inlineStr">
        <is>
          <t>от -40 до +200</t>
        </is>
      </c>
      <c r="H304" s="254" t="inlineStr">
        <is>
          <t>вода, газ, нефтепродукты и другие не
  токсичные и неагрессивные среды</t>
        </is>
      </c>
      <c r="I304" s="254" t="inlineStr">
        <is>
          <t xml:space="preserve">сталь </t>
        </is>
      </c>
      <c r="J304" s="263" t="inlineStr">
        <is>
          <t>У1</t>
        </is>
      </c>
      <c r="K304" s="254" t="inlineStr">
        <is>
          <t>фланцевый</t>
        </is>
      </c>
      <c r="L304" s="263" t="inlineStr">
        <is>
          <t>-</t>
        </is>
      </c>
      <c r="M304" s="263" t="inlineStr">
        <is>
          <t>-</t>
        </is>
      </c>
      <c r="N304" s="254" t="inlineStr">
        <is>
          <t>любое</t>
        </is>
      </c>
      <c r="O304"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4" s="210" t="n"/>
      <c r="Q304" s="210" t="n"/>
      <c r="R304" s="198">
        <f>A304</f>
        <v/>
      </c>
      <c r="S304" s="205" t="n"/>
      <c r="T304" s="205" t="n"/>
      <c r="U304" s="205" t="n"/>
      <c r="V304" s="205" t="n"/>
      <c r="W304" s="205" t="n"/>
      <c r="X304" s="205" t="n"/>
      <c r="Y304" s="205" t="n"/>
      <c r="Z304" s="205" t="n"/>
      <c r="AA304" s="205" t="n"/>
      <c r="AB304" s="205" t="n"/>
      <c r="AC304" s="205" t="n"/>
      <c r="AD304" s="205" t="n"/>
      <c r="AE304" s="205" t="n"/>
      <c r="AF304" s="205" t="n"/>
      <c r="AG304" s="205" t="n"/>
      <c r="AH304" s="205" t="n"/>
      <c r="AI304" s="202" t="n"/>
    </row>
    <row r="305" ht="114.75" customHeight="1" s="169">
      <c r="A305" s="192" t="n">
        <v>84</v>
      </c>
      <c r="B305" s="193" t="inlineStr">
        <is>
          <t>Кран шаровый LD полнопроходной 11с67п КШРФ Ду 150 Ру 16 с КОФ</t>
        </is>
      </c>
      <c r="C305" s="254" t="inlineStr">
        <is>
          <t>ТУ 374-00145630744-2003</t>
        </is>
      </c>
      <c r="D305" s="263" t="n">
        <v>150</v>
      </c>
      <c r="E305" s="222" t="inlineStr">
        <is>
          <t>полный</t>
        </is>
      </c>
      <c r="F305" s="263" t="n">
        <v>1.6</v>
      </c>
      <c r="G305" s="254" t="inlineStr">
        <is>
          <t>от -40 до +200</t>
        </is>
      </c>
      <c r="H305" s="254" t="inlineStr">
        <is>
          <t>вода, газ, нефтепродукты и другие не
  токсичные и неагрессивные среды</t>
        </is>
      </c>
      <c r="I305" s="254" t="inlineStr">
        <is>
          <t xml:space="preserve">сталь </t>
        </is>
      </c>
      <c r="J305" s="263" t="inlineStr">
        <is>
          <t>У1</t>
        </is>
      </c>
      <c r="K305" s="254" t="inlineStr">
        <is>
          <t>фланцевый</t>
        </is>
      </c>
      <c r="L305" s="263" t="inlineStr">
        <is>
          <t>-</t>
        </is>
      </c>
      <c r="M305" s="263" t="inlineStr">
        <is>
          <t>-</t>
        </is>
      </c>
      <c r="N305" s="254" t="inlineStr">
        <is>
          <t>любое</t>
        </is>
      </c>
      <c r="O305"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5" s="210" t="n"/>
      <c r="Q305" s="210" t="n"/>
      <c r="R305" s="198">
        <f>A305</f>
        <v/>
      </c>
      <c r="S305" s="205" t="n"/>
      <c r="T305" s="205" t="n"/>
      <c r="U305" s="205" t="n"/>
      <c r="V305" s="205" t="n"/>
      <c r="W305" s="205" t="n"/>
      <c r="X305" s="205" t="n"/>
      <c r="Y305" s="205" t="n"/>
      <c r="Z305" s="205" t="n"/>
      <c r="AA305" s="205" t="n"/>
      <c r="AB305" s="205" t="n"/>
      <c r="AC305" s="205" t="n"/>
      <c r="AD305" s="205" t="n"/>
      <c r="AE305" s="205" t="n"/>
      <c r="AF305" s="205" t="n"/>
      <c r="AG305" s="205" t="n"/>
      <c r="AH305" s="205" t="n"/>
      <c r="AI305" s="202" t="n"/>
    </row>
    <row r="306" ht="114.75" customHeight="1" s="169">
      <c r="A306" s="192" t="n">
        <v>85</v>
      </c>
      <c r="B306" s="193" t="inlineStr">
        <is>
          <t>Кран шаровый LD полнопроходной 11с67п КШРФ Ду 25 Ру 16 с КОФ</t>
        </is>
      </c>
      <c r="C306" s="254" t="inlineStr">
        <is>
          <t>ТУ 374-00145630744-2003</t>
        </is>
      </c>
      <c r="D306" s="263" t="n">
        <v>25</v>
      </c>
      <c r="E306" s="222" t="inlineStr">
        <is>
          <t>полный</t>
        </is>
      </c>
      <c r="F306" s="263" t="n">
        <v>1.6</v>
      </c>
      <c r="G306" s="254" t="inlineStr">
        <is>
          <t>от -40 до +200</t>
        </is>
      </c>
      <c r="H306" s="254" t="inlineStr">
        <is>
          <t>вода, газ, нефтепродукты и другие не
  токсичные и неагрессивные среды</t>
        </is>
      </c>
      <c r="I306" s="254" t="inlineStr">
        <is>
          <t xml:space="preserve">сталь </t>
        </is>
      </c>
      <c r="J306" s="263" t="inlineStr">
        <is>
          <t>У1</t>
        </is>
      </c>
      <c r="K306" s="254" t="inlineStr">
        <is>
          <t>фланцевый</t>
        </is>
      </c>
      <c r="L306" s="263" t="inlineStr">
        <is>
          <t>-</t>
        </is>
      </c>
      <c r="M306" s="263" t="inlineStr">
        <is>
          <t>-</t>
        </is>
      </c>
      <c r="N306" s="254" t="inlineStr">
        <is>
          <t>любое</t>
        </is>
      </c>
      <c r="O306"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6" s="212" t="n"/>
      <c r="Q306" s="212" t="n"/>
      <c r="R306" s="198">
        <f>A306</f>
        <v/>
      </c>
      <c r="S306" s="205" t="n"/>
      <c r="T306" s="205" t="n"/>
      <c r="U306" s="205" t="n"/>
      <c r="V306" s="205" t="n"/>
      <c r="W306" s="205" t="n"/>
      <c r="X306" s="205" t="n"/>
      <c r="Y306" s="205" t="n"/>
      <c r="Z306" s="205" t="n"/>
      <c r="AA306" s="205" t="n"/>
      <c r="AB306" s="205" t="n"/>
      <c r="AC306" s="205" t="n"/>
      <c r="AD306" s="205" t="n"/>
      <c r="AE306" s="205" t="n"/>
      <c r="AF306" s="205" t="n"/>
      <c r="AG306" s="205" t="n"/>
      <c r="AH306" s="205" t="n"/>
      <c r="AI306" s="202" t="n"/>
    </row>
    <row r="307" ht="114.75" customHeight="1" s="169">
      <c r="A307" s="192" t="n">
        <v>86</v>
      </c>
      <c r="B307" s="193" t="inlineStr">
        <is>
          <t>Кран шаровый LD полнопроходной 11с67п КШРФ Ду 40 Ру 16 с КОФ</t>
        </is>
      </c>
      <c r="C307" s="254" t="inlineStr">
        <is>
          <t>ТУ 374-00145630744-2003</t>
        </is>
      </c>
      <c r="D307" s="263" t="n">
        <v>40</v>
      </c>
      <c r="E307" s="222" t="inlineStr">
        <is>
          <t>полный</t>
        </is>
      </c>
      <c r="F307" s="263" t="n">
        <v>1.6</v>
      </c>
      <c r="G307" s="254" t="inlineStr">
        <is>
          <t>от -40 до +200</t>
        </is>
      </c>
      <c r="H307" s="254" t="inlineStr">
        <is>
          <t>вода, газ, нефтепродукты и другие не
  токсичные и неагрессивные среды</t>
        </is>
      </c>
      <c r="I307" s="254" t="inlineStr">
        <is>
          <t xml:space="preserve">сталь </t>
        </is>
      </c>
      <c r="J307" s="263" t="inlineStr">
        <is>
          <t>У1</t>
        </is>
      </c>
      <c r="K307" s="254" t="inlineStr">
        <is>
          <t>фланцевый</t>
        </is>
      </c>
      <c r="L307" s="263" t="inlineStr">
        <is>
          <t>-</t>
        </is>
      </c>
      <c r="M307" s="263" t="inlineStr">
        <is>
          <t>-</t>
        </is>
      </c>
      <c r="N307" s="254" t="inlineStr">
        <is>
          <t>любое</t>
        </is>
      </c>
      <c r="O307"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7" s="253" t="n"/>
      <c r="Q307" s="253" t="n"/>
      <c r="R307" s="198">
        <f>A307</f>
        <v/>
      </c>
      <c r="S307" s="205" t="n"/>
      <c r="T307" s="205" t="n"/>
      <c r="U307" s="205" t="n"/>
      <c r="V307" s="205" t="n"/>
      <c r="W307" s="205" t="n"/>
      <c r="X307" s="205" t="n"/>
      <c r="Y307" s="205" t="n"/>
      <c r="Z307" s="205" t="n"/>
      <c r="AA307" s="205" t="n"/>
      <c r="AB307" s="205" t="n"/>
      <c r="AC307" s="205" t="n"/>
      <c r="AD307" s="205" t="n"/>
      <c r="AE307" s="205" t="n"/>
      <c r="AF307" s="205" t="n"/>
      <c r="AG307" s="205" t="n"/>
      <c r="AH307" s="205" t="n"/>
      <c r="AI307" s="202" t="n"/>
    </row>
    <row r="308" ht="114.75" customHeight="1" s="169">
      <c r="A308" s="192" t="n">
        <v>87</v>
      </c>
      <c r="B308" s="193" t="inlineStr">
        <is>
          <t>Кран шаровый LD полнопроходной 11с67п КШРФ Ду 50 Ру 16 с КОФ</t>
        </is>
      </c>
      <c r="C308" s="254" t="inlineStr">
        <is>
          <t>ТУ 374-00145630744-2003</t>
        </is>
      </c>
      <c r="D308" s="263" t="n">
        <v>50</v>
      </c>
      <c r="E308" s="222" t="inlineStr">
        <is>
          <t>полный</t>
        </is>
      </c>
      <c r="F308" s="263" t="n">
        <v>1.6</v>
      </c>
      <c r="G308" s="254" t="inlineStr">
        <is>
          <t>от -40 до +200</t>
        </is>
      </c>
      <c r="H308" s="254" t="inlineStr">
        <is>
          <t>вода, газ, нефтепродукты и другие не
  токсичные и неагрессивные среды</t>
        </is>
      </c>
      <c r="I308" s="254" t="inlineStr">
        <is>
          <t xml:space="preserve">сталь </t>
        </is>
      </c>
      <c r="J308" s="263" t="inlineStr">
        <is>
          <t>У1</t>
        </is>
      </c>
      <c r="K308" s="254" t="inlineStr">
        <is>
          <t>фланцевый</t>
        </is>
      </c>
      <c r="L308" s="263" t="inlineStr">
        <is>
          <t>-</t>
        </is>
      </c>
      <c r="M308" s="263" t="inlineStr">
        <is>
          <t>-</t>
        </is>
      </c>
      <c r="N308" s="254" t="inlineStr">
        <is>
          <t>любое</t>
        </is>
      </c>
      <c r="O308"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8" s="253" t="n"/>
      <c r="Q308" s="253" t="n"/>
      <c r="R308" s="198">
        <f>A308</f>
        <v/>
      </c>
      <c r="S308" s="205" t="n"/>
      <c r="T308" s="205" t="n"/>
      <c r="U308" s="205" t="n"/>
      <c r="V308" s="205" t="n"/>
      <c r="W308" s="205" t="n"/>
      <c r="X308" s="205" t="n"/>
      <c r="Y308" s="205" t="n"/>
      <c r="Z308" s="205" t="n"/>
      <c r="AA308" s="205" t="n"/>
      <c r="AB308" s="205" t="n"/>
      <c r="AC308" s="205" t="n"/>
      <c r="AD308" s="205" t="n"/>
      <c r="AE308" s="205" t="n"/>
      <c r="AF308" s="205" t="n"/>
      <c r="AG308" s="205" t="n"/>
      <c r="AH308" s="205" t="n"/>
      <c r="AI308" s="202" t="n"/>
    </row>
    <row r="309" ht="114.75" customHeight="1" s="169">
      <c r="A309" s="192" t="n">
        <v>88</v>
      </c>
      <c r="B309" s="193" t="inlineStr">
        <is>
          <t>Кран шаровый LD полнопроходной 11с67п КШРФ Ду 80 Ру 16 с КОФ</t>
        </is>
      </c>
      <c r="C309" s="254" t="inlineStr">
        <is>
          <t>ТУ 374-00145630744-2003</t>
        </is>
      </c>
      <c r="D309" s="263" t="n">
        <v>80</v>
      </c>
      <c r="E309" s="222" t="inlineStr">
        <is>
          <t>полный</t>
        </is>
      </c>
      <c r="F309" s="263" t="n">
        <v>1.6</v>
      </c>
      <c r="G309" s="254" t="inlineStr">
        <is>
          <t>от -40 до +200</t>
        </is>
      </c>
      <c r="H309" s="254" t="inlineStr">
        <is>
          <t>вода, газ, нефтепродукты и другие не
  токсичные и неагрессивные среды</t>
        </is>
      </c>
      <c r="I309" s="254" t="inlineStr">
        <is>
          <t xml:space="preserve">сталь </t>
        </is>
      </c>
      <c r="J309" s="263" t="inlineStr">
        <is>
          <t>У1</t>
        </is>
      </c>
      <c r="K309" s="254" t="inlineStr">
        <is>
          <t>фланцевый</t>
        </is>
      </c>
      <c r="L309" s="263" t="inlineStr">
        <is>
          <t>-</t>
        </is>
      </c>
      <c r="M309" s="263" t="inlineStr">
        <is>
          <t>-</t>
        </is>
      </c>
      <c r="N309" s="254" t="inlineStr">
        <is>
          <t>любое</t>
        </is>
      </c>
      <c r="O309"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9" s="253" t="n"/>
      <c r="Q309" s="253" t="n"/>
      <c r="R309" s="198">
        <f>A309</f>
        <v/>
      </c>
      <c r="S309" s="205" t="n"/>
      <c r="T309" s="205" t="n"/>
      <c r="U309" s="205" t="n"/>
      <c r="V309" s="205" t="n"/>
      <c r="W309" s="205" t="n"/>
      <c r="X309" s="205" t="n"/>
      <c r="Y309" s="205" t="n"/>
      <c r="Z309" s="205" t="n"/>
      <c r="AA309" s="205" t="n"/>
      <c r="AB309" s="205" t="n"/>
      <c r="AC309" s="205" t="n"/>
      <c r="AD309" s="205" t="n"/>
      <c r="AE309" s="205" t="n"/>
      <c r="AF309" s="205" t="n"/>
      <c r="AG309" s="205" t="n"/>
      <c r="AH309" s="205" t="n"/>
      <c r="AI309" s="202" t="n"/>
    </row>
    <row r="310" ht="89.25" customHeight="1" s="169">
      <c r="A310" s="192" t="n">
        <v>89</v>
      </c>
      <c r="B310" s="193" t="inlineStr">
        <is>
          <t>Затвор дисковый поворотный(ГРЭНВЭЛ) ЗП ТЛ Ду 100, Ру 16</t>
        </is>
      </c>
      <c r="C310" s="222" t="inlineStr">
        <is>
          <t>-</t>
        </is>
      </c>
      <c r="D310" s="222" t="n">
        <v>100</v>
      </c>
      <c r="E310" s="222" t="inlineStr">
        <is>
          <t>стандарт</t>
        </is>
      </c>
      <c r="F310" s="223" t="n">
        <v>1.6</v>
      </c>
      <c r="G310" s="222" t="inlineStr">
        <is>
          <t>до + 110 °С</t>
        </is>
      </c>
      <c r="H310" s="222" t="inlineStr">
        <is>
          <t>теплоснабжение, горячий воздух (до 12 бар), питьевая горячая вода.</t>
        </is>
      </c>
      <c r="I310" s="222" t="inlineStr">
        <is>
          <t>серый чугун GG25</t>
        </is>
      </c>
      <c r="J310" s="222" t="inlineStr">
        <is>
          <t>У</t>
        </is>
      </c>
      <c r="K310" s="222" t="inlineStr">
        <is>
          <t>межфланцевый</t>
        </is>
      </c>
      <c r="L310" s="222" t="inlineStr">
        <is>
          <t>-</t>
        </is>
      </c>
      <c r="M310" s="253" t="inlineStr">
        <is>
          <t>-</t>
        </is>
      </c>
      <c r="N310" s="223" t="inlineStr">
        <is>
          <t>любое</t>
        </is>
      </c>
      <c r="O310"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P310" s="222" t="n"/>
      <c r="Q310" s="222" t="n"/>
      <c r="R310" s="198">
        <f>A310</f>
        <v/>
      </c>
      <c r="S310" s="205" t="n"/>
      <c r="T310" s="205" t="n"/>
      <c r="U310" s="205" t="n"/>
      <c r="V310" s="205" t="n"/>
      <c r="W310" s="205" t="n"/>
      <c r="X310" s="205" t="n"/>
      <c r="Y310" s="205" t="n"/>
      <c r="Z310" s="205" t="n"/>
      <c r="AA310" s="205" t="n"/>
      <c r="AB310" s="205" t="n"/>
      <c r="AC310" s="205" t="n"/>
      <c r="AD310" s="205" t="n"/>
      <c r="AE310" s="205" t="n"/>
      <c r="AF310" s="205" t="n"/>
      <c r="AG310" s="205" t="n"/>
      <c r="AH310" s="205" t="n"/>
      <c r="AI310" s="202" t="n"/>
    </row>
    <row r="311" ht="89.25" customHeight="1" s="169">
      <c r="A311" s="192" t="n">
        <v>90</v>
      </c>
      <c r="B311" s="193" t="inlineStr">
        <is>
          <t>Затвор дисковый поворотный(ГРЭНВЭЛ) ЗП ТЛ Ду 80 Ру 16</t>
        </is>
      </c>
      <c r="C311" s="222" t="inlineStr">
        <is>
          <t>-</t>
        </is>
      </c>
      <c r="D311" s="222" t="n">
        <v>80</v>
      </c>
      <c r="E311" s="223" t="inlineStr">
        <is>
          <t>стандарт</t>
        </is>
      </c>
      <c r="F311" s="222" t="n">
        <v>1.6</v>
      </c>
      <c r="G311" s="223" t="inlineStr">
        <is>
          <t>до + 110 °С</t>
        </is>
      </c>
      <c r="H311" s="222" t="inlineStr">
        <is>
          <t>теплоснабжение, горячий воздух (до 12 бар), питьевая горячая вода.</t>
        </is>
      </c>
      <c r="I311" s="223" t="inlineStr">
        <is>
          <t>серый чугун GG25</t>
        </is>
      </c>
      <c r="J311" s="222" t="inlineStr">
        <is>
          <t>У</t>
        </is>
      </c>
      <c r="K311" s="222" t="inlineStr">
        <is>
          <t>межфланцевый</t>
        </is>
      </c>
      <c r="L311" s="222" t="inlineStr">
        <is>
          <t>-</t>
        </is>
      </c>
      <c r="M311" s="253" t="inlineStr">
        <is>
          <t>-</t>
        </is>
      </c>
      <c r="N311" s="222" t="inlineStr">
        <is>
          <t>любое</t>
        </is>
      </c>
      <c r="O311"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t>
        </is>
      </c>
      <c r="P311" s="222" t="n"/>
      <c r="Q311" s="222" t="n"/>
      <c r="R311" s="198">
        <f>A311</f>
        <v/>
      </c>
      <c r="S311" s="205" t="n"/>
      <c r="T311" s="205" t="n"/>
      <c r="U311" s="205" t="n"/>
      <c r="V311" s="205" t="n"/>
      <c r="W311" s="205" t="n"/>
      <c r="X311" s="205" t="n"/>
      <c r="Y311" s="205" t="n"/>
      <c r="Z311" s="205" t="n"/>
      <c r="AA311" s="205" t="n"/>
      <c r="AB311" s="205" t="n"/>
      <c r="AC311" s="205" t="n"/>
      <c r="AD311" s="205" t="n"/>
      <c r="AE311" s="205" t="n"/>
      <c r="AF311" s="205" t="n"/>
      <c r="AG311" s="205" t="n"/>
      <c r="AH311" s="205" t="n"/>
      <c r="AI311" s="202" t="n"/>
    </row>
    <row r="312" ht="60" customHeight="1" s="169">
      <c r="A312" s="192" t="n">
        <v>91</v>
      </c>
      <c r="B312" s="193" t="inlineStr">
        <is>
          <t>Затвор дисковый поворотный(ГРЭНВЭЛ) Тип /серия FL(w)-3-MR-E Ду 80 Ру 16</t>
        </is>
      </c>
      <c r="C312" s="222" t="inlineStr">
        <is>
          <t>ГОСТ Р 52720-2007</t>
        </is>
      </c>
      <c r="D312" s="222" t="n">
        <v>80</v>
      </c>
      <c r="E312" s="222" t="inlineStr">
        <is>
          <t>стандарт</t>
        </is>
      </c>
      <c r="F312" s="222" t="n">
        <v>1.6</v>
      </c>
      <c r="G312" s="222" t="inlineStr">
        <is>
          <t>от -20 до +110</t>
        </is>
      </c>
      <c r="H312" s="222" t="inlineStr">
        <is>
          <t>вода, воздух</t>
        </is>
      </c>
      <c r="I312" s="222" t="inlineStr">
        <is>
          <t>серый чугун GG25</t>
        </is>
      </c>
      <c r="J312" s="222" t="inlineStr">
        <is>
          <t>У</t>
        </is>
      </c>
      <c r="K312" s="222" t="inlineStr">
        <is>
          <t>межфланцевый</t>
        </is>
      </c>
      <c r="L312" s="222" t="inlineStr">
        <is>
          <t>ручной (рукоятка)</t>
        </is>
      </c>
      <c r="M312" s="253" t="inlineStr">
        <is>
          <t>-</t>
        </is>
      </c>
      <c r="N312" s="222" t="inlineStr">
        <is>
          <t>любое</t>
        </is>
      </c>
      <c r="O312" s="222" t="inlineStr">
        <is>
          <t>Материал диска: высокопрочный чугун с эпоксидным покрытием; Уплотнение : резина EPDM</t>
        </is>
      </c>
      <c r="P312" s="222" t="inlineStr">
        <is>
          <t>-</t>
        </is>
      </c>
      <c r="Q312" s="222" t="inlineStr">
        <is>
          <t>-</t>
        </is>
      </c>
      <c r="R312" s="198">
        <f>A312</f>
        <v/>
      </c>
      <c r="S312" s="205" t="n"/>
      <c r="T312" s="205" t="n"/>
      <c r="U312" s="205" t="n"/>
      <c r="V312" s="205" t="n"/>
      <c r="W312" s="205" t="n"/>
      <c r="X312" s="205" t="n"/>
      <c r="Y312" s="205" t="n"/>
      <c r="Z312" s="205" t="n"/>
      <c r="AA312" s="205" t="n"/>
      <c r="AB312" s="205" t="n"/>
      <c r="AC312" s="205" t="n"/>
      <c r="AD312" s="205" t="n"/>
      <c r="AE312" s="205" t="n"/>
      <c r="AF312" s="205" t="n"/>
      <c r="AG312" s="205" t="n"/>
      <c r="AH312" s="205" t="n"/>
      <c r="AI312" s="202" t="n"/>
    </row>
    <row r="313" ht="178.5" customHeight="1" s="169">
      <c r="A313" s="192" t="n">
        <v>92</v>
      </c>
      <c r="B313" s="193" t="inlineStr">
        <is>
          <t>Газовый клапан Dungs LGV 507/5 230 V, 119271</t>
        </is>
      </c>
      <c r="C313" s="264" t="inlineStr">
        <is>
          <t>-</t>
        </is>
      </c>
      <c r="D313" s="264" t="inlineStr">
        <is>
          <t>-</t>
        </is>
      </c>
      <c r="E313" s="264" t="inlineStr">
        <is>
          <t>-</t>
        </is>
      </c>
      <c r="F313" s="264" t="inlineStr">
        <is>
          <t>-</t>
        </is>
      </c>
      <c r="G313" s="265" t="inlineStr">
        <is>
          <t>от -15°C до +60°C.</t>
        </is>
      </c>
      <c r="H313" s="264" t="inlineStr">
        <is>
          <t>газ</t>
        </is>
      </c>
      <c r="I313" s="262" t="inlineStr">
        <is>
          <t xml:space="preserve">
корпус: алюминий, сталь;</t>
        </is>
      </c>
      <c r="J313" s="264" t="inlineStr">
        <is>
          <t>-</t>
        </is>
      </c>
      <c r="K313" s="262" t="inlineStr">
        <is>
          <t>резьбовые фланцы Rp 3/4".</t>
        </is>
      </c>
      <c r="L313" s="264" t="inlineStr">
        <is>
          <t>-</t>
        </is>
      </c>
      <c r="M313" s="264" t="inlineStr">
        <is>
          <t>-</t>
        </is>
      </c>
      <c r="N313" s="262" t="inlineStr">
        <is>
          <t>любое</t>
        </is>
      </c>
      <c r="O313" s="262" t="inlineStr">
        <is>
          <t>Предназначен:для газовых горелок
Максимальное избыточное давление:500 мбар
Соединение на входе:Rp 3/4"
Соединение на выходе:Rp 3/4"
Электропитание:230 В
Рабочая температура окр. среды:от -15 до +60 °C
Потребляемая мощность:15 ВА
Электромагнитные клапаны V1 и V2:Класса А
Класс пылевлагозащиты:IP 54
Вид подключения: винтовые зажимы
Материал уплотнения клапана: NBR
Вес: 1.3 кг
Габариты:15.2x10.5x12.4 см</t>
        </is>
      </c>
      <c r="P313" s="262" t="inlineStr">
        <is>
          <t>Габариты:15.2x10.5x12.4 см</t>
        </is>
      </c>
      <c r="Q313" s="264" t="inlineStr">
        <is>
          <t>-</t>
        </is>
      </c>
      <c r="R313" s="198">
        <f>A313</f>
        <v/>
      </c>
      <c r="S313" s="205" t="n"/>
      <c r="T313" s="205" t="n"/>
      <c r="U313" s="205" t="n"/>
      <c r="V313" s="205" t="n"/>
      <c r="W313" s="205" t="n"/>
      <c r="X313" s="205" t="n"/>
      <c r="Y313" s="205" t="n"/>
      <c r="Z313" s="205" t="n"/>
      <c r="AA313" s="205" t="n"/>
      <c r="AB313" s="205" t="n"/>
      <c r="AC313" s="205" t="n"/>
      <c r="AD313" s="205" t="n"/>
      <c r="AE313" s="205" t="n"/>
      <c r="AF313" s="205" t="n"/>
      <c r="AG313" s="205" t="n"/>
      <c r="AH313" s="205" t="n"/>
      <c r="AI313" s="202" t="n"/>
    </row>
    <row r="314" ht="216.75" customHeight="1" s="169">
      <c r="A314" s="192" t="n">
        <v>93</v>
      </c>
      <c r="B314" s="193" t="inlineStr">
        <is>
          <t>Электропривод Esbe 95 - 12051900</t>
        </is>
      </c>
      <c r="C314" s="262" t="inlineStr">
        <is>
          <t>-</t>
        </is>
      </c>
      <c r="D314" s="262" t="inlineStr">
        <is>
          <t>-</t>
        </is>
      </c>
      <c r="E314" s="262" t="inlineStr">
        <is>
          <t>-</t>
        </is>
      </c>
      <c r="F314" s="262" t="inlineStr">
        <is>
          <t>-</t>
        </is>
      </c>
      <c r="G314" s="262" t="inlineStr">
        <is>
          <t>-5...+55</t>
        </is>
      </c>
      <c r="H314" s="262" t="inlineStr">
        <is>
          <t>-</t>
        </is>
      </c>
      <c r="I314" s="262" t="inlineStr">
        <is>
          <t>-</t>
        </is>
      </c>
      <c r="J314" s="262" t="inlineStr">
        <is>
          <t>-</t>
        </is>
      </c>
      <c r="K314" s="262" t="inlineStr">
        <is>
          <t>-</t>
        </is>
      </c>
      <c r="L314" s="264" t="inlineStr">
        <is>
          <t>-</t>
        </is>
      </c>
      <c r="M314" s="264" t="inlineStr">
        <is>
          <t>-</t>
        </is>
      </c>
      <c r="N314" s="262" t="inlineStr">
        <is>
          <t>-</t>
        </is>
      </c>
      <c r="O314" s="262" t="inlineStr">
        <is>
          <t>Сервопривод ESBE 95 для моторизованных ротационных трехходовых клапанов ESBE Ду 15-150.
Рабочий диапазон действия регулируется от 30° до 180° при помощи кулачковых дисков. Кулачковые диски также приводят в действие ограничительные выключатели.
Клапан может иметь как автоматический, так и ручной режим управления. Отключение ручного управления легко производится при помощи рычага.
Позиция клапана отражается на специальном индикаторе, расположенном на передней части привода. Приводы Esbe серии 90 эффективно работают с клапанами серий:
VRG100*, VRG200*, VRG300*, VRB100*, F, MG, G, BIV, H и HG.</t>
        </is>
      </c>
      <c r="P314" s="262" t="n"/>
      <c r="Q314" s="262" t="n"/>
      <c r="R314" s="198">
        <f>A314</f>
        <v/>
      </c>
      <c r="S314" s="186" t="n"/>
      <c r="T314" s="186" t="n"/>
      <c r="U314" s="186" t="n"/>
      <c r="V314" s="186" t="n"/>
      <c r="W314" s="186" t="n"/>
      <c r="X314" s="186" t="n"/>
      <c r="Y314" s="186" t="n"/>
      <c r="Z314" s="186" t="n"/>
      <c r="AA314" s="186" t="n"/>
      <c r="AB314" s="186" t="n"/>
      <c r="AC314" s="186" t="n"/>
      <c r="AD314" s="186" t="n"/>
      <c r="AE314" s="186" t="n"/>
      <c r="AF314" s="186" t="n"/>
      <c r="AG314" s="186" t="n"/>
      <c r="AH314" s="186" t="n"/>
      <c r="AI314" s="202" t="n"/>
    </row>
    <row r="315" ht="17.1" customHeight="1" s="169">
      <c r="A315" s="249" t="inlineStr">
        <is>
          <t>Спецификация №3 Грузополучатель №3 Таблица 1.7 (филиал Коммунальная энергетика) — Техническое обслуживание</t>
        </is>
      </c>
      <c r="B315" s="182" t="n"/>
      <c r="C315" s="182" t="n"/>
      <c r="D315" s="182" t="n"/>
      <c r="E315" s="182" t="n"/>
      <c r="F315" s="182" t="n"/>
      <c r="G315" s="182" t="n"/>
      <c r="H315" s="182" t="n"/>
      <c r="I315" s="182" t="n"/>
      <c r="J315" s="182" t="n"/>
      <c r="K315" s="182" t="n"/>
      <c r="L315" s="182" t="n"/>
      <c r="M315" s="182" t="n"/>
      <c r="N315" s="182" t="n"/>
      <c r="O315" s="182" t="n"/>
      <c r="P315" s="182" t="n"/>
      <c r="Q315" s="180" t="n"/>
      <c r="R315" s="198">
        <f>A315</f>
        <v/>
      </c>
      <c r="S315" s="182" t="n"/>
      <c r="T315" s="182" t="n"/>
      <c r="U315" s="182" t="n"/>
      <c r="V315" s="182" t="n"/>
      <c r="W315" s="182" t="n"/>
      <c r="X315" s="182" t="n"/>
      <c r="Y315" s="182" t="n"/>
      <c r="Z315" s="182" t="n"/>
      <c r="AA315" s="182" t="n"/>
      <c r="AB315" s="182" t="n"/>
      <c r="AC315" s="182" t="n"/>
      <c r="AD315" s="182" t="n"/>
      <c r="AE315" s="182" t="n"/>
      <c r="AF315" s="182" t="n"/>
      <c r="AG315" s="182" t="n"/>
      <c r="AH315" s="182" t="n"/>
      <c r="AI315" s="180" t="n"/>
    </row>
    <row r="316" ht="216" customHeight="1" s="169">
      <c r="A316" s="192" t="n">
        <v>1</v>
      </c>
      <c r="B316" s="193" t="inlineStr">
        <is>
          <t>АРТ-85 Ду 50 Ру 16 "после себя"</t>
        </is>
      </c>
      <c r="C316" s="222" t="inlineStr">
        <is>
          <t>-</t>
        </is>
      </c>
      <c r="D316" s="222" t="n">
        <v>50</v>
      </c>
      <c r="E316" s="222" t="inlineStr">
        <is>
          <t>-</t>
        </is>
      </c>
      <c r="F316" s="222" t="n">
        <v>1.6</v>
      </c>
      <c r="G316" s="222" t="inlineStr">
        <is>
          <t>для воды до +150°С, для газов до +80°С</t>
        </is>
      </c>
      <c r="H316" s="222" t="inlineStr">
        <is>
          <t>жидкая и газообразная, не агрессивная к применяемым материалам</t>
        </is>
      </c>
      <c r="I316" s="222" t="inlineStr">
        <is>
          <t>-</t>
        </is>
      </c>
      <c r="J316" s="222" t="inlineStr">
        <is>
          <t>-</t>
        </is>
      </c>
      <c r="K316" s="266" t="inlineStr">
        <is>
          <t>фланцевый</t>
        </is>
      </c>
      <c r="L316" s="222" t="inlineStr">
        <is>
          <t>-</t>
        </is>
      </c>
      <c r="M316" s="222" t="inlineStr">
        <is>
          <t>-</t>
        </is>
      </c>
      <c r="N316" s="222" t="inlineStr">
        <is>
          <t>"после себя"</t>
        </is>
      </c>
      <c r="O316" s="222"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P316" s="222" t="inlineStr">
        <is>
          <t>-</t>
        </is>
      </c>
      <c r="Q316" s="222" t="inlineStr">
        <is>
          <t>-</t>
        </is>
      </c>
      <c r="R316" s="198" t="n">
        <v>1</v>
      </c>
      <c r="S316" s="199" t="inlineStr">
        <is>
          <t>АРТ-85 (у Ридан — регуляторы AFD/VFG, параметры не сверены)</t>
        </is>
      </c>
      <c r="T316" s="267" t="n"/>
      <c r="U316" s="267" t="n"/>
      <c r="V316" s="267" t="n"/>
      <c r="W316" s="267" t="n"/>
      <c r="X316" s="267" t="n"/>
      <c r="Y316" s="267" t="n"/>
      <c r="Z316" s="267" t="n"/>
      <c r="AA316" s="267" t="n"/>
      <c r="AB316" s="267" t="n"/>
      <c r="AC316" s="267" t="n"/>
      <c r="AD316" s="267" t="n"/>
      <c r="AE316" s="267" t="n"/>
      <c r="AF316" s="267" t="n"/>
      <c r="AG316" s="267" t="n"/>
      <c r="AH316" s="268" t="n"/>
      <c r="AI316" s="202" t="n"/>
    </row>
    <row r="317" ht="76.5" customHeight="1" s="169">
      <c r="A317" s="192" t="n">
        <v>2</v>
      </c>
      <c r="B317" s="193" t="inlineStr">
        <is>
          <t>Кран шаровой 11с67п Ду 25 Ру 25 цельносварной под приварку</t>
        </is>
      </c>
      <c r="C317" s="222" t="inlineStr">
        <is>
          <t>ТУ У 04671406-003-1999; ГОСТ 21345-2005</t>
        </is>
      </c>
      <c r="D317" s="223" t="n">
        <v>25</v>
      </c>
      <c r="E317" s="222" t="inlineStr">
        <is>
          <t>стандарт</t>
        </is>
      </c>
      <c r="F317" s="223" t="n">
        <v>2.5</v>
      </c>
      <c r="G317" s="222" t="inlineStr">
        <is>
          <t>от -30 до +180</t>
        </is>
      </c>
      <c r="H317" s="223" t="inlineStr">
        <is>
          <t>природный газ, вода, нефтепродукты, сжиженный  газ и прочие среды</t>
        </is>
      </c>
      <c r="I317" s="222" t="inlineStr">
        <is>
          <t>сталь 20</t>
        </is>
      </c>
      <c r="J317" s="223" t="inlineStr">
        <is>
          <t>У1</t>
        </is>
      </c>
      <c r="K317" s="222" t="inlineStr">
        <is>
          <t>приварной</t>
        </is>
      </c>
      <c r="L317" s="223" t="inlineStr">
        <is>
          <t>ручной (рукоятка)</t>
        </is>
      </c>
      <c r="M317" s="222" t="inlineStr">
        <is>
          <t>-</t>
        </is>
      </c>
      <c r="N317" s="223" t="inlineStr">
        <is>
          <t>любое</t>
        </is>
      </c>
      <c r="O317"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7" s="223" t="inlineStr">
        <is>
          <t>-</t>
        </is>
      </c>
      <c r="Q317" s="222" t="inlineStr">
        <is>
          <t>-</t>
        </is>
      </c>
      <c r="R317" s="198" t="n">
        <v>2</v>
      </c>
      <c r="S317" s="205" t="n"/>
      <c r="T317" s="205" t="n"/>
      <c r="U317" s="205" t="n"/>
      <c r="V317" s="205" t="n"/>
      <c r="W317" s="205" t="n"/>
      <c r="X317" s="205" t="n"/>
      <c r="Y317" s="205" t="n"/>
      <c r="Z317" s="205" t="n"/>
      <c r="AA317" s="205" t="n"/>
      <c r="AB317" s="205" t="n"/>
      <c r="AC317" s="205" t="n"/>
      <c r="AD317" s="205" t="n"/>
      <c r="AE317" s="205" t="n"/>
      <c r="AF317" s="205" t="n"/>
      <c r="AG317" s="205" t="n"/>
      <c r="AH317" s="205" t="n"/>
      <c r="AI317" s="202" t="n"/>
    </row>
    <row r="318" ht="76.5" customHeight="1" s="169">
      <c r="A318" s="192" t="n">
        <v>3</v>
      </c>
      <c r="B318" s="193" t="inlineStr">
        <is>
          <t>Кран шаровой 11с67п Ду 32 Ру 25 цельносварной под приварку</t>
        </is>
      </c>
      <c r="C318" s="223" t="inlineStr">
        <is>
          <t>ТУ У 04671406-003-1999; ГОСТ 21345-2005</t>
        </is>
      </c>
      <c r="D318" s="222" t="n">
        <v>32</v>
      </c>
      <c r="E318" s="223" t="inlineStr">
        <is>
          <t>стандарт</t>
        </is>
      </c>
      <c r="F318" s="222" t="n">
        <v>2.5</v>
      </c>
      <c r="G318" s="223" t="inlineStr">
        <is>
          <t>от -30 до +180</t>
        </is>
      </c>
      <c r="H318" s="222" t="inlineStr">
        <is>
          <t>природный газ, вода, нефтепродукты, сжиженный  газ и прочие среды</t>
        </is>
      </c>
      <c r="I318" s="223" t="inlineStr">
        <is>
          <t>сталь 20</t>
        </is>
      </c>
      <c r="J318" s="222" t="inlineStr">
        <is>
          <t>У1</t>
        </is>
      </c>
      <c r="K318" s="223" t="inlineStr">
        <is>
          <t>приварной</t>
        </is>
      </c>
      <c r="L318" s="222" t="inlineStr">
        <is>
          <t>ручной (рукоятка)</t>
        </is>
      </c>
      <c r="M318" s="223" t="inlineStr">
        <is>
          <t>-</t>
        </is>
      </c>
      <c r="N318" s="222" t="inlineStr">
        <is>
          <t>любое</t>
        </is>
      </c>
      <c r="O318"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8" s="222" t="inlineStr">
        <is>
          <t>-</t>
        </is>
      </c>
      <c r="Q318" s="222" t="inlineStr">
        <is>
          <t>-</t>
        </is>
      </c>
      <c r="R318" s="198" t="n">
        <v>3</v>
      </c>
      <c r="S318" s="205" t="n"/>
      <c r="T318" s="205" t="n"/>
      <c r="U318" s="205" t="n"/>
      <c r="V318" s="205" t="n"/>
      <c r="W318" s="205" t="n"/>
      <c r="X318" s="205" t="n"/>
      <c r="Y318" s="205" t="n"/>
      <c r="Z318" s="205" t="n"/>
      <c r="AA318" s="205" t="n"/>
      <c r="AB318" s="205" t="n"/>
      <c r="AC318" s="205" t="n"/>
      <c r="AD318" s="205" t="n"/>
      <c r="AE318" s="205" t="n"/>
      <c r="AF318" s="205" t="n"/>
      <c r="AG318" s="205" t="n"/>
      <c r="AH318" s="205" t="n"/>
      <c r="AI318" s="202" t="n"/>
    </row>
    <row r="319" ht="76.5" customHeight="1" s="169">
      <c r="A319" s="192" t="n">
        <v>4</v>
      </c>
      <c r="B319" s="193" t="inlineStr">
        <is>
          <t>Кран шаровой 11с67п Ду 40 Ру 25 цельносварной под приварку</t>
        </is>
      </c>
      <c r="C319" s="222" t="inlineStr">
        <is>
          <t>ТУ У 04671406-003-1999; ГОСТ 21345-2005</t>
        </is>
      </c>
      <c r="D319" s="223" t="n">
        <v>40</v>
      </c>
      <c r="E319" s="222" t="inlineStr">
        <is>
          <t>стандарт</t>
        </is>
      </c>
      <c r="F319" s="223" t="n">
        <v>2.5</v>
      </c>
      <c r="G319" s="222" t="inlineStr">
        <is>
          <t>от -30 до +180</t>
        </is>
      </c>
      <c r="H319" s="223" t="inlineStr">
        <is>
          <t>природный газ, вода, нефтепродукты, сжиженный  газ и прочие среды</t>
        </is>
      </c>
      <c r="I319" s="222" t="inlineStr">
        <is>
          <t>сталь 20</t>
        </is>
      </c>
      <c r="J319" s="223" t="inlineStr">
        <is>
          <t>У1</t>
        </is>
      </c>
      <c r="K319" s="222" t="inlineStr">
        <is>
          <t>приварной</t>
        </is>
      </c>
      <c r="L319" s="223" t="inlineStr">
        <is>
          <t>ручной (рукоятка)</t>
        </is>
      </c>
      <c r="M319" s="222" t="inlineStr">
        <is>
          <t>-</t>
        </is>
      </c>
      <c r="N319" s="223" t="inlineStr">
        <is>
          <t>любое</t>
        </is>
      </c>
      <c r="O31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9" s="223" t="inlineStr">
        <is>
          <t>-</t>
        </is>
      </c>
      <c r="Q319" s="222" t="inlineStr">
        <is>
          <t>-</t>
        </is>
      </c>
      <c r="R319" s="198" t="n">
        <v>4</v>
      </c>
      <c r="S319" s="186" t="n"/>
      <c r="T319" s="186" t="n"/>
      <c r="U319" s="186" t="n"/>
      <c r="V319" s="186" t="n"/>
      <c r="W319" s="186" t="n"/>
      <c r="X319" s="186" t="n"/>
      <c r="Y319" s="186" t="n"/>
      <c r="Z319" s="186" t="n"/>
      <c r="AA319" s="186" t="n"/>
      <c r="AB319" s="186" t="n"/>
      <c r="AC319" s="186" t="n"/>
      <c r="AD319" s="186" t="n"/>
      <c r="AE319" s="186" t="n"/>
      <c r="AF319" s="186" t="n"/>
      <c r="AG319" s="186" t="n"/>
      <c r="AH319" s="186" t="n"/>
      <c r="AI319" s="202" t="n"/>
    </row>
    <row r="320" ht="15" customHeight="1" s="169">
      <c r="A320" s="269" t="inlineStr">
        <is>
          <t>Спецификация №4 Грузополучатель №4 Таблица 1.8 (филиал ЦЭС) — Ремонт</t>
        </is>
      </c>
      <c r="B320" s="182" t="n"/>
      <c r="C320" s="182" t="n"/>
      <c r="D320" s="182" t="n"/>
      <c r="E320" s="182" t="n"/>
      <c r="F320" s="182" t="n"/>
      <c r="G320" s="182" t="n"/>
      <c r="H320" s="182" t="n"/>
      <c r="I320" s="182" t="n"/>
      <c r="J320" s="182" t="n"/>
      <c r="K320" s="182" t="n"/>
      <c r="L320" s="182" t="n"/>
      <c r="M320" s="182" t="n"/>
      <c r="N320" s="182" t="n"/>
      <c r="O320" s="182" t="n"/>
      <c r="P320" s="182" t="n"/>
      <c r="Q320" s="180" t="n"/>
      <c r="R320" s="250">
        <f>A320</f>
        <v/>
      </c>
      <c r="S320" s="182" t="n"/>
      <c r="T320" s="182" t="n"/>
      <c r="U320" s="182" t="n"/>
      <c r="V320" s="182" t="n"/>
      <c r="W320" s="182" t="n"/>
      <c r="X320" s="182" t="n"/>
      <c r="Y320" s="182" t="n"/>
      <c r="Z320" s="182" t="n"/>
      <c r="AA320" s="182" t="n"/>
      <c r="AB320" s="182" t="n"/>
      <c r="AC320" s="182" t="n"/>
      <c r="AD320" s="182" t="n"/>
      <c r="AE320" s="182" t="n"/>
      <c r="AF320" s="182" t="n"/>
      <c r="AG320" s="182" t="n"/>
      <c r="AH320" s="182" t="n"/>
      <c r="AI320" s="180" t="n"/>
    </row>
    <row r="321" ht="51" customHeight="1" s="169">
      <c r="A321" s="192" t="n">
        <v>1</v>
      </c>
      <c r="B321" s="193" t="inlineStr">
        <is>
          <t>Задвижка 30нж41нж Ду 80 Ру 16 1исп. САЗ</t>
        </is>
      </c>
      <c r="C321" s="270" t="inlineStr">
        <is>
          <t xml:space="preserve"> ТУ 3741-001-22294686-2008</t>
        </is>
      </c>
      <c r="D321" s="270" t="n">
        <v>80</v>
      </c>
      <c r="E321" s="270" t="inlineStr">
        <is>
          <t>стандарт</t>
        </is>
      </c>
      <c r="F321" s="270" t="n">
        <v>1.6</v>
      </c>
      <c r="G321" s="270" t="inlineStr">
        <is>
          <t>до +200°С</t>
        </is>
      </c>
      <c r="H321" s="270" t="inlineStr">
        <is>
          <t>Вода, пар</t>
        </is>
      </c>
      <c r="I321" s="217" t="inlineStr">
        <is>
          <t>углеродистая сталь</t>
        </is>
      </c>
      <c r="J321" s="270" t="inlineStr">
        <is>
          <t>УХЛ1</t>
        </is>
      </c>
      <c r="K321" s="270" t="inlineStr">
        <is>
          <t>Фланец-фланец  по ГОСТ 33259-2015</t>
        </is>
      </c>
      <c r="L321" s="270" t="inlineStr">
        <is>
          <t xml:space="preserve">Ручное </t>
        </is>
      </c>
      <c r="M321" s="270" t="inlineStr">
        <is>
          <t>Рукоятка</t>
        </is>
      </c>
      <c r="N321" s="270" t="inlineStr">
        <is>
          <t>любое</t>
        </is>
      </c>
      <c r="O321" s="21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321" s="197" t="n"/>
      <c r="Q321" s="197" t="n"/>
      <c r="R321" s="198">
        <f>A321</f>
        <v/>
      </c>
      <c r="S321" s="271" t="inlineStr">
        <is>
          <t>30нж41нж Ду80 PN16 (ПТЗ)</t>
        </is>
      </c>
      <c r="T321" s="271" t="inlineStr">
        <is>
          <t>ТУ 3740-035-83272983-2013, ГОСТ 5762-2002</t>
        </is>
      </c>
      <c r="U321" s="272" t="inlineStr">
        <is>
          <t>80</t>
        </is>
      </c>
      <c r="V321" s="272" t="inlineStr">
        <is>
          <t>стандарт</t>
        </is>
      </c>
      <c r="W321" s="272" t="inlineStr">
        <is>
          <t>1.6</t>
        </is>
      </c>
      <c r="X321" s="272" t="inlineStr">
        <is>
          <t>до +200°С</t>
        </is>
      </c>
      <c r="Y321" s="272" t="inlineStr">
        <is>
          <t>Вода, пар</t>
        </is>
      </c>
      <c r="Z321" s="273" t="inlineStr">
        <is>
          <t>нержавеющая вместо углеродистой — улучшение</t>
        </is>
      </c>
      <c r="AA321" s="272" t="inlineStr">
        <is>
          <t>УХЛ1</t>
        </is>
      </c>
      <c r="AB321" s="272" t="inlineStr">
        <is>
          <t>Фланец-фланец  по ГОСТ 33259-2015</t>
        </is>
      </c>
      <c r="AC321" s="273" t="inlineStr">
        <is>
          <t>маховик (ТЗ: рукоятка)</t>
        </is>
      </c>
      <c r="AD321" s="273" t="inlineStr">
        <is>
          <t>маховик (ТЗ: рукоятка)</t>
        </is>
      </c>
      <c r="AE321" s="272" t="inlineStr">
        <is>
          <t>любое</t>
        </is>
      </c>
      <c r="AF321" s="273" t="inlineStr">
        <is>
          <t>нержавеющая вместо углеродистой — улучшение</t>
        </is>
      </c>
      <c r="AG321" s="272" t="n"/>
      <c r="AH321" s="271" t="inlineStr">
        <is>
          <t>Производитель: ООО «Пермский трубопроводный завод» (ИНН 5904173655); страна происхождения: Россия; № реестровой записи (ПП 719): 10698940, действует до 17.02.2031</t>
        </is>
      </c>
      <c r="AI321" s="202" t="n"/>
    </row>
    <row r="322" ht="114.75" customFormat="1" customHeight="1" s="171">
      <c r="A322" s="192" t="n">
        <v>2</v>
      </c>
      <c r="B322" s="193" t="inlineStr">
        <is>
          <t>Кран шаровой 10нж45фт 2ЦФ Ду 20 Ру 16</t>
        </is>
      </c>
      <c r="C322" s="270" t="inlineStr">
        <is>
          <t>ТУ У 29.1-04671406-005:2008 ГОСТ 28343 (ИСО7121)</t>
        </is>
      </c>
      <c r="D322" s="270" t="n">
        <v>20</v>
      </c>
      <c r="E322" s="270" t="inlineStr">
        <is>
          <t>стандарт</t>
        </is>
      </c>
      <c r="F322" s="270" t="n">
        <v>1.6</v>
      </c>
      <c r="G322" s="270" t="inlineStr">
        <is>
          <t>от -60 до +200</t>
        </is>
      </c>
      <c r="H322" s="270" t="inlineStr">
        <is>
          <t>Вода, пар, трансформаторное масло</t>
        </is>
      </c>
      <c r="I322" s="217" t="inlineStr">
        <is>
          <t>нержавеющая сталь 12Х18Н10Т</t>
        </is>
      </c>
      <c r="J322" s="270" t="inlineStr">
        <is>
          <t>УХЛ1</t>
        </is>
      </c>
      <c r="K322" s="270" t="inlineStr">
        <is>
          <t>фланец-фланец</t>
        </is>
      </c>
      <c r="L322" s="270" t="inlineStr">
        <is>
          <t xml:space="preserve">Ручное </t>
        </is>
      </c>
      <c r="M322" s="270" t="inlineStr">
        <is>
          <t>рукоятка</t>
        </is>
      </c>
      <c r="N322" s="270" t="inlineStr">
        <is>
          <t>любое</t>
        </is>
      </c>
      <c r="O322"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2" s="197" t="n"/>
      <c r="Q322" s="197" t="n"/>
      <c r="R322" s="198">
        <f>A322</f>
        <v/>
      </c>
      <c r="S322" s="205" t="n"/>
      <c r="T322" s="205" t="n"/>
      <c r="U322" s="205" t="n"/>
      <c r="V322" s="205" t="n"/>
      <c r="W322" s="205" t="n"/>
      <c r="X322" s="205" t="n"/>
      <c r="Y322" s="205" t="n"/>
      <c r="Z322" s="205" t="n"/>
      <c r="AA322" s="205" t="n"/>
      <c r="AB322" s="205" t="n"/>
      <c r="AC322" s="205" t="n"/>
      <c r="AD322" s="205" t="n"/>
      <c r="AE322" s="205" t="n"/>
      <c r="AF322" s="205" t="n"/>
      <c r="AG322" s="205" t="n"/>
      <c r="AH322" s="205" t="n"/>
      <c r="AI322" s="202" t="n"/>
    </row>
    <row r="323" ht="114.75" customFormat="1" customHeight="1" s="171">
      <c r="A323" s="192" t="n">
        <v>3</v>
      </c>
      <c r="B323" s="193" t="inlineStr">
        <is>
          <t>Кран шаровой 10нж45фт 2ЦФ Ду 25 Ру 16</t>
        </is>
      </c>
      <c r="C323" s="270" t="inlineStr">
        <is>
          <t>ТУ У 29.1-04671406-005:2008 ГОСТ 28343 (ИСО7121)</t>
        </is>
      </c>
      <c r="D323" s="270" t="n">
        <v>25</v>
      </c>
      <c r="E323" s="270" t="inlineStr">
        <is>
          <t>стандарт</t>
        </is>
      </c>
      <c r="F323" s="270" t="n">
        <v>1.6</v>
      </c>
      <c r="G323" s="270" t="inlineStr">
        <is>
          <t>от -60 до +200</t>
        </is>
      </c>
      <c r="H323" s="210" t="inlineStr">
        <is>
          <t>Вода, пар, трансформаторное масло</t>
        </is>
      </c>
      <c r="I323" s="217" t="inlineStr">
        <is>
          <t>нержавеющая сталь 12Х18Н10Т</t>
        </is>
      </c>
      <c r="J323" s="270" t="inlineStr">
        <is>
          <t>УХЛ1</t>
        </is>
      </c>
      <c r="K323" s="270" t="inlineStr">
        <is>
          <t>фланец-фланец</t>
        </is>
      </c>
      <c r="L323" s="270" t="inlineStr">
        <is>
          <t xml:space="preserve">Ручное </t>
        </is>
      </c>
      <c r="M323" s="270" t="inlineStr">
        <is>
          <t>рукоятка</t>
        </is>
      </c>
      <c r="N323" s="270" t="inlineStr">
        <is>
          <t>любое</t>
        </is>
      </c>
      <c r="O323"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3" s="197" t="n"/>
      <c r="Q323" s="197" t="n"/>
      <c r="R323" s="198">
        <f>A323</f>
        <v/>
      </c>
      <c r="S323" s="205" t="n"/>
      <c r="T323" s="205" t="n"/>
      <c r="U323" s="205" t="n"/>
      <c r="V323" s="205" t="n"/>
      <c r="W323" s="205" t="n"/>
      <c r="X323" s="205" t="n"/>
      <c r="Y323" s="205" t="n"/>
      <c r="Z323" s="205" t="n"/>
      <c r="AA323" s="205" t="n"/>
      <c r="AB323" s="205" t="n"/>
      <c r="AC323" s="205" t="n"/>
      <c r="AD323" s="205" t="n"/>
      <c r="AE323" s="205" t="n"/>
      <c r="AF323" s="205" t="n"/>
      <c r="AG323" s="205" t="n"/>
      <c r="AH323" s="205" t="n"/>
      <c r="AI323" s="202" t="n"/>
    </row>
    <row r="324" ht="114.75" customFormat="1" customHeight="1" s="171">
      <c r="A324" s="192" t="n">
        <v>4</v>
      </c>
      <c r="B324" s="193" t="inlineStr">
        <is>
          <t>Кран шаровой 10нж45фт 2ЦФ Ду 32 Ру 16</t>
        </is>
      </c>
      <c r="C324" s="270" t="inlineStr">
        <is>
          <t>ТУ У 29.1-04671406-005:2008 ГОСТ 28343 (ИСО7121)</t>
        </is>
      </c>
      <c r="D324" s="270" t="n">
        <v>32</v>
      </c>
      <c r="E324" s="270" t="inlineStr">
        <is>
          <t>стандарт</t>
        </is>
      </c>
      <c r="F324" s="270" t="n">
        <v>1.6</v>
      </c>
      <c r="G324" s="270" t="inlineStr">
        <is>
          <t>от -60 до +200</t>
        </is>
      </c>
      <c r="H324" s="210" t="inlineStr">
        <is>
          <t>Вода, пар, трансформаторное масло</t>
        </is>
      </c>
      <c r="I324" s="217" t="inlineStr">
        <is>
          <t>нержавеющая сталь 12Х18Н10Т</t>
        </is>
      </c>
      <c r="J324" s="270" t="inlineStr">
        <is>
          <t>УХЛ1</t>
        </is>
      </c>
      <c r="K324" s="270" t="inlineStr">
        <is>
          <t>фланец-фланец</t>
        </is>
      </c>
      <c r="L324" s="270" t="inlineStr">
        <is>
          <t xml:space="preserve">Ручное </t>
        </is>
      </c>
      <c r="M324" s="270" t="inlineStr">
        <is>
          <t>рукоятка</t>
        </is>
      </c>
      <c r="N324" s="270" t="inlineStr">
        <is>
          <t>любое</t>
        </is>
      </c>
      <c r="O324"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4" s="197" t="n"/>
      <c r="Q324" s="197" t="n"/>
      <c r="R324" s="198">
        <f>A324</f>
        <v/>
      </c>
      <c r="S324" s="205" t="n"/>
      <c r="T324" s="205" t="n"/>
      <c r="U324" s="205" t="n"/>
      <c r="V324" s="205" t="n"/>
      <c r="W324" s="205" t="n"/>
      <c r="X324" s="205" t="n"/>
      <c r="Y324" s="205" t="n"/>
      <c r="Z324" s="205" t="n"/>
      <c r="AA324" s="205" t="n"/>
      <c r="AB324" s="205" t="n"/>
      <c r="AC324" s="205" t="n"/>
      <c r="AD324" s="205" t="n"/>
      <c r="AE324" s="205" t="n"/>
      <c r="AF324" s="205" t="n"/>
      <c r="AG324" s="205" t="n"/>
      <c r="AH324" s="205" t="n"/>
      <c r="AI324" s="202" t="n"/>
    </row>
    <row r="325" ht="102" customHeight="1" s="169">
      <c r="A325" s="192" t="n">
        <v>5</v>
      </c>
      <c r="B325" s="193" t="inlineStr">
        <is>
          <t>Кран шаровой 11с22п Ду 80 Ру 16</t>
        </is>
      </c>
      <c r="C325" s="270" t="inlineStr">
        <is>
          <t>ГОСТ 21345-2005</t>
        </is>
      </c>
      <c r="D325" s="270" t="n">
        <v>80</v>
      </c>
      <c r="E325" s="270" t="inlineStr">
        <is>
          <t>стандартный</t>
        </is>
      </c>
      <c r="F325" s="270" t="n">
        <v>1.6</v>
      </c>
      <c r="G325" s="270" t="inlineStr">
        <is>
          <t>до +200</t>
        </is>
      </c>
      <c r="H325" s="270" t="inlineStr">
        <is>
          <t>Вода, пар</t>
        </is>
      </c>
      <c r="I325" s="217" t="inlineStr">
        <is>
          <t>сталь 20</t>
        </is>
      </c>
      <c r="J325" s="270" t="inlineStr">
        <is>
          <t>У1</t>
        </is>
      </c>
      <c r="K325" s="270" t="inlineStr">
        <is>
          <t>фланцевое</t>
        </is>
      </c>
      <c r="L325" s="270" t="inlineStr">
        <is>
          <t>ручной (рукоятка)</t>
        </is>
      </c>
      <c r="M325" s="270" t="inlineStr">
        <is>
          <t>-</t>
        </is>
      </c>
      <c r="N325" s="270" t="inlineStr">
        <is>
          <t>Любое</t>
        </is>
      </c>
      <c r="O325"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5" s="197" t="n"/>
      <c r="Q325" s="197" t="n"/>
      <c r="R325" s="198">
        <f>A325</f>
        <v/>
      </c>
      <c r="S325" s="205" t="n"/>
      <c r="T325" s="205" t="n"/>
      <c r="U325" s="205" t="n"/>
      <c r="V325" s="205" t="n"/>
      <c r="W325" s="205" t="n"/>
      <c r="X325" s="205" t="n"/>
      <c r="Y325" s="205" t="n"/>
      <c r="Z325" s="205" t="n"/>
      <c r="AA325" s="205" t="n"/>
      <c r="AB325" s="205" t="n"/>
      <c r="AC325" s="205" t="n"/>
      <c r="AD325" s="205" t="n"/>
      <c r="AE325" s="205" t="n"/>
      <c r="AF325" s="205" t="n"/>
      <c r="AG325" s="205" t="n"/>
      <c r="AH325" s="205" t="n"/>
      <c r="AI325" s="202" t="n"/>
    </row>
    <row r="326" ht="102" customHeight="1" s="169">
      <c r="A326" s="192" t="n">
        <v>6</v>
      </c>
      <c r="B326" s="193" t="inlineStr">
        <is>
          <t>Кран шаровой 11с22п Ду 100 Ру 16</t>
        </is>
      </c>
      <c r="C326" s="270" t="inlineStr">
        <is>
          <t>ГОСТ 21345-2005</t>
        </is>
      </c>
      <c r="D326" s="270" t="n">
        <v>100</v>
      </c>
      <c r="E326" s="270" t="inlineStr">
        <is>
          <t>стандартный</t>
        </is>
      </c>
      <c r="F326" s="270" t="n">
        <v>1.6</v>
      </c>
      <c r="G326" s="270" t="inlineStr">
        <is>
          <t>до +200</t>
        </is>
      </c>
      <c r="H326" s="270" t="inlineStr">
        <is>
          <t>Вода, пар</t>
        </is>
      </c>
      <c r="I326" s="217" t="inlineStr">
        <is>
          <t>сталь 20</t>
        </is>
      </c>
      <c r="J326" s="270" t="inlineStr">
        <is>
          <t>У1</t>
        </is>
      </c>
      <c r="K326" s="270" t="inlineStr">
        <is>
          <t>фланцевое</t>
        </is>
      </c>
      <c r="L326" s="270" t="inlineStr">
        <is>
          <t>ручной (рукоятка)</t>
        </is>
      </c>
      <c r="M326" s="270" t="inlineStr">
        <is>
          <t>-</t>
        </is>
      </c>
      <c r="N326" s="270" t="inlineStr">
        <is>
          <t>Любое</t>
        </is>
      </c>
      <c r="O326"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6" s="197" t="n"/>
      <c r="Q326" s="197" t="n"/>
      <c r="R326" s="198">
        <f>A326</f>
        <v/>
      </c>
      <c r="S326" s="205" t="n"/>
      <c r="T326" s="205" t="n"/>
      <c r="U326" s="205" t="n"/>
      <c r="V326" s="205" t="n"/>
      <c r="W326" s="205" t="n"/>
      <c r="X326" s="205" t="n"/>
      <c r="Y326" s="205" t="n"/>
      <c r="Z326" s="205" t="n"/>
      <c r="AA326" s="205" t="n"/>
      <c r="AB326" s="205" t="n"/>
      <c r="AC326" s="205" t="n"/>
      <c r="AD326" s="205" t="n"/>
      <c r="AE326" s="205" t="n"/>
      <c r="AF326" s="205" t="n"/>
      <c r="AG326" s="205" t="n"/>
      <c r="AH326" s="205" t="n"/>
      <c r="AI326" s="202" t="n"/>
    </row>
    <row r="327" ht="63.75" customHeight="1" s="169">
      <c r="A327" s="192" t="n">
        <v>7</v>
      </c>
      <c r="B327" s="274" t="inlineStr">
        <is>
          <t>Кран шаровой 11с67п Ду 50 Ру 25 полнопрох. с КОФ (КЗШС41нж)</t>
        </is>
      </c>
      <c r="C327" s="270" t="inlineStr">
        <is>
          <t xml:space="preserve">ГОСТ 9544-2015 ГОСТ 28343 ГОСТ 21345 </t>
        </is>
      </c>
      <c r="D327" s="270" t="n">
        <v>20</v>
      </c>
      <c r="E327" s="270" t="inlineStr">
        <is>
          <t>полный</t>
        </is>
      </c>
      <c r="F327" s="270" t="n">
        <v>2.5</v>
      </c>
      <c r="G327" s="270" t="inlineStr">
        <is>
          <t>до +200°С</t>
        </is>
      </c>
      <c r="H327" s="270" t="inlineStr">
        <is>
          <t>Вода, пар</t>
        </is>
      </c>
      <c r="I327" s="217" t="inlineStr">
        <is>
          <t>Сталь 20</t>
        </is>
      </c>
      <c r="J327" s="270" t="inlineStr">
        <is>
          <t>У1</t>
        </is>
      </c>
      <c r="K327" s="270" t="inlineStr">
        <is>
          <t>фланцевое</t>
        </is>
      </c>
      <c r="L327" s="270" t="inlineStr">
        <is>
          <t xml:space="preserve">Ручное </t>
        </is>
      </c>
      <c r="M327" s="270" t="inlineStr">
        <is>
          <t>Ручка-рычаг</t>
        </is>
      </c>
      <c r="N327" s="270" t="inlineStr">
        <is>
          <t>любое</t>
        </is>
      </c>
      <c r="O327" s="217" t="inlineStr">
        <is>
          <t>материал корпуса: сталь 20, ручка сталь 3, гайка оцинкованная сталь, кольцо уплотнительное силикон, EPDM70, кольцо PTFE + 20% C, шток 20Х13, шар 20Х13, патрубок сталь 20, пружина сталь 65Г, кольцо опорное сталь 08ПС, седко PTFE +20%C</t>
        </is>
      </c>
      <c r="P327" s="197" t="n"/>
      <c r="Q327" s="197" t="n"/>
      <c r="R327" s="198">
        <f>A327</f>
        <v/>
      </c>
      <c r="S327" s="186" t="n"/>
      <c r="T327" s="186" t="n"/>
      <c r="U327" s="186" t="n"/>
      <c r="V327" s="186" t="n"/>
      <c r="W327" s="186" t="n"/>
      <c r="X327" s="186" t="n"/>
      <c r="Y327" s="186" t="n"/>
      <c r="Z327" s="186" t="n"/>
      <c r="AA327" s="186" t="n"/>
      <c r="AB327" s="186" t="n"/>
      <c r="AC327" s="186" t="n"/>
      <c r="AD327" s="186" t="n"/>
      <c r="AE327" s="186" t="n"/>
      <c r="AF327" s="186" t="n"/>
      <c r="AG327" s="186" t="n"/>
      <c r="AH327" s="186" t="n"/>
      <c r="AI327" s="202" t="n"/>
    </row>
  </sheetData>
  <mergeCells count="156">
    <mergeCell ref="L2:M2"/>
    <mergeCell ref="U321:U327"/>
    <mergeCell ref="R320:AI320"/>
    <mergeCell ref="W321:W327"/>
    <mergeCell ref="R30:AI30"/>
    <mergeCell ref="U2:U3"/>
    <mergeCell ref="S316:S319"/>
    <mergeCell ref="AA31:AA35"/>
    <mergeCell ref="A36:Q36"/>
    <mergeCell ref="U316:U319"/>
    <mergeCell ref="AC31:AC35"/>
    <mergeCell ref="W316:W319"/>
    <mergeCell ref="R315:AI315"/>
    <mergeCell ref="S222:S314"/>
    <mergeCell ref="AC222:AC314"/>
    <mergeCell ref="A2:A3"/>
    <mergeCell ref="AE222:AE314"/>
    <mergeCell ref="C2:C3"/>
    <mergeCell ref="Y37:Y199"/>
    <mergeCell ref="E2:E3"/>
    <mergeCell ref="S6:S29"/>
    <mergeCell ref="W2:W3"/>
    <mergeCell ref="R200:AI200"/>
    <mergeCell ref="AE6:AE29"/>
    <mergeCell ref="AA203:AA220"/>
    <mergeCell ref="AC203:AC220"/>
    <mergeCell ref="R202:AI202"/>
    <mergeCell ref="AA2:AA3"/>
    <mergeCell ref="AB37:AB199"/>
    <mergeCell ref="AD37:AD199"/>
    <mergeCell ref="A5:Q5"/>
    <mergeCell ref="AG203:AG220"/>
    <mergeCell ref="Z321:Z327"/>
    <mergeCell ref="AB321:AB327"/>
    <mergeCell ref="A200:Q200"/>
    <mergeCell ref="AC2:AD2"/>
    <mergeCell ref="V2:V3"/>
    <mergeCell ref="X2:X3"/>
    <mergeCell ref="V31:V35"/>
    <mergeCell ref="A202:Q202"/>
    <mergeCell ref="AF316:AF319"/>
    <mergeCell ref="X316:X319"/>
    <mergeCell ref="R5:AH5"/>
    <mergeCell ref="AH31:AH35"/>
    <mergeCell ref="Z316:Z319"/>
    <mergeCell ref="T222:T314"/>
    <mergeCell ref="V222:V314"/>
    <mergeCell ref="AH222:AH314"/>
    <mergeCell ref="F2:F3"/>
    <mergeCell ref="H2:H3"/>
    <mergeCell ref="V6:V29"/>
    <mergeCell ref="X6:X29"/>
    <mergeCell ref="T203:T220"/>
    <mergeCell ref="A315:Q315"/>
    <mergeCell ref="AD203:AD220"/>
    <mergeCell ref="AF203:AF220"/>
    <mergeCell ref="AH203:AH220"/>
    <mergeCell ref="S37:S199"/>
    <mergeCell ref="U37:U199"/>
    <mergeCell ref="A221:Q221"/>
    <mergeCell ref="AE37:AE199"/>
    <mergeCell ref="K2:K3"/>
    <mergeCell ref="Y6:Y29"/>
    <mergeCell ref="AG37:AG199"/>
    <mergeCell ref="S321:S327"/>
    <mergeCell ref="S31:S35"/>
    <mergeCell ref="AH316:AH319"/>
    <mergeCell ref="AH6:AH29"/>
    <mergeCell ref="U31:U35"/>
    <mergeCell ref="AC321:AC327"/>
    <mergeCell ref="AE321:AE327"/>
    <mergeCell ref="N2:Q2"/>
    <mergeCell ref="U222:U314"/>
    <mergeCell ref="AC316:AC319"/>
    <mergeCell ref="AE316:AE319"/>
    <mergeCell ref="Y222:Y314"/>
    <mergeCell ref="AA222:AA314"/>
    <mergeCell ref="S2:S3"/>
    <mergeCell ref="AB31:AB35"/>
    <mergeCell ref="AA6:AA29"/>
    <mergeCell ref="AD31:AD35"/>
    <mergeCell ref="O1:Q1"/>
    <mergeCell ref="W203:W220"/>
    <mergeCell ref="Y203:Y220"/>
    <mergeCell ref="A320:Q320"/>
    <mergeCell ref="A30:Q30"/>
    <mergeCell ref="B2:B3"/>
    <mergeCell ref="X37:X199"/>
    <mergeCell ref="D2:D3"/>
    <mergeCell ref="Z37:Z199"/>
    <mergeCell ref="R36:AI36"/>
    <mergeCell ref="AD6:AD29"/>
    <mergeCell ref="Z203:Z220"/>
    <mergeCell ref="R221:AH221"/>
    <mergeCell ref="AF6:AF29"/>
    <mergeCell ref="V321:V327"/>
    <mergeCell ref="S1:AH1"/>
    <mergeCell ref="X321:X327"/>
    <mergeCell ref="AH321:AH327"/>
    <mergeCell ref="Z2:Z3"/>
    <mergeCell ref="AB2:AB3"/>
    <mergeCell ref="T2:T3"/>
    <mergeCell ref="AD316:AD319"/>
    <mergeCell ref="Y321:Y327"/>
    <mergeCell ref="V316:V319"/>
    <mergeCell ref="AD222:AD314"/>
    <mergeCell ref="AF222:AF314"/>
    <mergeCell ref="AE31:AE35"/>
    <mergeCell ref="Y316:Y319"/>
    <mergeCell ref="AG31:AG35"/>
    <mergeCell ref="AB203:AB220"/>
    <mergeCell ref="AG222:AG314"/>
    <mergeCell ref="AA37:AA199"/>
    <mergeCell ref="U6:U29"/>
    <mergeCell ref="AC37:AC199"/>
    <mergeCell ref="G2:G3"/>
    <mergeCell ref="W6:W29"/>
    <mergeCell ref="I2:I3"/>
    <mergeCell ref="S203:S220"/>
    <mergeCell ref="W31:W35"/>
    <mergeCell ref="AG6:AG29"/>
    <mergeCell ref="AG321:AG327"/>
    <mergeCell ref="Y31:Y35"/>
    <mergeCell ref="AE203:AE220"/>
    <mergeCell ref="AA321:AA327"/>
    <mergeCell ref="Y2:Y3"/>
    <mergeCell ref="T321:T327"/>
    <mergeCell ref="AG316:AG319"/>
    <mergeCell ref="T31:T35"/>
    <mergeCell ref="AD321:AD327"/>
    <mergeCell ref="AA316:AA319"/>
    <mergeCell ref="AF321:AF327"/>
    <mergeCell ref="W222:W314"/>
    <mergeCell ref="AF31:AF35"/>
    <mergeCell ref="X31:X35"/>
    <mergeCell ref="Z31:Z35"/>
    <mergeCell ref="U203:U220"/>
    <mergeCell ref="T6:T29"/>
    <mergeCell ref="AB316:AB319"/>
    <mergeCell ref="X222:X314"/>
    <mergeCell ref="AC6:AC29"/>
    <mergeCell ref="T37:T199"/>
    <mergeCell ref="Z222:Z314"/>
    <mergeCell ref="AB222:AB314"/>
    <mergeCell ref="V37:V199"/>
    <mergeCell ref="AE2:AH2"/>
    <mergeCell ref="R2:R3"/>
    <mergeCell ref="J2:J3"/>
    <mergeCell ref="AF37:AF199"/>
    <mergeCell ref="Z6:Z29"/>
    <mergeCell ref="AH37:AH199"/>
    <mergeCell ref="V203:V220"/>
    <mergeCell ref="AB6:AB29"/>
    <mergeCell ref="X203:X220"/>
    <mergeCell ref="T316:T319"/>
    <mergeCell ref="W37:W19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L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36" customWidth="1" style="169" min="2" max="2"/>
    <col width="7" customWidth="1" style="169" min="3" max="3"/>
    <col width="18" customWidth="1" style="169" min="4" max="4"/>
    <col width="30" customWidth="1" style="169" min="5" max="5"/>
    <col width="26" customWidth="1" style="169" min="6" max="6"/>
    <col width="36" customWidth="1" style="169" min="7" max="7"/>
    <col width="30" customWidth="1" style="169" min="8" max="8"/>
    <col width="12" customWidth="1" style="169" min="9" max="9"/>
    <col width="11" customWidth="1" style="169" min="10" max="10"/>
    <col width="24" customWidth="1" style="169" min="11" max="11"/>
    <col width="40" customWidth="1" style="169" min="12" max="12"/>
  </cols>
  <sheetData>
    <row r="1">
      <c r="A1" s="275" t="inlineStr">
        <is>
          <t>Табл./№</t>
        </is>
      </c>
      <c r="B1" s="275" t="inlineStr">
        <is>
          <t>Позиция ТЗ</t>
        </is>
      </c>
      <c r="C1" s="275" t="inlineStr">
        <is>
          <t>Кол-во</t>
        </is>
      </c>
      <c r="D1" s="275" t="inlineStr">
        <is>
          <t>Источник</t>
        </is>
      </c>
      <c r="E1" s="275" t="inlineStr">
        <is>
          <t>Поставщик / завод</t>
        </is>
      </c>
      <c r="F1" s="275" t="inlineStr">
        <is>
          <t>Контакт</t>
        </is>
      </c>
      <c r="G1" s="275" t="inlineStr">
        <is>
          <t>Изделие</t>
        </is>
      </c>
      <c r="H1" s="275" t="inlineStr">
        <is>
          <t>Изготовитель (как в реестре)</t>
        </is>
      </c>
      <c r="I1" s="275" t="inlineStr">
        <is>
          <t>№ записи ПП 719</t>
        </is>
      </c>
      <c r="J1" s="275" t="inlineStr">
        <is>
          <t>Действует до</t>
        </is>
      </c>
      <c r="K1" s="275" t="inlineStr">
        <is>
          <t>Проверка ТЗ</t>
        </is>
      </c>
      <c r="L1" s="275" t="inlineStr">
        <is>
          <t>Что запросить / согласовать</t>
        </is>
      </c>
    </row>
    <row r="2">
      <c r="A2" s="276" t="inlineStr">
        <is>
          <t>1.1/1</t>
        </is>
      </c>
      <c r="B2" s="276" t="inlineStr">
        <is>
          <t>Клапан предохранительный 17лс17нж Ду 200-300  Ру 16-6 полноподъемный пружинный фланцевый</t>
        </is>
      </c>
      <c r="C2" s="276" t="n">
        <v>1</v>
      </c>
      <c r="D2" s="276" t="inlineStr">
        <is>
          <t>завод вместо ДН.РУ</t>
        </is>
      </c>
      <c r="E2" s="276" t="inlineStr">
        <is>
          <t>АО «Благовещенский арматурный завод» (АО «БАЗ»)</t>
        </is>
      </c>
      <c r="F2" s="276" t="inlineStr">
        <is>
          <t>+7 (34766) 2-99-10, 2-99-11 baz@bazrb.ru</t>
        </is>
      </c>
      <c r="G2" s="276" t="inlineStr">
        <is>
          <t>СППК4Р 200-16 лс (17лс17нж), корпус 20ГЛ</t>
        </is>
      </c>
      <c r="H2" s="276" t="inlineStr">
        <is>
          <t>АО «Благовещенский арматурный завод» (ИНН 0258001489)</t>
        </is>
      </c>
      <c r="I2" s="276" t="inlineStr">
        <is>
          <t>10329690</t>
        </is>
      </c>
      <c r="J2" s="276" t="inlineStr">
        <is>
          <t>16.09.2030</t>
        </is>
      </c>
      <c r="K2" s="276" t="inlineStr">
        <is>
          <t>соответствует</t>
        </is>
      </c>
      <c r="L2" s="276" t="inlineStr">
        <is>
          <t>Подтвердить материалы седла/золотника/штока/пружины (20Х13/30Х13/20Х13/50ХФА), крышка ст.20.</t>
        </is>
      </c>
    </row>
    <row r="3">
      <c r="A3" s="276" t="inlineStr">
        <is>
          <t>1.1/2</t>
        </is>
      </c>
      <c r="B3" s="276" t="inlineStr">
        <is>
          <t>Клапан запорный 15нж65нж Ду 200 Ру 16</t>
        </is>
      </c>
      <c r="C3" s="276" t="n">
        <v>4</v>
      </c>
      <c r="D3" s="276" t="inlineStr">
        <is>
          <t>завод вместо ДН.РУ</t>
        </is>
      </c>
      <c r="E3" s="276" t="inlineStr">
        <is>
          <t>ООО «Восточная арматурная компания»</t>
        </is>
      </c>
      <c r="F3" s="276" t="inlineStr">
        <is>
          <t>+7 (347) 226-00-00 kontakt@vark.ru</t>
        </is>
      </c>
      <c r="G3" s="276" t="inlineStr">
        <is>
          <t>Клапаны запорные DN 10-400 мм, PN 0,6-50,0 МПа</t>
        </is>
      </c>
      <c r="H3" s="276" t="inlineStr">
        <is>
          <t>ООО «Восточная арматурная компания»</t>
        </is>
      </c>
      <c r="I3" s="276" t="inlineStr">
        <is>
          <t>10811565</t>
        </is>
      </c>
      <c r="J3" s="276" t="inlineStr">
        <is>
          <t>31.05.2031</t>
        </is>
      </c>
      <c r="K3" s="276" t="inlineStr">
        <is>
          <t>не проверено построчно</t>
        </is>
      </c>
      <c r="L3" s="276" t="inlineStr"/>
    </row>
    <row r="4">
      <c r="A4" s="276" t="inlineStr">
        <is>
          <t>1.1/3</t>
        </is>
      </c>
      <c r="B4" s="276" t="inlineStr">
        <is>
          <t>Клапан запорный15нж65нж Ду 50 Ру 16</t>
        </is>
      </c>
      <c r="C4" s="276" t="n">
        <v>3</v>
      </c>
      <c r="D4" s="276" t="inlineStr">
        <is>
          <t>завод вместо ДН.РУ</t>
        </is>
      </c>
      <c r="E4" s="276" t="inlineStr">
        <is>
          <t>ООО «Восточная арматурная компания»</t>
        </is>
      </c>
      <c r="F4" s="276" t="inlineStr">
        <is>
          <t>+7 (347) 226-00-00 kontakt@vark.ru</t>
        </is>
      </c>
      <c r="G4" s="276" t="inlineStr">
        <is>
          <t>Клапаны запорные DN 10-400 мм, PN 0,6-50,0 МПа</t>
        </is>
      </c>
      <c r="H4" s="276" t="inlineStr">
        <is>
          <t>ООО «Восточная арматурная компания»</t>
        </is>
      </c>
      <c r="I4" s="276" t="inlineStr">
        <is>
          <t>10811565</t>
        </is>
      </c>
      <c r="J4" s="276" t="inlineStr">
        <is>
          <t>31.05.2031</t>
        </is>
      </c>
      <c r="K4" s="276" t="inlineStr">
        <is>
          <t>не проверено построчно</t>
        </is>
      </c>
      <c r="L4" s="276" t="inlineStr"/>
    </row>
    <row r="5">
      <c r="A5" s="276" t="inlineStr">
        <is>
          <t>1.1/4</t>
        </is>
      </c>
      <c r="B5" s="276" t="inlineStr">
        <is>
          <t>Клапан запорный15с52нж11 Ду 32 Ру 63 под приварку</t>
        </is>
      </c>
      <c r="C5" s="276" t="n">
        <v>12</v>
      </c>
      <c r="D5" s="276" t="inlineStr">
        <is>
          <t>завод вместо ДН.РУ</t>
        </is>
      </c>
      <c r="E5" s="276" t="inlineStr">
        <is>
          <t>ООО «Восточная арматурная компания»</t>
        </is>
      </c>
      <c r="F5" s="276" t="inlineStr">
        <is>
          <t>+7 (347) 226-00-00 kontakt@vark.ru</t>
        </is>
      </c>
      <c r="G5" s="276" t="inlineStr">
        <is>
          <t>Клапаны запорные DN 10-400 мм, PN 0,6-50,0 МПа</t>
        </is>
      </c>
      <c r="H5" s="276" t="inlineStr">
        <is>
          <t>ООО «Восточная арматурная компания»</t>
        </is>
      </c>
      <c r="I5" s="276" t="inlineStr">
        <is>
          <t>10811565</t>
        </is>
      </c>
      <c r="J5" s="276" t="inlineStr">
        <is>
          <t>31.05.2031</t>
        </is>
      </c>
      <c r="K5" s="276" t="inlineStr">
        <is>
          <t>не проверено построчно</t>
        </is>
      </c>
      <c r="L5" s="276" t="inlineStr"/>
    </row>
    <row r="6">
      <c r="A6" s="276" t="inlineStr">
        <is>
          <t>1.1/5</t>
        </is>
      </c>
      <c r="B6" s="276" t="inlineStr">
        <is>
          <t>Задвижка 30нж41нж Ду 150 Ру 16 1исп. САЗ</t>
        </is>
      </c>
      <c r="C6" s="276" t="n">
        <v>1</v>
      </c>
      <c r="D6" s="276" t="inlineStr">
        <is>
          <t>завод вместо ДН.РУ</t>
        </is>
      </c>
      <c r="E6" s="276" t="inlineStr">
        <is>
          <t>ООО «Пермский трубопроводный завод» (ООО «ПТЗ»)</t>
        </is>
      </c>
      <c r="F6" s="276" t="inlineStr">
        <is>
          <t>+7 (342) 270-07-34 sales@ptza.ru</t>
        </is>
      </c>
      <c r="G6" s="276" t="inlineStr">
        <is>
          <t>30нж41нж Ду150 PN16 (ПТЗ)</t>
        </is>
      </c>
      <c r="H6" s="276" t="inlineStr">
        <is>
          <t>ООО «Пермский трубопроводный завод» (ИНН 5904173655)</t>
        </is>
      </c>
      <c r="I6" s="276" t="inlineStr">
        <is>
          <t>10698940</t>
        </is>
      </c>
      <c r="J6" s="276" t="inlineStr">
        <is>
          <t>17.02.2031</t>
        </is>
      </c>
      <c r="K6" s="276" t="inlineStr">
        <is>
          <t>соответствует</t>
        </is>
      </c>
      <c r="L6" s="276" t="inlineStr">
        <is>
          <t>Подтвердить комплектацию материалов по ТЗ (шпиндель 12Х18Н9Т, шпильки 45Х14Н14В2М, ТРГ, паронит ПМБ); «1 исп. САЗ» — ПТЗ не САЗ, конструкция-аналог.</t>
        </is>
      </c>
    </row>
    <row r="7">
      <c r="A7" s="276" t="inlineStr">
        <is>
          <t>1.1/6</t>
        </is>
      </c>
      <c r="B7" s="276" t="inlineStr">
        <is>
          <t>Задвижка 30нж947нж Ду 1000 Ру 4</t>
        </is>
      </c>
      <c r="C7" s="276" t="n">
        <v>1</v>
      </c>
      <c r="D7" s="276" t="inlineStr">
        <is>
          <t>завод (новый запрос КП)</t>
        </is>
      </c>
      <c r="E7" s="276" t="inlineStr">
        <is>
          <t>ООО «Челябинский завод трубопроводной арматуры» (ООО «ЧЗТА», бренд «ЧЗТА АРМАКОМ»)</t>
        </is>
      </c>
      <c r="F7" s="276" t="inlineStr">
        <is>
          <t>+7 (351) 215-53-33 zakaz@chzta.ru</t>
        </is>
      </c>
      <c r="G7" s="276" t="inlineStr"/>
      <c r="H7" s="276" t="inlineStr">
        <is>
          <t>ООО «Челябинский завод трубопроводной арматуры»</t>
        </is>
      </c>
      <c r="I7" s="276" t="inlineStr"/>
      <c r="J7" s="276" t="inlineStr"/>
      <c r="K7" s="276" t="inlineStr">
        <is>
          <t>не проверено построчно</t>
        </is>
      </c>
      <c r="L7" s="276" t="inlineStr">
        <is>
          <t>№ реестровой записи</t>
        </is>
      </c>
    </row>
    <row r="8">
      <c r="A8" s="276" t="inlineStr">
        <is>
          <t>1.1/7</t>
        </is>
      </c>
      <c r="B8" s="276" t="inlineStr">
        <is>
          <t>Задвижка 30с41нж Ду 50 Ру 16</t>
        </is>
      </c>
      <c r="C8" s="276" t="n">
        <v>10</v>
      </c>
      <c r="D8" s="276" t="inlineStr">
        <is>
          <t>завод вместо ДН.РУ</t>
        </is>
      </c>
      <c r="E8" s="276" t="inlineStr">
        <is>
          <t>ООО «Пермский трубопроводный завод» (ООО «ПТЗ»)</t>
        </is>
      </c>
      <c r="F8" s="276" t="inlineStr">
        <is>
          <t>+7 (342) 270-07-34 sales@ptza.ru</t>
        </is>
      </c>
      <c r="G8" s="276" t="inlineStr">
        <is>
          <t>30с41нж Ду50 PN16 (ПТЗ)</t>
        </is>
      </c>
      <c r="H8" s="276" t="inlineStr">
        <is>
          <t>ООО «Пермский трубопроводный завод» (ИНН 5904173655)</t>
        </is>
      </c>
      <c r="I8" s="276" t="inlineStr">
        <is>
          <t>10698940</t>
        </is>
      </c>
      <c r="J8" s="276" t="inlineStr">
        <is>
          <t>17.02.2031</t>
        </is>
      </c>
      <c r="K8" s="276" t="inlineStr">
        <is>
          <t>эквивалент — согласовать</t>
        </is>
      </c>
      <c r="L8" s="276" t="inlineStr">
        <is>
          <t>Подтвердить: шпиндель 20Х13, наплавка 20Х13 (или 07Х25Н13 где указано), ТРГ.</t>
        </is>
      </c>
    </row>
    <row r="9">
      <c r="A9" s="276" t="inlineStr">
        <is>
          <t>1.1/8</t>
        </is>
      </c>
      <c r="B9" s="276" t="inlineStr">
        <is>
          <t>Задвижка 30с41нж Ду 100 Ру 16</t>
        </is>
      </c>
      <c r="C9" s="276" t="n">
        <v>7</v>
      </c>
      <c r="D9" s="276" t="inlineStr">
        <is>
          <t>завод вместо ДН.РУ</t>
        </is>
      </c>
      <c r="E9" s="276" t="inlineStr">
        <is>
          <t>ООО «Пермский трубопроводный завод» (ООО «ПТЗ»)</t>
        </is>
      </c>
      <c r="F9" s="276" t="inlineStr">
        <is>
          <t>+7 (342) 270-07-34 sales@ptza.ru</t>
        </is>
      </c>
      <c r="G9" s="276" t="inlineStr">
        <is>
          <t>30с41нж Ду100 PN16 (ПТЗ)</t>
        </is>
      </c>
      <c r="H9" s="276" t="inlineStr">
        <is>
          <t>ООО «Пермский трубопроводный завод» (ИНН 5904173655)</t>
        </is>
      </c>
      <c r="I9" s="276" t="inlineStr">
        <is>
          <t>10698940</t>
        </is>
      </c>
      <c r="J9" s="276" t="inlineStr">
        <is>
          <t>17.02.2031</t>
        </is>
      </c>
      <c r="K9" s="276" t="inlineStr">
        <is>
          <t>соответствует</t>
        </is>
      </c>
      <c r="L9" s="276" t="inlineStr">
        <is>
          <t>Подтвердить: шпиндель 20Х13, наплавка 20Х13 (или 07Х25Н13 где указано), ТРГ.</t>
        </is>
      </c>
    </row>
    <row r="10">
      <c r="A10" s="276" t="inlineStr">
        <is>
          <t>1.1/9</t>
        </is>
      </c>
      <c r="B10" s="276" t="inlineStr">
        <is>
          <t>Задвижка 30с41нж Ду 150 Ру 16</t>
        </is>
      </c>
      <c r="C10" s="276" t="n">
        <v>10</v>
      </c>
      <c r="D10" s="276" t="inlineStr">
        <is>
          <t>завод вместо ДН.РУ</t>
        </is>
      </c>
      <c r="E10" s="276" t="inlineStr">
        <is>
          <t>ООО «Пермский трубопроводный завод» (ООО «ПТЗ»)</t>
        </is>
      </c>
      <c r="F10" s="276" t="inlineStr">
        <is>
          <t>+7 (342) 270-07-34 sales@ptza.ru</t>
        </is>
      </c>
      <c r="G10" s="276" t="inlineStr">
        <is>
          <t>30с41нж Ду150 PN16 (ПТЗ)</t>
        </is>
      </c>
      <c r="H10" s="276" t="inlineStr">
        <is>
          <t>ООО «Пермский трубопроводный завод» (ИНН 5904173655)</t>
        </is>
      </c>
      <c r="I10" s="276" t="inlineStr">
        <is>
          <t>10698940</t>
        </is>
      </c>
      <c r="J10" s="276" t="inlineStr">
        <is>
          <t>17.02.2031</t>
        </is>
      </c>
      <c r="K10" s="276" t="inlineStr">
        <is>
          <t>соответствует</t>
        </is>
      </c>
      <c r="L10" s="276" t="inlineStr">
        <is>
          <t>Подтвердить: шпиндель 20Х13, наплавка 20Х13 (или 07Х25Н13 где указано), ТРГ.</t>
        </is>
      </c>
    </row>
    <row r="11">
      <c r="A11" s="276" t="inlineStr">
        <is>
          <t>1.1/10</t>
        </is>
      </c>
      <c r="B11" s="276" t="inlineStr">
        <is>
          <t>Задвижка клиновая фланцевая 30с41нж Ду 300 Ру 16 с КОФ</t>
        </is>
      </c>
      <c r="C11" s="276" t="n">
        <v>2</v>
      </c>
      <c r="D11" s="276" t="inlineStr">
        <is>
          <t>завод вместо ДН.РУ</t>
        </is>
      </c>
      <c r="E11" s="276" t="inlineStr">
        <is>
          <t>ООО «Пермский трубопроводный завод» (ООО «ПТЗ»)</t>
        </is>
      </c>
      <c r="F11" s="276" t="inlineStr">
        <is>
          <t>+7 (342) 270-07-34 sales@ptza.ru</t>
        </is>
      </c>
      <c r="G11" s="276" t="inlineStr">
        <is>
          <t>30с41нж Ду300 PN16 (ПТЗ)</t>
        </is>
      </c>
      <c r="H11" s="276" t="inlineStr">
        <is>
          <t>ООО «Пермский трубопроводный завод» (ИНН 5904173655)</t>
        </is>
      </c>
      <c r="I11" s="276" t="inlineStr">
        <is>
          <t>10698940</t>
        </is>
      </c>
      <c r="J11" s="276" t="inlineStr">
        <is>
          <t>17.02.2031</t>
        </is>
      </c>
      <c r="K11" s="276" t="inlineStr">
        <is>
          <t>соответствует</t>
        </is>
      </c>
      <c r="L11" s="276" t="inlineStr">
        <is>
          <t>Подтвердить: шпиндель 20Х13, наплавка 20Х13 (или 07Х25Н13 где указано), ТРГ.</t>
        </is>
      </c>
    </row>
    <row r="12">
      <c r="A12" s="276" t="inlineStr">
        <is>
          <t>1.1/11</t>
        </is>
      </c>
      <c r="B12" s="276" t="inlineStr">
        <is>
          <t>Задвижка 30С576НЖ Ду 300 Ру 63 с редуктором РК-Г-1М, в комплекте с крепежом и ответными фланцами.</t>
        </is>
      </c>
      <c r="C12" s="276" t="n">
        <v>2</v>
      </c>
      <c r="D12" s="276" t="inlineStr">
        <is>
          <t>завод вместо ДН.РУ</t>
        </is>
      </c>
      <c r="E12" s="276" t="inlineStr">
        <is>
          <t>АО «Благовещенский арматурный завод» (АО «БАЗ»)</t>
        </is>
      </c>
      <c r="F12" s="276" t="inlineStr">
        <is>
          <t>+7 (34766) 2-99-10, 2-99-11 baz@bazrb.ru</t>
        </is>
      </c>
      <c r="G12" s="276" t="inlineStr">
        <is>
          <t>Задвижки клиновые ЗК DN 50-800 PN 1,6-32,0 МПа</t>
        </is>
      </c>
      <c r="H12" s="276" t="inlineStr">
        <is>
          <t>АО «Благовещенский арматурный завод»</t>
        </is>
      </c>
      <c r="I12" s="276" t="inlineStr">
        <is>
          <t>10306806</t>
        </is>
      </c>
      <c r="J12" s="276" t="inlineStr">
        <is>
          <t>31.08.2028</t>
        </is>
      </c>
      <c r="K12" s="276" t="inlineStr">
        <is>
          <t>не проверено построчно</t>
        </is>
      </c>
      <c r="L12" s="276" t="inlineStr"/>
    </row>
    <row r="13">
      <c r="A13" s="276" t="inlineStr">
        <is>
          <t>1.1/12</t>
        </is>
      </c>
      <c r="B13" s="276" t="inlineStr">
        <is>
          <t>Задвижка клиновая фланцевая 30с941нж Ду 500 Ру 16 с КОФ под электропривод Bernard ST-30</t>
        </is>
      </c>
      <c r="C13" s="276" t="n">
        <v>1</v>
      </c>
      <c r="D13" s="276" t="inlineStr">
        <is>
          <t>завод вместо ДН.РУ</t>
        </is>
      </c>
      <c r="E13" s="276" t="inlineStr">
        <is>
          <t>ООО «Пермский трубопроводный завод» (ООО «ПТЗ»)</t>
        </is>
      </c>
      <c r="F13" s="276" t="inlineStr">
        <is>
          <t>+7 (342) 270-07-34 sales@ptza.ru</t>
        </is>
      </c>
      <c r="G13" s="276" t="inlineStr">
        <is>
          <t>30с941нж Ду500 PN16 под электропривод (ПТЗ)</t>
        </is>
      </c>
      <c r="H13" s="276" t="inlineStr">
        <is>
          <t>ООО «Пермский трубопроводный завод» (ИНН 5904173655)</t>
        </is>
      </c>
      <c r="I13" s="276" t="inlineStr">
        <is>
          <t>10698940</t>
        </is>
      </c>
      <c r="J13" s="276" t="inlineStr">
        <is>
          <t>17.02.2031</t>
        </is>
      </c>
      <c r="K13" s="276" t="inlineStr">
        <is>
          <t>не подтверждено</t>
        </is>
      </c>
      <c r="L13" s="276" t="inlineStr">
        <is>
          <t>Подтвердить поставку без привода с фланцем F16 под Bernard ST-30, КОФ, материалы (шпиндель 20Х13, гайка ЛС59-1).</t>
        </is>
      </c>
    </row>
    <row r="14">
      <c r="A14" s="276" t="inlineStr">
        <is>
          <t>1.1/13</t>
        </is>
      </c>
      <c r="B14" s="276" t="inlineStr">
        <is>
          <t>Задвижка 30с964нж Ду 300 Ру 25</t>
        </is>
      </c>
      <c r="C14" s="276" t="n">
        <v>1</v>
      </c>
      <c r="D14" s="276" t="inlineStr">
        <is>
          <t>завод вместо ДН.РУ</t>
        </is>
      </c>
      <c r="E14" s="276" t="inlineStr">
        <is>
          <t>ООО «Пермский трубопроводный завод» (ООО «ПТЗ»)</t>
        </is>
      </c>
      <c r="F14" s="276" t="inlineStr">
        <is>
          <t>+7 (342) 270-07-34 sales@ptza.ru</t>
        </is>
      </c>
      <c r="G14" s="276" t="inlineStr">
        <is>
          <t>30с964нж Ду300 PN25 (ПТЗ)</t>
        </is>
      </c>
      <c r="H14" s="276" t="inlineStr">
        <is>
          <t>ООО «Пермский трубопроводный завод» (ИНН 5904173655)</t>
        </is>
      </c>
      <c r="I14" s="276" t="inlineStr">
        <is>
          <t>10698940</t>
        </is>
      </c>
      <c r="J14" s="276" t="inlineStr">
        <is>
          <t>17.02.2031</t>
        </is>
      </c>
      <c r="K14" s="276" t="inlineStr">
        <is>
          <t>не подтверждено</t>
        </is>
      </c>
      <c r="L14" s="276" t="inlineStr">
        <is>
          <t>Запросить исполнение с концами под приварку и фланцем тип В под Н-В-02; класс А.</t>
        </is>
      </c>
    </row>
    <row r="15">
      <c r="A15" s="276" t="inlineStr">
        <is>
          <t>1.1/14</t>
        </is>
      </c>
      <c r="B15" s="276" t="inlineStr">
        <is>
          <t>Кран шаровой 11б27п1 Ду 15 Ру 16</t>
        </is>
      </c>
      <c r="C15" s="276" t="n">
        <v>35</v>
      </c>
      <c r="D15" s="276" t="inlineStr">
        <is>
          <t>завод (новый запрос КП)</t>
        </is>
      </c>
      <c r="E15" s="276" t="inlineStr">
        <is>
          <t>ООО «ЧелябинскСпецГражданСтрой» / ЛД Прайд (Группа компаний «ЛД», ТМ LD, LD Pride); продажи — ООО «ТД «ЛД»</t>
        </is>
      </c>
      <c r="F15" s="276" t="inlineStr">
        <is>
          <t>+7 (351) 730-47-47 office@chsgs.ru</t>
        </is>
      </c>
      <c r="G15" s="276" t="inlineStr">
        <is>
          <t>LD Pride 47 Ду15 ВР-ВР рычаг (латунь ЛС59-1)</t>
        </is>
      </c>
      <c r="H15" s="276" t="inlineStr">
        <is>
          <t>ООО «ЛД Прайд» (ИНН 7449114775)</t>
        </is>
      </c>
      <c r="I15" s="276" t="inlineStr">
        <is>
          <t>10826766</t>
        </is>
      </c>
      <c r="J15" s="276" t="inlineStr">
        <is>
          <t>04.05.2031</t>
        </is>
      </c>
      <c r="K15" s="276" t="inlineStr">
        <is>
          <t>не подтверждено</t>
        </is>
      </c>
      <c r="L15" s="276" t="inlineStr">
        <is>
          <t>Подтвердить полный проход, исполнение У1 (для улицы), применимость на пар (где указан).</t>
        </is>
      </c>
    </row>
    <row r="16">
      <c r="A16" s="276" t="inlineStr">
        <is>
          <t>1.1/15</t>
        </is>
      </c>
      <c r="B16" s="276" t="inlineStr">
        <is>
          <t>Кран шаровой 11б27п1 Ду 20 Ру 16</t>
        </is>
      </c>
      <c r="C16" s="276" t="n">
        <v>35</v>
      </c>
      <c r="D16" s="276" t="inlineStr">
        <is>
          <t>завод (новый запрос КП)</t>
        </is>
      </c>
      <c r="E16" s="276" t="inlineStr">
        <is>
          <t>ООО «ЧелябинскСпецГражданСтрой» / ЛД Прайд (Группа компаний «ЛД», ТМ LD, LD Pride); продажи — ООО «ТД «ЛД»</t>
        </is>
      </c>
      <c r="F16" s="276" t="inlineStr">
        <is>
          <t>+7 (351) 730-47-47 office@chsgs.ru</t>
        </is>
      </c>
      <c r="G16" s="276" t="inlineStr">
        <is>
          <t>LD Pride 47 Ду20 ВР-ВР рычаг (латунь ЛС59-1)</t>
        </is>
      </c>
      <c r="H16" s="276" t="inlineStr">
        <is>
          <t>ООО «ЛД Прайд» (ИНН 7449114775)</t>
        </is>
      </c>
      <c r="I16" s="276" t="inlineStr">
        <is>
          <t>10826766</t>
        </is>
      </c>
      <c r="J16" s="276" t="inlineStr">
        <is>
          <t>04.05.2031</t>
        </is>
      </c>
      <c r="K16" s="276" t="inlineStr">
        <is>
          <t>не подтверждено</t>
        </is>
      </c>
      <c r="L16" s="276" t="inlineStr">
        <is>
          <t>Подтвердить полный проход, исполнение У1 (для улицы), применимость на пар (где указан).</t>
        </is>
      </c>
    </row>
    <row r="17">
      <c r="A17" s="276" t="inlineStr">
        <is>
          <t>1.1/16</t>
        </is>
      </c>
      <c r="B17" s="276" t="inlineStr">
        <is>
          <t>Кран шаровой 11б27п1 Ду 25 Ру 16</t>
        </is>
      </c>
      <c r="C17" s="276" t="n">
        <v>20</v>
      </c>
      <c r="D17" s="276" t="inlineStr">
        <is>
          <t>завод (новый запрос КП)</t>
        </is>
      </c>
      <c r="E17" s="276" t="inlineStr">
        <is>
          <t>ООО «ЧелябинскСпецГражданСтрой» / ЛД Прайд (Группа компаний «ЛД», ТМ LD, LD Pride); продажи — ООО «ТД «ЛД»</t>
        </is>
      </c>
      <c r="F17" s="276" t="inlineStr">
        <is>
          <t>+7 (351) 730-47-47 office@chsgs.ru</t>
        </is>
      </c>
      <c r="G17" s="276" t="inlineStr">
        <is>
          <t>LD Pride 47 Ду25 ВР-ВР рычаг (латунь ЛС59-1)</t>
        </is>
      </c>
      <c r="H17" s="276" t="inlineStr">
        <is>
          <t>ООО «ЛД Прайд» (ИНН 7449114775)</t>
        </is>
      </c>
      <c r="I17" s="276" t="inlineStr">
        <is>
          <t>10826766</t>
        </is>
      </c>
      <c r="J17" s="276" t="inlineStr">
        <is>
          <t>04.05.2031</t>
        </is>
      </c>
      <c r="K17" s="276" t="inlineStr">
        <is>
          <t>не подтверждено</t>
        </is>
      </c>
      <c r="L17" s="276" t="inlineStr">
        <is>
          <t>Подтвердить полный проход, исполнение У1 (для улицы), применимость на пар (где указан).</t>
        </is>
      </c>
    </row>
    <row r="18">
      <c r="A18" s="276" t="inlineStr">
        <is>
          <t>1.1/17</t>
        </is>
      </c>
      <c r="B18" s="276" t="inlineStr">
        <is>
          <t>Кран шаровой 11б27п1 Ду 32 Ру 16</t>
        </is>
      </c>
      <c r="C18" s="276" t="n">
        <v>25</v>
      </c>
      <c r="D18" s="276" t="inlineStr">
        <is>
          <t>завод (новый запрос КП)</t>
        </is>
      </c>
      <c r="E18" s="276" t="inlineStr">
        <is>
          <t>ООО «ЧелябинскСпецГражданСтрой» / ЛД Прайд (Группа компаний «ЛД», ТМ LD, LD Pride); продажи — ООО «ТД «ЛД»</t>
        </is>
      </c>
      <c r="F18" s="276" t="inlineStr">
        <is>
          <t>+7 (351) 730-47-47 office@chsgs.ru</t>
        </is>
      </c>
      <c r="G18" s="276" t="inlineStr">
        <is>
          <t>LD Pride 47 Ду32 ВР-ВР рычаг (латунь ЛС59-1)</t>
        </is>
      </c>
      <c r="H18" s="276" t="inlineStr">
        <is>
          <t>ООО «ЛД Прайд» (ИНН 7449114775)</t>
        </is>
      </c>
      <c r="I18" s="276" t="inlineStr">
        <is>
          <t>10826766</t>
        </is>
      </c>
      <c r="J18" s="276" t="inlineStr">
        <is>
          <t>04.05.2031</t>
        </is>
      </c>
      <c r="K18" s="276" t="inlineStr">
        <is>
          <t>не подтверждено</t>
        </is>
      </c>
      <c r="L18" s="276" t="inlineStr">
        <is>
          <t>Подтвердить полный проход, исполнение У1 (для улицы), применимость на пар (где указан).</t>
        </is>
      </c>
    </row>
    <row r="19">
      <c r="A19" s="276" t="inlineStr">
        <is>
          <t>1.1/18</t>
        </is>
      </c>
      <c r="B19" s="276" t="inlineStr">
        <is>
          <t>Кран шаровой 11б27п1 Ду 40 Ру 16</t>
        </is>
      </c>
      <c r="C19" s="276" t="n">
        <v>8</v>
      </c>
      <c r="D19" s="276" t="inlineStr">
        <is>
          <t>завод (новый запрос КП)</t>
        </is>
      </c>
      <c r="E19" s="276" t="inlineStr">
        <is>
          <t>ООО «ЧелябинскСпецГражданСтрой» / ЛД Прайд (Группа компаний «ЛД», ТМ LD, LD Pride); продажи — ООО «ТД «ЛД»</t>
        </is>
      </c>
      <c r="F19" s="276" t="inlineStr">
        <is>
          <t>+7 (351) 730-47-47 office@chsgs.ru</t>
        </is>
      </c>
      <c r="G19" s="276" t="inlineStr">
        <is>
          <t>LD Pride 47 Ду40 ВР-ВР рычаг (латунь ЛС59-1)</t>
        </is>
      </c>
      <c r="H19" s="276" t="inlineStr">
        <is>
          <t>ООО «ЛД Прайд» (ИНН 7449114775)</t>
        </is>
      </c>
      <c r="I19" s="276" t="inlineStr">
        <is>
          <t>10826766</t>
        </is>
      </c>
      <c r="J19" s="276" t="inlineStr">
        <is>
          <t>04.05.2031</t>
        </is>
      </c>
      <c r="K19" s="276" t="inlineStr">
        <is>
          <t>не подтверждено</t>
        </is>
      </c>
      <c r="L19" s="276" t="inlineStr">
        <is>
          <t>Подтвердить полный проход, исполнение У1 (для улицы), применимость на пар (где указан).</t>
        </is>
      </c>
    </row>
    <row r="20">
      <c r="A20" s="276" t="inlineStr">
        <is>
          <t>1.1/19</t>
        </is>
      </c>
      <c r="B20" s="276" t="inlineStr">
        <is>
          <t>Кран шаровой 11б27п1 Ду 50 Ру 16</t>
        </is>
      </c>
      <c r="C20" s="276" t="n">
        <v>8</v>
      </c>
      <c r="D20" s="276" t="inlineStr">
        <is>
          <t>завод (новый запрос КП)</t>
        </is>
      </c>
      <c r="E20" s="276" t="inlineStr">
        <is>
          <t>ООО «ЧелябинскСпецГражданСтрой» / ЛД Прайд (Группа компаний «ЛД», ТМ LD, LD Pride); продажи — ООО «ТД «ЛД»</t>
        </is>
      </c>
      <c r="F20" s="276" t="inlineStr">
        <is>
          <t>+7 (351) 730-47-47 office@chsgs.ru</t>
        </is>
      </c>
      <c r="G20" s="276" t="inlineStr">
        <is>
          <t>LD Pride 47 Ду50 ВР-ВР рычаг (латунь ЛС59-1)</t>
        </is>
      </c>
      <c r="H20" s="276" t="inlineStr">
        <is>
          <t>ООО «ЛД Прайд» (ИНН 7449114775)</t>
        </is>
      </c>
      <c r="I20" s="276" t="inlineStr">
        <is>
          <t>10826766</t>
        </is>
      </c>
      <c r="J20" s="276" t="inlineStr">
        <is>
          <t>04.05.2031</t>
        </is>
      </c>
      <c r="K20" s="276" t="inlineStr">
        <is>
          <t>не подтверждено</t>
        </is>
      </c>
      <c r="L20" s="276" t="inlineStr">
        <is>
          <t>Подтвердить полный проход, исполнение У1 (для улицы), применимость на пар (где указан).</t>
        </is>
      </c>
    </row>
    <row r="21">
      <c r="A21" s="276" t="inlineStr">
        <is>
          <t>1.1/20</t>
        </is>
      </c>
      <c r="B21" s="276" t="inlineStr">
        <is>
          <t>Кран шаровой 11с67п Ду 150 Ру 25 цельносварной под приварку</t>
        </is>
      </c>
      <c r="C21" s="276" t="n">
        <v>2</v>
      </c>
      <c r="D21" s="276" t="inlineStr">
        <is>
          <t>завод (новый запрос КП)</t>
        </is>
      </c>
      <c r="E21" s="276" t="inlineStr">
        <is>
          <t>ООО «ЧелябинскСпецГражданСтрой» / ЛД Прайд (Группа компаний «ЛД», ТМ LD, LD Pride); продажи — ООО «ТД «ЛД»</t>
        </is>
      </c>
      <c r="F21" s="276" t="inlineStr">
        <is>
          <t>+7 (351) 730-47-47 office@chsgs.ru</t>
        </is>
      </c>
      <c r="G21" s="276" t="inlineStr">
        <is>
          <t>LD КШЦП (КШ.Ц.П) ст.20 Ду150 П/П PN2,5</t>
        </is>
      </c>
      <c r="H21" s="276" t="inlineStr">
        <is>
          <t>ООО «ЧелябинскСпецГражданСтрой» (ИНН 7451211335)</t>
        </is>
      </c>
      <c r="I21" s="276" t="inlineStr">
        <is>
          <t>10655491</t>
        </is>
      </c>
      <c r="J21" s="276" t="inlineStr">
        <is>
          <t>30.06.2028</t>
        </is>
      </c>
      <c r="K21" s="276" t="inlineStr">
        <is>
          <t>не подтверждено</t>
        </is>
      </c>
      <c r="L21" s="276" t="inlineStr">
        <is>
          <t>Подтвердить письменно применимость на газ/пар при Т по ТЗ.</t>
        </is>
      </c>
    </row>
    <row r="22">
      <c r="A22" s="276" t="inlineStr">
        <is>
          <t>1.1/21</t>
        </is>
      </c>
      <c r="B22" s="276" t="inlineStr">
        <is>
          <t>Кран шаровой 11с67п Ду 200 Ру 16 ЦУФ.001 КШ укороченный полнопроходной фланцевый с рукояткой</t>
        </is>
      </c>
      <c r="C22" s="276" t="n">
        <v>2</v>
      </c>
      <c r="D22" s="276" t="inlineStr">
        <is>
          <t>НЕ ЗАКРЫТО</t>
        </is>
      </c>
      <c r="E22" s="276" t="inlineStr"/>
      <c r="F22" s="276" t="inlineStr"/>
      <c r="G22" s="276" t="inlineStr"/>
      <c r="H22" s="276" t="inlineStr"/>
      <c r="I22" s="276" t="inlineStr"/>
      <c r="J22" s="276" t="inlineStr"/>
      <c r="K22" s="276" t="inlineStr">
        <is>
          <t>нет поставщика с записью ПП 719 и соответствием ТЗ</t>
        </is>
      </c>
      <c r="L22" s="276" t="inlineStr"/>
    </row>
    <row r="23">
      <c r="A23" s="276" t="inlineStr">
        <is>
          <t>1.1/22</t>
        </is>
      </c>
      <c r="B23" s="276" t="inlineStr">
        <is>
          <t>Затвор дисковый поворотный межфланцевый Stensel 31070-01 Ду 200 Ру 25</t>
        </is>
      </c>
      <c r="C23" s="276" t="n">
        <v>3</v>
      </c>
      <c r="D23" s="276" t="inlineStr">
        <is>
          <t>НЕ ЗАКРЫТО</t>
        </is>
      </c>
      <c r="E23" s="276" t="inlineStr"/>
      <c r="F23" s="276" t="inlineStr"/>
      <c r="G23" s="276" t="inlineStr"/>
      <c r="H23" s="276" t="inlineStr"/>
      <c r="I23" s="276" t="inlineStr"/>
      <c r="J23" s="276" t="inlineStr"/>
      <c r="K23" s="276" t="inlineStr">
        <is>
          <t>нет поставщика с записью ПП 719 и соответствием ТЗ</t>
        </is>
      </c>
      <c r="L23" s="276" t="inlineStr"/>
    </row>
    <row r="24">
      <c r="A24" s="276" t="inlineStr">
        <is>
          <t>1.1/23</t>
        </is>
      </c>
      <c r="B24" s="276" t="inlineStr">
        <is>
          <t>Затвор дисковый поворотный межфланцевый ПА954.450.10-05 Ду 450 Ру 10</t>
        </is>
      </c>
      <c r="C24" s="276" t="n">
        <v>1</v>
      </c>
      <c r="D24" s="276" t="inlineStr">
        <is>
          <t>НЕ ЗАКРЫТО</t>
        </is>
      </c>
      <c r="E24" s="276" t="inlineStr"/>
      <c r="F24" s="276" t="inlineStr"/>
      <c r="G24" s="276" t="inlineStr"/>
      <c r="H24" s="276" t="inlineStr"/>
      <c r="I24" s="276" t="inlineStr"/>
      <c r="J24" s="276" t="inlineStr"/>
      <c r="K24" s="276" t="inlineStr">
        <is>
          <t>нет поставщика с записью ПП 719 и соответствием ТЗ</t>
        </is>
      </c>
      <c r="L24" s="276" t="inlineStr"/>
    </row>
    <row r="25">
      <c r="A25" s="276" t="inlineStr">
        <is>
          <t>1.1/24</t>
        </is>
      </c>
      <c r="B25" s="276" t="inlineStr">
        <is>
          <t>Электропривод общепромышленный Н-В-02 У2</t>
        </is>
      </c>
      <c r="C25" s="276" t="n">
        <v>2</v>
      </c>
      <c r="D25" s="276" t="inlineStr">
        <is>
          <t>завод (новый запрос КП)</t>
        </is>
      </c>
      <c r="E25" s="276" t="inlineStr">
        <is>
          <t>АО «Тулаэлектропривод»</t>
        </is>
      </c>
      <c r="F25" s="276" t="inlineStr">
        <is>
          <t>+7 (4872) 72-47-16 td@tulaprivod.ru</t>
        </is>
      </c>
      <c r="G25" s="276" t="inlineStr"/>
      <c r="H25" s="276" t="inlineStr">
        <is>
          <t>АО «ПО «Тулаэлектропривод» (ИНН 7130025182)</t>
        </is>
      </c>
      <c r="I25" s="276" t="inlineStr">
        <is>
          <t>10612591</t>
        </is>
      </c>
      <c r="J25" s="276" t="inlineStr">
        <is>
          <t>12.02.2028</t>
        </is>
      </c>
      <c r="K25" s="276" t="inlineStr">
        <is>
          <t>не проверено построчно</t>
        </is>
      </c>
      <c r="L25" s="276" t="inlineStr"/>
    </row>
    <row r="26">
      <c r="A26" s="276" t="inlineStr">
        <is>
          <t>1.2/1</t>
        </is>
      </c>
      <c r="B26" s="276" t="inlineStr">
        <is>
          <t>Кран шаровой 11с67п Ду 32 Ру 25 цельносварной под приварку</t>
        </is>
      </c>
      <c r="C26" s="276" t="n">
        <v>2</v>
      </c>
      <c r="D26" s="276" t="inlineStr">
        <is>
          <t>завод (новый запрос КП)</t>
        </is>
      </c>
      <c r="E26" s="276" t="inlineStr">
        <is>
          <t>ООО «ЧелябинскСпецГражданСтрой» / ЛД Прайд (Группа компаний «ЛД», ТМ LD, LD Pride); продажи — ООО «ТД «ЛД»</t>
        </is>
      </c>
      <c r="F26" s="276" t="inlineStr">
        <is>
          <t>+7 (351) 730-47-47 office@chsgs.ru</t>
        </is>
      </c>
      <c r="G26" s="276" t="inlineStr">
        <is>
          <t>LD КШЦП (КШ.Ц.П) ст.20 Ду32 Н/П PN4,0</t>
        </is>
      </c>
      <c r="H26" s="276" t="inlineStr">
        <is>
          <t>ООО «ЧелябинскСпецГражданСтрой» (ИНН 7451211335)</t>
        </is>
      </c>
      <c r="I26" s="276" t="inlineStr">
        <is>
          <t>10655491</t>
        </is>
      </c>
      <c r="J26" s="276" t="inlineStr">
        <is>
          <t>30.06.2028</t>
        </is>
      </c>
      <c r="K26" s="276" t="inlineStr">
        <is>
          <t>не подтверждено</t>
        </is>
      </c>
      <c r="L26" s="276" t="inlineStr">
        <is>
          <t>Подтвердить письменно применимость на газ/пар при Т по ТЗ.</t>
        </is>
      </c>
    </row>
    <row r="27">
      <c r="A27" s="276" t="inlineStr">
        <is>
          <t>1.2/2</t>
        </is>
      </c>
      <c r="B27" s="276" t="inlineStr">
        <is>
          <t>Кран шаровой 11с67п Ду 100 Ру 25 цельносварной под приварку</t>
        </is>
      </c>
      <c r="C27" s="276" t="n">
        <v>4</v>
      </c>
      <c r="D27" s="276" t="inlineStr">
        <is>
          <t>НЕ ЗАКРЫТО</t>
        </is>
      </c>
      <c r="E27" s="276" t="inlineStr"/>
      <c r="F27" s="276" t="inlineStr"/>
      <c r="G27" s="276" t="inlineStr"/>
      <c r="H27" s="276" t="inlineStr"/>
      <c r="I27" s="276" t="inlineStr"/>
      <c r="J27" s="276" t="inlineStr"/>
      <c r="K27" s="276" t="inlineStr">
        <is>
          <t>нет поставщика с записью ПП 719 и соответствием ТЗ</t>
        </is>
      </c>
      <c r="L27" s="276" t="inlineStr"/>
    </row>
    <row r="28">
      <c r="A28" s="276" t="inlineStr">
        <is>
          <t>1.2/3</t>
        </is>
      </c>
      <c r="B28" s="276" t="inlineStr">
        <is>
          <t>Кран шаровой 11с67п Ду 50 Ру 25 полнопрох. с КОФ (КЗШС41нж)</t>
        </is>
      </c>
      <c r="C28" s="276" t="n">
        <v>18</v>
      </c>
      <c r="D28" s="276" t="inlineStr">
        <is>
          <t>завод (новый запрос КП)</t>
        </is>
      </c>
      <c r="E28" s="276" t="inlineStr">
        <is>
          <t>ООО «ЧелябинскСпецГражданСтрой» / ЛД Прайд (Группа компаний «ЛД», ТМ LD, LD Pride); продажи — ООО «ТД «ЛД»</t>
        </is>
      </c>
      <c r="F28" s="276" t="inlineStr">
        <is>
          <t>+7 (351) 730-47-47 office@chsgs.ru</t>
        </is>
      </c>
      <c r="G28" s="276" t="inlineStr">
        <is>
          <t>LD КШЦФ ст.20 Ду50 П/П PN4,0 с КОФ</t>
        </is>
      </c>
      <c r="H28" s="276" t="inlineStr">
        <is>
          <t>ООО «ЧелябинскСпецГражданСтрой» (ИНН 7451211335)</t>
        </is>
      </c>
      <c r="I28" s="276" t="inlineStr">
        <is>
          <t>10655491</t>
        </is>
      </c>
      <c r="J28" s="276" t="inlineStr">
        <is>
          <t>30.06.2028</t>
        </is>
      </c>
      <c r="K28" s="276" t="inlineStr">
        <is>
          <t>соответствует</t>
        </is>
      </c>
      <c r="L28" s="276" t="inlineStr">
        <is>
          <t>Подтвердить поставку с КОФ.</t>
        </is>
      </c>
    </row>
    <row r="29">
      <c r="A29" s="276" t="inlineStr">
        <is>
          <t>1.2/4</t>
        </is>
      </c>
      <c r="B29" s="276" t="inlineStr">
        <is>
          <t>Кран шаровой 11с67п Ду 80 Ру 25 полнопрох. с КОФ (КЗШС41нж)</t>
        </is>
      </c>
      <c r="C29" s="276" t="n">
        <v>4</v>
      </c>
      <c r="D29" s="276" t="inlineStr">
        <is>
          <t>завод (новый запрос КП)</t>
        </is>
      </c>
      <c r="E29" s="276" t="inlineStr">
        <is>
          <t>ООО «ЧелябинскСпецГражданСтрой» / ЛД Прайд (Группа компаний «ЛД», ТМ LD, LD Pride); продажи — ООО «ТД «ЛД»</t>
        </is>
      </c>
      <c r="F29" s="276" t="inlineStr">
        <is>
          <t>+7 (351) 730-47-47 office@chsgs.ru</t>
        </is>
      </c>
      <c r="G29" s="276" t="inlineStr">
        <is>
          <t>LD КШЦФ ст.20 Ду80 П/П PN2,5 с КОФ</t>
        </is>
      </c>
      <c r="H29" s="276" t="inlineStr">
        <is>
          <t>ООО «ЧелябинскСпецГражданСтрой» (ИНН 7451211335)</t>
        </is>
      </c>
      <c r="I29" s="276" t="inlineStr">
        <is>
          <t>10655491</t>
        </is>
      </c>
      <c r="J29" s="276" t="inlineStr">
        <is>
          <t>30.06.2028</t>
        </is>
      </c>
      <c r="K29" s="276" t="inlineStr">
        <is>
          <t>соответствует</t>
        </is>
      </c>
      <c r="L29" s="276" t="inlineStr">
        <is>
          <t>Подтвердить поставку с КОФ.</t>
        </is>
      </c>
    </row>
    <row r="30">
      <c r="A30" s="276" t="inlineStr">
        <is>
          <t>1.2/5</t>
        </is>
      </c>
      <c r="B30" s="276" t="inlineStr">
        <is>
          <t>Кран шаровой 11с67п Ду 100 Ру 16 ЦУФ.001 КШ укороченный полнопроходной фланцевый с рукояткой</t>
        </is>
      </c>
      <c r="C30" s="276" t="n">
        <v>2</v>
      </c>
      <c r="D30" s="276" t="inlineStr">
        <is>
          <t>завод (новый запрос КП)</t>
        </is>
      </c>
      <c r="E30" s="276" t="inlineStr">
        <is>
          <t>ООО «ЧелябинскСпецГражданСтрой» / ЛД Прайд (Группа компаний «ЛД», ТМ LD, LD Pride); продажи — ООО «ТД «ЛД»</t>
        </is>
      </c>
      <c r="F30" s="276" t="inlineStr">
        <is>
          <t>+7 (351) 730-47-47 office@chsgs.ru</t>
        </is>
      </c>
      <c r="G30" s="276" t="inlineStr">
        <is>
          <t>LD 11с67п КШРФ Ду100 П/П PN16</t>
        </is>
      </c>
      <c r="H30" s="276" t="inlineStr">
        <is>
          <t>ООО «ЧелябинскСпецГражданСтрой» (ИНН 7451211335)</t>
        </is>
      </c>
      <c r="I30" s="276" t="inlineStr">
        <is>
          <t>10655491</t>
        </is>
      </c>
      <c r="J30" s="276" t="inlineStr">
        <is>
          <t>30.06.2028</t>
        </is>
      </c>
      <c r="K30" s="276" t="inlineStr">
        <is>
          <t>эквивалент — согласовать</t>
        </is>
      </c>
      <c r="L30" s="276" t="inlineStr"/>
    </row>
    <row r="31">
      <c r="A31" s="276" t="inlineStr">
        <is>
          <t>1.3/1</t>
        </is>
      </c>
      <c r="B31" s="276" t="inlineStr">
        <is>
          <t>Клапан регулирующий 25с947нж Ду 50 Ру 25 с ЭИМ</t>
        </is>
      </c>
      <c r="C31" s="276" t="n">
        <v>1</v>
      </c>
      <c r="D31" s="276" t="inlineStr">
        <is>
          <t>текущий поставщик (номера записи нет)</t>
        </is>
      </c>
      <c r="E31" s="276" t="inlineStr">
        <is>
          <t>ДН.РУ</t>
        </is>
      </c>
      <c r="F31" s="276" t="inlineStr">
        <is>
          <t>менеджер по счетам 819892/819896</t>
        </is>
      </c>
      <c r="G31" s="276" t="inlineStr">
        <is>
          <t>Клапан регулирующий Авангард КР 25с947нж Ду50 Ру25 односедельный неразгруженный, присоединение фланцевое, корпус - сталь 25Л, 1 шт уплотнение - металл</t>
        </is>
      </c>
      <c r="H31" s="276" t="inlineStr"/>
      <c r="I31" s="276" t="inlineStr"/>
      <c r="J31" s="276" t="inlineStr"/>
      <c r="K31" s="276" t="inlineStr">
        <is>
          <t>нет записи ПП 719 — не проходит нацрежим</t>
        </is>
      </c>
      <c r="L31" s="276" t="inlineStr">
        <is>
          <t>изготовитель и № записи ПП 719 или российская замена</t>
        </is>
      </c>
    </row>
    <row r="32">
      <c r="A32" s="276" t="inlineStr">
        <is>
          <t>1.3/2</t>
        </is>
      </c>
      <c r="B32" s="276" t="inlineStr">
        <is>
          <t>Клапан регулирующий 25ч945п Ду 15 Ру 16 с ЭИМ</t>
        </is>
      </c>
      <c r="C32" s="276" t="n">
        <v>2</v>
      </c>
      <c r="D32" s="276" t="inlineStr">
        <is>
          <t>завод (новый запрос КП)</t>
        </is>
      </c>
      <c r="E32" s="276" t="inlineStr">
        <is>
          <t>ООО «Арма-Пром» (Старооскольский арматурный завод, ГК «Авангард», ТМ САЗ)</t>
        </is>
      </c>
      <c r="F32" s="276" t="inlineStr">
        <is>
          <t>+7 (4725) 469-470 (завод) zavod@saz-avangard.ru</t>
        </is>
      </c>
      <c r="G32" s="276" t="inlineStr">
        <is>
          <t>25ч945п Ду15 PN16 с ЭИМ ПЭП-САЗ</t>
        </is>
      </c>
      <c r="H32" s="276" t="inlineStr">
        <is>
          <t>ООО «Арма-Пром»</t>
        </is>
      </c>
      <c r="I32" s="276" t="inlineStr"/>
      <c r="J32" s="276" t="inlineStr"/>
      <c r="K32" s="276" t="inlineStr">
        <is>
          <t>не подтверждено</t>
        </is>
      </c>
      <c r="L32" s="276" t="inlineStr">
        <is>
          <t>Запросить L, Kv по ТЗ (в ТЗ для Ду25/Ду80 стоит Kv 4 и L160 — вероятно опечатка ТЗ), подтвердить min −20 °С для 1.3/4.</t>
        </is>
      </c>
    </row>
    <row r="33">
      <c r="A33" s="276" t="inlineStr">
        <is>
          <t>1.3/3</t>
        </is>
      </c>
      <c r="B33" s="276" t="inlineStr">
        <is>
          <t>Клапан регулирующий 25ч945п Ду 25 Ру 16 с ЭИМ</t>
        </is>
      </c>
      <c r="C33" s="276" t="n">
        <v>1</v>
      </c>
      <c r="D33" s="276" t="inlineStr">
        <is>
          <t>завод (новый запрос КП)</t>
        </is>
      </c>
      <c r="E33" s="276" t="inlineStr">
        <is>
          <t>ООО «Арма-Пром» (Старооскольский арматурный завод, ГК «Авангард», ТМ САЗ)</t>
        </is>
      </c>
      <c r="F33" s="276" t="inlineStr">
        <is>
          <t>+7 (4725) 469-470 (завод) zavod@saz-avangard.ru</t>
        </is>
      </c>
      <c r="G33" s="276" t="inlineStr">
        <is>
          <t>25ч945п Ду25 PN16 с ЭИМ ПЭП-САЗ</t>
        </is>
      </c>
      <c r="H33" s="276" t="inlineStr">
        <is>
          <t>ООО «Арма-Пром»</t>
        </is>
      </c>
      <c r="I33" s="276" t="inlineStr"/>
      <c r="J33" s="276" t="inlineStr"/>
      <c r="K33" s="276" t="inlineStr">
        <is>
          <t>не подтверждено</t>
        </is>
      </c>
      <c r="L33" s="276" t="inlineStr">
        <is>
          <t>Запросить L, Kv по ТЗ (в ТЗ для Ду25/Ду80 стоит Kv 4 и L160 — вероятно опечатка ТЗ), подтвердить min −20 °С для 1.3/4.</t>
        </is>
      </c>
    </row>
    <row r="34">
      <c r="A34" s="276" t="inlineStr">
        <is>
          <t>1.3/4</t>
        </is>
      </c>
      <c r="B34" s="276" t="inlineStr">
        <is>
          <t>Клапан регулирующий 25ч945п Ду 50 Ру 16 KV100 с ЭИМ</t>
        </is>
      </c>
      <c r="C34" s="276" t="n">
        <v>2</v>
      </c>
      <c r="D34" s="276" t="inlineStr">
        <is>
          <t>НЕ ЗАКРЫТО</t>
        </is>
      </c>
      <c r="E34" s="276" t="inlineStr"/>
      <c r="F34" s="276" t="inlineStr"/>
      <c r="G34" s="276" t="inlineStr"/>
      <c r="H34" s="276" t="inlineStr"/>
      <c r="I34" s="276" t="inlineStr"/>
      <c r="J34" s="276" t="inlineStr"/>
      <c r="K34" s="276" t="inlineStr">
        <is>
          <t>нет поставщика с записью ПП 719 и соответствием ТЗ</t>
        </is>
      </c>
      <c r="L34" s="276" t="inlineStr"/>
    </row>
    <row r="35">
      <c r="A35" s="276" t="inlineStr">
        <is>
          <t>1.3/5</t>
        </is>
      </c>
      <c r="B35" s="276" t="inlineStr">
        <is>
          <t>Клапан регулирующий 25ч945п Ду 80 Ру 16 с ЭИМ</t>
        </is>
      </c>
      <c r="C35" s="276" t="n">
        <v>8</v>
      </c>
      <c r="D35" s="276" t="inlineStr">
        <is>
          <t>завод (новый запрос КП)</t>
        </is>
      </c>
      <c r="E35" s="276" t="inlineStr">
        <is>
          <t>ООО «Арма-Пром» (Старооскольский арматурный завод, ГК «Авангард», ТМ САЗ)</t>
        </is>
      </c>
      <c r="F35" s="276" t="inlineStr">
        <is>
          <t>+7 (4725) 469-470 (завод) zavod@saz-avangard.ru</t>
        </is>
      </c>
      <c r="G35" s="276" t="inlineStr">
        <is>
          <t>25ч945п Ду80 PN16 с ЭИМ ПЭП-САЗ</t>
        </is>
      </c>
      <c r="H35" s="276" t="inlineStr">
        <is>
          <t>ООО «Арма-Пром»</t>
        </is>
      </c>
      <c r="I35" s="276" t="inlineStr"/>
      <c r="J35" s="276" t="inlineStr"/>
      <c r="K35" s="276" t="inlineStr">
        <is>
          <t>не подтверждено</t>
        </is>
      </c>
      <c r="L35" s="276" t="inlineStr">
        <is>
          <t>Запросить L, Kv по ТЗ (в ТЗ для Ду25/Ду80 стоит Kv 4 и L160 — вероятно опечатка ТЗ), подтвердить min −20 °С для 1.3/4.</t>
        </is>
      </c>
    </row>
    <row r="36">
      <c r="A36" s="276" t="inlineStr">
        <is>
          <t>1.3/6</t>
        </is>
      </c>
      <c r="B36" s="276" t="inlineStr">
        <is>
          <t>Регулирующий клапан Ридан VFG-2R Ду 100, Kvs 125, Ру 16</t>
        </is>
      </c>
      <c r="C36" s="276" t="n">
        <v>2</v>
      </c>
      <c r="D36" s="276" t="inlineStr">
        <is>
          <t>текущий поставщик (номера записи нет)</t>
        </is>
      </c>
      <c r="E36" s="276" t="inlineStr">
        <is>
          <t>ДН.РУ</t>
        </is>
      </c>
      <c r="F36" s="276" t="inlineStr">
        <is>
          <t>менеджер по счетам 819892/819896</t>
        </is>
      </c>
      <c r="G36" s="276" t="inlineStr">
        <is>
          <t>Клапан регулирующий двухходовой Ридан VFG-2R Ду100 Ру25 универсальный, фланцевый, Kv=125м3/ 101 ч, корпус - углеродистая сталь 20Л, Tmax до 150°C</t>
        </is>
      </c>
      <c r="H36" s="276" t="inlineStr"/>
      <c r="I36" s="276" t="inlineStr"/>
      <c r="J36" s="276" t="inlineStr"/>
      <c r="K36" s="276" t="inlineStr">
        <is>
          <t>нет записи ПП 719 — не проходит нацрежим</t>
        </is>
      </c>
      <c r="L36" s="276" t="inlineStr">
        <is>
          <t>изготовитель и № записи ПП 719 или российская замена</t>
        </is>
      </c>
    </row>
    <row r="37">
      <c r="A37" s="276" t="inlineStr">
        <is>
          <t>1.3/7</t>
        </is>
      </c>
      <c r="B37" s="276" t="inlineStr">
        <is>
          <t>Регулирующий клапан Ридан VFG-2R Ду 32, Kvs 16,  Ру 16</t>
        </is>
      </c>
      <c r="C37" s="276" t="n">
        <v>4</v>
      </c>
      <c r="D37" s="276" t="inlineStr">
        <is>
          <t>завод вместо ДН.РУ</t>
        </is>
      </c>
      <c r="E37" s="276" t="inlineStr">
        <is>
          <t>АО «Энерготехномаш»</t>
        </is>
      </c>
      <c r="F37" s="276" t="inlineStr">
        <is>
          <t>+7 (3012) 55-32-29 osb@etmu.ru</t>
        </is>
      </c>
      <c r="G37" s="276" t="inlineStr">
        <is>
          <t>УРРД Ду32 PN16 (Энерготехномаш) вместо VFG-2R</t>
        </is>
      </c>
      <c r="H37" s="276" t="inlineStr">
        <is>
          <t>АО «Энерготехномаш» (ИНН 0323085570)</t>
        </is>
      </c>
      <c r="I37" s="276" t="inlineStr">
        <is>
          <t>10789125</t>
        </is>
      </c>
      <c r="J37" s="276" t="inlineStr">
        <is>
          <t>30.06.2031</t>
        </is>
      </c>
      <c r="K37" s="276" t="inlineStr">
        <is>
          <t>эквивалент — согласовать</t>
        </is>
      </c>
      <c r="L37" s="276" t="inlineStr">
        <is>
          <t>Kvs и строительную длину (L по ТЗ) запросить; согласовать замену клапана VFG-2R комплектным регулятором.</t>
        </is>
      </c>
    </row>
    <row r="38">
      <c r="A38" s="276" t="inlineStr">
        <is>
          <t>1.3/8</t>
        </is>
      </c>
      <c r="B38" s="276" t="inlineStr">
        <is>
          <t>регулирующий клапан Ридан VFG-2R Ду 80, Kvs 80,  Ру 16</t>
        </is>
      </c>
      <c r="C38" s="276" t="n">
        <v>2</v>
      </c>
      <c r="D38" s="276" t="inlineStr">
        <is>
          <t>текущий поставщик (номера записи нет)</t>
        </is>
      </c>
      <c r="E38" s="276" t="inlineStr">
        <is>
          <t>ДН.РУ</t>
        </is>
      </c>
      <c r="F38" s="276" t="inlineStr">
        <is>
          <t>менеджер по счетам 819892/819896</t>
        </is>
      </c>
      <c r="G38" s="276" t="inlineStr">
        <is>
          <t>Клапан регулирующий двухходовой Ридан VFG-2R Ду80 Ру16 универсальный, фланцевый, Kv=80м3/ч, 103 корпус - углеродистая сталь 20Л, Tmax до 150°C</t>
        </is>
      </c>
      <c r="H38" s="276" t="inlineStr"/>
      <c r="I38" s="276" t="inlineStr"/>
      <c r="J38" s="276" t="inlineStr"/>
      <c r="K38" s="276" t="inlineStr">
        <is>
          <t>нет записи ПП 719 — не проходит нацрежим</t>
        </is>
      </c>
      <c r="L38" s="276" t="inlineStr">
        <is>
          <t>изготовитель и № записи ПП 719 или российская замена</t>
        </is>
      </c>
    </row>
    <row r="39">
      <c r="A39" s="276" t="inlineStr">
        <is>
          <t>1.3/9</t>
        </is>
      </c>
      <c r="B39" s="276" t="inlineStr">
        <is>
          <t>Регулятор давления РД-НО (Нормально открытый) Ду 25 Ру 16</t>
        </is>
      </c>
      <c r="C39" s="276" t="n">
        <v>2</v>
      </c>
      <c r="D39" s="276" t="inlineStr">
        <is>
          <t>текущий поставщик</t>
        </is>
      </c>
      <c r="E39" s="276" t="inlineStr">
        <is>
          <t>ДН.РУ</t>
        </is>
      </c>
      <c r="F39" s="276" t="inlineStr">
        <is>
          <t>менеджер по счетам 819892/819896</t>
        </is>
      </c>
      <c r="G39" s="276" t="inlineStr">
        <is>
          <t>Регулятор давления после себя Энерготехномаш УРРД-НО-РД Ду25 Ру16 фланцевый, Kvy - 3.2м3/ч, Tmax 150°С, уплотнение - EPDM, корпус - чугун СЧ25, 1 шт с</t>
        </is>
      </c>
      <c r="H39" s="276" t="inlineStr">
        <is>
          <t>АО «Энерготехномаш» (ИНН 0323085570)</t>
        </is>
      </c>
      <c r="I39" s="276" t="inlineStr">
        <is>
          <t>10789125</t>
        </is>
      </c>
      <c r="J39" s="276" t="inlineStr">
        <is>
          <t>30.06.2031</t>
        </is>
      </c>
      <c r="K39" s="276" t="inlineStr">
        <is>
          <t>подтвердить: дороже на +26%</t>
        </is>
      </c>
      <c r="L39" s="276" t="inlineStr">
        <is>
          <t>дороже на +26%</t>
        </is>
      </c>
    </row>
    <row r="40">
      <c r="A40" s="276" t="inlineStr">
        <is>
          <t>1.3/10</t>
        </is>
      </c>
      <c r="B40" s="276" t="inlineStr">
        <is>
          <t>Регулятор давления РД-НО (Нормально открытый) Ду 32 Ру 16</t>
        </is>
      </c>
      <c r="C40" s="276" t="n">
        <v>1</v>
      </c>
      <c r="D40" s="276" t="inlineStr">
        <is>
          <t>завод вместо ДН.РУ</t>
        </is>
      </c>
      <c r="E40" s="276" t="inlineStr">
        <is>
          <t>АО «Энерготехномаш»</t>
        </is>
      </c>
      <c r="F40" s="276" t="inlineStr">
        <is>
          <t>+7 (3012) 55-32-29 osb@etmu.ru</t>
        </is>
      </c>
      <c r="G40" s="276" t="inlineStr">
        <is>
          <t>УРРД-НО-РД Ду32 PN16 (Энерготехномаш)</t>
        </is>
      </c>
      <c r="H40" s="276" t="inlineStr">
        <is>
          <t>АО «Энерготехномаш» (ИНН 0323085570)</t>
        </is>
      </c>
      <c r="I40" s="276" t="inlineStr">
        <is>
          <t>10789125</t>
        </is>
      </c>
      <c r="J40" s="276" t="inlineStr">
        <is>
          <t>30.06.2031</t>
        </is>
      </c>
      <c r="K40" s="276" t="inlineStr">
        <is>
          <t>не подтверждено</t>
        </is>
      </c>
      <c r="L40" s="276" t="inlineStr">
        <is>
          <t>Сверить Kv (ТЗ 6/16/20/40 м³/ч), L и H; для +180 °С нужно исполнение до 220 °С (у РК для пара есть) — запросить.</t>
        </is>
      </c>
    </row>
    <row r="41">
      <c r="A41" s="276" t="inlineStr">
        <is>
          <t>1.3/11</t>
        </is>
      </c>
      <c r="B41" s="276" t="inlineStr">
        <is>
          <t>Регулятор давления РД-НО (Нормально открытый) Ду 50 Ру 16</t>
        </is>
      </c>
      <c r="C41" s="276" t="n">
        <v>3</v>
      </c>
      <c r="D41" s="276" t="inlineStr">
        <is>
          <t>текущий поставщик</t>
        </is>
      </c>
      <c r="E41" s="276" t="inlineStr">
        <is>
          <t>ДН.РУ</t>
        </is>
      </c>
      <c r="F41" s="276" t="inlineStr">
        <is>
          <t>менеджер по счетам 819892/819896</t>
        </is>
      </c>
      <c r="G41" s="276" t="inlineStr">
        <is>
          <t xml:space="preserve">Регулятор давления после себя Энерготехномаш УРРД-НО-РД Ду50 Ру16 фланцевый, Kvy - 32м3/ч, Tmax 150°С, уплотнение - EPDM, корпус - чугун СЧ25, 1 шт с </t>
        </is>
      </c>
      <c r="H41" s="276" t="inlineStr">
        <is>
          <t>АО «Энерготехномаш» (ИНН 0323085570)</t>
        </is>
      </c>
      <c r="I41" s="276" t="inlineStr">
        <is>
          <t>10789125</t>
        </is>
      </c>
      <c r="J41" s="276" t="inlineStr">
        <is>
          <t>30.06.2031</t>
        </is>
      </c>
      <c r="K41" s="276" t="inlineStr">
        <is>
          <t>подтвердить: дороже на +13%</t>
        </is>
      </c>
      <c r="L41" s="276" t="inlineStr">
        <is>
          <t>дороже на +13%</t>
        </is>
      </c>
    </row>
    <row r="42">
      <c r="A42" s="276" t="inlineStr">
        <is>
          <t>1.3/12</t>
        </is>
      </c>
      <c r="B42" s="276" t="inlineStr">
        <is>
          <t>Регулятор давления РД-НО (Нормально открытый) Ду 80 Ру 16</t>
        </is>
      </c>
      <c r="C42" s="276" t="n">
        <v>3</v>
      </c>
      <c r="D42" s="276" t="inlineStr">
        <is>
          <t>текущий поставщик</t>
        </is>
      </c>
      <c r="E42" s="276" t="inlineStr">
        <is>
          <t>ДН.РУ</t>
        </is>
      </c>
      <c r="F42" s="276" t="inlineStr">
        <is>
          <t>менеджер по счетам 819892/819896</t>
        </is>
      </c>
      <c r="G42" s="276" t="inlineStr">
        <is>
          <t>Регулятор давления после себя Энерготехномаш УРРД-НО-РД Ду80 Ру25 фланцевый, Kvy - 25м3/ч, Tmax 220°С, уплотнение - PTFE, корпус - сталь 25Л, с 1 шт м</t>
        </is>
      </c>
      <c r="H42" s="276" t="inlineStr">
        <is>
          <t>АО «Энерготехномаш» (ИНН 0323085570)</t>
        </is>
      </c>
      <c r="I42" s="276" t="inlineStr">
        <is>
          <t>10789125</t>
        </is>
      </c>
      <c r="J42" s="276" t="inlineStr">
        <is>
          <t>30.06.2031</t>
        </is>
      </c>
      <c r="K42" s="276" t="inlineStr">
        <is>
          <t>соответствует (по КП)</t>
        </is>
      </c>
      <c r="L42" s="276" t="inlineStr"/>
    </row>
    <row r="43">
      <c r="A43" s="276" t="inlineStr">
        <is>
          <t>1.3/13</t>
        </is>
      </c>
      <c r="B43" s="276" t="inlineStr">
        <is>
          <t>Регулирующий блок после себя AFD Ду 15-250 с диапазоном настройки Ру 25</t>
        </is>
      </c>
      <c r="C43" s="276" t="n">
        <v>2</v>
      </c>
      <c r="D43" s="276" t="inlineStr">
        <is>
          <t>текущий поставщик (номера записи нет)</t>
        </is>
      </c>
      <c r="E43" s="276" t="inlineStr">
        <is>
          <t>ДН.РУ</t>
        </is>
      </c>
      <c r="F43" s="276" t="inlineStr">
        <is>
          <t>менеджер по счетам 819892/819896</t>
        </is>
      </c>
      <c r="G43" s="276" t="inlineStr">
        <is>
          <t xml:space="preserve">Регулирующий блок после себя Ридан AFD-R Ру25 с диапазоном настройки 0.15-1.5бар, площадь регулирующей 12-15 108 диафрагмы 250см2, корпус диафрагмы - </t>
        </is>
      </c>
      <c r="H43" s="276" t="inlineStr"/>
      <c r="I43" s="276" t="inlineStr"/>
      <c r="J43" s="276" t="inlineStr"/>
      <c r="K43" s="276" t="inlineStr">
        <is>
          <t>нет записи ПП 719 — не проходит нацрежим</t>
        </is>
      </c>
      <c r="L43" s="276" t="inlineStr">
        <is>
          <t>изготовитель и № записи ПП 719 или российская замена</t>
        </is>
      </c>
    </row>
    <row r="44">
      <c r="A44" s="276" t="inlineStr">
        <is>
          <t>1.3/14</t>
        </is>
      </c>
      <c r="B44" s="276" t="inlineStr">
        <is>
          <t>Клапан обратный 19с53нж Ду 80 Ру 40</t>
        </is>
      </c>
      <c r="C44" s="276" t="n">
        <v>2</v>
      </c>
      <c r="D44" s="276" t="inlineStr">
        <is>
          <t>завод вместо ДН.РУ</t>
        </is>
      </c>
      <c r="E44" s="276" t="inlineStr">
        <is>
          <t>АО «Пензенский завод трубопроводной арматуры» (АО «ПЗТА»)</t>
        </is>
      </c>
      <c r="F44" s="276" t="inlineStr">
        <is>
          <t>+7 (8412) 351-000 sale@pzta.ru</t>
        </is>
      </c>
      <c r="G44" s="276" t="inlineStr">
        <is>
          <t>Клапан (затвор) обратный поворотный ПЗТА.ЗО</t>
        </is>
      </c>
      <c r="H44" s="276" t="inlineStr">
        <is>
          <t>АО «Пензенский завод трубопроводной арматуры»</t>
        </is>
      </c>
      <c r="I44" s="276" t="inlineStr">
        <is>
          <t>10706185</t>
        </is>
      </c>
      <c r="J44" s="276" t="inlineStr">
        <is>
          <t>03.09.2028</t>
        </is>
      </c>
      <c r="K44" s="276" t="inlineStr">
        <is>
          <t>не проверено построчно</t>
        </is>
      </c>
      <c r="L44" s="276" t="inlineStr"/>
    </row>
    <row r="45">
      <c r="A45" s="276" t="inlineStr">
        <is>
          <t>1.3/15</t>
        </is>
      </c>
      <c r="B45" s="276" t="inlineStr">
        <is>
          <t>Клапан обратный 19с53нж Ду 150 Ру 40</t>
        </is>
      </c>
      <c r="C45" s="276" t="n">
        <v>2</v>
      </c>
      <c r="D45" s="276" t="inlineStr">
        <is>
          <t>завод вместо ДН.РУ</t>
        </is>
      </c>
      <c r="E45" s="276" t="inlineStr">
        <is>
          <t>АО «Пензенский завод трубопроводной арматуры» (АО «ПЗТА»)</t>
        </is>
      </c>
      <c r="F45" s="276" t="inlineStr">
        <is>
          <t>+7 (8412) 351-000 sale@pzta.ru</t>
        </is>
      </c>
      <c r="G45" s="276" t="inlineStr">
        <is>
          <t>Клапан (затвор) обратный поворотный ПЗТА.ЗО</t>
        </is>
      </c>
      <c r="H45" s="276" t="inlineStr">
        <is>
          <t>АО «Пензенский завод трубопроводной арматуры»</t>
        </is>
      </c>
      <c r="I45" s="276" t="inlineStr">
        <is>
          <t>10706185</t>
        </is>
      </c>
      <c r="J45" s="276" t="inlineStr">
        <is>
          <t>03.09.2028</t>
        </is>
      </c>
      <c r="K45" s="276" t="inlineStr">
        <is>
          <t>не проверено построчно</t>
        </is>
      </c>
      <c r="L45" s="276" t="inlineStr"/>
    </row>
    <row r="46">
      <c r="A46" s="276" t="inlineStr">
        <is>
          <t>1.3/16</t>
        </is>
      </c>
      <c r="B46" s="276" t="inlineStr">
        <is>
          <t>Клапан обратный межфланцевый 19ч21бр Ду 100 Ру 16</t>
        </is>
      </c>
      <c r="C46" s="276" t="n">
        <v>4</v>
      </c>
      <c r="D46" s="276" t="inlineStr">
        <is>
          <t>завод вместо ДН.РУ</t>
        </is>
      </c>
      <c r="E46" s="276" t="inlineStr">
        <is>
          <t>АО «Энергия» (производитель арматуры ДЕНДОР/DENDOR)</t>
        </is>
      </c>
      <c r="F46" s="276" t="inlineStr">
        <is>
          <t>8-800-333-40-30 zakaz@dendor.ru</t>
        </is>
      </c>
      <c r="G46" s="276" t="inlineStr">
        <is>
          <t>Клапан обратный двухстворчатый межфланцевый тип 010C</t>
        </is>
      </c>
      <c r="H46" s="276" t="inlineStr">
        <is>
          <t>АО «Энергия»</t>
        </is>
      </c>
      <c r="I46" s="276" t="inlineStr">
        <is>
          <t>10743786</t>
        </is>
      </c>
      <c r="J46" s="276" t="inlineStr">
        <is>
          <t>08.12.2030</t>
        </is>
      </c>
      <c r="K46" s="276" t="inlineStr">
        <is>
          <t>не проверено построчно</t>
        </is>
      </c>
      <c r="L46" s="276" t="inlineStr"/>
    </row>
    <row r="47">
      <c r="A47" s="276" t="inlineStr">
        <is>
          <t>1.3/17</t>
        </is>
      </c>
      <c r="B47" s="276" t="inlineStr">
        <is>
          <t>Клапан обратный межфланцевый 19ч21бр Ду 50 Ру 16</t>
        </is>
      </c>
      <c r="C47" s="276" t="n">
        <v>6</v>
      </c>
      <c r="D47" s="276" t="inlineStr">
        <is>
          <t>завод вместо ДН.РУ</t>
        </is>
      </c>
      <c r="E47" s="276" t="inlineStr">
        <is>
          <t>АО «Энергия» (производитель арматуры ДЕНДОР/DENDOR)</t>
        </is>
      </c>
      <c r="F47" s="276" t="inlineStr">
        <is>
          <t>8-800-333-40-30 zakaz@dendor.ru</t>
        </is>
      </c>
      <c r="G47" s="276" t="inlineStr">
        <is>
          <t>Клапан обратный двухстворчатый межфланцевый тип 010C</t>
        </is>
      </c>
      <c r="H47" s="276" t="inlineStr">
        <is>
          <t>АО «Энергия»</t>
        </is>
      </c>
      <c r="I47" s="276" t="inlineStr">
        <is>
          <t>10743786</t>
        </is>
      </c>
      <c r="J47" s="276" t="inlineStr">
        <is>
          <t>08.12.2030</t>
        </is>
      </c>
      <c r="K47" s="276" t="inlineStr">
        <is>
          <t>не проверено построчно</t>
        </is>
      </c>
      <c r="L47" s="276" t="inlineStr"/>
    </row>
    <row r="48">
      <c r="A48" s="276" t="inlineStr">
        <is>
          <t>1.3/18</t>
        </is>
      </c>
      <c r="B48" s="276" t="inlineStr">
        <is>
          <t>Клапан обратный межфланцевый 19ч21бр Ду 80 Ру 16</t>
        </is>
      </c>
      <c r="C48" s="276" t="n">
        <v>7</v>
      </c>
      <c r="D48" s="276" t="inlineStr">
        <is>
          <t>завод вместо ДН.РУ</t>
        </is>
      </c>
      <c r="E48" s="276" t="inlineStr">
        <is>
          <t>АО «Энергия» (производитель арматуры ДЕНДОР/DENDOR)</t>
        </is>
      </c>
      <c r="F48" s="276" t="inlineStr">
        <is>
          <t>8-800-333-40-30 zakaz@dendor.ru</t>
        </is>
      </c>
      <c r="G48" s="276" t="inlineStr">
        <is>
          <t>Клапан обратный двухстворчатый межфланцевый тип 010C</t>
        </is>
      </c>
      <c r="H48" s="276" t="inlineStr">
        <is>
          <t>АО «Энергия»</t>
        </is>
      </c>
      <c r="I48" s="276" t="inlineStr">
        <is>
          <t>10743786</t>
        </is>
      </c>
      <c r="J48" s="276" t="inlineStr">
        <is>
          <t>08.12.2030</t>
        </is>
      </c>
      <c r="K48" s="276" t="inlineStr">
        <is>
          <t>не проверено построчно</t>
        </is>
      </c>
      <c r="L48" s="276" t="inlineStr"/>
    </row>
    <row r="49">
      <c r="A49" s="276" t="inlineStr">
        <is>
          <t>1.3/19</t>
        </is>
      </c>
      <c r="B49" s="276" t="inlineStr">
        <is>
          <t>Клапан обратный двухстворчатый DENDOR 010C Ду 100 Ру 16</t>
        </is>
      </c>
      <c r="C49" s="276" t="n">
        <v>5</v>
      </c>
      <c r="D49" s="276" t="inlineStr">
        <is>
          <t>завод вместо ДН.РУ</t>
        </is>
      </c>
      <c r="E49" s="276" t="inlineStr">
        <is>
          <t>АО «Энергия» (производитель арматуры ДЕНДОР/DENDOR)</t>
        </is>
      </c>
      <c r="F49" s="276" t="inlineStr">
        <is>
          <t>8-800-333-40-30 zakaz@dendor.ru</t>
        </is>
      </c>
      <c r="G49" s="276" t="inlineStr">
        <is>
          <t>ДЕНДОР 010C(.Y) Ду100 PN16, высокотемпературное исполнение</t>
        </is>
      </c>
      <c r="H49" s="276" t="inlineStr">
        <is>
          <t>АО «Энергия» (ИНН 7805499441)</t>
        </is>
      </c>
      <c r="I49" s="276" t="inlineStr">
        <is>
          <t>10743786</t>
        </is>
      </c>
      <c r="J49" s="276" t="inlineStr">
        <is>
          <t>08.12.2030</t>
        </is>
      </c>
      <c r="K49" s="276" t="inlineStr">
        <is>
          <t>эквивалент — согласовать</t>
        </is>
      </c>
      <c r="L49" s="276" t="inlineStr">
        <is>
          <t>Заказать высокотемпературное исполнение (до +150 °С, уплотнение силикон) — стандартное EPDM только до +90 °С (ТЗ +130 °С).</t>
        </is>
      </c>
    </row>
    <row r="50">
      <c r="A50" s="276" t="inlineStr">
        <is>
          <t>1.3/20</t>
        </is>
      </c>
      <c r="B50" s="276" t="inlineStr">
        <is>
          <t>Клапан обратный двухстворчатый DENDOR 010C Ду 200 Ру 16</t>
        </is>
      </c>
      <c r="C50" s="276" t="n">
        <v>5</v>
      </c>
      <c r="D50" s="276" t="inlineStr">
        <is>
          <t>текущий поставщик</t>
        </is>
      </c>
      <c r="E50" s="276" t="inlineStr">
        <is>
          <t>ДН.РУ</t>
        </is>
      </c>
      <c r="F50" s="276" t="inlineStr">
        <is>
          <t>менеджер по счетам 819892/819896</t>
        </is>
      </c>
      <c r="G50" s="276" t="inlineStr">
        <is>
          <t>Клапан обратный Dendor 010C Ду200 Ру16 межфланцевый, двухстворчатый, корпус - чугун, диск - чугун, уплотнение - 1 шт EPDM</t>
        </is>
      </c>
      <c r="H50" s="276" t="inlineStr">
        <is>
          <t>АО «Энергия» (ИНН 7805499441)</t>
        </is>
      </c>
      <c r="I50" s="276" t="inlineStr">
        <is>
          <t>10743786</t>
        </is>
      </c>
      <c r="J50" s="276" t="inlineStr">
        <is>
          <t>08.12.2030</t>
        </is>
      </c>
      <c r="K50" s="276" t="inlineStr">
        <is>
          <t>подтвердить: КНР/импорт — номер в реестре Минпромторга</t>
        </is>
      </c>
      <c r="L50" s="276" t="inlineStr">
        <is>
          <t>КНР/импорт — номер в реестре Минпромторга</t>
        </is>
      </c>
    </row>
    <row r="51">
      <c r="A51" s="276" t="inlineStr">
        <is>
          <t>1.3/21</t>
        </is>
      </c>
      <c r="B51" s="276" t="inlineStr">
        <is>
          <t>Клапан обратный фланцевый Ду 50 Ру 40</t>
        </is>
      </c>
      <c r="C51" s="276" t="n">
        <v>1</v>
      </c>
      <c r="D51" s="276" t="inlineStr">
        <is>
          <t>завод вместо ДН.РУ</t>
        </is>
      </c>
      <c r="E51" s="276" t="inlineStr">
        <is>
          <t>АО «Пензенский завод трубопроводной арматуры» (АО «ПЗТА»)</t>
        </is>
      </c>
      <c r="F51" s="276" t="inlineStr">
        <is>
          <t>+7 (8412) 351-000 sale@pzta.ru</t>
        </is>
      </c>
      <c r="G51" s="276" t="inlineStr">
        <is>
          <t>Клапан (затвор) обратный поворотный ПЗТА.ЗО</t>
        </is>
      </c>
      <c r="H51" s="276" t="inlineStr">
        <is>
          <t>АО «Пензенский завод трубопроводной арматуры»</t>
        </is>
      </c>
      <c r="I51" s="276" t="inlineStr">
        <is>
          <t>10706185</t>
        </is>
      </c>
      <c r="J51" s="276" t="inlineStr">
        <is>
          <t>03.09.2028</t>
        </is>
      </c>
      <c r="K51" s="276" t="inlineStr">
        <is>
          <t>не проверено построчно</t>
        </is>
      </c>
      <c r="L51" s="276" t="inlineStr"/>
    </row>
    <row r="52">
      <c r="A52" s="276" t="inlineStr">
        <is>
          <t>1.3/22</t>
        </is>
      </c>
      <c r="B52" s="276" t="inlineStr">
        <is>
          <t>Обратный клапан «Гранлок» серии CV16 Ду 150 Ру 16</t>
        </is>
      </c>
      <c r="C52" s="276" t="n">
        <v>4</v>
      </c>
      <c r="D52" s="276" t="inlineStr">
        <is>
          <t>текущий поставщик</t>
        </is>
      </c>
      <c r="E52" s="276" t="inlineStr">
        <is>
          <t>ДН.РУ</t>
        </is>
      </c>
      <c r="F52" s="276" t="inlineStr">
        <is>
          <t>менеджер по счетам 819892/819896</t>
        </is>
      </c>
      <c r="G52" s="276" t="inlineStr">
        <is>
          <t>Клапан обратный АДЛ Гранлок CV16 Ду150 Ру16 межфланцевый, двухстворчатый, корпус - чугун, диск - нержавеющая сталь, уплотнение - EPDM</t>
        </is>
      </c>
      <c r="H52" s="276" t="inlineStr">
        <is>
          <t>ООО «Торговый Дом АДЛ» (ИНН 7718625072)</t>
        </is>
      </c>
      <c r="I52" s="276" t="inlineStr">
        <is>
          <t>10618660</t>
        </is>
      </c>
      <c r="J52" s="276" t="inlineStr">
        <is>
          <t>17.03.2028</t>
        </is>
      </c>
      <c r="K52" s="276" t="inlineStr">
        <is>
          <t>соответствует (по КП)</t>
        </is>
      </c>
      <c r="L52" s="276" t="inlineStr"/>
    </row>
    <row r="53">
      <c r="A53" s="276" t="inlineStr">
        <is>
          <t>1.3/23</t>
        </is>
      </c>
      <c r="B53" s="276" t="inlineStr">
        <is>
          <t>Клапан обратный 16нж10нж Ду 50 Ру 16</t>
        </is>
      </c>
      <c r="C53" s="276" t="n">
        <v>2</v>
      </c>
      <c r="D53" s="276" t="inlineStr">
        <is>
          <t>завод (новый запрос КП)</t>
        </is>
      </c>
      <c r="E53" s="276" t="inlineStr">
        <is>
          <t>ООО «Пермский трубопроводный завод» (ООО «ПТЗ»)</t>
        </is>
      </c>
      <c r="F53" s="276" t="inlineStr">
        <is>
          <t>+7 (342) 270-07-34 sales@ptza.ru</t>
        </is>
      </c>
      <c r="G53" s="276" t="inlineStr">
        <is>
          <t>16нж10нж Ду50 PN16 (ПТЗ)</t>
        </is>
      </c>
      <c r="H53" s="276" t="inlineStr">
        <is>
          <t>ООО «ПТЗ» (Пермь)</t>
        </is>
      </c>
      <c r="I53" s="276" t="inlineStr">
        <is>
          <t>10746921</t>
        </is>
      </c>
      <c r="J53" s="276" t="inlineStr">
        <is>
          <t>23.11.2028</t>
        </is>
      </c>
      <c r="K53" s="276" t="inlineStr">
        <is>
          <t>соответствует</t>
        </is>
      </c>
      <c r="L53" s="276" t="inlineStr">
        <is>
          <t>Запросить паспорт; в ТЗ формулировки дословно совпадают с сайтом ПТЗ.</t>
        </is>
      </c>
    </row>
    <row r="54">
      <c r="A54" s="276" t="inlineStr">
        <is>
          <t>1.3/24</t>
        </is>
      </c>
      <c r="B54" s="276" t="inlineStr">
        <is>
          <t>Клапан обратный 16нж10нж Ду 32 Ру16</t>
        </is>
      </c>
      <c r="C54" s="276" t="n">
        <v>5</v>
      </c>
      <c r="D54" s="276" t="inlineStr">
        <is>
          <t>завод (новый запрос КП)</t>
        </is>
      </c>
      <c r="E54" s="276" t="inlineStr">
        <is>
          <t>ООО «Пермский трубопроводный завод» (ООО «ПТЗ»)</t>
        </is>
      </c>
      <c r="F54" s="276" t="inlineStr">
        <is>
          <t>+7 (342) 270-07-34 sales@ptza.ru</t>
        </is>
      </c>
      <c r="G54" s="276" t="inlineStr">
        <is>
          <t>16нж10нж Ду32 PN16 (ПТЗ)</t>
        </is>
      </c>
      <c r="H54" s="276" t="inlineStr">
        <is>
          <t>ООО «ПТЗ» (Пермь)</t>
        </is>
      </c>
      <c r="I54" s="276" t="inlineStr">
        <is>
          <t>10746921</t>
        </is>
      </c>
      <c r="J54" s="276" t="inlineStr">
        <is>
          <t>23.11.2028</t>
        </is>
      </c>
      <c r="K54" s="276" t="inlineStr">
        <is>
          <t>соответствует</t>
        </is>
      </c>
      <c r="L54" s="276" t="inlineStr">
        <is>
          <t>Запросить паспорт; в ТЗ формулировки дословно совпадают с сайтом ПТЗ.</t>
        </is>
      </c>
    </row>
    <row r="55">
      <c r="A55" s="276" t="inlineStr">
        <is>
          <t>1.3/25</t>
        </is>
      </c>
      <c r="B55" s="276" t="inlineStr">
        <is>
          <t>Клапан обратный 16ч42р Ду 100 Ру 2,5</t>
        </is>
      </c>
      <c r="C55" s="276" t="n">
        <v>3</v>
      </c>
      <c r="D55" s="276" t="inlineStr">
        <is>
          <t>текущий поставщик (номера записи нет)</t>
        </is>
      </c>
      <c r="E55" s="276" t="inlineStr">
        <is>
          <t>ДН.РУ</t>
        </is>
      </c>
      <c r="F55" s="276" t="inlineStr">
        <is>
          <t>менеджер по счетам 819892/819896</t>
        </is>
      </c>
      <c r="G55" s="276" t="inlineStr">
        <is>
          <t>Клапан обратный Луидор 16ч42р Ду100 Ру2.5 фланцевый, приемный, с приемной сеткой, корпус - чугун, диск - 1 шт чугун, уплотнение - резина</t>
        </is>
      </c>
      <c r="H55" s="276" t="inlineStr"/>
      <c r="I55" s="276" t="inlineStr"/>
      <c r="J55" s="276" t="inlineStr"/>
      <c r="K55" s="276" t="inlineStr">
        <is>
          <t>нет записи ПП 719 — не проходит нацрежим</t>
        </is>
      </c>
      <c r="L55" s="276" t="inlineStr">
        <is>
          <t>изготовитель и № записи ПП 719 или российская замена</t>
        </is>
      </c>
    </row>
    <row r="56">
      <c r="A56" s="276" t="inlineStr">
        <is>
          <t>1.3/26</t>
        </is>
      </c>
      <c r="B56" s="276" t="inlineStr">
        <is>
          <t>Клапан обратный 19нж76нж Ду 100 Ру 16</t>
        </is>
      </c>
      <c r="C56" s="276" t="n">
        <v>2</v>
      </c>
      <c r="D56" s="276" t="inlineStr">
        <is>
          <t>завод вместо ДН.РУ</t>
        </is>
      </c>
      <c r="E56" s="276" t="inlineStr">
        <is>
          <t>АО «Пензенский завод трубопроводной арматуры» (АО «ПЗТА»)</t>
        </is>
      </c>
      <c r="F56" s="276" t="inlineStr">
        <is>
          <t>+7 (8412) 351-000 sale@pzta.ru</t>
        </is>
      </c>
      <c r="G56" s="276" t="inlineStr">
        <is>
          <t>Клапан (затвор) обратный поворотный ПЗТА.ЗО</t>
        </is>
      </c>
      <c r="H56" s="276" t="inlineStr">
        <is>
          <t>АО «Пензенский завод трубопроводной арматуры»</t>
        </is>
      </c>
      <c r="I56" s="276" t="inlineStr">
        <is>
          <t>10706185</t>
        </is>
      </c>
      <c r="J56" s="276" t="inlineStr">
        <is>
          <t>03.09.2028</t>
        </is>
      </c>
      <c r="K56" s="276" t="inlineStr">
        <is>
          <t>не проверено построчно</t>
        </is>
      </c>
      <c r="L56" s="276" t="inlineStr"/>
    </row>
    <row r="57">
      <c r="A57" s="276" t="inlineStr">
        <is>
          <t>1.3/27</t>
        </is>
      </c>
      <c r="B57" s="276" t="inlineStr">
        <is>
          <t>Клапан обратный 19с76нж Ду 80 Ру 16</t>
        </is>
      </c>
      <c r="C57" s="276" t="n">
        <v>1</v>
      </c>
      <c r="D57" s="276" t="inlineStr">
        <is>
          <t>завод вместо ДН.РУ</t>
        </is>
      </c>
      <c r="E57" s="276" t="inlineStr">
        <is>
          <t>АО «Благовещенский арматурный завод» (АО «БАЗ»)</t>
        </is>
      </c>
      <c r="F57" s="276" t="inlineStr">
        <is>
          <t>+7 (34766) 2-99-10, 2-99-11 baz@bazrb.ru</t>
        </is>
      </c>
      <c r="G57" s="276" t="inlineStr">
        <is>
          <t>КОП 80-16 (19с76нж), 20Л</t>
        </is>
      </c>
      <c r="H57" s="276" t="inlineStr">
        <is>
          <t>АО «Благовещенский арматурный завод» (ИНН 0258001489)</t>
        </is>
      </c>
      <c r="I57" s="276" t="inlineStr">
        <is>
          <t>10329682</t>
        </is>
      </c>
      <c r="J57" s="276" t="inlineStr">
        <is>
          <t>16.09.2030</t>
        </is>
      </c>
      <c r="K57" s="276" t="inlineStr">
        <is>
          <t>эквивалент — согласовать</t>
        </is>
      </c>
      <c r="L57" s="276" t="inlineStr">
        <is>
          <t>Подтвердить материалы деталей по ТЗ; согласовать 20Л вместо 25Л.</t>
        </is>
      </c>
    </row>
    <row r="58">
      <c r="A58" s="276" t="inlineStr">
        <is>
          <t>1.3/28</t>
        </is>
      </c>
      <c r="B58" s="276" t="inlineStr">
        <is>
          <t>Клапан обратный 19с76нж Ду 100 Ру 16</t>
        </is>
      </c>
      <c r="C58" s="276" t="n">
        <v>2</v>
      </c>
      <c r="D58" s="276" t="inlineStr">
        <is>
          <t>завод вместо ДН.РУ</t>
        </is>
      </c>
      <c r="E58" s="276" t="inlineStr">
        <is>
          <t>АО «Благовещенский арматурный завод» (АО «БАЗ»)</t>
        </is>
      </c>
      <c r="F58" s="276" t="inlineStr">
        <is>
          <t>+7 (34766) 2-99-10, 2-99-11 baz@bazrb.ru</t>
        </is>
      </c>
      <c r="G58" s="276" t="inlineStr">
        <is>
          <t>КОП 100-16 (19с76нж), 20Л</t>
        </is>
      </c>
      <c r="H58" s="276" t="inlineStr">
        <is>
          <t>АО «Благовещенский арматурный завод» (ИНН 0258001489)</t>
        </is>
      </c>
      <c r="I58" s="276" t="inlineStr">
        <is>
          <t>10329682</t>
        </is>
      </c>
      <c r="J58" s="276" t="inlineStr">
        <is>
          <t>16.09.2030</t>
        </is>
      </c>
      <c r="K58" s="276" t="inlineStr">
        <is>
          <t>эквивалент — согласовать</t>
        </is>
      </c>
      <c r="L58" s="276" t="inlineStr">
        <is>
          <t>Подтвердить материалы деталей по ТЗ; согласовать 20Л вместо 25Л.</t>
        </is>
      </c>
    </row>
    <row r="59">
      <c r="A59" s="276" t="inlineStr">
        <is>
          <t>1.3/29</t>
        </is>
      </c>
      <c r="B59" s="276" t="inlineStr">
        <is>
          <t>Клапан обратный 19с76нж Ду 50 Ру 16</t>
        </is>
      </c>
      <c r="C59" s="276" t="n">
        <v>2</v>
      </c>
      <c r="D59" s="276" t="inlineStr">
        <is>
          <t>завод вместо ДН.РУ</t>
        </is>
      </c>
      <c r="E59" s="276" t="inlineStr">
        <is>
          <t>АО «Благовещенский арматурный завод» (АО «БАЗ»)</t>
        </is>
      </c>
      <c r="F59" s="276" t="inlineStr">
        <is>
          <t>+7 (34766) 2-99-10, 2-99-11 baz@bazrb.ru</t>
        </is>
      </c>
      <c r="G59" s="276" t="inlineStr">
        <is>
          <t>КОП 50-16 (19с76нж), 20Л</t>
        </is>
      </c>
      <c r="H59" s="276" t="inlineStr">
        <is>
          <t>АО «Благовещенский арматурный завод» (ИНН 0258001489)</t>
        </is>
      </c>
      <c r="I59" s="276" t="inlineStr">
        <is>
          <t>10329682</t>
        </is>
      </c>
      <c r="J59" s="276" t="inlineStr">
        <is>
          <t>16.09.2030</t>
        </is>
      </c>
      <c r="K59" s="276" t="inlineStr">
        <is>
          <t>эквивалент — согласовать</t>
        </is>
      </c>
      <c r="L59" s="276" t="inlineStr">
        <is>
          <t>Подтвердить материалы деталей по ТЗ; согласовать 20Л вместо 25Л.</t>
        </is>
      </c>
    </row>
    <row r="60">
      <c r="A60" s="276" t="inlineStr">
        <is>
          <t>1.3/30</t>
        </is>
      </c>
      <c r="B60" s="276" t="inlineStr">
        <is>
          <t>Клапан обратный межфланцевый пружинный тарельчатый NVD-802R Ду 125 Ру 16</t>
        </is>
      </c>
      <c r="C60" s="276" t="n">
        <v>2</v>
      </c>
      <c r="D60" s="276" t="inlineStr">
        <is>
          <t>завод вместо ДН.РУ</t>
        </is>
      </c>
      <c r="E60" s="276" t="inlineStr">
        <is>
          <t>АО «Энергия» (производитель арматуры ДЕНДОР/DENDOR)</t>
        </is>
      </c>
      <c r="F60" s="276" t="inlineStr">
        <is>
          <t>8-800-333-40-30 zakaz@dendor.ru</t>
        </is>
      </c>
      <c r="G60" s="276" t="inlineStr">
        <is>
          <t>Клапан обратный двухстворчатый межфланцевый тип 010C</t>
        </is>
      </c>
      <c r="H60" s="276" t="inlineStr">
        <is>
          <t>АО «Энергия»</t>
        </is>
      </c>
      <c r="I60" s="276" t="inlineStr">
        <is>
          <t>10743786</t>
        </is>
      </c>
      <c r="J60" s="276" t="inlineStr">
        <is>
          <t>08.12.2030</t>
        </is>
      </c>
      <c r="K60" s="276" t="inlineStr">
        <is>
          <t>не проверено построчно</t>
        </is>
      </c>
      <c r="L60" s="276" t="inlineStr"/>
    </row>
    <row r="61">
      <c r="A61" s="276" t="inlineStr">
        <is>
          <t>1.3/31</t>
        </is>
      </c>
      <c r="B61" s="276" t="inlineStr">
        <is>
          <t>Клапан обратный межфланцевый пружинный тарельчатый NVD-802R Ду 150 Ру 16</t>
        </is>
      </c>
      <c r="C61" s="276" t="n">
        <v>10</v>
      </c>
      <c r="D61" s="276" t="inlineStr">
        <is>
          <t>завод вместо ДН.РУ</t>
        </is>
      </c>
      <c r="E61" s="276" t="inlineStr">
        <is>
          <t>АО «Энергия» (производитель арматуры ДЕНДОР/DENDOR)</t>
        </is>
      </c>
      <c r="F61" s="276" t="inlineStr">
        <is>
          <t>8-800-333-40-30 zakaz@dendor.ru</t>
        </is>
      </c>
      <c r="G61" s="276" t="inlineStr">
        <is>
          <t>Клапан обратный двухстворчатый межфланцевый тип 010C</t>
        </is>
      </c>
      <c r="H61" s="276" t="inlineStr">
        <is>
          <t>АО «Энергия»</t>
        </is>
      </c>
      <c r="I61" s="276" t="inlineStr">
        <is>
          <t>10743786</t>
        </is>
      </c>
      <c r="J61" s="276" t="inlineStr">
        <is>
          <t>08.12.2030</t>
        </is>
      </c>
      <c r="K61" s="276" t="inlineStr">
        <is>
          <t>не проверено построчно</t>
        </is>
      </c>
      <c r="L61" s="276" t="inlineStr"/>
    </row>
    <row r="62">
      <c r="A62" s="276" t="inlineStr">
        <is>
          <t>1.3/32</t>
        </is>
      </c>
      <c r="B62" s="276" t="inlineStr">
        <is>
          <t>Клапан обратный фланцевый пружинный с аксиальным затвором NVD-402R Ду 100 Ру 16</t>
        </is>
      </c>
      <c r="C62" s="276" t="n">
        <v>2</v>
      </c>
      <c r="D62" s="276" t="inlineStr">
        <is>
          <t>завод (новый запрос КП)</t>
        </is>
      </c>
      <c r="E62" s="276" t="inlineStr">
        <is>
          <t>ООО «Ридан»</t>
        </is>
      </c>
      <c r="F62" s="276" t="inlineStr">
        <is>
          <t>+7 (495) 792-57-57 call@ridan.ru</t>
        </is>
      </c>
      <c r="G62" s="276" t="inlineStr">
        <is>
          <t>NVD-402R Ду100 PN16</t>
        </is>
      </c>
      <c r="H62" s="276" t="inlineStr">
        <is>
          <t>ООО «Ридан»</t>
        </is>
      </c>
      <c r="I62" s="276" t="inlineStr"/>
      <c r="J62" s="276" t="inlineStr"/>
      <c r="K62" s="276" t="inlineStr">
        <is>
          <t>не подтверждено</t>
        </is>
      </c>
      <c r="L62" s="276" t="inlineStr">
        <is>
          <t>Запросить страну происхождения и запись РПП (иначе ПП 1875 не выполняется), строит. длину, материал корпуса DN100.</t>
        </is>
      </c>
    </row>
    <row r="63">
      <c r="A63" s="276" t="inlineStr">
        <is>
          <t>1.3/33</t>
        </is>
      </c>
      <c r="B63" s="276" t="inlineStr">
        <is>
          <t>Клапан обратный фланцевый пружинный с аксиальным затвором NVD-402R Ду 150 Ру 16</t>
        </is>
      </c>
      <c r="C63" s="276" t="n">
        <v>5</v>
      </c>
      <c r="D63" s="276" t="inlineStr">
        <is>
          <t>НЕ ЗАКРЫТО</t>
        </is>
      </c>
      <c r="E63" s="276" t="inlineStr"/>
      <c r="F63" s="276" t="inlineStr"/>
      <c r="G63" s="276" t="inlineStr"/>
      <c r="H63" s="276" t="inlineStr"/>
      <c r="I63" s="276" t="inlineStr"/>
      <c r="J63" s="276" t="inlineStr"/>
      <c r="K63" s="276" t="inlineStr">
        <is>
          <t>нет поставщика с записью ПП 719 и соответствием ТЗ</t>
        </is>
      </c>
      <c r="L63" s="276" t="inlineStr"/>
    </row>
    <row r="64">
      <c r="A64" s="276" t="inlineStr">
        <is>
          <t>1.3/34</t>
        </is>
      </c>
      <c r="B64" s="276" t="inlineStr">
        <is>
          <t>Клапан обратный фланцевый пружинный с аксиальным затвором NVD-402R Ду 200 Ру 16</t>
        </is>
      </c>
      <c r="C64" s="276" t="n">
        <v>4</v>
      </c>
      <c r="D64" s="276" t="inlineStr">
        <is>
          <t>завод (новый запрос КП)</t>
        </is>
      </c>
      <c r="E64" s="276" t="inlineStr">
        <is>
          <t>ООО «Ридан»</t>
        </is>
      </c>
      <c r="F64" s="276" t="inlineStr">
        <is>
          <t>+7 (495) 792-57-57 call@ridan.ru</t>
        </is>
      </c>
      <c r="G64" s="276" t="inlineStr">
        <is>
          <t>NVD-402R Ду200 PN16</t>
        </is>
      </c>
      <c r="H64" s="276" t="inlineStr">
        <is>
          <t>ООО «Ридан»</t>
        </is>
      </c>
      <c r="I64" s="276" t="inlineStr"/>
      <c r="J64" s="276" t="inlineStr"/>
      <c r="K64" s="276" t="inlineStr">
        <is>
          <t>не подтверждено</t>
        </is>
      </c>
      <c r="L64" s="276" t="inlineStr">
        <is>
          <t>Запросить страну происхождения и запись РПП (иначе ПП 1875 не выполняется), строит. длину, материал корпуса DN100.</t>
        </is>
      </c>
    </row>
    <row r="65">
      <c r="A65" s="276" t="inlineStr">
        <is>
          <t>1.3/35</t>
        </is>
      </c>
      <c r="B65" s="276" t="inlineStr">
        <is>
          <t>Обратный клапан пружинный NVD-812R Ду 150 Ру 40</t>
        </is>
      </c>
      <c r="C65" s="276" t="n">
        <v>1</v>
      </c>
      <c r="D65" s="276" t="inlineStr">
        <is>
          <t>завод (новый запрос КП)</t>
        </is>
      </c>
      <c r="E65" s="276" t="inlineStr">
        <is>
          <t>ООО «Ридан»</t>
        </is>
      </c>
      <c r="F65" s="276" t="inlineStr">
        <is>
          <t>+7 (495) 792-57-57 call@ridan.ru</t>
        </is>
      </c>
      <c r="G65" s="276" t="inlineStr">
        <is>
          <t>NVD-812R Ду150 PN40 (082X8540R)</t>
        </is>
      </c>
      <c r="H65" s="276" t="inlineStr">
        <is>
          <t>ООО «Ридан»</t>
        </is>
      </c>
      <c r="I65" s="276" t="inlineStr"/>
      <c r="J65" s="276" t="inlineStr"/>
      <c r="K65" s="276" t="inlineStr">
        <is>
          <t>не подтверждено</t>
        </is>
      </c>
      <c r="L65" s="276" t="inlineStr">
        <is>
          <t>Запросить страну происхождения/РПП, L=106 мм.</t>
        </is>
      </c>
    </row>
    <row r="66">
      <c r="A66" s="276" t="inlineStr">
        <is>
          <t>1.3/36</t>
        </is>
      </c>
      <c r="B66" s="276" t="inlineStr">
        <is>
          <t>Предохранительный клапан ARI-SAFE 12.903 Ду 32/50 Ру 16</t>
        </is>
      </c>
      <c r="C66" s="276" t="n">
        <v>2</v>
      </c>
      <c r="D66" s="276" t="inlineStr">
        <is>
          <t>завод вместо ДН.РУ</t>
        </is>
      </c>
      <c r="E66" s="276" t="inlineStr">
        <is>
          <t>ООО «Торговый Дом АДЛ» (ТМ «Гранлок», «Прегран»)</t>
        </is>
      </c>
      <c r="F66" s="276" t="inlineStr">
        <is>
          <t>+7 (495) 937-89-68 info@adl.ru</t>
        </is>
      </c>
      <c r="G66" s="276" t="inlineStr">
        <is>
          <t>Прегран КПП 496-01(ОН) DN32×50 PN16, чугун GG-25</t>
        </is>
      </c>
      <c r="H66" s="276" t="inlineStr">
        <is>
          <t>ООО «Торговый Дом АДЛ» (ИНН 7718625072)</t>
        </is>
      </c>
      <c r="I66" s="276" t="inlineStr">
        <is>
          <t>10535129</t>
        </is>
      </c>
      <c r="J66" s="276" t="inlineStr">
        <is>
          <t>18.04.2027</t>
        </is>
      </c>
      <c r="K66" s="276" t="inlineStr">
        <is>
          <t>не подтверждено</t>
        </is>
      </c>
      <c r="L66" s="276" t="inlineStr">
        <is>
          <t>Запросить L/L1 для DN25×40 и 32×50 и подтвердить взаимозаменяемость с ARI-SAFE 12.903.</t>
        </is>
      </c>
    </row>
    <row r="67">
      <c r="A67" s="276" t="inlineStr">
        <is>
          <t>1.3/37</t>
        </is>
      </c>
      <c r="B67" s="276" t="inlineStr">
        <is>
          <t>Предохранительный клапан ARI-SAFE 12.903 Ду 25/40 Ру 16</t>
        </is>
      </c>
      <c r="C67" s="276" t="n">
        <v>2</v>
      </c>
      <c r="D67" s="276" t="inlineStr">
        <is>
          <t>завод вместо ДН.РУ</t>
        </is>
      </c>
      <c r="E67" s="276" t="inlineStr">
        <is>
          <t>ООО «Торговый Дом АДЛ» (ТМ «Гранлок», «Прегран»)</t>
        </is>
      </c>
      <c r="F67" s="276" t="inlineStr">
        <is>
          <t>+7 (495) 937-89-68 info@adl.ru</t>
        </is>
      </c>
      <c r="G67" s="276" t="inlineStr">
        <is>
          <t>Прегран КПП 496-01(ОН) DN25×40 PN16, чугун GG-25</t>
        </is>
      </c>
      <c r="H67" s="276" t="inlineStr">
        <is>
          <t>ООО «Торговый Дом АДЛ» (ИНН 7718625072)</t>
        </is>
      </c>
      <c r="I67" s="276" t="inlineStr">
        <is>
          <t>10535148</t>
        </is>
      </c>
      <c r="J67" s="276" t="inlineStr">
        <is>
          <t>18.04.2027</t>
        </is>
      </c>
      <c r="K67" s="276" t="inlineStr">
        <is>
          <t>не подтверждено</t>
        </is>
      </c>
      <c r="L67" s="276" t="inlineStr">
        <is>
          <t>Запросить L/L1 для DN25×40 и 32×50 и подтвердить взаимозаменяемость с ARI-SAFE 12.903.</t>
        </is>
      </c>
    </row>
    <row r="68">
      <c r="A68" s="276" t="inlineStr">
        <is>
          <t>1.3/38</t>
        </is>
      </c>
      <c r="B68" s="276" t="inlineStr">
        <is>
          <t>Предохранительный клапан ARI-SAFE 12.903 Ду 25/40 Ру 16</t>
        </is>
      </c>
      <c r="C68" s="276" t="n">
        <v>2</v>
      </c>
      <c r="D68" s="276" t="inlineStr">
        <is>
          <t>завод вместо ДН.РУ</t>
        </is>
      </c>
      <c r="E68" s="276" t="inlineStr">
        <is>
          <t>ООО «Торговый Дом АДЛ» (ТМ «Гранлок», «Прегран»)</t>
        </is>
      </c>
      <c r="F68" s="276" t="inlineStr">
        <is>
          <t>+7 (495) 937-89-68 info@adl.ru</t>
        </is>
      </c>
      <c r="G68" s="276" t="inlineStr">
        <is>
          <t>Прегран КПП 496-01(ОН) DN25×40 PN16, чугун GG-25</t>
        </is>
      </c>
      <c r="H68" s="276" t="inlineStr">
        <is>
          <t>ООО «Торговый Дом АДЛ» (ИНН 7718625072)</t>
        </is>
      </c>
      <c r="I68" s="276" t="inlineStr">
        <is>
          <t>10535148</t>
        </is>
      </c>
      <c r="J68" s="276" t="inlineStr">
        <is>
          <t>18.04.2027</t>
        </is>
      </c>
      <c r="K68" s="276" t="inlineStr">
        <is>
          <t>не подтверждено</t>
        </is>
      </c>
      <c r="L68" s="276" t="inlineStr">
        <is>
          <t>Запросить L/L1 для DN25×40 и 32×50 и подтвердить взаимозаменяемость с ARI-SAFE 12.903.</t>
        </is>
      </c>
    </row>
    <row r="69">
      <c r="A69" s="276" t="inlineStr">
        <is>
          <t>1.3/39</t>
        </is>
      </c>
      <c r="B69" s="276" t="inlineStr">
        <is>
          <t>Кран для манометра трехходовой Ду 15 Ру 16</t>
        </is>
      </c>
      <c r="C69" s="276" t="n">
        <v>34</v>
      </c>
      <c r="D69" s="276" t="inlineStr">
        <is>
          <t>текущий поставщик (номера записи нет)</t>
        </is>
      </c>
      <c r="E69" s="276" t="inlineStr">
        <is>
          <t>КИПИКА (прайс 01.10)</t>
        </is>
      </c>
      <c r="F69" s="276" t="inlineStr">
        <is>
          <t>+7 (8412) 909-200 b18bk@11b18bk.ru</t>
        </is>
      </c>
      <c r="G69" s="276" t="inlineStr">
        <is>
          <t>Кран трёхходовой для манометра с контр. фланцем 11б18бк(ф)1 Ру16 Ду15 G1/2×M20×1,5 с рукояткой (арт. 013011211)</t>
        </is>
      </c>
      <c r="H69" s="276" t="inlineStr"/>
      <c r="I69" s="276" t="inlineStr"/>
      <c r="J69" s="276" t="inlineStr"/>
      <c r="K69" s="276" t="inlineStr">
        <is>
          <t>нет записи ПП 719 — не проходит нацрежим</t>
        </is>
      </c>
      <c r="L69" s="276" t="inlineStr">
        <is>
          <t>изготовитель и № записи ПП 719 или российская замена</t>
        </is>
      </c>
    </row>
    <row r="70">
      <c r="A70" s="276" t="inlineStr">
        <is>
          <t>1.3/40</t>
        </is>
      </c>
      <c r="B70" s="276" t="inlineStr">
        <is>
          <t>Клапан 22б16п (15б34бк1) запорный вакуумный сильфонный Ду6 Ру16</t>
        </is>
      </c>
      <c r="C70" s="276" t="n">
        <v>2</v>
      </c>
      <c r="D70" s="276" t="inlineStr">
        <is>
          <t>завод (новый запрос КП)</t>
        </is>
      </c>
      <c r="E70" s="276" t="inlineStr">
        <is>
          <t>Компания «Арматон»</t>
        </is>
      </c>
      <c r="F70" s="276" t="inlineStr">
        <is>
          <t>+7 (963) 728-59-82 armaton@bk.ru</t>
        </is>
      </c>
      <c r="G70" s="276" t="inlineStr">
        <is>
          <t>22б16п — на сайте не найден</t>
        </is>
      </c>
      <c r="H70" s="276" t="inlineStr">
        <is>
          <t>Компания «Арматон»</t>
        </is>
      </c>
      <c r="I70" s="276" t="inlineStr"/>
      <c r="J70" s="276" t="inlineStr"/>
      <c r="K70" s="276" t="inlineStr">
        <is>
          <t>не подтверждено</t>
        </is>
      </c>
      <c r="L70" s="276" t="inlineStr">
        <is>
          <t>Запросить паспорт 22б16п (ТУ 3700-003-92853012-2012), изготовителя, ЛС59-1Л, цапка, −40…+120 °С.</t>
        </is>
      </c>
    </row>
    <row r="71">
      <c r="A71" s="276" t="inlineStr">
        <is>
          <t>1.3/41</t>
        </is>
      </c>
      <c r="B71" s="276" t="inlineStr">
        <is>
          <t>Клапан ВДХ Ду 80 Ру 10</t>
        </is>
      </c>
      <c r="C71" s="276" t="n">
        <v>2</v>
      </c>
      <c r="D71" s="276" t="inlineStr">
        <is>
          <t>завод (новый запрос КП)</t>
        </is>
      </c>
      <c r="E71" s="276" t="inlineStr">
        <is>
          <t>АО «Благовещенский арматурный завод» (БАЗ)</t>
        </is>
      </c>
      <c r="F71" s="276" t="inlineStr">
        <is>
          <t>+7 (347) 662-99-10 baz@bazrb.ru</t>
        </is>
      </c>
      <c r="G71" s="276" t="inlineStr">
        <is>
          <t>ВДХ — в каталоге БАЗ нет</t>
        </is>
      </c>
      <c r="H71" s="276" t="inlineStr">
        <is>
          <t>АО «Благовещенский арматурный завод»</t>
        </is>
      </c>
      <c r="I71" s="276" t="inlineStr"/>
      <c r="J71" s="276" t="inlineStr"/>
      <c r="K71" s="276" t="inlineStr">
        <is>
          <t>не подтверждено</t>
        </is>
      </c>
      <c r="L71" s="276" t="inlineStr">
        <is>
          <t>БАЗ не выпускает ВДХ по каталогу — запросить, будет ли изготовление; иначе снять назначение (см. альтернативы).</t>
        </is>
      </c>
    </row>
    <row r="72">
      <c r="A72" s="276" t="inlineStr">
        <is>
          <t>1.3/42</t>
        </is>
      </c>
      <c r="B72" s="276" t="inlineStr">
        <is>
          <t>Клапан диафрагменный химический ВДХ Ду 150 Ру 16</t>
        </is>
      </c>
      <c r="C72" s="276" t="n">
        <v>1</v>
      </c>
      <c r="D72" s="276" t="inlineStr">
        <is>
          <t>завод (новый запрос КП)</t>
        </is>
      </c>
      <c r="E72" s="276" t="inlineStr">
        <is>
          <t>АО «Благовещенский арматурный завод» (БАЗ)</t>
        </is>
      </c>
      <c r="F72" s="276" t="inlineStr">
        <is>
          <t>+7 (347) 662-99-10 baz@bazrb.ru</t>
        </is>
      </c>
      <c r="G72" s="276" t="inlineStr">
        <is>
          <t>ВДХ — в каталоге БАЗ нет</t>
        </is>
      </c>
      <c r="H72" s="276" t="inlineStr">
        <is>
          <t>АО «Благовещенский арматурный завод»</t>
        </is>
      </c>
      <c r="I72" s="276" t="inlineStr"/>
      <c r="J72" s="276" t="inlineStr"/>
      <c r="K72" s="276" t="inlineStr">
        <is>
          <t>не подтверждено</t>
        </is>
      </c>
      <c r="L72" s="276" t="inlineStr">
        <is>
          <t>БАЗ не выпускает ВДХ по каталогу — запросить, будет ли изготовление; иначе снять назначение (см. альтернативы).</t>
        </is>
      </c>
    </row>
    <row r="73">
      <c r="A73" s="276" t="inlineStr">
        <is>
          <t>1.3/43</t>
        </is>
      </c>
      <c r="B73" s="276" t="inlineStr">
        <is>
          <t>Клапан диафрагменный химический ВДХ Ду 50, Ру 16</t>
        </is>
      </c>
      <c r="C73" s="276" t="n">
        <v>1</v>
      </c>
      <c r="D73" s="276" t="inlineStr">
        <is>
          <t>завод (новый запрос КП)</t>
        </is>
      </c>
      <c r="E73" s="276" t="inlineStr">
        <is>
          <t>АО «Благовещенский арматурный завод» (БАЗ)</t>
        </is>
      </c>
      <c r="F73" s="276" t="inlineStr">
        <is>
          <t>+7 (347) 662-99-10 baz@bazrb.ru</t>
        </is>
      </c>
      <c r="G73" s="276" t="inlineStr">
        <is>
          <t>ВДХ — в каталоге БАЗ нет</t>
        </is>
      </c>
      <c r="H73" s="276" t="inlineStr">
        <is>
          <t>АО «Благовещенский арматурный завод»</t>
        </is>
      </c>
      <c r="I73" s="276" t="inlineStr"/>
      <c r="J73" s="276" t="inlineStr"/>
      <c r="K73" s="276" t="inlineStr">
        <is>
          <t>не подтверждено</t>
        </is>
      </c>
      <c r="L73" s="276" t="inlineStr">
        <is>
          <t>БАЗ не выпускает ВДХ по каталогу — запросить, будет ли изготовление; иначе снять назначение (см. альтернативы).</t>
        </is>
      </c>
    </row>
    <row r="74">
      <c r="A74" s="276" t="inlineStr">
        <is>
          <t>1.3/44</t>
        </is>
      </c>
      <c r="B74" s="276" t="inlineStr">
        <is>
          <t>Клапан диафрагменный химический ВДХ Ду 80 Ру 16</t>
        </is>
      </c>
      <c r="C74" s="276" t="n">
        <v>3</v>
      </c>
      <c r="D74" s="276" t="inlineStr">
        <is>
          <t>завод (новый запрос КП)</t>
        </is>
      </c>
      <c r="E74" s="276" t="inlineStr">
        <is>
          <t>АО «Благовещенский арматурный завод» (БАЗ)</t>
        </is>
      </c>
      <c r="F74" s="276" t="inlineStr">
        <is>
          <t>+7 (347) 662-99-10 baz@bazrb.ru</t>
        </is>
      </c>
      <c r="G74" s="276" t="inlineStr">
        <is>
          <t>ВДХ — в каталоге БАЗ нет</t>
        </is>
      </c>
      <c r="H74" s="276" t="inlineStr">
        <is>
          <t>АО «Благовещенский арматурный завод»</t>
        </is>
      </c>
      <c r="I74" s="276" t="inlineStr"/>
      <c r="J74" s="276" t="inlineStr"/>
      <c r="K74" s="276" t="inlineStr">
        <is>
          <t>не подтверждено</t>
        </is>
      </c>
      <c r="L74" s="276" t="inlineStr">
        <is>
          <t>БАЗ не выпускает ВДХ по каталогу — запросить, будет ли изготовление; иначе снять назначение (см. альтернативы).</t>
        </is>
      </c>
    </row>
    <row r="75">
      <c r="A75" s="276" t="inlineStr">
        <is>
          <t>1.3/45</t>
        </is>
      </c>
      <c r="B75" s="276" t="inlineStr">
        <is>
          <t>Клапан запорный 14нж17п Ду 15 Ру 10 цапковый</t>
        </is>
      </c>
      <c r="C75" s="276" t="n">
        <v>2</v>
      </c>
      <c r="D75" s="276" t="inlineStr">
        <is>
          <t>завод (новый запрос КП)</t>
        </is>
      </c>
      <c r="E75" s="276" t="inlineStr">
        <is>
          <t>ООО «Нижегородский завод «Старт»</t>
        </is>
      </c>
      <c r="F75" s="276" t="inlineStr">
        <is>
          <t>+7 (831) 253-83-11 start.nn@mail.ru</t>
        </is>
      </c>
      <c r="G75" s="276" t="inlineStr">
        <is>
          <t>14нж17п Ду15 PN10/25 (сильфонный)</t>
        </is>
      </c>
      <c r="H75" s="276" t="inlineStr">
        <is>
          <t>ООО «Нижегородский завод «Старт»</t>
        </is>
      </c>
      <c r="I75" s="276" t="inlineStr"/>
      <c r="J75" s="276" t="inlineStr"/>
      <c r="K75" s="276" t="inlineStr">
        <is>
          <t>не подтверждено</t>
        </is>
      </c>
      <c r="L75" s="276" t="inlineStr">
        <is>
          <t>Запросить цапковое исполнение, марку стали 12Х18Н9Т, уплотнение Ф-4.</t>
        </is>
      </c>
    </row>
    <row r="76">
      <c r="A76" s="276" t="inlineStr">
        <is>
          <t>1.3/46</t>
        </is>
      </c>
      <c r="B76" s="276" t="inlineStr">
        <is>
          <t>Клапан запорный 14нж17п Ду 25 Ру 10 цапковый</t>
        </is>
      </c>
      <c r="C76" s="276" t="n">
        <v>2</v>
      </c>
      <c r="D76" s="276" t="inlineStr">
        <is>
          <t>завод (новый запрос КП)</t>
        </is>
      </c>
      <c r="E76" s="276" t="inlineStr">
        <is>
          <t>ООО «Нижегородский завод «Старт»</t>
        </is>
      </c>
      <c r="F76" s="276" t="inlineStr">
        <is>
          <t>+7 (831) 253-83-11 start.nn@mail.ru</t>
        </is>
      </c>
      <c r="G76" s="276" t="inlineStr">
        <is>
          <t>14нж17п Ду25 PN10/25 (сильфонный)</t>
        </is>
      </c>
      <c r="H76" s="276" t="inlineStr">
        <is>
          <t>ООО «Нижегородский завод «Старт»</t>
        </is>
      </c>
      <c r="I76" s="276" t="inlineStr"/>
      <c r="J76" s="276" t="inlineStr"/>
      <c r="K76" s="276" t="inlineStr">
        <is>
          <t>не подтверждено</t>
        </is>
      </c>
      <c r="L76" s="276" t="inlineStr">
        <is>
          <t>Запросить цапковое исполнение, марку стали 12Х18Н9Т, уплотнение Ф-4.</t>
        </is>
      </c>
    </row>
    <row r="77">
      <c r="A77" s="276" t="inlineStr">
        <is>
          <t>1.3/47</t>
        </is>
      </c>
      <c r="B77" s="276" t="inlineStr">
        <is>
          <t>Клапан запорный 14нж17п Ду 32 Ру 10 цапковый</t>
        </is>
      </c>
      <c r="C77" s="276" t="n">
        <v>1</v>
      </c>
      <c r="D77" s="276" t="inlineStr">
        <is>
          <t>завод (новый запрос КП)</t>
        </is>
      </c>
      <c r="E77" s="276" t="inlineStr">
        <is>
          <t>ООО «Нижегородский завод «Старт»</t>
        </is>
      </c>
      <c r="F77" s="276" t="inlineStr">
        <is>
          <t>+7 (831) 253-83-11 start.nn@mail.ru</t>
        </is>
      </c>
      <c r="G77" s="276" t="inlineStr">
        <is>
          <t>14нж17п Ду32 PN10/25 (сильфонный)</t>
        </is>
      </c>
      <c r="H77" s="276" t="inlineStr">
        <is>
          <t>ООО «Нижегородский завод «Старт»</t>
        </is>
      </c>
      <c r="I77" s="276" t="inlineStr"/>
      <c r="J77" s="276" t="inlineStr"/>
      <c r="K77" s="276" t="inlineStr">
        <is>
          <t>не подтверждено</t>
        </is>
      </c>
      <c r="L77" s="276" t="inlineStr">
        <is>
          <t>Запросить цапковое исполнение, марку стали 12Х18Н9Т, уплотнение Ф-4.</t>
        </is>
      </c>
    </row>
    <row r="78">
      <c r="A78" s="276" t="inlineStr">
        <is>
          <t>1.3/48</t>
        </is>
      </c>
      <c r="B78" s="276" t="inlineStr">
        <is>
          <t>Клапан запорный 15б1п Ду 15 Ру16</t>
        </is>
      </c>
      <c r="C78" s="276" t="n">
        <v>45</v>
      </c>
      <c r="D78" s="276" t="inlineStr">
        <is>
          <t>завод вместо ДН.РУ</t>
        </is>
      </c>
      <c r="E78" s="276" t="inlineStr">
        <is>
          <t>ООО «Бологовский арматурный завод» (ТМ «БАЗ», латунная арматура)</t>
        </is>
      </c>
      <c r="F78" s="276" t="inlineStr">
        <is>
          <t>+7 (48238) 2-21-13 (завод, Бологое) sales@bolarm.com (продажи)</t>
        </is>
      </c>
      <c r="G78" s="276" t="inlineStr">
        <is>
          <t>15б1п Ду15 латунный муфтовый</t>
        </is>
      </c>
      <c r="H78" s="276" t="inlineStr">
        <is>
          <t>ООО «Бологовский арматурный завод» (ИНН 6908017634)</t>
        </is>
      </c>
      <c r="I78" s="276" t="inlineStr">
        <is>
          <t>10895023</t>
        </is>
      </c>
      <c r="J78" s="276" t="inlineStr">
        <is>
          <t>24.08.2031</t>
        </is>
      </c>
      <c r="K78" s="276" t="inlineStr">
        <is>
          <t>не подтверждено</t>
        </is>
      </c>
      <c r="L78"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79">
      <c r="A79" s="276" t="inlineStr">
        <is>
          <t>1.3/49</t>
        </is>
      </c>
      <c r="B79" s="276" t="inlineStr">
        <is>
          <t>Клапан запорный 15б1п Ду 20 Ру16</t>
        </is>
      </c>
      <c r="C79" s="276" t="n">
        <v>15</v>
      </c>
      <c r="D79" s="276" t="inlineStr">
        <is>
          <t>завод вместо ДН.РУ</t>
        </is>
      </c>
      <c r="E79" s="276" t="inlineStr">
        <is>
          <t>ООО «Бологовский арматурный завод» (ТМ «БАЗ», латунная арматура)</t>
        </is>
      </c>
      <c r="F79" s="276" t="inlineStr">
        <is>
          <t>+7 (48238) 2-21-13 (завод, Бологое) sales@bolarm.com (продажи)</t>
        </is>
      </c>
      <c r="G79" s="276" t="inlineStr">
        <is>
          <t>15б1п Ду20 латунный муфтовый</t>
        </is>
      </c>
      <c r="H79" s="276" t="inlineStr">
        <is>
          <t>ООО «Бологовский арматурный завод» (ИНН 6908017634)</t>
        </is>
      </c>
      <c r="I79" s="276" t="inlineStr">
        <is>
          <t>10895023</t>
        </is>
      </c>
      <c r="J79" s="276" t="inlineStr">
        <is>
          <t>24.08.2031</t>
        </is>
      </c>
      <c r="K79" s="276" t="inlineStr">
        <is>
          <t>не подтверждено</t>
        </is>
      </c>
      <c r="L79"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0">
      <c r="A80" s="276" t="inlineStr">
        <is>
          <t>1.3/50</t>
        </is>
      </c>
      <c r="B80" s="276" t="inlineStr">
        <is>
          <t>Клапан запорный 15б1п Ду 25 Ру16</t>
        </is>
      </c>
      <c r="C80" s="276" t="n">
        <v>10</v>
      </c>
      <c r="D80" s="276" t="inlineStr">
        <is>
          <t>завод вместо ДН.РУ</t>
        </is>
      </c>
      <c r="E80" s="276" t="inlineStr">
        <is>
          <t>ООО «Бологовский арматурный завод» (ТМ «БАЗ», латунная арматура)</t>
        </is>
      </c>
      <c r="F80" s="276" t="inlineStr">
        <is>
          <t>+7 (48238) 2-21-13 (завод, Бологое) sales@bolarm.com (продажи)</t>
        </is>
      </c>
      <c r="G80" s="276" t="inlineStr">
        <is>
          <t>15б1п Ду25 латунный муфтовый</t>
        </is>
      </c>
      <c r="H80" s="276" t="inlineStr">
        <is>
          <t>ООО «Бологовский арматурный завод» (ИНН 6908017634)</t>
        </is>
      </c>
      <c r="I80" s="276" t="inlineStr">
        <is>
          <t>10895023</t>
        </is>
      </c>
      <c r="J80" s="276" t="inlineStr">
        <is>
          <t>24.08.2031</t>
        </is>
      </c>
      <c r="K80" s="276" t="inlineStr">
        <is>
          <t>не подтверждено</t>
        </is>
      </c>
      <c r="L80"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1">
      <c r="A81" s="276" t="inlineStr">
        <is>
          <t>1.3/51</t>
        </is>
      </c>
      <c r="B81" s="276" t="inlineStr">
        <is>
          <t>Клапан запорный 15б1п Ду 32 Ру16</t>
        </is>
      </c>
      <c r="C81" s="276" t="n">
        <v>10</v>
      </c>
      <c r="D81" s="276" t="inlineStr">
        <is>
          <t>завод вместо ДН.РУ</t>
        </is>
      </c>
      <c r="E81" s="276" t="inlineStr">
        <is>
          <t>ООО «Бологовский арматурный завод» (ТМ «БАЗ», латунная арматура)</t>
        </is>
      </c>
      <c r="F81" s="276" t="inlineStr">
        <is>
          <t>+7 (48238) 2-21-13 (завод, Бологое) sales@bolarm.com (продажи)</t>
        </is>
      </c>
      <c r="G81" s="276" t="inlineStr">
        <is>
          <t>15б1п Ду32 латунный муфтовый</t>
        </is>
      </c>
      <c r="H81" s="276" t="inlineStr">
        <is>
          <t>ООО «Бологовский арматурный завод» (ИНН 6908017634)</t>
        </is>
      </c>
      <c r="I81" s="276" t="inlineStr">
        <is>
          <t>10895022</t>
        </is>
      </c>
      <c r="J81" s="276" t="inlineStr">
        <is>
          <t>24.08.2031</t>
        </is>
      </c>
      <c r="K81" s="276" t="inlineStr">
        <is>
          <t>не подтверждено</t>
        </is>
      </c>
      <c r="L81"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2">
      <c r="A82" s="276" t="inlineStr">
        <is>
          <t>1.3/52</t>
        </is>
      </c>
      <c r="B82" s="276" t="inlineStr">
        <is>
          <t>Клапан запорный 15б1п Ду 40 Ру16</t>
        </is>
      </c>
      <c r="C82" s="276" t="n">
        <v>5</v>
      </c>
      <c r="D82" s="276" t="inlineStr">
        <is>
          <t>завод вместо ДН.РУ</t>
        </is>
      </c>
      <c r="E82" s="276" t="inlineStr">
        <is>
          <t>ООО «Бологовский арматурный завод» (ТМ «БАЗ», латунная арматура)</t>
        </is>
      </c>
      <c r="F82" s="276" t="inlineStr">
        <is>
          <t>+7 (48238) 2-21-13 (завод, Бологое) sales@bolarm.com (продажи)</t>
        </is>
      </c>
      <c r="G82" s="276" t="inlineStr">
        <is>
          <t>15б1п Ду40 латунный муфтовый</t>
        </is>
      </c>
      <c r="H82" s="276" t="inlineStr">
        <is>
          <t>ООО «Бологовский арматурный завод» (ИНН 6908017634)</t>
        </is>
      </c>
      <c r="I82" s="276" t="inlineStr">
        <is>
          <t>10895022</t>
        </is>
      </c>
      <c r="J82" s="276" t="inlineStr">
        <is>
          <t>24.08.2031</t>
        </is>
      </c>
      <c r="K82" s="276" t="inlineStr">
        <is>
          <t>не подтверждено</t>
        </is>
      </c>
      <c r="L82"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3">
      <c r="A83" s="276" t="inlineStr">
        <is>
          <t>1.3/53</t>
        </is>
      </c>
      <c r="B83" s="276" t="inlineStr">
        <is>
          <t>Клапан запорный 15б1п Ду 50 Ру16</t>
        </is>
      </c>
      <c r="C83" s="276" t="n">
        <v>7</v>
      </c>
      <c r="D83" s="276" t="inlineStr">
        <is>
          <t>завод вместо ДН.РУ</t>
        </is>
      </c>
      <c r="E83" s="276" t="inlineStr">
        <is>
          <t>ООО «Бологовский арматурный завод» (ТМ «БАЗ», латунная арматура)</t>
        </is>
      </c>
      <c r="F83" s="276" t="inlineStr">
        <is>
          <t>+7 (48238) 2-21-13 (завод, Бологое) sales@bolarm.com (продажи)</t>
        </is>
      </c>
      <c r="G83" s="276" t="inlineStr">
        <is>
          <t>15б1п Ду50 латунный муфтовый</t>
        </is>
      </c>
      <c r="H83" s="276" t="inlineStr">
        <is>
          <t>ООО «Бологовский арматурный завод» (ИНН 6908017634)</t>
        </is>
      </c>
      <c r="I83" s="276" t="inlineStr">
        <is>
          <t>10895022</t>
        </is>
      </c>
      <c r="J83" s="276" t="inlineStr">
        <is>
          <t>24.08.2031</t>
        </is>
      </c>
      <c r="K83" s="276" t="inlineStr">
        <is>
          <t>не подтверждено</t>
        </is>
      </c>
      <c r="L83"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4">
      <c r="A84" s="276" t="inlineStr">
        <is>
          <t>1.3/54</t>
        </is>
      </c>
      <c r="B84" s="276" t="inlineStr">
        <is>
          <t>Клапан запорны 15нж65нж Ду 80 Ру 16 фланцевый</t>
        </is>
      </c>
      <c r="C84" s="276" t="n">
        <v>2</v>
      </c>
      <c r="D84" s="276" t="inlineStr">
        <is>
          <t>завод вместо ДН.РУ</t>
        </is>
      </c>
      <c r="E84" s="276" t="inlineStr">
        <is>
          <t>ООО «Восточная арматурная компания»</t>
        </is>
      </c>
      <c r="F84" s="276" t="inlineStr">
        <is>
          <t>+7 (347) 226-00-00 kontakt@vark.ru</t>
        </is>
      </c>
      <c r="G84" s="276" t="inlineStr">
        <is>
          <t>Клапаны запорные DN 10-400 мм, PN 0,6-50,0 МПа</t>
        </is>
      </c>
      <c r="H84" s="276" t="inlineStr">
        <is>
          <t>ООО «Восточная арматурная компания»</t>
        </is>
      </c>
      <c r="I84" s="276" t="inlineStr">
        <is>
          <t>10811565</t>
        </is>
      </c>
      <c r="J84" s="276" t="inlineStr">
        <is>
          <t>31.05.2031</t>
        </is>
      </c>
      <c r="K84" s="276" t="inlineStr">
        <is>
          <t>не проверено построчно</t>
        </is>
      </c>
      <c r="L84" s="276" t="inlineStr"/>
    </row>
    <row r="85">
      <c r="A85" s="276" t="inlineStr">
        <is>
          <t>1.3/55</t>
        </is>
      </c>
      <c r="B85" s="276" t="inlineStr">
        <is>
          <t>Клапан запорны 15нж65нж Ду 100 Ру 16 фланцевый</t>
        </is>
      </c>
      <c r="C85" s="276" t="n">
        <v>9</v>
      </c>
      <c r="D85" s="276" t="inlineStr">
        <is>
          <t>завод вместо ДН.РУ</t>
        </is>
      </c>
      <c r="E85" s="276" t="inlineStr">
        <is>
          <t>ООО «Восточная арматурная компания»</t>
        </is>
      </c>
      <c r="F85" s="276" t="inlineStr">
        <is>
          <t>+7 (347) 226-00-00 kontakt@vark.ru</t>
        </is>
      </c>
      <c r="G85" s="276" t="inlineStr">
        <is>
          <t>Клапаны запорные DN 10-400 мм, PN 0,6-50,0 МПа</t>
        </is>
      </c>
      <c r="H85" s="276" t="inlineStr">
        <is>
          <t>ООО «Восточная арматурная компания»</t>
        </is>
      </c>
      <c r="I85" s="276" t="inlineStr">
        <is>
          <t>10811565</t>
        </is>
      </c>
      <c r="J85" s="276" t="inlineStr">
        <is>
          <t>31.05.2031</t>
        </is>
      </c>
      <c r="K85" s="276" t="inlineStr">
        <is>
          <t>не проверено построчно</t>
        </is>
      </c>
      <c r="L85" s="276" t="inlineStr"/>
    </row>
    <row r="86">
      <c r="A86" s="276" t="inlineStr">
        <is>
          <t>1.3/56</t>
        </is>
      </c>
      <c r="B86" s="276" t="inlineStr">
        <is>
          <t>Клапан запорны 15нж65нж Ду 125 Ру 16 фланцевый</t>
        </is>
      </c>
      <c r="C86" s="276" t="n">
        <v>1</v>
      </c>
      <c r="D86" s="276" t="inlineStr">
        <is>
          <t>НЕ ЗАКРЫТО</t>
        </is>
      </c>
      <c r="E86" s="276" t="inlineStr"/>
      <c r="F86" s="276" t="inlineStr"/>
      <c r="G86" s="276" t="inlineStr"/>
      <c r="H86" s="276" t="inlineStr"/>
      <c r="I86" s="276" t="inlineStr"/>
      <c r="J86" s="276" t="inlineStr"/>
      <c r="K86" s="276" t="inlineStr">
        <is>
          <t>нет поставщика с записью ПП 719 и соответствием ТЗ</t>
        </is>
      </c>
      <c r="L86" s="276" t="inlineStr"/>
    </row>
    <row r="87">
      <c r="A87" s="276" t="inlineStr">
        <is>
          <t>1.3/57</t>
        </is>
      </c>
      <c r="B87" s="276" t="inlineStr">
        <is>
          <t>Клапан запорны 15нж65нж Ду 150 Ру 16 фланцевый</t>
        </is>
      </c>
      <c r="C87" s="276" t="n">
        <v>3</v>
      </c>
      <c r="D87" s="276" t="inlineStr">
        <is>
          <t>НЕ ЗАКРЫТО</t>
        </is>
      </c>
      <c r="E87" s="276" t="inlineStr"/>
      <c r="F87" s="276" t="inlineStr"/>
      <c r="G87" s="276" t="inlineStr"/>
      <c r="H87" s="276" t="inlineStr"/>
      <c r="I87" s="276" t="inlineStr"/>
      <c r="J87" s="276" t="inlineStr"/>
      <c r="K87" s="276" t="inlineStr">
        <is>
          <t>нет поставщика с записью ПП 719 и соответствием ТЗ</t>
        </is>
      </c>
      <c r="L87" s="276" t="inlineStr"/>
    </row>
    <row r="88">
      <c r="A88" s="276" t="inlineStr">
        <is>
          <t>1.3/58</t>
        </is>
      </c>
      <c r="B88" s="276" t="inlineStr">
        <is>
          <t>Клапан запорны 15нж65нж Ду 32 Ру 16 фланцевый</t>
        </is>
      </c>
      <c r="C88" s="276" t="n">
        <v>4</v>
      </c>
      <c r="D88" s="276" t="inlineStr">
        <is>
          <t>завод вместо ДН.РУ</t>
        </is>
      </c>
      <c r="E88" s="276" t="inlineStr">
        <is>
          <t>ООО «Восточная арматурная компания»</t>
        </is>
      </c>
      <c r="F88" s="276" t="inlineStr">
        <is>
          <t>+7 (347) 226-00-00 kontakt@vark.ru</t>
        </is>
      </c>
      <c r="G88" s="276" t="inlineStr">
        <is>
          <t>Клапаны запорные DN 10-400 мм, PN 0,6-50,0 МПа</t>
        </is>
      </c>
      <c r="H88" s="276" t="inlineStr">
        <is>
          <t>ООО «Восточная арматурная компания»</t>
        </is>
      </c>
      <c r="I88" s="276" t="inlineStr">
        <is>
          <t>10811565</t>
        </is>
      </c>
      <c r="J88" s="276" t="inlineStr">
        <is>
          <t>31.05.2031</t>
        </is>
      </c>
      <c r="K88" s="276" t="inlineStr">
        <is>
          <t>не проверено построчно</t>
        </is>
      </c>
      <c r="L88" s="276" t="inlineStr"/>
    </row>
    <row r="89">
      <c r="A89" s="276" t="inlineStr">
        <is>
          <t>1.3/59</t>
        </is>
      </c>
      <c r="B89" s="276" t="inlineStr">
        <is>
          <t>Клапан запорны 15нж65нж Ду 50 Ру 16 фланцевый</t>
        </is>
      </c>
      <c r="C89" s="276" t="n">
        <v>4</v>
      </c>
      <c r="D89" s="276" t="inlineStr">
        <is>
          <t>завод вместо ДН.РУ</t>
        </is>
      </c>
      <c r="E89" s="276" t="inlineStr">
        <is>
          <t>ООО «Восточная арматурная компания»</t>
        </is>
      </c>
      <c r="F89" s="276" t="inlineStr">
        <is>
          <t>+7 (347) 226-00-00 kontakt@vark.ru</t>
        </is>
      </c>
      <c r="G89" s="276" t="inlineStr">
        <is>
          <t>Клапаны запорные DN 10-400 мм, PN 0,6-50,0 МПа</t>
        </is>
      </c>
      <c r="H89" s="276" t="inlineStr">
        <is>
          <t>ООО «Восточная арматурная компания»</t>
        </is>
      </c>
      <c r="I89" s="276" t="inlineStr">
        <is>
          <t>10811565</t>
        </is>
      </c>
      <c r="J89" s="276" t="inlineStr">
        <is>
          <t>31.05.2031</t>
        </is>
      </c>
      <c r="K89" s="276" t="inlineStr">
        <is>
          <t>не проверено построчно</t>
        </is>
      </c>
      <c r="L89" s="276" t="inlineStr"/>
    </row>
    <row r="90">
      <c r="A90" s="276" t="inlineStr">
        <is>
          <t>1.3/60</t>
        </is>
      </c>
      <c r="B90" s="276" t="inlineStr">
        <is>
          <t>Клапан запорный 15с22нж Ду 32 Ру 40</t>
        </is>
      </c>
      <c r="C90" s="276" t="n">
        <v>2</v>
      </c>
      <c r="D90" s="276" t="inlineStr">
        <is>
          <t>завод вместо ДН.РУ</t>
        </is>
      </c>
      <c r="E90" s="276" t="inlineStr">
        <is>
          <t>ООО «Восточная арматурная компания»</t>
        </is>
      </c>
      <c r="F90" s="276" t="inlineStr">
        <is>
          <t>+7 (347) 226-00-00 kontakt@vark.ru</t>
        </is>
      </c>
      <c r="G90" s="276" t="inlineStr">
        <is>
          <t>Клапаны запорные DN 10-400 мм, PN 0,6-50,0 МПа</t>
        </is>
      </c>
      <c r="H90" s="276" t="inlineStr">
        <is>
          <t>ООО «Восточная арматурная компания»</t>
        </is>
      </c>
      <c r="I90" s="276" t="inlineStr">
        <is>
          <t>10811565</t>
        </is>
      </c>
      <c r="J90" s="276" t="inlineStr">
        <is>
          <t>31.05.2031</t>
        </is>
      </c>
      <c r="K90" s="276" t="inlineStr">
        <is>
          <t>не проверено построчно</t>
        </is>
      </c>
      <c r="L90" s="276" t="inlineStr"/>
    </row>
    <row r="91">
      <c r="A91" s="276" t="inlineStr">
        <is>
          <t>1.3/61</t>
        </is>
      </c>
      <c r="B91" s="276" t="inlineStr">
        <is>
          <t>Клапан запорный 15с22нж Ду 50 Ру 40</t>
        </is>
      </c>
      <c r="C91" s="276" t="n">
        <v>9</v>
      </c>
      <c r="D91" s="276" t="inlineStr">
        <is>
          <t>завод вместо ДН.РУ</t>
        </is>
      </c>
      <c r="E91" s="276" t="inlineStr">
        <is>
          <t>ООО «Восточная арматурная компания»</t>
        </is>
      </c>
      <c r="F91" s="276" t="inlineStr">
        <is>
          <t>+7 (347) 226-00-00 kontakt@vark.ru</t>
        </is>
      </c>
      <c r="G91" s="276" t="inlineStr">
        <is>
          <t>Клапаны запорные DN 10-400 мм, PN 0,6-50,0 МПа</t>
        </is>
      </c>
      <c r="H91" s="276" t="inlineStr">
        <is>
          <t>ООО «Восточная арматурная компания»</t>
        </is>
      </c>
      <c r="I91" s="276" t="inlineStr">
        <is>
          <t>10811565</t>
        </is>
      </c>
      <c r="J91" s="276" t="inlineStr">
        <is>
          <t>31.05.2031</t>
        </is>
      </c>
      <c r="K91" s="276" t="inlineStr">
        <is>
          <t>не проверено построчно</t>
        </is>
      </c>
      <c r="L91" s="276" t="inlineStr"/>
    </row>
    <row r="92">
      <c r="A92" s="276" t="inlineStr">
        <is>
          <t>1.3/62</t>
        </is>
      </c>
      <c r="B92" s="276" t="inlineStr">
        <is>
          <t>Клапан запорный 15с22нж Ду 80 Ру 40</t>
        </is>
      </c>
      <c r="C92" s="276" t="n">
        <v>6</v>
      </c>
      <c r="D92" s="276" t="inlineStr">
        <is>
          <t>завод вместо ДН.РУ</t>
        </is>
      </c>
      <c r="E92" s="276" t="inlineStr">
        <is>
          <t>ООО «Восточная арматурная компания»</t>
        </is>
      </c>
      <c r="F92" s="276" t="inlineStr">
        <is>
          <t>+7 (347) 226-00-00 kontakt@vark.ru</t>
        </is>
      </c>
      <c r="G92" s="276" t="inlineStr">
        <is>
          <t>Клапаны запорные DN 10-400 мм, PN 0,6-50,0 МПа</t>
        </is>
      </c>
      <c r="H92" s="276" t="inlineStr">
        <is>
          <t>ООО «Восточная арматурная компания»</t>
        </is>
      </c>
      <c r="I92" s="276" t="inlineStr">
        <is>
          <t>10811565</t>
        </is>
      </c>
      <c r="J92" s="276" t="inlineStr">
        <is>
          <t>31.05.2031</t>
        </is>
      </c>
      <c r="K92" s="276" t="inlineStr">
        <is>
          <t>не проверено построчно</t>
        </is>
      </c>
      <c r="L92" s="276" t="inlineStr"/>
    </row>
    <row r="93">
      <c r="A93" s="276" t="inlineStr">
        <is>
          <t>1.3/63</t>
        </is>
      </c>
      <c r="B93" s="276" t="inlineStr">
        <is>
          <t>Клапан запорный 15с52нж11 Ду 20 Ру 63 под приварку</t>
        </is>
      </c>
      <c r="C93" s="276" t="n">
        <v>6</v>
      </c>
      <c r="D93" s="276" t="inlineStr">
        <is>
          <t>завод вместо ДН.РУ</t>
        </is>
      </c>
      <c r="E93" s="276" t="inlineStr">
        <is>
          <t>ООО «Восточная арматурная компания»</t>
        </is>
      </c>
      <c r="F93" s="276" t="inlineStr">
        <is>
          <t>+7 (347) 226-00-00 kontakt@vark.ru</t>
        </is>
      </c>
      <c r="G93" s="276" t="inlineStr">
        <is>
          <t>Клапаны запорные DN 10-400 мм, PN 0,6-50,0 МПа</t>
        </is>
      </c>
      <c r="H93" s="276" t="inlineStr">
        <is>
          <t>ООО «Восточная арматурная компания»</t>
        </is>
      </c>
      <c r="I93" s="276" t="inlineStr">
        <is>
          <t>10811565</t>
        </is>
      </c>
      <c r="J93" s="276" t="inlineStr">
        <is>
          <t>31.05.2031</t>
        </is>
      </c>
      <c r="K93" s="276" t="inlineStr">
        <is>
          <t>не проверено построчно</t>
        </is>
      </c>
      <c r="L93" s="276" t="inlineStr"/>
    </row>
    <row r="94">
      <c r="A94" s="276" t="inlineStr">
        <is>
          <t>1.3/64</t>
        </is>
      </c>
      <c r="B94" s="276" t="inlineStr">
        <is>
          <t>Клапан запорный 15ч75п2 Ду 25 Ру10</t>
        </is>
      </c>
      <c r="C94" s="276" t="n">
        <v>3</v>
      </c>
      <c r="D94" s="276" t="inlineStr">
        <is>
          <t>текущий поставщик (номера записи нет)</t>
        </is>
      </c>
      <c r="E94" s="276" t="inlineStr">
        <is>
          <t>ДН.РУ</t>
        </is>
      </c>
      <c r="F94" s="276" t="inlineStr">
        <is>
          <t>менеджер по счетам 819892/819896</t>
        </is>
      </c>
      <c r="G94" s="276" t="inlineStr">
        <is>
          <t>Клапан запорный сальниковый DN.ru VSO1121M-F-S Ду25 Ру16, фланцевый, На складе в корпус - чугун GG25, уплотнение - 1 шт металл, управление - штурвал</t>
        </is>
      </c>
      <c r="H94" s="276" t="inlineStr"/>
      <c r="I94" s="276" t="inlineStr"/>
      <c r="J94" s="276" t="inlineStr"/>
      <c r="K94" s="276" t="inlineStr">
        <is>
          <t>нет записи ПП 719 — не проходит нацрежим</t>
        </is>
      </c>
      <c r="L94" s="276" t="inlineStr">
        <is>
          <t>изготовитель и № записи ПП 719 или российская замена</t>
        </is>
      </c>
    </row>
    <row r="95">
      <c r="A95" s="276" t="inlineStr">
        <is>
          <t>1.3/65</t>
        </is>
      </c>
      <c r="B95" s="276" t="inlineStr">
        <is>
          <t>Клапан запорный 15ч75п2 Ду 50 Ру10</t>
        </is>
      </c>
      <c r="C95" s="276" t="n">
        <v>9</v>
      </c>
      <c r="D95" s="276" t="inlineStr">
        <is>
          <t>текущий поставщик (номера записи нет)</t>
        </is>
      </c>
      <c r="E95" s="276" t="inlineStr">
        <is>
          <t>ДН.РУ</t>
        </is>
      </c>
      <c r="F95" s="276" t="inlineStr">
        <is>
          <t>менеджер по счетам 819892/819896</t>
        </is>
      </c>
      <c r="G95" s="276" t="inlineStr">
        <is>
          <t>Клапан запорный сальниковый DN.ru VSO1121M-F-S Ду50 Ру16, фланцевый, На складе в корпус - чугун GG25, уплотнение - 1 шт металл, управление - штурвал</t>
        </is>
      </c>
      <c r="H95" s="276" t="inlineStr"/>
      <c r="I95" s="276" t="inlineStr"/>
      <c r="J95" s="276" t="inlineStr"/>
      <c r="K95" s="276" t="inlineStr">
        <is>
          <t>нет записи ПП 719 — не проходит нацрежим</t>
        </is>
      </c>
      <c r="L95" s="276" t="inlineStr">
        <is>
          <t>изготовитель и № записи ПП 719 или российская замена</t>
        </is>
      </c>
    </row>
    <row r="96">
      <c r="A96" s="276" t="inlineStr">
        <is>
          <t>1.3/66</t>
        </is>
      </c>
      <c r="B96" s="276" t="inlineStr">
        <is>
          <t>Клапан запорный 15ч76п2 Ду 80 Ру 6,3</t>
        </is>
      </c>
      <c r="C96" s="276" t="n">
        <v>3</v>
      </c>
      <c r="D96" s="276" t="inlineStr">
        <is>
          <t>текущий поставщик (номера записи нет)</t>
        </is>
      </c>
      <c r="E96" s="276" t="inlineStr">
        <is>
          <t>ДН.РУ</t>
        </is>
      </c>
      <c r="F96" s="276" t="inlineStr">
        <is>
          <t>менеджер по счетам 819892/819896</t>
        </is>
      </c>
      <c r="G96" s="276" t="inlineStr">
        <is>
          <t>Клапан запорный сальниковый DN.ru VSO1121M-F-S Ду80 Ру16, фланцевый, На складе в корпус - чугун GG25, уплотнение - 1 шт металл, управление - штурвал</t>
        </is>
      </c>
      <c r="H96" s="276" t="inlineStr"/>
      <c r="I96" s="276" t="inlineStr"/>
      <c r="J96" s="276" t="inlineStr"/>
      <c r="K96" s="276" t="inlineStr">
        <is>
          <t>нет записи ПП 719 — не проходит нацрежим</t>
        </is>
      </c>
      <c r="L96" s="276" t="inlineStr">
        <is>
          <t>изготовитель и № записи ПП 719 или российская замена</t>
        </is>
      </c>
    </row>
    <row r="97">
      <c r="A97" s="276" t="inlineStr">
        <is>
          <t>1.3/67</t>
        </is>
      </c>
      <c r="B97" s="276" t="inlineStr">
        <is>
          <t>Клапан запорный 15ч93эм Ду 20 Ру 16</t>
        </is>
      </c>
      <c r="C97" s="276" t="n">
        <v>2</v>
      </c>
      <c r="D97" s="276" t="inlineStr">
        <is>
          <t>завод (новый запрос КП)</t>
        </is>
      </c>
      <c r="E97" s="276" t="inlineStr">
        <is>
          <t>АО «Благовещенский арматурный завод» (БАЗ)</t>
        </is>
      </c>
      <c r="F97" s="276" t="inlineStr">
        <is>
          <t>+7 (347) 662-99-10 baz@bazrb.ru</t>
        </is>
      </c>
      <c r="G97" s="276" t="inlineStr">
        <is>
          <t>15ч93эм — в каталоге БАЗ нет</t>
        </is>
      </c>
      <c r="H97" s="276" t="inlineStr">
        <is>
          <t>АО «Благовещенский арматурный завод»</t>
        </is>
      </c>
      <c r="I97" s="276" t="inlineStr"/>
      <c r="J97" s="276" t="inlineStr"/>
      <c r="K97" s="276" t="inlineStr">
        <is>
          <t>не подтверждено</t>
        </is>
      </c>
      <c r="L97" s="276" t="inlineStr">
        <is>
          <t>БАЗ не выпускает 15ч93эм по каталогу — запросить, будет ли изготовление; иначе снять назначение (см. альтернативы).</t>
        </is>
      </c>
    </row>
    <row r="98">
      <c r="A98" s="276" t="inlineStr">
        <is>
          <t>1.3/68</t>
        </is>
      </c>
      <c r="B98" s="276" t="inlineStr">
        <is>
          <t>Задвижка 30нж41нж DN 100 PN 16 1исп. САЗ</t>
        </is>
      </c>
      <c r="C98" s="276" t="n">
        <v>2</v>
      </c>
      <c r="D98" s="276" t="inlineStr">
        <is>
          <t>завод вместо ДН.РУ</t>
        </is>
      </c>
      <c r="E98" s="276" t="inlineStr">
        <is>
          <t>ООО «Пермский трубопроводный завод» (ООО «ПТЗ»)</t>
        </is>
      </c>
      <c r="F98" s="276" t="inlineStr">
        <is>
          <t>+7 (342) 270-07-34 sales@ptza.ru</t>
        </is>
      </c>
      <c r="G98" s="276" t="inlineStr">
        <is>
          <t>30нж41нж Ду100 PN16 (ПТЗ)</t>
        </is>
      </c>
      <c r="H98" s="276" t="inlineStr">
        <is>
          <t>ООО «Пермский трубопроводный завод» (ИНН 5904173655)</t>
        </is>
      </c>
      <c r="I98" s="276" t="inlineStr">
        <is>
          <t>10698940</t>
        </is>
      </c>
      <c r="J98" s="276" t="inlineStr">
        <is>
          <t>17.02.2031</t>
        </is>
      </c>
      <c r="K98" s="276" t="inlineStr">
        <is>
          <t>соответствует</t>
        </is>
      </c>
      <c r="L98" s="276" t="inlineStr">
        <is>
          <t>Подтвердить комплектацию материалов по ТЗ (шпиндель 12Х18Н9Т, шпильки 45Х14Н14В2М, ТРГ, паронит ПМБ); «1 исп. САЗ» — ПТЗ не САЗ, конструкция-аналог.</t>
        </is>
      </c>
    </row>
    <row r="99">
      <c r="A99" s="276" t="inlineStr">
        <is>
          <t>1.3/69</t>
        </is>
      </c>
      <c r="B99" s="276" t="inlineStr">
        <is>
          <t>Задвижка 30нж41нж DN 150 PN 16 1исп. САЗ</t>
        </is>
      </c>
      <c r="C99" s="276" t="n">
        <v>2</v>
      </c>
      <c r="D99" s="276" t="inlineStr">
        <is>
          <t>завод вместо ДН.РУ</t>
        </is>
      </c>
      <c r="E99" s="276" t="inlineStr">
        <is>
          <t>ООО «Пермский трубопроводный завод» (ООО «ПТЗ»)</t>
        </is>
      </c>
      <c r="F99" s="276" t="inlineStr">
        <is>
          <t>+7 (342) 270-07-34 sales@ptza.ru</t>
        </is>
      </c>
      <c r="G99" s="276" t="inlineStr">
        <is>
          <t>30нж41нж Ду150 PN16 (ПТЗ)</t>
        </is>
      </c>
      <c r="H99" s="276" t="inlineStr">
        <is>
          <t>ООО «Пермский трубопроводный завод» (ИНН 5904173655)</t>
        </is>
      </c>
      <c r="I99" s="276" t="inlineStr">
        <is>
          <t>10698940</t>
        </is>
      </c>
      <c r="J99" s="276" t="inlineStr">
        <is>
          <t>17.02.2031</t>
        </is>
      </c>
      <c r="K99" s="276" t="inlineStr">
        <is>
          <t>соответствует</t>
        </is>
      </c>
      <c r="L99" s="276" t="inlineStr">
        <is>
          <t>Подтвердить комплектацию материалов по ТЗ (шпиндель 12Х18Н9Т, шпильки 45Х14Н14В2М, ТРГ, паронит ПМБ); «1 исп. САЗ» — ПТЗ не САЗ, конструкция-аналог.</t>
        </is>
      </c>
    </row>
    <row r="100">
      <c r="A100" s="276" t="inlineStr">
        <is>
          <t>1.3/70</t>
        </is>
      </c>
      <c r="B100" s="276" t="inlineStr">
        <is>
          <t>Задвижка 30нж41нж DN 200 PN 16 1исп. САЗ</t>
        </is>
      </c>
      <c r="C100" s="276" t="n">
        <v>2</v>
      </c>
      <c r="D100" s="276" t="inlineStr">
        <is>
          <t>завод вместо ДН.РУ</t>
        </is>
      </c>
      <c r="E100" s="276" t="inlineStr">
        <is>
          <t>ООО «Пермский трубопроводный завод» (ООО «ПТЗ»)</t>
        </is>
      </c>
      <c r="F100" s="276" t="inlineStr">
        <is>
          <t>+7 (342) 270-07-34 sales@ptza.ru</t>
        </is>
      </c>
      <c r="G100" s="276" t="inlineStr">
        <is>
          <t>30нж41нж Ду200 PN16 (ПТЗ)</t>
        </is>
      </c>
      <c r="H100" s="276" t="inlineStr">
        <is>
          <t>ООО «Пермский трубопроводный завод» (ИНН 5904173655)</t>
        </is>
      </c>
      <c r="I100" s="276" t="inlineStr">
        <is>
          <t>10698940</t>
        </is>
      </c>
      <c r="J100" s="276" t="inlineStr">
        <is>
          <t>17.02.2031</t>
        </is>
      </c>
      <c r="K100" s="276" t="inlineStr">
        <is>
          <t>соответствует</t>
        </is>
      </c>
      <c r="L100" s="276" t="inlineStr">
        <is>
          <t>Подтвердить комплектацию материалов по ТЗ (шпиндель 12Х18Н9Т, шпильки 45Х14Н14В2М, ТРГ, паронит ПМБ); «1 исп. САЗ» — ПТЗ не САЗ, конструкция-аналог.</t>
        </is>
      </c>
    </row>
    <row r="101">
      <c r="A101" s="276" t="inlineStr">
        <is>
          <t>1.3/71</t>
        </is>
      </c>
      <c r="B101" s="276" t="inlineStr">
        <is>
          <t>Задвижка 30нж41нж DN 50 PN 16 1исп. САЗ</t>
        </is>
      </c>
      <c r="C101" s="276" t="n">
        <v>2</v>
      </c>
      <c r="D101" s="276" t="inlineStr">
        <is>
          <t>завод вместо ДН.РУ</t>
        </is>
      </c>
      <c r="E101" s="276" t="inlineStr">
        <is>
          <t>ООО «Пермский трубопроводный завод» (ООО «ПТЗ»)</t>
        </is>
      </c>
      <c r="F101" s="276" t="inlineStr">
        <is>
          <t>+7 (342) 270-07-34 sales@ptza.ru</t>
        </is>
      </c>
      <c r="G101" s="276" t="inlineStr">
        <is>
          <t>30нж41нж Ду50 PN16 (ПТЗ)</t>
        </is>
      </c>
      <c r="H101" s="276" t="inlineStr">
        <is>
          <t>ООО «Пермский трубопроводный завод» (ИНН 5904173655)</t>
        </is>
      </c>
      <c r="I101" s="276" t="inlineStr">
        <is>
          <t>10698940</t>
        </is>
      </c>
      <c r="J101" s="276" t="inlineStr">
        <is>
          <t>17.02.2031</t>
        </is>
      </c>
      <c r="K101" s="276" t="inlineStr">
        <is>
          <t>соответствует</t>
        </is>
      </c>
      <c r="L101" s="276" t="inlineStr">
        <is>
          <t>Подтвердить комплектацию материалов по ТЗ (шпиндель 12Х18Н9Т, шпильки 45Х14Н14В2М, ТРГ, паронит ПМБ); «1 исп. САЗ» — ПТЗ не САЗ, конструкция-аналог.</t>
        </is>
      </c>
    </row>
    <row r="102">
      <c r="A102" s="276" t="inlineStr">
        <is>
          <t>1.3/72</t>
        </is>
      </c>
      <c r="B102" s="276" t="inlineStr">
        <is>
          <t>Задвижка 30нж41нж DN 80 PN 16 1исп. САЗ</t>
        </is>
      </c>
      <c r="C102" s="276" t="n">
        <v>2</v>
      </c>
      <c r="D102" s="276" t="inlineStr">
        <is>
          <t>завод вместо ДН.РУ</t>
        </is>
      </c>
      <c r="E102" s="276" t="inlineStr">
        <is>
          <t>ООО «Пермский трубопроводный завод» (ООО «ПТЗ»)</t>
        </is>
      </c>
      <c r="F102" s="276" t="inlineStr">
        <is>
          <t>+7 (342) 270-07-34 sales@ptza.ru</t>
        </is>
      </c>
      <c r="G102" s="276" t="inlineStr">
        <is>
          <t>30нж41нж Ду80 PN16 (ПТЗ)</t>
        </is>
      </c>
      <c r="H102" s="276" t="inlineStr">
        <is>
          <t>ООО «Пермский трубопроводный завод» (ИНН 5904173655)</t>
        </is>
      </c>
      <c r="I102" s="276" t="inlineStr">
        <is>
          <t>10698940</t>
        </is>
      </c>
      <c r="J102" s="276" t="inlineStr">
        <is>
          <t>17.02.2031</t>
        </is>
      </c>
      <c r="K102" s="276" t="inlineStr">
        <is>
          <t>соответствует</t>
        </is>
      </c>
      <c r="L102" s="276" t="inlineStr">
        <is>
          <t>Подтвердить комплектацию материалов по ТЗ (шпиндель 12Х18Н9Т, шпильки 45Х14Н14В2М, ТРГ, паронит ПМБ); «1 исп. САЗ» — ПТЗ не САЗ, конструкция-аналог.</t>
        </is>
      </c>
    </row>
    <row r="103">
      <c r="A103" s="276" t="inlineStr">
        <is>
          <t>1.3/73</t>
        </is>
      </c>
      <c r="B103" s="276" t="inlineStr">
        <is>
          <t>Задвижка 30с41нж Ду 50 Ру 16</t>
        </is>
      </c>
      <c r="C103" s="276" t="n">
        <v>6</v>
      </c>
      <c r="D103" s="276" t="inlineStr">
        <is>
          <t>завод вместо ДН.РУ</t>
        </is>
      </c>
      <c r="E103" s="276" t="inlineStr">
        <is>
          <t>АО «Благовещенский арматурный завод» (АО «БАЗ»)</t>
        </is>
      </c>
      <c r="F103" s="276" t="inlineStr">
        <is>
          <t>+7 (34766) 2-99-10, 2-99-11 baz@bazrb.ru</t>
        </is>
      </c>
      <c r="G103" s="276" t="inlineStr">
        <is>
          <t>Задвижки клиновые литые ЗКЛ2, ЗКЛП DN50-1400 PN 1,6-25,0 МПа</t>
        </is>
      </c>
      <c r="H103" s="276" t="inlineStr">
        <is>
          <t>АО «Благовещенский арматурный завод»</t>
        </is>
      </c>
      <c r="I103" s="276" t="inlineStr">
        <is>
          <t>10306805</t>
        </is>
      </c>
      <c r="J103" s="276" t="inlineStr">
        <is>
          <t>31.08.2028</t>
        </is>
      </c>
      <c r="K103" s="276" t="inlineStr">
        <is>
          <t>не проверено построчно</t>
        </is>
      </c>
      <c r="L103" s="276" t="inlineStr"/>
    </row>
    <row r="104">
      <c r="A104" s="276" t="inlineStr">
        <is>
          <t>1.3/74</t>
        </is>
      </c>
      <c r="B104" s="276" t="inlineStr">
        <is>
          <t>Задвижка 30с41нж Ду 80 Ру 16</t>
        </is>
      </c>
      <c r="C104" s="276" t="n">
        <v>12</v>
      </c>
      <c r="D104" s="276" t="inlineStr">
        <is>
          <t>завод вместо ДН.РУ</t>
        </is>
      </c>
      <c r="E104" s="276" t="inlineStr">
        <is>
          <t>ООО «Пермский трубопроводный завод» (ООО «ПТЗ»)</t>
        </is>
      </c>
      <c r="F104" s="276" t="inlineStr">
        <is>
          <t>+7 (342) 270-07-34 sales@ptza.ru</t>
        </is>
      </c>
      <c r="G104" s="276" t="inlineStr">
        <is>
          <t>30с41нж Ду80 PN16 (ПТЗ)</t>
        </is>
      </c>
      <c r="H104" s="276" t="inlineStr">
        <is>
          <t>ООО «Пермский трубопроводный завод» (ИНН 5904173655)</t>
        </is>
      </c>
      <c r="I104" s="276" t="inlineStr">
        <is>
          <t>10698940</t>
        </is>
      </c>
      <c r="J104" s="276" t="inlineStr">
        <is>
          <t>17.02.2031</t>
        </is>
      </c>
      <c r="K104" s="276" t="inlineStr">
        <is>
          <t>не подтверждено</t>
        </is>
      </c>
      <c r="L104" s="276" t="inlineStr">
        <is>
          <t>Подтвердить: шпиндель 20Х13, наплавка 20Х13 (или 07Х25Н13 где указано), ТРГ.</t>
        </is>
      </c>
    </row>
    <row r="105">
      <c r="A105" s="276" t="inlineStr">
        <is>
          <t>1.3/75</t>
        </is>
      </c>
      <c r="B105" s="276" t="inlineStr">
        <is>
          <t>Задвижка 30с41нж Ду 100 Ру 16</t>
        </is>
      </c>
      <c r="C105" s="276" t="n">
        <v>2</v>
      </c>
      <c r="D105" s="276" t="inlineStr">
        <is>
          <t>завод вместо ДН.РУ</t>
        </is>
      </c>
      <c r="E105" s="276" t="inlineStr">
        <is>
          <t>АО «Благовещенский арматурный завод» (АО «БАЗ»)</t>
        </is>
      </c>
      <c r="F105" s="276" t="inlineStr">
        <is>
          <t>+7 (34766) 2-99-10, 2-99-11 baz@bazrb.ru</t>
        </is>
      </c>
      <c r="G105" s="276" t="inlineStr">
        <is>
          <t>Задвижки клиновые литые ЗКЛ2, ЗКЛП DN50-1400 PN 1,6-25,0 МПа</t>
        </is>
      </c>
      <c r="H105" s="276" t="inlineStr">
        <is>
          <t>АО «Благовещенский арматурный завод»</t>
        </is>
      </c>
      <c r="I105" s="276" t="inlineStr">
        <is>
          <t>10306805</t>
        </is>
      </c>
      <c r="J105" s="276" t="inlineStr">
        <is>
          <t>31.08.2028</t>
        </is>
      </c>
      <c r="K105" s="276" t="inlineStr">
        <is>
          <t>не проверено построчно</t>
        </is>
      </c>
      <c r="L105" s="276" t="inlineStr"/>
    </row>
    <row r="106">
      <c r="A106" s="276" t="inlineStr">
        <is>
          <t>1.3/76</t>
        </is>
      </c>
      <c r="B106" s="276" t="inlineStr">
        <is>
          <t>Задвижка 30с41нж Ду 150 Ру 16</t>
        </is>
      </c>
      <c r="C106" s="276" t="n">
        <v>5</v>
      </c>
      <c r="D106" s="276" t="inlineStr">
        <is>
          <t>завод вместо ДН.РУ</t>
        </is>
      </c>
      <c r="E106" s="276" t="inlineStr">
        <is>
          <t>АО «Благовещенский арматурный завод» (АО «БАЗ»)</t>
        </is>
      </c>
      <c r="F106" s="276" t="inlineStr">
        <is>
          <t>+7 (34766) 2-99-10, 2-99-11 baz@bazrb.ru</t>
        </is>
      </c>
      <c r="G106" s="276" t="inlineStr">
        <is>
          <t>Задвижки клиновые литые ЗКЛ2, ЗКЛП DN50-1400 PN 1,6-25,0 МПа</t>
        </is>
      </c>
      <c r="H106" s="276" t="inlineStr">
        <is>
          <t>АО «Благовещенский арматурный завод»</t>
        </is>
      </c>
      <c r="I106" s="276" t="inlineStr">
        <is>
          <t>10306805</t>
        </is>
      </c>
      <c r="J106" s="276" t="inlineStr">
        <is>
          <t>31.08.2028</t>
        </is>
      </c>
      <c r="K106" s="276" t="inlineStr">
        <is>
          <t>не проверено построчно</t>
        </is>
      </c>
      <c r="L106" s="276" t="inlineStr"/>
    </row>
    <row r="107">
      <c r="A107" s="276" t="inlineStr">
        <is>
          <t>1.3/77</t>
        </is>
      </c>
      <c r="B107" s="276" t="inlineStr">
        <is>
          <t>Задвижка 30с564нж Ду 400 Ру 25</t>
        </is>
      </c>
      <c r="C107" s="276" t="n">
        <v>3</v>
      </c>
      <c r="D107" s="276" t="inlineStr">
        <is>
          <t>завод вместо ДН.РУ</t>
        </is>
      </c>
      <c r="E107" s="276" t="inlineStr">
        <is>
          <t>ООО «Пермский трубопроводный завод» (ООО «ПТЗ»)</t>
        </is>
      </c>
      <c r="F107" s="276" t="inlineStr">
        <is>
          <t>+7 (342) 270-07-34 sales@ptza.ru</t>
        </is>
      </c>
      <c r="G107" s="276" t="inlineStr">
        <is>
          <t>30с564нж Ду400 PN25 с механическим приводом (ПТЗ)</t>
        </is>
      </c>
      <c r="H107" s="276" t="inlineStr">
        <is>
          <t>ООО «Пермский трубопроводный завод» (ИНН 5904173655)</t>
        </is>
      </c>
      <c r="I107" s="276" t="inlineStr">
        <is>
          <t>10698940</t>
        </is>
      </c>
      <c r="J107" s="276" t="inlineStr">
        <is>
          <t>17.02.2031</t>
        </is>
      </c>
      <c r="K107" s="276" t="inlineStr">
        <is>
          <t>эквивалент — согласовать</t>
        </is>
      </c>
      <c r="L107" s="276" t="inlineStr">
        <is>
          <t>30с64нж у ПТЗ только до Ду300 → Ду400 с редуктором (30с564нж). Согласовать редуктор вместо маховика.</t>
        </is>
      </c>
    </row>
    <row r="108">
      <c r="A108" s="276" t="inlineStr">
        <is>
          <t>1.3/78</t>
        </is>
      </c>
      <c r="B108" s="276" t="inlineStr">
        <is>
          <t>Задвижка 30с64нж Ду 50 Ру 25</t>
        </is>
      </c>
      <c r="C108" s="276" t="n">
        <v>5</v>
      </c>
      <c r="D108" s="276" t="inlineStr">
        <is>
          <t>завод вместо ДН.РУ</t>
        </is>
      </c>
      <c r="E108" s="276" t="inlineStr">
        <is>
          <t>ООО «Пермский трубопроводный завод» (ООО «ПТЗ»)</t>
        </is>
      </c>
      <c r="F108" s="276" t="inlineStr">
        <is>
          <t>+7 (342) 270-07-34 sales@ptza.ru</t>
        </is>
      </c>
      <c r="G108" s="276" t="inlineStr">
        <is>
          <t>30с64нж Ду50 PN25 (ПТЗ)</t>
        </is>
      </c>
      <c r="H108" s="276" t="inlineStr">
        <is>
          <t>ООО «Пермский трубопроводный завод» (ИНН 5904173655)</t>
        </is>
      </c>
      <c r="I108" s="276" t="inlineStr">
        <is>
          <t>10698940</t>
        </is>
      </c>
      <c r="J108" s="276" t="inlineStr">
        <is>
          <t>17.02.2031</t>
        </is>
      </c>
      <c r="K108" s="276" t="inlineStr">
        <is>
          <t>соответствует</t>
        </is>
      </c>
      <c r="L108" s="276" t="inlineStr">
        <is>
          <t>Запросить паспорт: шпиндель 20Х13, наплавка, ТРГ.</t>
        </is>
      </c>
    </row>
    <row r="109">
      <c r="A109" s="276" t="inlineStr">
        <is>
          <t>1.3/79</t>
        </is>
      </c>
      <c r="B109" s="276" t="inlineStr">
        <is>
          <t>Задвижка 30с64нж Ду 80 Ру 25</t>
        </is>
      </c>
      <c r="C109" s="276" t="n">
        <v>3</v>
      </c>
      <c r="D109" s="276" t="inlineStr">
        <is>
          <t>завод вместо ДН.РУ</t>
        </is>
      </c>
      <c r="E109" s="276" t="inlineStr">
        <is>
          <t>ООО «Пермский трубопроводный завод» (ООО «ПТЗ»)</t>
        </is>
      </c>
      <c r="F109" s="276" t="inlineStr">
        <is>
          <t>+7 (342) 270-07-34 sales@ptza.ru</t>
        </is>
      </c>
      <c r="G109" s="276" t="inlineStr">
        <is>
          <t>30с64нж Ду80 PN25 (ПТЗ)</t>
        </is>
      </c>
      <c r="H109" s="276" t="inlineStr">
        <is>
          <t>ООО «Пермский трубопроводный завод» (ИНН 5904173655)</t>
        </is>
      </c>
      <c r="I109" s="276" t="inlineStr">
        <is>
          <t>10698940</t>
        </is>
      </c>
      <c r="J109" s="276" t="inlineStr">
        <is>
          <t>17.02.2031</t>
        </is>
      </c>
      <c r="K109" s="276" t="inlineStr">
        <is>
          <t>соответствует</t>
        </is>
      </c>
      <c r="L109" s="276" t="inlineStr">
        <is>
          <t>Запросить паспорт: шпиндель 20Х13, наплавка, ТРГ.</t>
        </is>
      </c>
    </row>
    <row r="110">
      <c r="A110" s="276" t="inlineStr">
        <is>
          <t>1.3/80</t>
        </is>
      </c>
      <c r="B110" s="276" t="inlineStr">
        <is>
          <t>Задвижка 30с64нж Ду 100 Ру 25</t>
        </is>
      </c>
      <c r="C110" s="276" t="n">
        <v>20</v>
      </c>
      <c r="D110" s="276" t="inlineStr">
        <is>
          <t>завод вместо ДН.РУ</t>
        </is>
      </c>
      <c r="E110" s="276" t="inlineStr">
        <is>
          <t>ООО «Пермский трубопроводный завод» (ООО «ПТЗ»)</t>
        </is>
      </c>
      <c r="F110" s="276" t="inlineStr">
        <is>
          <t>+7 (342) 270-07-34 sales@ptza.ru</t>
        </is>
      </c>
      <c r="G110" s="276" t="inlineStr">
        <is>
          <t>30с64нж Ду100 PN25 (ПТЗ)</t>
        </is>
      </c>
      <c r="H110" s="276" t="inlineStr">
        <is>
          <t>ООО «Пермский трубопроводный завод» (ИНН 5904173655)</t>
        </is>
      </c>
      <c r="I110" s="276" t="inlineStr">
        <is>
          <t>10698940</t>
        </is>
      </c>
      <c r="J110" s="276" t="inlineStr">
        <is>
          <t>17.02.2031</t>
        </is>
      </c>
      <c r="K110" s="276" t="inlineStr">
        <is>
          <t>соответствует</t>
        </is>
      </c>
      <c r="L110" s="276" t="inlineStr">
        <is>
          <t>Запросить паспорт: шпиндель 20Х13, наплавка, ТРГ.</t>
        </is>
      </c>
    </row>
    <row r="111">
      <c r="A111" s="276" t="inlineStr">
        <is>
          <t>1.3/81</t>
        </is>
      </c>
      <c r="B111" s="276" t="inlineStr">
        <is>
          <t>Задвижка 30с64нж Ду 150 Ру 25</t>
        </is>
      </c>
      <c r="C111" s="276" t="n">
        <v>18</v>
      </c>
      <c r="D111" s="276" t="inlineStr">
        <is>
          <t>завод вместо ДН.РУ</t>
        </is>
      </c>
      <c r="E111" s="276" t="inlineStr">
        <is>
          <t>ООО «Пермский трубопроводный завод» (ООО «ПТЗ»)</t>
        </is>
      </c>
      <c r="F111" s="276" t="inlineStr">
        <is>
          <t>+7 (342) 270-07-34 sales@ptza.ru</t>
        </is>
      </c>
      <c r="G111" s="276" t="inlineStr">
        <is>
          <t>30с64нж Ду150 PN25 (ПТЗ)</t>
        </is>
      </c>
      <c r="H111" s="276" t="inlineStr">
        <is>
          <t>ООО «Пермский трубопроводный завод» (ИНН 5904173655)</t>
        </is>
      </c>
      <c r="I111" s="276" t="inlineStr">
        <is>
          <t>10698940</t>
        </is>
      </c>
      <c r="J111" s="276" t="inlineStr">
        <is>
          <t>17.02.2031</t>
        </is>
      </c>
      <c r="K111" s="276" t="inlineStr">
        <is>
          <t>соответствует</t>
        </is>
      </c>
      <c r="L111" s="276" t="inlineStr">
        <is>
          <t>Запросить паспорт: шпиндель 20Х13, наплавка, ТРГ.</t>
        </is>
      </c>
    </row>
    <row r="112">
      <c r="A112" s="276" t="inlineStr">
        <is>
          <t>1.3/82</t>
        </is>
      </c>
      <c r="B112" s="276" t="inlineStr">
        <is>
          <t>Задвижка 30с64нж Ду 200 Ру 25</t>
        </is>
      </c>
      <c r="C112" s="276" t="n">
        <v>9</v>
      </c>
      <c r="D112" s="276" t="inlineStr">
        <is>
          <t>завод вместо ДН.РУ</t>
        </is>
      </c>
      <c r="E112" s="276" t="inlineStr">
        <is>
          <t>ООО «Пермский трубопроводный завод» (ООО «ПТЗ»)</t>
        </is>
      </c>
      <c r="F112" s="276" t="inlineStr">
        <is>
          <t>+7 (342) 270-07-34 sales@ptza.ru</t>
        </is>
      </c>
      <c r="G112" s="276" t="inlineStr">
        <is>
          <t>30с64нж Ду200 PN25 (ПТЗ)</t>
        </is>
      </c>
      <c r="H112" s="276" t="inlineStr">
        <is>
          <t>ООО «Пермский трубопроводный завод» (ИНН 5904173655)</t>
        </is>
      </c>
      <c r="I112" s="276" t="inlineStr">
        <is>
          <t>10698940</t>
        </is>
      </c>
      <c r="J112" s="276" t="inlineStr">
        <is>
          <t>17.02.2031</t>
        </is>
      </c>
      <c r="K112" s="276" t="inlineStr">
        <is>
          <t>не подтверждено</t>
        </is>
      </c>
      <c r="L112" s="276" t="inlineStr">
        <is>
          <t>Запросить паспорт: шпиндель 20Х13, наплавка, ТРГ.</t>
        </is>
      </c>
    </row>
    <row r="113">
      <c r="A113" s="276" t="inlineStr">
        <is>
          <t>1.3/83</t>
        </is>
      </c>
      <c r="B113" s="276" t="inlineStr">
        <is>
          <t>Задвижка 30с64нж Ду 250 Ру 25</t>
        </is>
      </c>
      <c r="C113" s="276" t="n">
        <v>2</v>
      </c>
      <c r="D113" s="276" t="inlineStr">
        <is>
          <t>завод вместо ДН.РУ</t>
        </is>
      </c>
      <c r="E113" s="276" t="inlineStr">
        <is>
          <t>ООО «Пермский трубопроводный завод» (ООО «ПТЗ»)</t>
        </is>
      </c>
      <c r="F113" s="276" t="inlineStr">
        <is>
          <t>+7 (342) 270-07-34 sales@ptza.ru</t>
        </is>
      </c>
      <c r="G113" s="276" t="inlineStr">
        <is>
          <t>30с64нж Ду250 PN25 (ПТЗ)</t>
        </is>
      </c>
      <c r="H113" s="276" t="inlineStr">
        <is>
          <t>ООО «Пермский трубопроводный завод» (ИНН 5904173655)</t>
        </is>
      </c>
      <c r="I113" s="276" t="inlineStr">
        <is>
          <t>10698940</t>
        </is>
      </c>
      <c r="J113" s="276" t="inlineStr">
        <is>
          <t>17.02.2031</t>
        </is>
      </c>
      <c r="K113" s="276" t="inlineStr">
        <is>
          <t>соответствует</t>
        </is>
      </c>
      <c r="L113" s="276" t="inlineStr">
        <is>
          <t>Запросить паспорт: шпиндель 20Х13, наплавка, ТРГ.</t>
        </is>
      </c>
    </row>
    <row r="114">
      <c r="A114" s="276" t="inlineStr">
        <is>
          <t>1.3/84</t>
        </is>
      </c>
      <c r="B114" s="276" t="inlineStr">
        <is>
          <t>Задвижка 30с64нж Ду 300 Ру 25</t>
        </is>
      </c>
      <c r="C114" s="276" t="n">
        <v>3</v>
      </c>
      <c r="D114" s="276" t="inlineStr">
        <is>
          <t>завод вместо ДН.РУ</t>
        </is>
      </c>
      <c r="E114" s="276" t="inlineStr">
        <is>
          <t>ООО «Пермский трубопроводный завод» (ООО «ПТЗ»)</t>
        </is>
      </c>
      <c r="F114" s="276" t="inlineStr">
        <is>
          <t>+7 (342) 270-07-34 sales@ptza.ru</t>
        </is>
      </c>
      <c r="G114" s="276" t="inlineStr">
        <is>
          <t>30с64нж Ду300 PN25 (ПТЗ)</t>
        </is>
      </c>
      <c r="H114" s="276" t="inlineStr">
        <is>
          <t>ООО «Пермский трубопроводный завод» (ИНН 5904173655)</t>
        </is>
      </c>
      <c r="I114" s="276" t="inlineStr">
        <is>
          <t>10698940</t>
        </is>
      </c>
      <c r="J114" s="276" t="inlineStr">
        <is>
          <t>17.02.2031</t>
        </is>
      </c>
      <c r="K114" s="276" t="inlineStr">
        <is>
          <t>соответствует</t>
        </is>
      </c>
      <c r="L114" s="276" t="inlineStr">
        <is>
          <t>Запросить паспорт: шпиндель 20Х13, наплавка, ТРГ.</t>
        </is>
      </c>
    </row>
    <row r="115">
      <c r="A115" s="276" t="inlineStr">
        <is>
          <t>1.3/85</t>
        </is>
      </c>
      <c r="B115" s="276" t="inlineStr">
        <is>
          <t>Задвижка 30с76нж Ду 200 Ру 63</t>
        </is>
      </c>
      <c r="C115" s="276" t="n">
        <v>1</v>
      </c>
      <c r="D115" s="276" t="inlineStr">
        <is>
          <t>завод вместо ДН.РУ</t>
        </is>
      </c>
      <c r="E115" s="276" t="inlineStr">
        <is>
          <t>АО «Благовещенский арматурный завод» (АО «БАЗ»)</t>
        </is>
      </c>
      <c r="F115" s="276" t="inlineStr">
        <is>
          <t>+7 (34766) 2-99-10, 2-99-11 baz@bazrb.ru</t>
        </is>
      </c>
      <c r="G115" s="276" t="inlineStr">
        <is>
          <t>Задвижки клиновые ЗК DN 50-800 PN 1,6-32,0 МПа</t>
        </is>
      </c>
      <c r="H115" s="276" t="inlineStr">
        <is>
          <t>АО «Благовещенский арматурный завод»</t>
        </is>
      </c>
      <c r="I115" s="276" t="inlineStr">
        <is>
          <t>10306806</t>
        </is>
      </c>
      <c r="J115" s="276" t="inlineStr">
        <is>
          <t>31.08.2028</t>
        </is>
      </c>
      <c r="K115" s="276" t="inlineStr">
        <is>
          <t>не проверено построчно</t>
        </is>
      </c>
      <c r="L115" s="276" t="inlineStr"/>
    </row>
    <row r="116">
      <c r="A116" s="276" t="inlineStr">
        <is>
          <t>1.3/86</t>
        </is>
      </c>
      <c r="B116" s="276" t="inlineStr">
        <is>
          <t>Задвижка 30с927нж Ду 250 Ру 25 с электроприводом</t>
        </is>
      </c>
      <c r="C116" s="276" t="n">
        <v>2</v>
      </c>
      <c r="D116" s="276" t="inlineStr">
        <is>
          <t>завод вместо ДН.РУ</t>
        </is>
      </c>
      <c r="E116" s="276" t="inlineStr">
        <is>
          <t>АО «Благовещенский арматурный завод» (АО «БАЗ»)</t>
        </is>
      </c>
      <c r="F116" s="276" t="inlineStr">
        <is>
          <t>+7 (34766) 2-99-10, 2-99-11 baz@bazrb.ru</t>
        </is>
      </c>
      <c r="G116" s="276" t="inlineStr">
        <is>
          <t>Задвижки клиновые литые ЗКЛ2, ЗКЛП DN50-1400 PN 1,6-25,0 МПа</t>
        </is>
      </c>
      <c r="H116" s="276" t="inlineStr">
        <is>
          <t>АО «Благовещенский арматурный завод»</t>
        </is>
      </c>
      <c r="I116" s="276" t="inlineStr">
        <is>
          <t>10306805</t>
        </is>
      </c>
      <c r="J116" s="276" t="inlineStr">
        <is>
          <t>31.08.2028</t>
        </is>
      </c>
      <c r="K116" s="276" t="inlineStr">
        <is>
          <t>не проверено построчно</t>
        </is>
      </c>
      <c r="L116" s="276" t="inlineStr"/>
    </row>
    <row r="117">
      <c r="A117" s="276" t="inlineStr">
        <is>
          <t>1.3/87</t>
        </is>
      </c>
      <c r="B117" s="276" t="inlineStr">
        <is>
          <t>Задвижка 30с941нж Ду 150 Ру 16 с электроприводом</t>
        </is>
      </c>
      <c r="C117" s="276" t="n">
        <v>6</v>
      </c>
      <c r="D117" s="276" t="inlineStr">
        <is>
          <t>завод вместо ДН.РУ</t>
        </is>
      </c>
      <c r="E117" s="276" t="inlineStr">
        <is>
          <t>ООО «Пермский трубопроводный завод» (ООО «ПТЗ»)</t>
        </is>
      </c>
      <c r="F117" s="276" t="inlineStr">
        <is>
          <t>+7 (342) 270-07-34 sales@ptza.ru</t>
        </is>
      </c>
      <c r="G117" s="276" t="inlineStr">
        <is>
          <t>30с941нж Ду150 PN16 с электроприводом (ПТЗ)</t>
        </is>
      </c>
      <c r="H117" s="276" t="inlineStr">
        <is>
          <t>ООО «Пермский трубопроводный завод» (ИНН 5904173655)</t>
        </is>
      </c>
      <c r="I117" s="276" t="inlineStr">
        <is>
          <t>10698940</t>
        </is>
      </c>
      <c r="J117" s="276" t="inlineStr">
        <is>
          <t>17.02.2031</t>
        </is>
      </c>
      <c r="K117" s="276" t="inlineStr">
        <is>
          <t>не подтверждено</t>
        </is>
      </c>
      <c r="L117" s="276" t="inlineStr">
        <is>
          <t>Подтвердить комплектацию ГЗ-А.150 (или аналог, 150 Н·м, присоединение А); согласовать 25Л вместо 35Л; шпиндель ст.45.</t>
        </is>
      </c>
    </row>
    <row r="118">
      <c r="A118" s="276" t="inlineStr">
        <is>
          <t>1.3/88</t>
        </is>
      </c>
      <c r="B118" s="276" t="inlineStr">
        <is>
          <t>Задвижка 30с964нж Ду 150 Ру 25 с электроприводом</t>
        </is>
      </c>
      <c r="C118" s="276" t="n">
        <v>1</v>
      </c>
      <c r="D118" s="276" t="inlineStr">
        <is>
          <t>завод вместо ДН.РУ</t>
        </is>
      </c>
      <c r="E118" s="276" t="inlineStr">
        <is>
          <t>ООО «Пермский трубопроводный завод» (ООО «ПТЗ»)</t>
        </is>
      </c>
      <c r="F118" s="276" t="inlineStr">
        <is>
          <t>+7 (342) 270-07-34 sales@ptza.ru</t>
        </is>
      </c>
      <c r="G118" s="276" t="inlineStr">
        <is>
          <t>30с964нж Ду150 PN25 с электроприводом (ПТЗ)</t>
        </is>
      </c>
      <c r="H118" s="276" t="inlineStr">
        <is>
          <t>ООО «Пермский трубопроводный завод» (ИНН 5904173655)</t>
        </is>
      </c>
      <c r="I118" s="276" t="inlineStr">
        <is>
          <t>10698940</t>
        </is>
      </c>
      <c r="J118" s="276" t="inlineStr">
        <is>
          <t>17.02.2031</t>
        </is>
      </c>
      <c r="K118" s="276" t="inlineStr">
        <is>
          <t>не подтверждено</t>
        </is>
      </c>
      <c r="L118" s="276" t="inlineStr">
        <is>
          <t>Запросить электропривод 100 Н·м 220 В тип Б (российский, с записью РПП).</t>
        </is>
      </c>
    </row>
    <row r="119">
      <c r="A119" s="276" t="inlineStr">
        <is>
          <t>1.3/89</t>
        </is>
      </c>
      <c r="B119" s="276" t="inlineStr">
        <is>
          <t>Задвижка 30с964нж Ду 400 Ру 25</t>
        </is>
      </c>
      <c r="C119" s="276" t="n">
        <v>4</v>
      </c>
      <c r="D119" s="276" t="inlineStr">
        <is>
          <t>завод вместо ДН.РУ</t>
        </is>
      </c>
      <c r="E119" s="276" t="inlineStr">
        <is>
          <t>ООО «Пермский трубопроводный завод» (ООО «ПТЗ»)</t>
        </is>
      </c>
      <c r="F119" s="276" t="inlineStr">
        <is>
          <t>+7 (342) 270-07-34 sales@ptza.ru</t>
        </is>
      </c>
      <c r="G119" s="276" t="inlineStr">
        <is>
          <t>30с964нж Ду400 PN25 под электропривод (ПТЗ)</t>
        </is>
      </c>
      <c r="H119" s="276" t="inlineStr">
        <is>
          <t>ООО «Пермский трубопроводный завод» (ИНН 5904173655)</t>
        </is>
      </c>
      <c r="I119" s="276" t="inlineStr">
        <is>
          <t>10698940</t>
        </is>
      </c>
      <c r="J119" s="276" t="inlineStr">
        <is>
          <t>17.02.2031</t>
        </is>
      </c>
      <c r="K119" s="276" t="inlineStr">
        <is>
          <t>не подтверждено</t>
        </is>
      </c>
      <c r="L119" s="276" t="inlineStr">
        <is>
          <t>Подтвердить присоединение под SA 16.1 (F16/G3), КОФ, крепёж.</t>
        </is>
      </c>
    </row>
    <row r="120">
      <c r="A120" s="276" t="inlineStr">
        <is>
          <t>1.3/90</t>
        </is>
      </c>
      <c r="B120" s="276" t="inlineStr">
        <is>
          <t>Задвижка стальная 30с964нж Ду 100 Ру 25 с электроприводом  МТ-100-220, 220В</t>
        </is>
      </c>
      <c r="C120" s="276" t="n">
        <v>3</v>
      </c>
      <c r="D120" s="276" t="inlineStr">
        <is>
          <t>завод вместо ДН.РУ</t>
        </is>
      </c>
      <c r="E120" s="276" t="inlineStr">
        <is>
          <t>ООО «Пермский трубопроводный завод» (ООО «ПТЗ»)</t>
        </is>
      </c>
      <c r="F120" s="276" t="inlineStr">
        <is>
          <t>+7 (342) 270-07-34 sales@ptza.ru</t>
        </is>
      </c>
      <c r="G120" s="276" t="inlineStr">
        <is>
          <t>30с964нж Ду100 PN25 с электроприводом (ПТЗ)</t>
        </is>
      </c>
      <c r="H120" s="276" t="inlineStr">
        <is>
          <t>ООО «Пермский трубопроводный завод» (ИНН 5904173655)</t>
        </is>
      </c>
      <c r="I120" s="276" t="inlineStr">
        <is>
          <t>10698940</t>
        </is>
      </c>
      <c r="J120" s="276" t="inlineStr">
        <is>
          <t>17.02.2031</t>
        </is>
      </c>
      <c r="K120" s="276" t="inlineStr">
        <is>
          <t>не подтверждено</t>
        </is>
      </c>
      <c r="L120" s="276" t="inlineStr">
        <is>
          <t>Запросить электропривод 100 Н·м 220 В, тип А.</t>
        </is>
      </c>
    </row>
    <row r="121">
      <c r="A121" s="276" t="inlineStr">
        <is>
          <t>1.3/91</t>
        </is>
      </c>
      <c r="B121" s="276" t="inlineStr">
        <is>
          <t>Задвижка 30с99нж Ду 50 Ру 25</t>
        </is>
      </c>
      <c r="C121" s="276" t="n">
        <v>1</v>
      </c>
      <c r="D121" s="276" t="inlineStr">
        <is>
          <t>завод вместо ДН.РУ</t>
        </is>
      </c>
      <c r="E121" s="276" t="inlineStr">
        <is>
          <t>ООО «Пермский трубопроводный завод» (ООО «ПТЗ»)</t>
        </is>
      </c>
      <c r="F121" s="276" t="inlineStr">
        <is>
          <t>+7 (342) 270-07-34 sales@ptza.ru</t>
        </is>
      </c>
      <c r="G121" s="276" t="inlineStr">
        <is>
          <t>30с99нж Ду50 PN25 (ПТЗ)</t>
        </is>
      </c>
      <c r="H121" s="276" t="inlineStr">
        <is>
          <t>ООО «Пермский трубопроводный завод» (ИНН 5904173655)</t>
        </is>
      </c>
      <c r="I121" s="276" t="inlineStr">
        <is>
          <t>10698940</t>
        </is>
      </c>
      <c r="J121" s="276" t="inlineStr">
        <is>
          <t>17.02.2031</t>
        </is>
      </c>
      <c r="K121" s="276" t="inlineStr">
        <is>
          <t>соответствует</t>
        </is>
      </c>
      <c r="L121" s="276" t="inlineStr">
        <is>
          <t>Подтвердить наплавку 20Х13, ТРГ. ТУ ПТЗ 3740-035-83272983-2013 вместо ТУ 26-07-412-87 (инфо).</t>
        </is>
      </c>
    </row>
    <row r="122">
      <c r="A122" s="276" t="inlineStr">
        <is>
          <t>1.3/92</t>
        </is>
      </c>
      <c r="B122" s="276" t="inlineStr">
        <is>
          <t>Задвижка 30с99нж Ду 80 Ру 25</t>
        </is>
      </c>
      <c r="C122" s="276" t="n">
        <v>1</v>
      </c>
      <c r="D122" s="276" t="inlineStr">
        <is>
          <t>завод вместо ДН.РУ</t>
        </is>
      </c>
      <c r="E122" s="276" t="inlineStr">
        <is>
          <t>ООО «Пермский трубопроводный завод» (ООО «ПТЗ»)</t>
        </is>
      </c>
      <c r="F122" s="276" t="inlineStr">
        <is>
          <t>+7 (342) 270-07-34 sales@ptza.ru</t>
        </is>
      </c>
      <c r="G122" s="276" t="inlineStr">
        <is>
          <t>30с99нж Ду80 PN25 (ПТЗ)</t>
        </is>
      </c>
      <c r="H122" s="276" t="inlineStr">
        <is>
          <t>ООО «Пермский трубопроводный завод» (ИНН 5904173655)</t>
        </is>
      </c>
      <c r="I122" s="276" t="inlineStr">
        <is>
          <t>10698940</t>
        </is>
      </c>
      <c r="J122" s="276" t="inlineStr">
        <is>
          <t>17.02.2031</t>
        </is>
      </c>
      <c r="K122" s="276" t="inlineStr">
        <is>
          <t>соответствует</t>
        </is>
      </c>
      <c r="L122" s="276" t="inlineStr">
        <is>
          <t>Подтвердить наплавку 20Х13, ТРГ. ТУ ПТЗ 3740-035-83272983-2013 вместо ТУ 26-07-412-87 (инфо).</t>
        </is>
      </c>
    </row>
    <row r="123">
      <c r="A123" s="276" t="inlineStr">
        <is>
          <t>1.3/93</t>
        </is>
      </c>
      <c r="B123" s="276" t="inlineStr">
        <is>
          <t>Задвижка 30ч6бр Ду 50 Ру 10</t>
        </is>
      </c>
      <c r="C123" s="276" t="n">
        <v>8</v>
      </c>
      <c r="D123" s="276" t="inlineStr">
        <is>
          <t>завод вместо ДН.РУ</t>
        </is>
      </c>
      <c r="E123" s="276" t="inlineStr">
        <is>
          <t>ООО ПИК «АЛГРУПП»</t>
        </is>
      </c>
      <c r="F123" s="276" t="inlineStr">
        <is>
          <t>8-800-200-52-76 info@pik-algrupp.ru</t>
        </is>
      </c>
      <c r="G123" s="276" t="inlineStr">
        <is>
          <t>Задвижка чугунная параллельная литая PN 0,6-1,6 МПа DN 50-400 мм</t>
        </is>
      </c>
      <c r="H123" s="276" t="inlineStr">
        <is>
          <t>ООО ПИК «АЛГРУПП»</t>
        </is>
      </c>
      <c r="I123" s="276" t="inlineStr">
        <is>
          <t>10716626</t>
        </is>
      </c>
      <c r="J123" s="276" t="inlineStr">
        <is>
          <t>16.10.2030</t>
        </is>
      </c>
      <c r="K123" s="276" t="inlineStr">
        <is>
          <t>не проверено построчно</t>
        </is>
      </c>
      <c r="L123" s="276" t="inlineStr"/>
    </row>
    <row r="124">
      <c r="A124" s="276" t="inlineStr">
        <is>
          <t>1.3/94</t>
        </is>
      </c>
      <c r="B124" s="276" t="inlineStr">
        <is>
          <t>Задвижка 30ч6бр Ду 80 Ру 10</t>
        </is>
      </c>
      <c r="C124" s="276" t="n">
        <v>14</v>
      </c>
      <c r="D124" s="276" t="inlineStr">
        <is>
          <t>завод вместо ДН.РУ</t>
        </is>
      </c>
      <c r="E124" s="276" t="inlineStr">
        <is>
          <t>ООО ПИК «АЛГРУПП»</t>
        </is>
      </c>
      <c r="F124" s="276" t="inlineStr">
        <is>
          <t>8-800-200-52-76 info@pik-algrupp.ru</t>
        </is>
      </c>
      <c r="G124" s="276" t="inlineStr">
        <is>
          <t>Задвижка чугунная параллельная литая PN 0,6-1,6 МПа DN 50-400 мм</t>
        </is>
      </c>
      <c r="H124" s="276" t="inlineStr">
        <is>
          <t>ООО ПИК «АЛГРУПП»</t>
        </is>
      </c>
      <c r="I124" s="276" t="inlineStr">
        <is>
          <t>10716626</t>
        </is>
      </c>
      <c r="J124" s="276" t="inlineStr">
        <is>
          <t>16.10.2030</t>
        </is>
      </c>
      <c r="K124" s="276" t="inlineStr">
        <is>
          <t>не проверено построчно</t>
        </is>
      </c>
      <c r="L124" s="276" t="inlineStr"/>
    </row>
    <row r="125">
      <c r="A125" s="276" t="inlineStr">
        <is>
          <t>1.3/95</t>
        </is>
      </c>
      <c r="B125" s="276" t="inlineStr">
        <is>
          <t>Задвижка 30ч6бр Ду 100 Ру 10</t>
        </is>
      </c>
      <c r="C125" s="276" t="n">
        <v>19</v>
      </c>
      <c r="D125" s="276" t="inlineStr">
        <is>
          <t>завод вместо ДН.РУ</t>
        </is>
      </c>
      <c r="E125" s="276" t="inlineStr">
        <is>
          <t>ООО ПИК «АЛГРУПП»</t>
        </is>
      </c>
      <c r="F125" s="276" t="inlineStr">
        <is>
          <t>8-800-200-52-76 info@pik-algrupp.ru</t>
        </is>
      </c>
      <c r="G125" s="276" t="inlineStr">
        <is>
          <t>Задвижка чугунная параллельная литая PN 0,6-1,6 МПа DN 50-400 мм</t>
        </is>
      </c>
      <c r="H125" s="276" t="inlineStr">
        <is>
          <t>ООО ПИК «АЛГРУПП»</t>
        </is>
      </c>
      <c r="I125" s="276" t="inlineStr">
        <is>
          <t>10716626</t>
        </is>
      </c>
      <c r="J125" s="276" t="inlineStr">
        <is>
          <t>16.10.2030</t>
        </is>
      </c>
      <c r="K125" s="276" t="inlineStr">
        <is>
          <t>не проверено построчно</t>
        </is>
      </c>
      <c r="L125" s="276" t="inlineStr"/>
    </row>
    <row r="126">
      <c r="A126" s="276" t="inlineStr">
        <is>
          <t>1.3/96</t>
        </is>
      </c>
      <c r="B126" s="276" t="inlineStr">
        <is>
          <t>Задвижка 30ч6бр Ду 150 Ру 10</t>
        </is>
      </c>
      <c r="C126" s="276" t="n">
        <v>19</v>
      </c>
      <c r="D126" s="276" t="inlineStr">
        <is>
          <t>завод вместо ДН.РУ</t>
        </is>
      </c>
      <c r="E126" s="276" t="inlineStr">
        <is>
          <t>ООО ПИК «АЛГРУПП»</t>
        </is>
      </c>
      <c r="F126" s="276" t="inlineStr">
        <is>
          <t>8-800-200-52-76 info@pik-algrupp.ru</t>
        </is>
      </c>
      <c r="G126" s="276" t="inlineStr">
        <is>
          <t>Задвижка чугунная параллельная литая PN 0,6-1,6 МПа DN 50-400 мм</t>
        </is>
      </c>
      <c r="H126" s="276" t="inlineStr">
        <is>
          <t>ООО ПИК «АЛГРУПП»</t>
        </is>
      </c>
      <c r="I126" s="276" t="inlineStr">
        <is>
          <t>10716626</t>
        </is>
      </c>
      <c r="J126" s="276" t="inlineStr">
        <is>
          <t>16.10.2030</t>
        </is>
      </c>
      <c r="K126" s="276" t="inlineStr">
        <is>
          <t>не проверено построчно</t>
        </is>
      </c>
      <c r="L126" s="276" t="inlineStr"/>
    </row>
    <row r="127">
      <c r="A127" s="276" t="inlineStr">
        <is>
          <t>1.3/97</t>
        </is>
      </c>
      <c r="B127" s="276" t="inlineStr">
        <is>
          <t>Задвижка 30ч6бр Ду 200 Ру 10</t>
        </is>
      </c>
      <c r="C127" s="276" t="n">
        <v>13</v>
      </c>
      <c r="D127" s="276" t="inlineStr">
        <is>
          <t>завод вместо ДН.РУ</t>
        </is>
      </c>
      <c r="E127" s="276" t="inlineStr">
        <is>
          <t>ООО ПИК «АЛГРУПП»</t>
        </is>
      </c>
      <c r="F127" s="276" t="inlineStr">
        <is>
          <t>8-800-200-52-76 info@pik-algrupp.ru</t>
        </is>
      </c>
      <c r="G127" s="276" t="inlineStr">
        <is>
          <t>Задвижка чугунная параллельная литая PN 0,6-1,6 МПа DN 50-400 мм</t>
        </is>
      </c>
      <c r="H127" s="276" t="inlineStr">
        <is>
          <t>ООО ПИК «АЛГРУПП»</t>
        </is>
      </c>
      <c r="I127" s="276" t="inlineStr">
        <is>
          <t>10716626</t>
        </is>
      </c>
      <c r="J127" s="276" t="inlineStr">
        <is>
          <t>16.10.2030</t>
        </is>
      </c>
      <c r="K127" s="276" t="inlineStr">
        <is>
          <t>не проверено построчно</t>
        </is>
      </c>
      <c r="L127" s="276" t="inlineStr"/>
    </row>
    <row r="128">
      <c r="A128" s="276" t="inlineStr">
        <is>
          <t>1.3/98</t>
        </is>
      </c>
      <c r="B128" s="276" t="inlineStr">
        <is>
          <t>Задвижка 30ч6бр Ду 250 Ру 10</t>
        </is>
      </c>
      <c r="C128" s="276" t="n">
        <v>4</v>
      </c>
      <c r="D128" s="276" t="inlineStr">
        <is>
          <t>завод вместо ДН.РУ</t>
        </is>
      </c>
      <c r="E128" s="276" t="inlineStr">
        <is>
          <t>ООО ПИК «АЛГРУПП»</t>
        </is>
      </c>
      <c r="F128" s="276" t="inlineStr">
        <is>
          <t>8-800-200-52-76 info@pik-algrupp.ru</t>
        </is>
      </c>
      <c r="G128" s="276" t="inlineStr">
        <is>
          <t>Задвижка чугунная параллельная литая PN 0,6-1,6 МПа DN 50-400 мм</t>
        </is>
      </c>
      <c r="H128" s="276" t="inlineStr">
        <is>
          <t>ООО ПИК «АЛГРУПП»</t>
        </is>
      </c>
      <c r="I128" s="276" t="inlineStr">
        <is>
          <t>10716626</t>
        </is>
      </c>
      <c r="J128" s="276" t="inlineStr">
        <is>
          <t>16.10.2030</t>
        </is>
      </c>
      <c r="K128" s="276" t="inlineStr">
        <is>
          <t>не проверено построчно</t>
        </is>
      </c>
      <c r="L128" s="276" t="inlineStr"/>
    </row>
    <row r="129">
      <c r="A129" s="276" t="inlineStr">
        <is>
          <t>1.3/99</t>
        </is>
      </c>
      <c r="B129" s="276" t="inlineStr">
        <is>
          <t>Задвижка 30ч6бр Ду 300 Ру 10</t>
        </is>
      </c>
      <c r="C129" s="276" t="n">
        <v>4</v>
      </c>
      <c r="D129" s="276" t="inlineStr">
        <is>
          <t>завод вместо ДН.РУ</t>
        </is>
      </c>
      <c r="E129" s="276" t="inlineStr">
        <is>
          <t>ООО ПИК «АЛГРУПП»</t>
        </is>
      </c>
      <c r="F129" s="276" t="inlineStr">
        <is>
          <t>8-800-200-52-76 info@pik-algrupp.ru</t>
        </is>
      </c>
      <c r="G129" s="276" t="inlineStr">
        <is>
          <t>Задвижка чугунная параллельная литая PN 0,6-1,6 МПа DN 50-400 мм</t>
        </is>
      </c>
      <c r="H129" s="276" t="inlineStr">
        <is>
          <t>ООО ПИК «АЛГРУПП»</t>
        </is>
      </c>
      <c r="I129" s="276" t="inlineStr">
        <is>
          <t>10716626</t>
        </is>
      </c>
      <c r="J129" s="276" t="inlineStr">
        <is>
          <t>16.10.2030</t>
        </is>
      </c>
      <c r="K129" s="276" t="inlineStr">
        <is>
          <t>не проверено построчно</t>
        </is>
      </c>
      <c r="L129" s="276" t="inlineStr"/>
    </row>
    <row r="130">
      <c r="A130" s="276" t="inlineStr">
        <is>
          <t>1.3/100</t>
        </is>
      </c>
      <c r="B130" s="276" t="inlineStr">
        <is>
          <t>Кран 11б27п(м) Ду 15 Ру 16 3-х ходовой для манометров</t>
        </is>
      </c>
      <c r="C130" s="276" t="n">
        <v>4</v>
      </c>
      <c r="D130" s="276" t="inlineStr">
        <is>
          <t>текущий поставщик (номера записи нет)</t>
        </is>
      </c>
      <c r="E130" s="276" t="inlineStr">
        <is>
          <t>КИПИКА (прайс 01.10)</t>
        </is>
      </c>
      <c r="F130" s="276" t="inlineStr">
        <is>
          <t>+7 (8412) 909-200 b18bk@11b18bk.ru</t>
        </is>
      </c>
      <c r="G130" s="276" t="inlineStr">
        <is>
          <t>Кран шаровый трёхходовой для манометра 11б27пм.1 Ру16 Ду15 G1/2×M20×1,5 (арт. 021011011)</t>
        </is>
      </c>
      <c r="H130" s="276" t="inlineStr"/>
      <c r="I130" s="276" t="inlineStr"/>
      <c r="J130" s="276" t="inlineStr"/>
      <c r="K130" s="276" t="inlineStr">
        <is>
          <t>нет записи ПП 719 — не проходит нацрежим</t>
        </is>
      </c>
      <c r="L130" s="276" t="inlineStr">
        <is>
          <t>изготовитель и № записи ПП 719 или российская замена</t>
        </is>
      </c>
    </row>
    <row r="131">
      <c r="A131" s="276" t="inlineStr">
        <is>
          <t>1.3/101</t>
        </is>
      </c>
      <c r="B131" s="276" t="inlineStr">
        <is>
          <t>Кран шаровой 11б27п1 Ду 15 Ру 16</t>
        </is>
      </c>
      <c r="C131" s="276" t="n">
        <v>110</v>
      </c>
      <c r="D131" s="276" t="inlineStr">
        <is>
          <t>завод (новый запрос КП)</t>
        </is>
      </c>
      <c r="E131" s="276" t="inlineStr">
        <is>
          <t>ООО «ЧелябинскСпецГражданСтрой» / ЛД Прайд (Группа компаний «ЛД», ТМ LD, LD Pride); продажи — ООО «ТД «ЛД»</t>
        </is>
      </c>
      <c r="F131" s="276" t="inlineStr">
        <is>
          <t>+7 (351) 730-47-47 office@chsgs.ru</t>
        </is>
      </c>
      <c r="G131" s="276" t="inlineStr">
        <is>
          <t>LD Pride 47 Ду15 ВР-ВР рычаг (латунь ЛС59-1)</t>
        </is>
      </c>
      <c r="H131" s="276" t="inlineStr">
        <is>
          <t>ООО «ЛД Прайд» (ИНН 7449114775)</t>
        </is>
      </c>
      <c r="I131" s="276" t="inlineStr">
        <is>
          <t>10826766</t>
        </is>
      </c>
      <c r="J131" s="276" t="inlineStr">
        <is>
          <t>04.05.2031</t>
        </is>
      </c>
      <c r="K131" s="276" t="inlineStr">
        <is>
          <t>не подтверждено</t>
        </is>
      </c>
      <c r="L131" s="276" t="inlineStr">
        <is>
          <t>Подтвердить полный проход, исполнение У1 (для улицы), применимость на пар (где указан).</t>
        </is>
      </c>
    </row>
    <row r="132">
      <c r="A132" s="276" t="inlineStr">
        <is>
          <t>1.3/102</t>
        </is>
      </c>
      <c r="B132" s="276" t="inlineStr">
        <is>
          <t>Кран шаровой 11б27п1 Ду 20 Ру 16</t>
        </is>
      </c>
      <c r="C132" s="276" t="n">
        <v>57</v>
      </c>
      <c r="D132" s="276" t="inlineStr">
        <is>
          <t>завод (новый запрос КП)</t>
        </is>
      </c>
      <c r="E132" s="276" t="inlineStr">
        <is>
          <t>ООО «ЧелябинскСпецГражданСтрой» / ЛД Прайд (Группа компаний «ЛД», ТМ LD, LD Pride); продажи — ООО «ТД «ЛД»</t>
        </is>
      </c>
      <c r="F132" s="276" t="inlineStr">
        <is>
          <t>+7 (351) 730-47-47 office@chsgs.ru</t>
        </is>
      </c>
      <c r="G132" s="276" t="inlineStr">
        <is>
          <t>LD Pride 47 Ду20 ВР-ВР рычаг (латунь ЛС59-1)</t>
        </is>
      </c>
      <c r="H132" s="276" t="inlineStr">
        <is>
          <t>ООО «ЛД Прайд» (ИНН 7449114775)</t>
        </is>
      </c>
      <c r="I132" s="276" t="inlineStr">
        <is>
          <t>10826766</t>
        </is>
      </c>
      <c r="J132" s="276" t="inlineStr">
        <is>
          <t>04.05.2031</t>
        </is>
      </c>
      <c r="K132" s="276" t="inlineStr">
        <is>
          <t>не подтверждено</t>
        </is>
      </c>
      <c r="L132" s="276" t="inlineStr">
        <is>
          <t>Подтвердить полный проход, исполнение У1 (для улицы), применимость на пар (где указан).</t>
        </is>
      </c>
    </row>
    <row r="133">
      <c r="A133" s="276" t="inlineStr">
        <is>
          <t>1.3/103</t>
        </is>
      </c>
      <c r="B133" s="276" t="inlineStr">
        <is>
          <t>Кран шаровой 11б27п1 Ду 25 Ру 16</t>
        </is>
      </c>
      <c r="C133" s="276" t="n">
        <v>29</v>
      </c>
      <c r="D133" s="276" t="inlineStr">
        <is>
          <t>завод (новый запрос КП)</t>
        </is>
      </c>
      <c r="E133" s="276" t="inlineStr">
        <is>
          <t>ООО «ЧелябинскСпецГражданСтрой» / ЛД Прайд (Группа компаний «ЛД», ТМ LD, LD Pride); продажи — ООО «ТД «ЛД»</t>
        </is>
      </c>
      <c r="F133" s="276" t="inlineStr">
        <is>
          <t>+7 (351) 730-47-47 office@chsgs.ru</t>
        </is>
      </c>
      <c r="G133" s="276" t="inlineStr">
        <is>
          <t>LD Pride 47 Ду25 ВР-ВР рычаг (латунь ЛС59-1)</t>
        </is>
      </c>
      <c r="H133" s="276" t="inlineStr">
        <is>
          <t>ООО «ЛД Прайд» (ИНН 7449114775)</t>
        </is>
      </c>
      <c r="I133" s="276" t="inlineStr">
        <is>
          <t>10826766</t>
        </is>
      </c>
      <c r="J133" s="276" t="inlineStr">
        <is>
          <t>04.05.2031</t>
        </is>
      </c>
      <c r="K133" s="276" t="inlineStr">
        <is>
          <t>не подтверждено</t>
        </is>
      </c>
      <c r="L133" s="276" t="inlineStr">
        <is>
          <t>Подтвердить полный проход, исполнение У1 (для улицы), применимость на пар (где указан).</t>
        </is>
      </c>
    </row>
    <row r="134">
      <c r="A134" s="276" t="inlineStr">
        <is>
          <t>1.3/104</t>
        </is>
      </c>
      <c r="B134" s="276" t="inlineStr">
        <is>
          <t>Кран шаровой 11б27п1 Ду 32 Ру 16</t>
        </is>
      </c>
      <c r="C134" s="276" t="n">
        <v>47</v>
      </c>
      <c r="D134" s="276" t="inlineStr">
        <is>
          <t>завод (новый запрос КП)</t>
        </is>
      </c>
      <c r="E134" s="276" t="inlineStr">
        <is>
          <t>ООО «ЧелябинскСпецГражданСтрой» / ЛД Прайд (Группа компаний «ЛД», ТМ LD, LD Pride); продажи — ООО «ТД «ЛД»</t>
        </is>
      </c>
      <c r="F134" s="276" t="inlineStr">
        <is>
          <t>+7 (351) 730-47-47 office@chsgs.ru</t>
        </is>
      </c>
      <c r="G134" s="276" t="inlineStr">
        <is>
          <t>LD Pride 47 Ду32 ВР-ВР рычаг (латунь ЛС59-1)</t>
        </is>
      </c>
      <c r="H134" s="276" t="inlineStr">
        <is>
          <t>ООО «ЛД Прайд» (ИНН 7449114775)</t>
        </is>
      </c>
      <c r="I134" s="276" t="inlineStr">
        <is>
          <t>10826766</t>
        </is>
      </c>
      <c r="J134" s="276" t="inlineStr">
        <is>
          <t>04.05.2031</t>
        </is>
      </c>
      <c r="K134" s="276" t="inlineStr">
        <is>
          <t>не подтверждено</t>
        </is>
      </c>
      <c r="L134" s="276" t="inlineStr">
        <is>
          <t>Подтвердить полный проход, исполнение У1 (для улицы), применимость на пар (где указан).</t>
        </is>
      </c>
    </row>
    <row r="135">
      <c r="A135" s="276" t="inlineStr">
        <is>
          <t>1.3/105</t>
        </is>
      </c>
      <c r="B135" s="276" t="inlineStr">
        <is>
          <t>Кран шаровой 11б27п1 Ду 50 Ру 16</t>
        </is>
      </c>
      <c r="C135" s="276" t="n">
        <v>24</v>
      </c>
      <c r="D135" s="276" t="inlineStr">
        <is>
          <t>завод (новый запрос КП)</t>
        </is>
      </c>
      <c r="E135" s="276" t="inlineStr">
        <is>
          <t>ООО «ЧелябинскСпецГражданСтрой» / ЛД Прайд (Группа компаний «ЛД», ТМ LD, LD Pride); продажи — ООО «ТД «ЛД»</t>
        </is>
      </c>
      <c r="F135" s="276" t="inlineStr">
        <is>
          <t>+7 (351) 730-47-47 office@chsgs.ru</t>
        </is>
      </c>
      <c r="G135" s="276" t="inlineStr">
        <is>
          <t>LD Pride 47 Ду50 ВР-ВР рычаг (латунь ЛС59-1)</t>
        </is>
      </c>
      <c r="H135" s="276" t="inlineStr">
        <is>
          <t>ООО «ЛД Прайд» (ИНН 7449114775)</t>
        </is>
      </c>
      <c r="I135" s="276" t="inlineStr">
        <is>
          <t>10826766</t>
        </is>
      </c>
      <c r="J135" s="276" t="inlineStr">
        <is>
          <t>04.05.2031</t>
        </is>
      </c>
      <c r="K135" s="276" t="inlineStr">
        <is>
          <t>не подтверждено</t>
        </is>
      </c>
      <c r="L135" s="276" t="inlineStr">
        <is>
          <t>Подтвердить полный проход, исполнение У1 (для улицы), применимость на пар (где указан).</t>
        </is>
      </c>
    </row>
    <row r="136">
      <c r="A136" s="276" t="inlineStr">
        <is>
          <t>1.3/106</t>
        </is>
      </c>
      <c r="B136" s="276" t="inlineStr">
        <is>
          <t>Кран шаровой фланцевый 11с22п Ду 50 Ру 16</t>
        </is>
      </c>
      <c r="C136" s="276" t="n">
        <v>7</v>
      </c>
      <c r="D136" s="276" t="inlineStr">
        <is>
          <t>завод (новый запрос КП)</t>
        </is>
      </c>
      <c r="E136" s="276" t="inlineStr">
        <is>
          <t>ООО «ЧелябинскСпецГражданСтрой» / ЛД Прайд (Группа компаний «ЛД», ТМ LD, LD Pride); продажи — ООО «ТД «ЛД»</t>
        </is>
      </c>
      <c r="F136" s="276" t="inlineStr">
        <is>
          <t>+7 (351) 730-47-47 office@chsgs.ru</t>
        </is>
      </c>
      <c r="G136" s="276" t="inlineStr">
        <is>
          <t>LD КШЦФ ст.20 Ду50 Н/П PN16(40) (аналог 11с22п)</t>
        </is>
      </c>
      <c r="H136" s="276" t="inlineStr">
        <is>
          <t>ООО «ЧелябинскСпецГражданСтрой» (ИНН 7451211335)</t>
        </is>
      </c>
      <c r="I136" s="276" t="inlineStr">
        <is>
          <t>10655491</t>
        </is>
      </c>
      <c r="J136" s="276" t="inlineStr">
        <is>
          <t>30.06.2028</t>
        </is>
      </c>
      <c r="K136" s="276" t="inlineStr">
        <is>
          <t>эквивалент — согласовать</t>
        </is>
      </c>
      <c r="L136" s="276" t="inlineStr"/>
    </row>
    <row r="137">
      <c r="A137" s="276" t="inlineStr">
        <is>
          <t>1.3/107</t>
        </is>
      </c>
      <c r="B137" s="276" t="inlineStr">
        <is>
          <t>Кран шаровой фланцевый 11с22п Ду 80 Ру 16</t>
        </is>
      </c>
      <c r="C137" s="276" t="n">
        <v>8</v>
      </c>
      <c r="D137" s="276" t="inlineStr">
        <is>
          <t>завод (новый запрос КП)</t>
        </is>
      </c>
      <c r="E137" s="276" t="inlineStr">
        <is>
          <t>ООО «ЧелябинскСпецГражданСтрой» / ЛД Прайд (Группа компаний «ЛД», ТМ LD, LD Pride); продажи — ООО «ТД «ЛД»</t>
        </is>
      </c>
      <c r="F137" s="276" t="inlineStr">
        <is>
          <t>+7 (351) 730-47-47 office@chsgs.ru</t>
        </is>
      </c>
      <c r="G137" s="276" t="inlineStr">
        <is>
          <t>LD КШЦФ ст.20 Ду80 Н/П PN16(40) (аналог 11с22п)</t>
        </is>
      </c>
      <c r="H137" s="276" t="inlineStr">
        <is>
          <t>ООО «ЧелябинскСпецГражданСтрой» (ИНН 7451211335)</t>
        </is>
      </c>
      <c r="I137" s="276" t="inlineStr">
        <is>
          <t>10655491</t>
        </is>
      </c>
      <c r="J137" s="276" t="inlineStr">
        <is>
          <t>30.06.2028</t>
        </is>
      </c>
      <c r="K137" s="276" t="inlineStr">
        <is>
          <t>эквивалент — согласовать</t>
        </is>
      </c>
      <c r="L137" s="276" t="inlineStr"/>
    </row>
    <row r="138">
      <c r="A138" s="276" t="inlineStr">
        <is>
          <t>1.3/108</t>
        </is>
      </c>
      <c r="B138" s="276" t="inlineStr">
        <is>
          <t>Кран шаровой фланцевый 11с22п Ду 100 Ру 16</t>
        </is>
      </c>
      <c r="C138" s="276" t="n">
        <v>8</v>
      </c>
      <c r="D138" s="276" t="inlineStr">
        <is>
          <t>завод (новый запрос КП)</t>
        </is>
      </c>
      <c r="E138" s="276" t="inlineStr">
        <is>
          <t>ООО «ЧелябинскСпецГражданСтрой» / ЛД Прайд (Группа компаний «ЛД», ТМ LD, LD Pride); продажи — ООО «ТД «ЛД»</t>
        </is>
      </c>
      <c r="F138" s="276" t="inlineStr">
        <is>
          <t>+7 (351) 730-47-47 office@chsgs.ru</t>
        </is>
      </c>
      <c r="G138" s="276" t="inlineStr">
        <is>
          <t>LD КШЦФ ст.20 Ду100 Н/П PN16(40) (аналог 11с22п)</t>
        </is>
      </c>
      <c r="H138" s="276" t="inlineStr">
        <is>
          <t>ООО «ЧелябинскСпецГражданСтрой» (ИНН 7451211335)</t>
        </is>
      </c>
      <c r="I138" s="276" t="inlineStr">
        <is>
          <t>10655491</t>
        </is>
      </c>
      <c r="J138" s="276" t="inlineStr">
        <is>
          <t>30.06.2028</t>
        </is>
      </c>
      <c r="K138" s="276" t="inlineStr">
        <is>
          <t>эквивалент — согласовать</t>
        </is>
      </c>
      <c r="L138" s="276" t="inlineStr"/>
    </row>
    <row r="139">
      <c r="A139" s="276" t="inlineStr">
        <is>
          <t>1.3/109</t>
        </is>
      </c>
      <c r="B139" s="276" t="inlineStr">
        <is>
          <t>Кран шаровой 11С67П Ду 100 Ру 16</t>
        </is>
      </c>
      <c r="C139" s="276" t="n">
        <v>2</v>
      </c>
      <c r="D139" s="276" t="inlineStr">
        <is>
          <t>завод (новый запрос КП)</t>
        </is>
      </c>
      <c r="E139" s="276" t="inlineStr">
        <is>
          <t>ООО «ЧелябинскСпецГражданСтрой» / ЛД Прайд (Группа компаний «ЛД», ТМ LD, LD Pride); продажи — ООО «ТД «ЛД»</t>
        </is>
      </c>
      <c r="F139" s="276" t="inlineStr">
        <is>
          <t>+7 (351) 730-47-47 office@chsgs.ru</t>
        </is>
      </c>
      <c r="G139" s="276" t="inlineStr">
        <is>
          <t>LD 11с67п КШРФ Ду100 П/П PN16</t>
        </is>
      </c>
      <c r="H139" s="276" t="inlineStr">
        <is>
          <t>ООО «ЧелябинскСпецГражданСтрой» (ИНН 7451211335)</t>
        </is>
      </c>
      <c r="I139" s="276" t="inlineStr">
        <is>
          <t>10655491</t>
        </is>
      </c>
      <c r="J139" s="276" t="inlineStr">
        <is>
          <t>30.06.2028</t>
        </is>
      </c>
      <c r="K139" s="276" t="inlineStr">
        <is>
          <t>не подтверждено</t>
        </is>
      </c>
      <c r="L139" s="276" t="inlineStr">
        <is>
          <t>Подтвердить письменно применимость на газ/пар при Т по ТЗ.</t>
        </is>
      </c>
    </row>
    <row r="140">
      <c r="A140" s="276" t="inlineStr">
        <is>
          <t>1.3/110</t>
        </is>
      </c>
      <c r="B140" s="276" t="inlineStr">
        <is>
          <t>Кран шаровой 11С67П Ду 150 Ру 16</t>
        </is>
      </c>
      <c r="C140" s="276" t="n">
        <v>2</v>
      </c>
      <c r="D140" s="276" t="inlineStr">
        <is>
          <t>завод (новый запрос КП)</t>
        </is>
      </c>
      <c r="E140" s="276" t="inlineStr">
        <is>
          <t>ООО «ЧелябинскСпецГражданСтрой» / ЛД Прайд (Группа компаний «ЛД», ТМ LD, LD Pride); продажи — ООО «ТД «ЛД»</t>
        </is>
      </c>
      <c r="F140" s="276" t="inlineStr">
        <is>
          <t>+7 (351) 730-47-47 office@chsgs.ru</t>
        </is>
      </c>
      <c r="G140" s="276" t="inlineStr">
        <is>
          <t>LD 11с67п КШРФ Ду150 П/П PN16</t>
        </is>
      </c>
      <c r="H140" s="276" t="inlineStr">
        <is>
          <t>ООО «ЧелябинскСпецГражданСтрой» (ИНН 7451211335)</t>
        </is>
      </c>
      <c r="I140" s="276" t="inlineStr">
        <is>
          <t>10655491</t>
        </is>
      </c>
      <c r="J140" s="276" t="inlineStr">
        <is>
          <t>30.06.2028</t>
        </is>
      </c>
      <c r="K140" s="276" t="inlineStr">
        <is>
          <t>не подтверждено</t>
        </is>
      </c>
      <c r="L140" s="276" t="inlineStr">
        <is>
          <t>Подтвердить письменно применимость на газ/пар при Т по ТЗ.</t>
        </is>
      </c>
    </row>
    <row r="141">
      <c r="A141" s="276" t="inlineStr">
        <is>
          <t>1.3/111</t>
        </is>
      </c>
      <c r="B141" s="276" t="inlineStr">
        <is>
          <t>Кран шаровой 11С67П Ду 200 Ру 16</t>
        </is>
      </c>
      <c r="C141" s="276" t="n">
        <v>2</v>
      </c>
      <c r="D141" s="276" t="inlineStr">
        <is>
          <t>НЕ ЗАКРЫТО</t>
        </is>
      </c>
      <c r="E141" s="276" t="inlineStr"/>
      <c r="F141" s="276" t="inlineStr"/>
      <c r="G141" s="276" t="inlineStr"/>
      <c r="H141" s="276" t="inlineStr"/>
      <c r="I141" s="276" t="inlineStr"/>
      <c r="J141" s="276" t="inlineStr"/>
      <c r="K141" s="276" t="inlineStr">
        <is>
          <t>нет поставщика с записью ПП 719 и соответствием ТЗ</t>
        </is>
      </c>
      <c r="L141" s="276" t="inlineStr"/>
    </row>
    <row r="142">
      <c r="A142" s="276" t="inlineStr">
        <is>
          <t>1.3/112</t>
        </is>
      </c>
      <c r="B142" s="276" t="inlineStr">
        <is>
          <t>Кран шаровой 11С67П Ду 80 Ру 16</t>
        </is>
      </c>
      <c r="C142" s="276" t="n">
        <v>2</v>
      </c>
      <c r="D142" s="276" t="inlineStr">
        <is>
          <t>завод (новый запрос КП)</t>
        </is>
      </c>
      <c r="E142" s="276" t="inlineStr">
        <is>
          <t>ООО «ЧелябинскСпецГражданСтрой» / ЛД Прайд (Группа компаний «ЛД», ТМ LD, LD Pride); продажи — ООО «ТД «ЛД»</t>
        </is>
      </c>
      <c r="F142" s="276" t="inlineStr">
        <is>
          <t>+7 (351) 730-47-47 office@chsgs.ru</t>
        </is>
      </c>
      <c r="G142" s="276" t="inlineStr">
        <is>
          <t>LD 11с67п КШРФ Ду80 П/П PN16</t>
        </is>
      </c>
      <c r="H142" s="276" t="inlineStr">
        <is>
          <t>ООО «ЧелябинскСпецГражданСтрой» (ИНН 7451211335)</t>
        </is>
      </c>
      <c r="I142" s="276" t="inlineStr">
        <is>
          <t>10655491</t>
        </is>
      </c>
      <c r="J142" s="276" t="inlineStr">
        <is>
          <t>30.06.2028</t>
        </is>
      </c>
      <c r="K142" s="276" t="inlineStr">
        <is>
          <t>не подтверждено</t>
        </is>
      </c>
      <c r="L142" s="276" t="inlineStr">
        <is>
          <t>Подтвердить письменно применимость на газ/пар при Т по ТЗ.</t>
        </is>
      </c>
    </row>
    <row r="143">
      <c r="A143" s="276" t="inlineStr">
        <is>
          <t>1.3/113</t>
        </is>
      </c>
      <c r="B143" s="276" t="inlineStr">
        <is>
          <t>Кран шаровой 11с67п Ду 15 Ру 25 цельносварной под приварку</t>
        </is>
      </c>
      <c r="C143" s="276" t="n">
        <v>62</v>
      </c>
      <c r="D143" s="276" t="inlineStr">
        <is>
          <t>завод (новый запрос КП)</t>
        </is>
      </c>
      <c r="E143" s="276" t="inlineStr">
        <is>
          <t>ООО «ЧелябинскСпецГражданСтрой» / ЛД Прайд (Группа компаний «ЛД», ТМ LD, LD Pride); продажи — ООО «ТД «ЛД»</t>
        </is>
      </c>
      <c r="F143" s="276" t="inlineStr">
        <is>
          <t>+7 (351) 730-47-47 office@chsgs.ru</t>
        </is>
      </c>
      <c r="G143" s="276" t="inlineStr">
        <is>
          <t>LD КШЦП (КШ.Ц.П) ст.20 Ду15 П/П PN4,0</t>
        </is>
      </c>
      <c r="H143" s="276" t="inlineStr">
        <is>
          <t>ООО «ЧелябинскСпецГражданСтрой» (ИНН 7451211335)</t>
        </is>
      </c>
      <c r="I143" s="276" t="inlineStr">
        <is>
          <t>10655491</t>
        </is>
      </c>
      <c r="J143" s="276" t="inlineStr">
        <is>
          <t>30.06.2028</t>
        </is>
      </c>
      <c r="K143" s="276" t="inlineStr">
        <is>
          <t>соответствует</t>
        </is>
      </c>
      <c r="L143" s="276" t="inlineStr"/>
    </row>
    <row r="144">
      <c r="A144" s="276" t="inlineStr">
        <is>
          <t>1.3/114</t>
        </is>
      </c>
      <c r="B144" s="276" t="inlineStr">
        <is>
          <t>Кран шаровой 11с67п Ду 25 Ру 25 цельносварной под приварку</t>
        </is>
      </c>
      <c r="C144" s="276" t="n">
        <v>48</v>
      </c>
      <c r="D144" s="276" t="inlineStr">
        <is>
          <t>завод (новый запрос КП)</t>
        </is>
      </c>
      <c r="E144" s="276" t="inlineStr">
        <is>
          <t>ООО «ЧелябинскСпецГражданСтрой» / ЛД Прайд (Группа компаний «ЛД», ТМ LD, LD Pride); продажи — ООО «ТД «ЛД»</t>
        </is>
      </c>
      <c r="F144" s="276" t="inlineStr">
        <is>
          <t>+7 (351) 730-47-47 office@chsgs.ru</t>
        </is>
      </c>
      <c r="G144" s="276" t="inlineStr">
        <is>
          <t>LD КШЦП (КШ.Ц.П) ст.20 Ду25 П/П PN4,0</t>
        </is>
      </c>
      <c r="H144" s="276" t="inlineStr">
        <is>
          <t>ООО «ЧелябинскСпецГражданСтрой» (ИНН 7451211335)</t>
        </is>
      </c>
      <c r="I144" s="276" t="inlineStr">
        <is>
          <t>10655491</t>
        </is>
      </c>
      <c r="J144" s="276" t="inlineStr">
        <is>
          <t>30.06.2028</t>
        </is>
      </c>
      <c r="K144" s="276" t="inlineStr">
        <is>
          <t>не подтверждено</t>
        </is>
      </c>
      <c r="L144" s="276" t="inlineStr">
        <is>
          <t>Подтвердить письменно применимость на газ/пар при Т по ТЗ.</t>
        </is>
      </c>
    </row>
    <row r="145">
      <c r="A145" s="276" t="inlineStr">
        <is>
          <t>1.3/115</t>
        </is>
      </c>
      <c r="B145" s="276" t="inlineStr">
        <is>
          <t>Кран шаровой 11с67п Ду 32 Ру 25 цельносварной под приварку</t>
        </is>
      </c>
      <c r="C145" s="276" t="n">
        <v>40</v>
      </c>
      <c r="D145" s="276" t="inlineStr">
        <is>
          <t>НЕ ЗАКРЫТО</t>
        </is>
      </c>
      <c r="E145" s="276" t="inlineStr"/>
      <c r="F145" s="276" t="inlineStr"/>
      <c r="G145" s="276" t="inlineStr"/>
      <c r="H145" s="276" t="inlineStr"/>
      <c r="I145" s="276" t="inlineStr"/>
      <c r="J145" s="276" t="inlineStr"/>
      <c r="K145" s="276" t="inlineStr">
        <is>
          <t>нет поставщика с записью ПП 719 и соответствием ТЗ</t>
        </is>
      </c>
      <c r="L145" s="276" t="inlineStr"/>
    </row>
    <row r="146">
      <c r="A146" s="276" t="inlineStr">
        <is>
          <t>1.3/116</t>
        </is>
      </c>
      <c r="B146" s="276" t="inlineStr">
        <is>
          <t>Кран шаровой 11с67п Ду 40 Ру 25 цельносварной под приварку</t>
        </is>
      </c>
      <c r="C146" s="276" t="n">
        <v>38</v>
      </c>
      <c r="D146" s="276" t="inlineStr">
        <is>
          <t>завод (новый запрос КП)</t>
        </is>
      </c>
      <c r="E146" s="276" t="inlineStr">
        <is>
          <t>ООО «ЧелябинскСпецГражданСтрой» / ЛД Прайд (Группа компаний «ЛД», ТМ LD, LD Pride); продажи — ООО «ТД «ЛД»</t>
        </is>
      </c>
      <c r="F146" s="276" t="inlineStr">
        <is>
          <t>+7 (351) 730-47-47 office@chsgs.ru</t>
        </is>
      </c>
      <c r="G146" s="276" t="inlineStr">
        <is>
          <t>LD КШЦП (КШ.Ц.П) ст.20 Ду40 П/П PN4,0</t>
        </is>
      </c>
      <c r="H146" s="276" t="inlineStr">
        <is>
          <t>ООО «ЧелябинскСпецГражданСтрой» (ИНН 7451211335)</t>
        </is>
      </c>
      <c r="I146" s="276" t="inlineStr">
        <is>
          <t>10655491</t>
        </is>
      </c>
      <c r="J146" s="276" t="inlineStr">
        <is>
          <t>30.06.2028</t>
        </is>
      </c>
      <c r="K146" s="276" t="inlineStr">
        <is>
          <t>соответствует</t>
        </is>
      </c>
      <c r="L146" s="276" t="inlineStr"/>
    </row>
    <row r="147">
      <c r="A147" s="276" t="inlineStr">
        <is>
          <t>1.3/117</t>
        </is>
      </c>
      <c r="B147" s="276" t="inlineStr">
        <is>
          <t>Кран шаровой 11с67п Ду 50 Ру 25 цельносварной под приварку</t>
        </is>
      </c>
      <c r="C147" s="276" t="n">
        <v>44</v>
      </c>
      <c r="D147" s="276" t="inlineStr">
        <is>
          <t>НЕ ЗАКРЫТО</t>
        </is>
      </c>
      <c r="E147" s="276" t="inlineStr"/>
      <c r="F147" s="276" t="inlineStr"/>
      <c r="G147" s="276" t="inlineStr"/>
      <c r="H147" s="276" t="inlineStr"/>
      <c r="I147" s="276" t="inlineStr"/>
      <c r="J147" s="276" t="inlineStr"/>
      <c r="K147" s="276" t="inlineStr">
        <is>
          <t>нет поставщика с записью ПП 719 и соответствием ТЗ</t>
        </is>
      </c>
      <c r="L147" s="276" t="inlineStr"/>
    </row>
    <row r="148">
      <c r="A148" s="276" t="inlineStr">
        <is>
          <t>1.3/118</t>
        </is>
      </c>
      <c r="B148" s="276" t="inlineStr">
        <is>
          <t>Кран шаровой 11с67п Ду 80 Ру 25 цельносварной под приварку</t>
        </is>
      </c>
      <c r="C148" s="276" t="n">
        <v>26</v>
      </c>
      <c r="D148" s="276" t="inlineStr">
        <is>
          <t>НЕ ЗАКРЫТО</t>
        </is>
      </c>
      <c r="E148" s="276" t="inlineStr"/>
      <c r="F148" s="276" t="inlineStr"/>
      <c r="G148" s="276" t="inlineStr"/>
      <c r="H148" s="276" t="inlineStr"/>
      <c r="I148" s="276" t="inlineStr"/>
      <c r="J148" s="276" t="inlineStr"/>
      <c r="K148" s="276" t="inlineStr">
        <is>
          <t>нет поставщика с записью ПП 719 и соответствием ТЗ</t>
        </is>
      </c>
      <c r="L148" s="276" t="inlineStr"/>
    </row>
    <row r="149">
      <c r="A149" s="276" t="inlineStr">
        <is>
          <t>1.3/119</t>
        </is>
      </c>
      <c r="B149" s="276" t="inlineStr">
        <is>
          <t>Кран шаровой 11с67п Ду 100 Ру 25 цельносварной под приварку</t>
        </is>
      </c>
      <c r="C149" s="276" t="n">
        <v>24</v>
      </c>
      <c r="D149" s="276" t="inlineStr">
        <is>
          <t>НЕ ЗАКРЫТО</t>
        </is>
      </c>
      <c r="E149" s="276" t="inlineStr"/>
      <c r="F149" s="276" t="inlineStr"/>
      <c r="G149" s="276" t="inlineStr"/>
      <c r="H149" s="276" t="inlineStr"/>
      <c r="I149" s="276" t="inlineStr"/>
      <c r="J149" s="276" t="inlineStr"/>
      <c r="K149" s="276" t="inlineStr">
        <is>
          <t>нет поставщика с записью ПП 719 и соответствием ТЗ</t>
        </is>
      </c>
      <c r="L149" s="276" t="inlineStr"/>
    </row>
    <row r="150">
      <c r="A150" s="276" t="inlineStr">
        <is>
          <t>1.3/120</t>
        </is>
      </c>
      <c r="B150" s="276" t="inlineStr">
        <is>
          <t>Кран шаровой 11с67п Ду 150 Ру 25 цельносварной под приварку</t>
        </is>
      </c>
      <c r="C150" s="276" t="n">
        <v>22</v>
      </c>
      <c r="D150" s="276" t="inlineStr">
        <is>
          <t>завод (новый запрос КП)</t>
        </is>
      </c>
      <c r="E150" s="276" t="inlineStr">
        <is>
          <t>ООО «ЧелябинскСпецГражданСтрой» / ЛД Прайд (Группа компаний «ЛД», ТМ LD, LD Pride); продажи — ООО «ТД «ЛД»</t>
        </is>
      </c>
      <c r="F150" s="276" t="inlineStr">
        <is>
          <t>+7 (351) 730-47-47 office@chsgs.ru</t>
        </is>
      </c>
      <c r="G150" s="276" t="inlineStr">
        <is>
          <t>LD КШЦП (КШ.Ц.П) ст.20 Ду150 П/П PN2,5</t>
        </is>
      </c>
      <c r="H150" s="276" t="inlineStr">
        <is>
          <t>ООО «ЧелябинскСпецГражданСтрой» (ИНН 7451211335)</t>
        </is>
      </c>
      <c r="I150" s="276" t="inlineStr">
        <is>
          <t>10655491</t>
        </is>
      </c>
      <c r="J150" s="276" t="inlineStr">
        <is>
          <t>30.06.2028</t>
        </is>
      </c>
      <c r="K150" s="276" t="inlineStr">
        <is>
          <t>соответствует</t>
        </is>
      </c>
      <c r="L150" s="276" t="inlineStr"/>
    </row>
    <row r="151">
      <c r="A151" s="276" t="inlineStr">
        <is>
          <t>1.3/121</t>
        </is>
      </c>
      <c r="B151" s="276" t="inlineStr">
        <is>
          <t>Кран шаровой 11с67п Ду 200 Ру 25 цельносварной под приварку</t>
        </is>
      </c>
      <c r="C151" s="276" t="n">
        <v>10</v>
      </c>
      <c r="D151" s="276" t="inlineStr">
        <is>
          <t>НЕ ЗАКРЫТО</t>
        </is>
      </c>
      <c r="E151" s="276" t="inlineStr"/>
      <c r="F151" s="276" t="inlineStr"/>
      <c r="G151" s="276" t="inlineStr"/>
      <c r="H151" s="276" t="inlineStr"/>
      <c r="I151" s="276" t="inlineStr"/>
      <c r="J151" s="276" t="inlineStr"/>
      <c r="K151" s="276" t="inlineStr">
        <is>
          <t>нет поставщика с записью ПП 719 и соответствием ТЗ</t>
        </is>
      </c>
      <c r="L151" s="276" t="inlineStr"/>
    </row>
    <row r="152">
      <c r="A152" s="276" t="inlineStr">
        <is>
          <t>1.3/122</t>
        </is>
      </c>
      <c r="B152" s="276" t="inlineStr">
        <is>
          <t>Кран шаровой 11с67п Ду 15 Ру 25 полнопрох. с КОФ (КЗШС41нж)</t>
        </is>
      </c>
      <c r="C152" s="276" t="n">
        <v>3</v>
      </c>
      <c r="D152" s="276" t="inlineStr">
        <is>
          <t>завод (новый запрос КП)</t>
        </is>
      </c>
      <c r="E152" s="276" t="inlineStr">
        <is>
          <t>ООО «ЧелябинскСпецГражданСтрой» / ЛД Прайд (Группа компаний «ЛД», ТМ LD, LD Pride); продажи — ООО «ТД «ЛД»</t>
        </is>
      </c>
      <c r="F152" s="276" t="inlineStr">
        <is>
          <t>+7 (351) 730-47-47 office@chsgs.ru</t>
        </is>
      </c>
      <c r="G152" s="276" t="inlineStr">
        <is>
          <t>LD КШЦФ ст.20 Ду15 П/П PN4,0 с КОФ</t>
        </is>
      </c>
      <c r="H152" s="276" t="inlineStr">
        <is>
          <t>ООО «ЧелябинскСпецГражданСтрой» (ИНН 7451211335)</t>
        </is>
      </c>
      <c r="I152" s="276" t="inlineStr">
        <is>
          <t>10655491</t>
        </is>
      </c>
      <c r="J152" s="276" t="inlineStr">
        <is>
          <t>30.06.2028</t>
        </is>
      </c>
      <c r="K152" s="276" t="inlineStr">
        <is>
          <t>соответствует</t>
        </is>
      </c>
      <c r="L152" s="276" t="inlineStr">
        <is>
          <t>Подтвердить поставку с КОФ.</t>
        </is>
      </c>
    </row>
    <row r="153">
      <c r="A153" s="276" t="inlineStr">
        <is>
          <t>1.3/123</t>
        </is>
      </c>
      <c r="B153" s="276" t="inlineStr">
        <is>
          <t>Кран шаровой 11с67п Ду 25 Ру 25 полнопрох. с КОФ (КЗШС41нж)</t>
        </is>
      </c>
      <c r="C153" s="276" t="n">
        <v>6</v>
      </c>
      <c r="D153" s="276" t="inlineStr">
        <is>
          <t>завод (новый запрос КП)</t>
        </is>
      </c>
      <c r="E153" s="276" t="inlineStr">
        <is>
          <t>ООО «ЧелябинскСпецГражданСтрой» / ЛД Прайд (Группа компаний «ЛД», ТМ LD, LD Pride); продажи — ООО «ТД «ЛД»</t>
        </is>
      </c>
      <c r="F153" s="276" t="inlineStr">
        <is>
          <t>+7 (351) 730-47-47 office@chsgs.ru</t>
        </is>
      </c>
      <c r="G153" s="276" t="inlineStr">
        <is>
          <t>LD КШЦФ ст.20 Ду25 П/П PN4,0 с КОФ</t>
        </is>
      </c>
      <c r="H153" s="276" t="inlineStr">
        <is>
          <t>ООО «ЧелябинскСпецГражданСтрой» (ИНН 7451211335)</t>
        </is>
      </c>
      <c r="I153" s="276" t="inlineStr">
        <is>
          <t>10655491</t>
        </is>
      </c>
      <c r="J153" s="276" t="inlineStr">
        <is>
          <t>30.06.2028</t>
        </is>
      </c>
      <c r="K153" s="276" t="inlineStr">
        <is>
          <t>соответствует</t>
        </is>
      </c>
      <c r="L153" s="276" t="inlineStr">
        <is>
          <t>Подтвердить поставку с КОФ.</t>
        </is>
      </c>
    </row>
    <row r="154">
      <c r="A154" s="276" t="inlineStr">
        <is>
          <t>1.3/124</t>
        </is>
      </c>
      <c r="B154" s="276" t="inlineStr">
        <is>
          <t>Кран шаровой 11с67п Ду 32 Ру 25 полнопрох. с КОФ (КЗШС41нж)</t>
        </is>
      </c>
      <c r="C154" s="276" t="n">
        <v>10</v>
      </c>
      <c r="D154" s="276" t="inlineStr">
        <is>
          <t>завод (новый запрос КП)</t>
        </is>
      </c>
      <c r="E154" s="276" t="inlineStr">
        <is>
          <t>ООО «ЧелябинскСпецГражданСтрой» / ЛД Прайд (Группа компаний «ЛД», ТМ LD, LD Pride); продажи — ООО «ТД «ЛД»</t>
        </is>
      </c>
      <c r="F154" s="276" t="inlineStr">
        <is>
          <t>+7 (351) 730-47-47 office@chsgs.ru</t>
        </is>
      </c>
      <c r="G154" s="276" t="inlineStr">
        <is>
          <t>LD 11с67п КШРФ (разборный) Ду32 П/П PN40 с КОФ (L=140)</t>
        </is>
      </c>
      <c r="H154" s="276" t="inlineStr">
        <is>
          <t>ООО «ЧелябинскСпецГражданСтрой» (ИНН 7451211335)</t>
        </is>
      </c>
      <c r="I154" s="276" t="inlineStr">
        <is>
          <t>10655491</t>
        </is>
      </c>
      <c r="J154" s="276" t="inlineStr">
        <is>
          <t>30.06.2028</t>
        </is>
      </c>
      <c r="K154" s="276" t="inlineStr">
        <is>
          <t>соответствует</t>
        </is>
      </c>
      <c r="L154" s="276" t="inlineStr">
        <is>
          <t>Подтвердить поставку с КОФ.</t>
        </is>
      </c>
    </row>
    <row r="155">
      <c r="A155" s="276" t="inlineStr">
        <is>
          <t>1.3/125</t>
        </is>
      </c>
      <c r="B155" s="276" t="inlineStr">
        <is>
          <t>Кран шаровой 11с67п Ду 50 Ру 25 полнопрох. с КОФ (КЗШС41нж)</t>
        </is>
      </c>
      <c r="C155" s="276" t="n">
        <v>6</v>
      </c>
      <c r="D155" s="276" t="inlineStr">
        <is>
          <t>завод (новый запрос КП)</t>
        </is>
      </c>
      <c r="E155" s="276" t="inlineStr">
        <is>
          <t>ООО «ЧелябинскСпецГражданСтрой» / ЛД Прайд (Группа компаний «ЛД», ТМ LD, LD Pride); продажи — ООО «ТД «ЛД»</t>
        </is>
      </c>
      <c r="F155" s="276" t="inlineStr">
        <is>
          <t>+7 (351) 730-47-47 office@chsgs.ru</t>
        </is>
      </c>
      <c r="G155" s="276" t="inlineStr">
        <is>
          <t>LD КШЦФ ст.20 Ду50 П/П PN4,0 с КОФ</t>
        </is>
      </c>
      <c r="H155" s="276" t="inlineStr">
        <is>
          <t>ООО «ЧелябинскСпецГражданСтрой» (ИНН 7451211335)</t>
        </is>
      </c>
      <c r="I155" s="276" t="inlineStr">
        <is>
          <t>10655491</t>
        </is>
      </c>
      <c r="J155" s="276" t="inlineStr">
        <is>
          <t>30.06.2028</t>
        </is>
      </c>
      <c r="K155" s="276" t="inlineStr">
        <is>
          <t>соответствует</t>
        </is>
      </c>
      <c r="L155" s="276" t="inlineStr">
        <is>
          <t>Подтвердить поставку с КОФ.</t>
        </is>
      </c>
    </row>
    <row r="156">
      <c r="A156" s="276" t="inlineStr">
        <is>
          <t>1.3/126</t>
        </is>
      </c>
      <c r="B156" s="276" t="inlineStr">
        <is>
          <t>Кран шаровой 11с67п Ду 80 Ру 25 полнопрох. с КОФ (КЗШС41нж)</t>
        </is>
      </c>
      <c r="C156" s="276" t="n">
        <v>4</v>
      </c>
      <c r="D156" s="276" t="inlineStr">
        <is>
          <t>завод (новый запрос КП)</t>
        </is>
      </c>
      <c r="E156" s="276" t="inlineStr">
        <is>
          <t>ООО «ЧелябинскСпецГражданСтрой» / ЛД Прайд (Группа компаний «ЛД», ТМ LD, LD Pride); продажи — ООО «ТД «ЛД»</t>
        </is>
      </c>
      <c r="F156" s="276" t="inlineStr">
        <is>
          <t>+7 (351) 730-47-47 office@chsgs.ru</t>
        </is>
      </c>
      <c r="G156" s="276" t="inlineStr">
        <is>
          <t>LD КШЦФ ст.20 Ду80 П/П PN2,5 с КОФ</t>
        </is>
      </c>
      <c r="H156" s="276" t="inlineStr">
        <is>
          <t>ООО «ЧелябинскСпецГражданСтрой» (ИНН 7451211335)</t>
        </is>
      </c>
      <c r="I156" s="276" t="inlineStr">
        <is>
          <t>10655491</t>
        </is>
      </c>
      <c r="J156" s="276" t="inlineStr">
        <is>
          <t>30.06.2028</t>
        </is>
      </c>
      <c r="K156" s="276" t="inlineStr">
        <is>
          <t>соответствует</t>
        </is>
      </c>
      <c r="L156" s="276" t="inlineStr">
        <is>
          <t>Подтвердить поставку с КОФ.</t>
        </is>
      </c>
    </row>
    <row r="157">
      <c r="A157" s="276" t="inlineStr">
        <is>
          <t>1.3/127</t>
        </is>
      </c>
      <c r="B157" s="276" t="inlineStr">
        <is>
          <t>Кран шаровой 11с67п Ду 100 Ру 16 ЦУФ.001 КШ укороченный полнопроходной фланцевый с рукояткой</t>
        </is>
      </c>
      <c r="C157" s="276" t="n">
        <v>91</v>
      </c>
      <c r="D157" s="276" t="inlineStr">
        <is>
          <t>завод (новый запрос КП)</t>
        </is>
      </c>
      <c r="E157" s="276" t="inlineStr">
        <is>
          <t>ООО «ЧелябинскСпецГражданСтрой» / ЛД Прайд (Группа компаний «ЛД», ТМ LD, LD Pride); продажи — ООО «ТД «ЛД»</t>
        </is>
      </c>
      <c r="F157" s="276" t="inlineStr">
        <is>
          <t>+7 (351) 730-47-47 office@chsgs.ru</t>
        </is>
      </c>
      <c r="G157" s="276" t="inlineStr">
        <is>
          <t>LD 11с67п КШРФ Ду100 П/П PN16</t>
        </is>
      </c>
      <c r="H157" s="276" t="inlineStr">
        <is>
          <t>ООО «ЧелябинскСпецГражданСтрой» (ИНН 7451211335)</t>
        </is>
      </c>
      <c r="I157" s="276" t="inlineStr">
        <is>
          <t>10655491</t>
        </is>
      </c>
      <c r="J157" s="276" t="inlineStr">
        <is>
          <t>30.06.2028</t>
        </is>
      </c>
      <c r="K157" s="276" t="inlineStr">
        <is>
          <t>эквивалент — согласовать</t>
        </is>
      </c>
      <c r="L157" s="276" t="inlineStr"/>
    </row>
    <row r="158">
      <c r="A158" s="276" t="inlineStr">
        <is>
          <t>1.3/128</t>
        </is>
      </c>
      <c r="B158" s="276" t="inlineStr">
        <is>
          <t>Кран шаровой 11с67п Ду 125 Ру 16 ЦУФ.001 КШ укороченный полнопроходной фланцевый с рукояткой</t>
        </is>
      </c>
      <c r="C158" s="276" t="n">
        <v>10</v>
      </c>
      <c r="D158" s="276" t="inlineStr">
        <is>
          <t>завод (новый запрос КП)</t>
        </is>
      </c>
      <c r="E158" s="276" t="inlineStr">
        <is>
          <t>ООО «ЧелябинскСпецГражданСтрой» / ЛД Прайд (Группа компаний «ЛД», ТМ LD, LD Pride); продажи — ООО «ТД «ЛД»</t>
        </is>
      </c>
      <c r="F158" s="276" t="inlineStr">
        <is>
          <t>+7 (351) 730-47-47 office@chsgs.ru</t>
        </is>
      </c>
      <c r="G158" s="276" t="inlineStr">
        <is>
          <t>LD 11с67п КШРФ Ду125 П/П PN16</t>
        </is>
      </c>
      <c r="H158" s="276" t="inlineStr">
        <is>
          <t>ООО «ЧелябинскСпецГражданСтрой» (ИНН 7451211335)</t>
        </is>
      </c>
      <c r="I158" s="276" t="inlineStr">
        <is>
          <t>10655491</t>
        </is>
      </c>
      <c r="J158" s="276" t="inlineStr">
        <is>
          <t>30.06.2028</t>
        </is>
      </c>
      <c r="K158" s="276" t="inlineStr">
        <is>
          <t>эквивалент — согласовать</t>
        </is>
      </c>
      <c r="L158" s="276" t="inlineStr"/>
    </row>
    <row r="159">
      <c r="A159" s="276" t="inlineStr">
        <is>
          <t>1.3/129</t>
        </is>
      </c>
      <c r="B159" s="276" t="inlineStr">
        <is>
          <t>Кран шаровой 11с67п Ду 150 Ру 16 ЦУФ.001 КШ укороченный полнопроходной фланцевый с рукояткой</t>
        </is>
      </c>
      <c r="C159" s="276" t="n">
        <v>59</v>
      </c>
      <c r="D159" s="276" t="inlineStr">
        <is>
          <t>завод (новый запрос КП)</t>
        </is>
      </c>
      <c r="E159" s="276" t="inlineStr">
        <is>
          <t>ООО «ЧелябинскСпецГражданСтрой» / ЛД Прайд (Группа компаний «ЛД», ТМ LD, LD Pride); продажи — ООО «ТД «ЛД»</t>
        </is>
      </c>
      <c r="F159" s="276" t="inlineStr">
        <is>
          <t>+7 (351) 730-47-47 office@chsgs.ru</t>
        </is>
      </c>
      <c r="G159" s="276" t="inlineStr">
        <is>
          <t>LD 11с67п КШРФ Ду150 П/П PN16</t>
        </is>
      </c>
      <c r="H159" s="276" t="inlineStr">
        <is>
          <t>ООО «ЧелябинскСпецГражданСтрой» (ИНН 7451211335)</t>
        </is>
      </c>
      <c r="I159" s="276" t="inlineStr">
        <is>
          <t>10655491</t>
        </is>
      </c>
      <c r="J159" s="276" t="inlineStr">
        <is>
          <t>30.06.2028</t>
        </is>
      </c>
      <c r="K159" s="276" t="inlineStr">
        <is>
          <t>эквивалент — согласовать</t>
        </is>
      </c>
      <c r="L159" s="276" t="inlineStr"/>
    </row>
    <row r="160">
      <c r="A160" s="276" t="inlineStr">
        <is>
          <t>1.3/130</t>
        </is>
      </c>
      <c r="B160" s="276" t="inlineStr">
        <is>
          <t>Кран шаровой 11с67п Ду 200 Ру 16 ЦУФ.001 КШ укороченный полнопроходной фланцевый с рукояткой</t>
        </is>
      </c>
      <c r="C160" s="276" t="n">
        <v>45</v>
      </c>
      <c r="D160" s="276" t="inlineStr">
        <is>
          <t>НЕ ЗАКРЫТО</t>
        </is>
      </c>
      <c r="E160" s="276" t="inlineStr"/>
      <c r="F160" s="276" t="inlineStr"/>
      <c r="G160" s="276" t="inlineStr"/>
      <c r="H160" s="276" t="inlineStr"/>
      <c r="I160" s="276" t="inlineStr"/>
      <c r="J160" s="276" t="inlineStr"/>
      <c r="K160" s="276" t="inlineStr">
        <is>
          <t>нет поставщика с записью ПП 719 и соответствием ТЗ</t>
        </is>
      </c>
      <c r="L160" s="276" t="inlineStr"/>
    </row>
    <row r="161">
      <c r="A161" s="276" t="inlineStr">
        <is>
          <t>1.3/131</t>
        </is>
      </c>
      <c r="B161" s="276" t="inlineStr">
        <is>
          <t>Кран шаровой 11с67п Ду 40 Ру 16 ЦУФ.001 КШ укороченный полнопроходной фланцевый с рукояткой</t>
        </is>
      </c>
      <c r="C161" s="276" t="n">
        <v>8</v>
      </c>
      <c r="D161" s="276" t="inlineStr">
        <is>
          <t>завод (новый запрос КП)</t>
        </is>
      </c>
      <c r="E161" s="276" t="inlineStr">
        <is>
          <t>ООО «ЧелябинскСпецГражданСтрой» / ЛД Прайд (Группа компаний «ЛД», ТМ LD, LD Pride); продажи — ООО «ТД «ЛД»</t>
        </is>
      </c>
      <c r="F161" s="276" t="inlineStr">
        <is>
          <t>+7 (351) 730-47-47 office@chsgs.ru</t>
        </is>
      </c>
      <c r="G161" s="276" t="inlineStr">
        <is>
          <t>LD 11с67п КШРФ Ду40 П/П PN16</t>
        </is>
      </c>
      <c r="H161" s="276" t="inlineStr">
        <is>
          <t>ООО «ЧелябинскСпецГражданСтрой» (ИНН 7451211335)</t>
        </is>
      </c>
      <c r="I161" s="276" t="inlineStr">
        <is>
          <t>10655491</t>
        </is>
      </c>
      <c r="J161" s="276" t="inlineStr">
        <is>
          <t>30.06.2028</t>
        </is>
      </c>
      <c r="K161" s="276" t="inlineStr">
        <is>
          <t>эквивалент — согласовать</t>
        </is>
      </c>
      <c r="L161" s="276" t="inlineStr"/>
    </row>
    <row r="162">
      <c r="A162" s="276" t="inlineStr">
        <is>
          <t>1.3/132</t>
        </is>
      </c>
      <c r="B162" s="276" t="inlineStr">
        <is>
          <t>Кран шаровой 11с67п Ду 50 Ру 16 ЦУФ.001 КШ укороченный полнопроходной фланцевый с рукояткой</t>
        </is>
      </c>
      <c r="C162" s="276" t="n">
        <v>80</v>
      </c>
      <c r="D162" s="276" t="inlineStr">
        <is>
          <t>завод (новый запрос КП)</t>
        </is>
      </c>
      <c r="E162" s="276" t="inlineStr">
        <is>
          <t>ООО «ЧелябинскСпецГражданСтрой» / ЛД Прайд (Группа компаний «ЛД», ТМ LD, LD Pride); продажи — ООО «ТД «ЛД»</t>
        </is>
      </c>
      <c r="F162" s="276" t="inlineStr">
        <is>
          <t>+7 (351) 730-47-47 office@chsgs.ru</t>
        </is>
      </c>
      <c r="G162" s="276" t="inlineStr">
        <is>
          <t>LD 11с67п КШРФ Ду50 П/П PN16</t>
        </is>
      </c>
      <c r="H162" s="276" t="inlineStr">
        <is>
          <t>ООО «ЧелябинскСпецГражданСтрой» (ИНН 7451211335)</t>
        </is>
      </c>
      <c r="I162" s="276" t="inlineStr">
        <is>
          <t>10655491</t>
        </is>
      </c>
      <c r="J162" s="276" t="inlineStr">
        <is>
          <t>30.06.2028</t>
        </is>
      </c>
      <c r="K162" s="276" t="inlineStr">
        <is>
          <t>эквивалент — согласовать</t>
        </is>
      </c>
      <c r="L162" s="276" t="inlineStr"/>
    </row>
    <row r="163">
      <c r="A163" s="276" t="inlineStr">
        <is>
          <t>1.3/133</t>
        </is>
      </c>
      <c r="B163" s="276" t="inlineStr">
        <is>
          <t>Кран шаровой 11с67п Ду 65 Ру 16 ЦУФ.001 КШ укороченный полнопроходной фланцевый с рукояткой</t>
        </is>
      </c>
      <c r="C163" s="276" t="n">
        <v>6</v>
      </c>
      <c r="D163" s="276" t="inlineStr">
        <is>
          <t>завод (новый запрос КП)</t>
        </is>
      </c>
      <c r="E163" s="276" t="inlineStr">
        <is>
          <t>ООО «ЧелябинскСпецГражданСтрой» / ЛД Прайд (Группа компаний «ЛД», ТМ LD, LD Pride); продажи — ООО «ТД «ЛД»</t>
        </is>
      </c>
      <c r="F163" s="276" t="inlineStr">
        <is>
          <t>+7 (351) 730-47-47 office@chsgs.ru</t>
        </is>
      </c>
      <c r="G163" s="276" t="inlineStr">
        <is>
          <t>LD 11с67п КШРФ Ду65 П/П PN16</t>
        </is>
      </c>
      <c r="H163" s="276" t="inlineStr">
        <is>
          <t>ООО «ЧелябинскСпецГражданСтрой» (ИНН 7451211335)</t>
        </is>
      </c>
      <c r="I163" s="276" t="inlineStr">
        <is>
          <t>10655491</t>
        </is>
      </c>
      <c r="J163" s="276" t="inlineStr">
        <is>
          <t>30.06.2028</t>
        </is>
      </c>
      <c r="K163" s="276" t="inlineStr">
        <is>
          <t>эквивалент — согласовать</t>
        </is>
      </c>
      <c r="L163" s="276" t="inlineStr"/>
    </row>
    <row r="164">
      <c r="A164" s="276" t="inlineStr">
        <is>
          <t>1.3/134</t>
        </is>
      </c>
      <c r="B164" s="276" t="inlineStr">
        <is>
          <t>Кран шаровой 11с67п Ду 80 Ру 16 ЦУФ.001 КШ укороченный полнопроходной фланцевый с рукояткой</t>
        </is>
      </c>
      <c r="C164" s="276" t="n">
        <v>92</v>
      </c>
      <c r="D164" s="276" t="inlineStr">
        <is>
          <t>завод (новый запрос КП)</t>
        </is>
      </c>
      <c r="E164" s="276" t="inlineStr">
        <is>
          <t>ООО «ЧелябинскСпецГражданСтрой» / ЛД Прайд (Группа компаний «ЛД», ТМ LD, LD Pride); продажи — ООО «ТД «ЛД»</t>
        </is>
      </c>
      <c r="F164" s="276" t="inlineStr">
        <is>
          <t>+7 (351) 730-47-47 office@chsgs.ru</t>
        </is>
      </c>
      <c r="G164" s="276" t="inlineStr">
        <is>
          <t>LD 11с67п КШРФ Ду80 П/П PN16</t>
        </is>
      </c>
      <c r="H164" s="276" t="inlineStr">
        <is>
          <t>ООО «ЧелябинскСпецГражданСтрой» (ИНН 7451211335)</t>
        </is>
      </c>
      <c r="I164" s="276" t="inlineStr">
        <is>
          <t>10655491</t>
        </is>
      </c>
      <c r="J164" s="276" t="inlineStr">
        <is>
          <t>30.06.2028</t>
        </is>
      </c>
      <c r="K164" s="276" t="inlineStr">
        <is>
          <t>эквивалент — согласовать</t>
        </is>
      </c>
      <c r="L164" s="276" t="inlineStr"/>
    </row>
    <row r="165">
      <c r="A165" s="276" t="inlineStr">
        <is>
          <t>1.3/135</t>
        </is>
      </c>
      <c r="B165" s="276" t="inlineStr">
        <is>
          <t>Кран шаровой нержавеющий G1/2" муфтовый, полнопроходной, Ду 15 Ру 63</t>
        </is>
      </c>
      <c r="C165" s="276" t="n">
        <v>19</v>
      </c>
      <c r="D165" s="276" t="inlineStr">
        <is>
          <t>завод (новый запрос КП)</t>
        </is>
      </c>
      <c r="E165" s="276" t="inlineStr">
        <is>
          <t>ЗАО «Арматурная Компания «ФОБОС»</t>
        </is>
      </c>
      <c r="F165" s="276" t="inlineStr">
        <is>
          <t>8-800-700-62-60 info@fobosarm.ru</t>
        </is>
      </c>
      <c r="G165" s="276" t="inlineStr"/>
      <c r="H165" s="276" t="inlineStr">
        <is>
          <t>ЗАО «Арматурная Компания «ФОБОС»</t>
        </is>
      </c>
      <c r="I165" s="276" t="inlineStr"/>
      <c r="J165" s="276" t="inlineStr"/>
      <c r="K165" s="276" t="inlineStr">
        <is>
          <t>не проверено построчно</t>
        </is>
      </c>
      <c r="L165" s="276" t="inlineStr">
        <is>
          <t>№ реестровой записи</t>
        </is>
      </c>
    </row>
    <row r="166">
      <c r="A166" s="276" t="inlineStr">
        <is>
          <t>1.3/136</t>
        </is>
      </c>
      <c r="B166" s="276" t="inlineStr">
        <is>
          <t>Кран шаровый LD неполнопроходной 11с67п КШЦФ Ду 200 Ру 16 с КОФ</t>
        </is>
      </c>
      <c r="C166" s="276" t="n">
        <v>14</v>
      </c>
      <c r="D166" s="276" t="inlineStr">
        <is>
          <t>завод (новый запрос КП)</t>
        </is>
      </c>
      <c r="E166" s="276" t="inlineStr">
        <is>
          <t>ООО «ЧелябинскСпецГражданСтрой» / ЛД Прайд (Группа компаний «ЛД», ТМ LD, LD Pride); продажи — ООО «ТД «ЛД»</t>
        </is>
      </c>
      <c r="F166" s="276" t="inlineStr">
        <is>
          <t>+7 (351) 730-47-47 office@chsgs.ru</t>
        </is>
      </c>
      <c r="G166" s="276" t="inlineStr">
        <is>
          <t>LD 11с67п КШРФ 200/150 Н/П PN16 (L=330) вместо КШЦФ Н/П</t>
        </is>
      </c>
      <c r="H166" s="276" t="inlineStr">
        <is>
          <t>ООО «ЧелябинскСпецГражданСтрой» (ИНН 7451211335)</t>
        </is>
      </c>
      <c r="I166" s="276" t="inlineStr">
        <is>
          <t>10655491</t>
        </is>
      </c>
      <c r="J166" s="276" t="inlineStr">
        <is>
          <t>30.06.2028</t>
        </is>
      </c>
      <c r="K166" s="276" t="inlineStr">
        <is>
          <t>эквивалент — согласовать</t>
        </is>
      </c>
      <c r="L166" s="276" t="inlineStr">
        <is>
          <t>Согласовать КШРФ (разборный) вместо КШЦФ с L=330.</t>
        </is>
      </c>
    </row>
    <row r="167">
      <c r="A167" s="276" t="inlineStr">
        <is>
          <t>1.3/137</t>
        </is>
      </c>
      <c r="B167" s="276" t="inlineStr">
        <is>
          <t>Кран шаровый LD полнопроходной 11с67п КШРФ Ду 100 Ру 16 с КОФ</t>
        </is>
      </c>
      <c r="C167" s="276" t="n">
        <v>29</v>
      </c>
      <c r="D167" s="276" t="inlineStr">
        <is>
          <t>завод (новый запрос КП)</t>
        </is>
      </c>
      <c r="E167" s="276" t="inlineStr">
        <is>
          <t>ООО «ЧелябинскСпецГражданСтрой» / ЛД Прайд (Группа компаний «ЛД», ТМ LD, LD Pride); продажи — ООО «ТД «ЛД»</t>
        </is>
      </c>
      <c r="F167" s="276" t="inlineStr">
        <is>
          <t>+7 (351) 730-47-47 office@chsgs.ru</t>
        </is>
      </c>
      <c r="G167" s="276" t="inlineStr">
        <is>
          <t>LD 11с67п КШРФ Ду100 П/П PN16 с КОФ</t>
        </is>
      </c>
      <c r="H167" s="276" t="inlineStr">
        <is>
          <t>ООО «ЧелябинскСпецГражданСтрой» (ИНН 7451211335)</t>
        </is>
      </c>
      <c r="I167" s="276" t="inlineStr">
        <is>
          <t>10714005</t>
        </is>
      </c>
      <c r="J167" s="276" t="inlineStr">
        <is>
          <t>17.09.2028</t>
        </is>
      </c>
      <c r="K167" s="276" t="inlineStr">
        <is>
          <t>соответствует</t>
        </is>
      </c>
      <c r="L167" s="276" t="inlineStr">
        <is>
          <t>Подтвердить поставку с КОФ.</t>
        </is>
      </c>
    </row>
    <row r="168">
      <c r="A168" s="276" t="inlineStr">
        <is>
          <t>1.3/138</t>
        </is>
      </c>
      <c r="B168" s="276" t="inlineStr">
        <is>
          <t>Кран шаровый LD полнопроходной 11с67п КШРФ Ду 125 Ру 16 с КОФ</t>
        </is>
      </c>
      <c r="C168" s="276" t="n">
        <v>6</v>
      </c>
      <c r="D168" s="276" t="inlineStr">
        <is>
          <t>завод (новый запрос КП)</t>
        </is>
      </c>
      <c r="E168" s="276" t="inlineStr">
        <is>
          <t>ООО «ЧелябинскСпецГражданСтрой» / ЛД Прайд (Группа компаний «ЛД», ТМ LD, LD Pride); продажи — ООО «ТД «ЛД»</t>
        </is>
      </c>
      <c r="F168" s="276" t="inlineStr">
        <is>
          <t>+7 (351) 730-47-47 office@chsgs.ru</t>
        </is>
      </c>
      <c r="G168" s="276" t="inlineStr">
        <is>
          <t>LD 11с67п КШРФ Ду125 П/П PN16 с КОФ</t>
        </is>
      </c>
      <c r="H168" s="276" t="inlineStr">
        <is>
          <t>ООО «ЧелябинскСпецГражданСтрой» (ИНН 7451211335)</t>
        </is>
      </c>
      <c r="I168" s="276" t="inlineStr">
        <is>
          <t>10714005</t>
        </is>
      </c>
      <c r="J168" s="276" t="inlineStr">
        <is>
          <t>17.09.2028</t>
        </is>
      </c>
      <c r="K168" s="276" t="inlineStr">
        <is>
          <t>соответствует</t>
        </is>
      </c>
      <c r="L168" s="276" t="inlineStr">
        <is>
          <t>Подтвердить поставку с КОФ.</t>
        </is>
      </c>
    </row>
    <row r="169">
      <c r="A169" s="276" t="inlineStr">
        <is>
          <t>1.3/139</t>
        </is>
      </c>
      <c r="B169" s="276" t="inlineStr">
        <is>
          <t>Кран шаровый LD полнопроходной 11с67п КШРФ Ду 150 Ру 16 с КОФ</t>
        </is>
      </c>
      <c r="C169" s="276" t="n">
        <v>31</v>
      </c>
      <c r="D169" s="276" t="inlineStr">
        <is>
          <t>завод (новый запрос КП)</t>
        </is>
      </c>
      <c r="E169" s="276" t="inlineStr">
        <is>
          <t>ООО «ЧелябинскСпецГражданСтрой» / ЛД Прайд (Группа компаний «ЛД», ТМ LD, LD Pride); продажи — ООО «ТД «ЛД»</t>
        </is>
      </c>
      <c r="F169" s="276" t="inlineStr">
        <is>
          <t>+7 (351) 730-47-47 office@chsgs.ru</t>
        </is>
      </c>
      <c r="G169" s="276" t="inlineStr">
        <is>
          <t>LD 11с67п КШРФ Ду150 П/П PN16 с КОФ</t>
        </is>
      </c>
      <c r="H169" s="276" t="inlineStr">
        <is>
          <t>ООО «ЧелябинскСпецГражданСтрой» (ИНН 7451211335)</t>
        </is>
      </c>
      <c r="I169" s="276" t="inlineStr">
        <is>
          <t>10714005</t>
        </is>
      </c>
      <c r="J169" s="276" t="inlineStr">
        <is>
          <t>17.09.2028</t>
        </is>
      </c>
      <c r="K169" s="276" t="inlineStr">
        <is>
          <t>соответствует</t>
        </is>
      </c>
      <c r="L169" s="276" t="inlineStr">
        <is>
          <t>Подтвердить поставку с КОФ.</t>
        </is>
      </c>
    </row>
    <row r="170">
      <c r="A170" s="276" t="inlineStr">
        <is>
          <t>1.3/140</t>
        </is>
      </c>
      <c r="B170" s="276" t="inlineStr">
        <is>
          <t>Кран шаровый LD полнопроходной 11с67п КШРФ Ду 25 Ру 16 с КОФ</t>
        </is>
      </c>
      <c r="C170" s="276" t="n">
        <v>8</v>
      </c>
      <c r="D170" s="276" t="inlineStr">
        <is>
          <t>завод (новый запрос КП)</t>
        </is>
      </c>
      <c r="E170" s="276" t="inlineStr">
        <is>
          <t>ООО «ЧелябинскСпецГражданСтрой» / ЛД Прайд (Группа компаний «ЛД», ТМ LD, LD Pride); продажи — ООО «ТД «ЛД»</t>
        </is>
      </c>
      <c r="F170" s="276" t="inlineStr">
        <is>
          <t>+7 (351) 730-47-47 office@chsgs.ru</t>
        </is>
      </c>
      <c r="G170" s="276" t="inlineStr">
        <is>
          <t>LD 11с67п КШРФ Ду25 П/П PN16 с КОФ</t>
        </is>
      </c>
      <c r="H170" s="276" t="inlineStr">
        <is>
          <t>ООО «ЧелябинскСпецГражданСтрой» (ИНН 7451211335)</t>
        </is>
      </c>
      <c r="I170" s="276" t="inlineStr">
        <is>
          <t>10714005</t>
        </is>
      </c>
      <c r="J170" s="276" t="inlineStr">
        <is>
          <t>17.09.2028</t>
        </is>
      </c>
      <c r="K170" s="276" t="inlineStr">
        <is>
          <t>соответствует</t>
        </is>
      </c>
      <c r="L170" s="276" t="inlineStr">
        <is>
          <t>Подтвердить поставку с КОФ.</t>
        </is>
      </c>
    </row>
    <row r="171">
      <c r="A171" s="276" t="inlineStr">
        <is>
          <t>1.3/141</t>
        </is>
      </c>
      <c r="B171" s="276" t="inlineStr">
        <is>
          <t>Кран шаровый LD полнопроходной 11с67п КШРФ Ду 32 Ру 16 с КОФ</t>
        </is>
      </c>
      <c r="C171" s="276" t="n">
        <v>8</v>
      </c>
      <c r="D171" s="276" t="inlineStr">
        <is>
          <t>завод (новый запрос КП)</t>
        </is>
      </c>
      <c r="E171" s="276" t="inlineStr">
        <is>
          <t>ООО «ЧелябинскСпецГражданСтрой» / ЛД Прайд (Группа компаний «ЛД», ТМ LD, LD Pride); продажи — ООО «ТД «ЛД»</t>
        </is>
      </c>
      <c r="F171" s="276" t="inlineStr">
        <is>
          <t>+7 (351) 730-47-47 office@chsgs.ru</t>
        </is>
      </c>
      <c r="G171" s="276" t="inlineStr">
        <is>
          <t>LD 11с67п КШРФ Ду32 П/П PN16 с КОФ</t>
        </is>
      </c>
      <c r="H171" s="276" t="inlineStr">
        <is>
          <t>ООО «ЧелябинскСпецГражданСтрой» (ИНН 7451211335)</t>
        </is>
      </c>
      <c r="I171" s="276" t="inlineStr">
        <is>
          <t>10714005</t>
        </is>
      </c>
      <c r="J171" s="276" t="inlineStr">
        <is>
          <t>17.09.2028</t>
        </is>
      </c>
      <c r="K171" s="276" t="inlineStr">
        <is>
          <t>соответствует</t>
        </is>
      </c>
      <c r="L171" s="276" t="inlineStr">
        <is>
          <t>Подтвердить поставку с КОФ.</t>
        </is>
      </c>
    </row>
    <row r="172">
      <c r="A172" s="276" t="inlineStr">
        <is>
          <t>1.3/142</t>
        </is>
      </c>
      <c r="B172" s="276" t="inlineStr">
        <is>
          <t>Кран шаровый LD полнопроходной 11с67п КШРФ Ду 40 Ру 16 с КОФ</t>
        </is>
      </c>
      <c r="C172" s="276" t="n">
        <v>8</v>
      </c>
      <c r="D172" s="276" t="inlineStr">
        <is>
          <t>завод (новый запрос КП)</t>
        </is>
      </c>
      <c r="E172" s="276" t="inlineStr">
        <is>
          <t>ООО «ЧелябинскСпецГражданСтрой» / ЛД Прайд (Группа компаний «ЛД», ТМ LD, LD Pride); продажи — ООО «ТД «ЛД»</t>
        </is>
      </c>
      <c r="F172" s="276" t="inlineStr">
        <is>
          <t>+7 (351) 730-47-47 office@chsgs.ru</t>
        </is>
      </c>
      <c r="G172" s="276" t="inlineStr">
        <is>
          <t>LD 11с67п КШРФ Ду40 П/П PN16 с КОФ</t>
        </is>
      </c>
      <c r="H172" s="276" t="inlineStr">
        <is>
          <t>ООО «ЧелябинскСпецГражданСтрой» (ИНН 7451211335)</t>
        </is>
      </c>
      <c r="I172" s="276" t="inlineStr">
        <is>
          <t>10714005</t>
        </is>
      </c>
      <c r="J172" s="276" t="inlineStr">
        <is>
          <t>17.09.2028</t>
        </is>
      </c>
      <c r="K172" s="276" t="inlineStr">
        <is>
          <t>соответствует</t>
        </is>
      </c>
      <c r="L172" s="276" t="inlineStr">
        <is>
          <t>Подтвердить поставку с КОФ.</t>
        </is>
      </c>
    </row>
    <row r="173">
      <c r="A173" s="276" t="inlineStr">
        <is>
          <t>1.3/143</t>
        </is>
      </c>
      <c r="B173" s="276" t="inlineStr">
        <is>
          <t>Кран шаровый LD полнопроходной 11с67п КШРФ Ду 50 Ру 16 с КОФ</t>
        </is>
      </c>
      <c r="C173" s="276" t="n">
        <v>112</v>
      </c>
      <c r="D173" s="276" t="inlineStr">
        <is>
          <t>завод (новый запрос КП)</t>
        </is>
      </c>
      <c r="E173" s="276" t="inlineStr">
        <is>
          <t>ООО «ЧелябинскСпецГражданСтрой» / ЛД Прайд (Группа компаний «ЛД», ТМ LD, LD Pride); продажи — ООО «ТД «ЛД»</t>
        </is>
      </c>
      <c r="F173" s="276" t="inlineStr">
        <is>
          <t>+7 (351) 730-47-47 office@chsgs.ru</t>
        </is>
      </c>
      <c r="G173" s="276" t="inlineStr">
        <is>
          <t>LD 11с67п КШРФ Ду50 П/П PN16 с КОФ</t>
        </is>
      </c>
      <c r="H173" s="276" t="inlineStr">
        <is>
          <t>ООО «ЧелябинскСпецГражданСтрой» (ИНН 7451211335)</t>
        </is>
      </c>
      <c r="I173" s="276" t="inlineStr">
        <is>
          <t>10714005</t>
        </is>
      </c>
      <c r="J173" s="276" t="inlineStr">
        <is>
          <t>17.09.2028</t>
        </is>
      </c>
      <c r="K173" s="276" t="inlineStr">
        <is>
          <t>соответствует</t>
        </is>
      </c>
      <c r="L173" s="276" t="inlineStr">
        <is>
          <t>Подтвердить поставку с КОФ.</t>
        </is>
      </c>
    </row>
    <row r="174">
      <c r="A174" s="276" t="inlineStr">
        <is>
          <t>1.3/144</t>
        </is>
      </c>
      <c r="B174" s="276" t="inlineStr">
        <is>
          <t>Кран шаровый LD полнопроходной 11с67п КШРФ Ду 65 Ру 16 с КОФ</t>
        </is>
      </c>
      <c r="C174" s="276" t="n">
        <v>6</v>
      </c>
      <c r="D174" s="276" t="inlineStr">
        <is>
          <t>завод (новый запрос КП)</t>
        </is>
      </c>
      <c r="E174" s="276" t="inlineStr">
        <is>
          <t>ООО «ЧелябинскСпецГражданСтрой» / ЛД Прайд (Группа компаний «ЛД», ТМ LD, LD Pride); продажи — ООО «ТД «ЛД»</t>
        </is>
      </c>
      <c r="F174" s="276" t="inlineStr">
        <is>
          <t>+7 (351) 730-47-47 office@chsgs.ru</t>
        </is>
      </c>
      <c r="G174" s="276" t="inlineStr">
        <is>
          <t>LD 11с67п КШРФ Ду65 П/П PN16 с КОФ</t>
        </is>
      </c>
      <c r="H174" s="276" t="inlineStr">
        <is>
          <t>ООО «ЧелябинскСпецГражданСтрой» (ИНН 7451211335)</t>
        </is>
      </c>
      <c r="I174" s="276" t="inlineStr">
        <is>
          <t>10714005</t>
        </is>
      </c>
      <c r="J174" s="276" t="inlineStr">
        <is>
          <t>17.09.2028</t>
        </is>
      </c>
      <c r="K174" s="276" t="inlineStr">
        <is>
          <t>соответствует</t>
        </is>
      </c>
      <c r="L174" s="276" t="inlineStr">
        <is>
          <t>Подтвердить поставку с КОФ.</t>
        </is>
      </c>
    </row>
    <row r="175">
      <c r="A175" s="276" t="inlineStr">
        <is>
          <t>1.3/145</t>
        </is>
      </c>
      <c r="B175" s="276" t="inlineStr">
        <is>
          <t>Кран шаровый LD полнопроходной 11с67п КШРФ Ду 80 Ру 16 МПа с КОФ</t>
        </is>
      </c>
      <c r="C175" s="276" t="n">
        <v>58</v>
      </c>
      <c r="D175" s="276" t="inlineStr">
        <is>
          <t>завод (новый запрос КП)</t>
        </is>
      </c>
      <c r="E175" s="276" t="inlineStr">
        <is>
          <t>ООО «ЧелябинскСпецГражданСтрой» / ЛД Прайд (Группа компаний «ЛД», ТМ LD, LD Pride); продажи — ООО «ТД «ЛД»</t>
        </is>
      </c>
      <c r="F175" s="276" t="inlineStr">
        <is>
          <t>+7 (351) 730-47-47 office@chsgs.ru</t>
        </is>
      </c>
      <c r="G175" s="276" t="inlineStr">
        <is>
          <t>LD 11с67п КШРФ Ду80 П/П PN16 с КОФ</t>
        </is>
      </c>
      <c r="H175" s="276" t="inlineStr">
        <is>
          <t>ООО «ЧелябинскСпецГражданСтрой» (ИНН 7451211335)</t>
        </is>
      </c>
      <c r="I175" s="276" t="inlineStr">
        <is>
          <t>10714005</t>
        </is>
      </c>
      <c r="J175" s="276" t="inlineStr">
        <is>
          <t>17.09.2028</t>
        </is>
      </c>
      <c r="K175" s="276" t="inlineStr">
        <is>
          <t>соответствует</t>
        </is>
      </c>
      <c r="L175" s="276" t="inlineStr">
        <is>
          <t>Подтвердить поставку с КОФ.</t>
        </is>
      </c>
    </row>
    <row r="176">
      <c r="A176" s="276" t="inlineStr">
        <is>
          <t>1.3/146</t>
        </is>
      </c>
      <c r="B176" s="276" t="inlineStr">
        <is>
          <t>Кран шаровый химический КШХ Ду 50 Ру 16</t>
        </is>
      </c>
      <c r="C176" s="276" t="n">
        <v>2</v>
      </c>
      <c r="D176" s="276" t="inlineStr">
        <is>
          <t>НЕ ЗАКРЫТО</t>
        </is>
      </c>
      <c r="E176" s="276" t="inlineStr"/>
      <c r="F176" s="276" t="inlineStr"/>
      <c r="G176" s="276" t="inlineStr"/>
      <c r="H176" s="276" t="inlineStr"/>
      <c r="I176" s="276" t="inlineStr"/>
      <c r="J176" s="276" t="inlineStr"/>
      <c r="K176" s="276" t="inlineStr">
        <is>
          <t>нет поставщика с записью ПП 719 и соответствием ТЗ</t>
        </is>
      </c>
      <c r="L176" s="276" t="inlineStr"/>
    </row>
    <row r="177">
      <c r="A177" s="276" t="inlineStr">
        <is>
          <t>1.3/147</t>
        </is>
      </c>
      <c r="B177" s="276" t="inlineStr">
        <is>
          <t>Кран шаровый химический КШХ Ду 80 Ру 16</t>
        </is>
      </c>
      <c r="C177" s="276" t="n">
        <v>4</v>
      </c>
      <c r="D177" s="276" t="inlineStr">
        <is>
          <t>НЕ ЗАКРЫТО</t>
        </is>
      </c>
      <c r="E177" s="276" t="inlineStr"/>
      <c r="F177" s="276" t="inlineStr"/>
      <c r="G177" s="276" t="inlineStr"/>
      <c r="H177" s="276" t="inlineStr"/>
      <c r="I177" s="276" t="inlineStr"/>
      <c r="J177" s="276" t="inlineStr"/>
      <c r="K177" s="276" t="inlineStr">
        <is>
          <t>нет поставщика с записью ПП 719 и соответствием ТЗ</t>
        </is>
      </c>
      <c r="L177" s="276" t="inlineStr"/>
    </row>
    <row r="178">
      <c r="A178" s="276" t="inlineStr">
        <is>
          <t>1.3/148</t>
        </is>
      </c>
      <c r="B178" s="276" t="inlineStr">
        <is>
          <t>Кран шаровый разборный полнопроходной 11с67п Ду 250 Ру 16 с КОФ</t>
        </is>
      </c>
      <c r="C178" s="276" t="n">
        <v>6</v>
      </c>
      <c r="D178" s="276" t="inlineStr">
        <is>
          <t>НЕ ЗАКРЫТО</t>
        </is>
      </c>
      <c r="E178" s="276" t="inlineStr"/>
      <c r="F178" s="276" t="inlineStr"/>
      <c r="G178" s="276" t="inlineStr"/>
      <c r="H178" s="276" t="inlineStr"/>
      <c r="I178" s="276" t="inlineStr"/>
      <c r="J178" s="276" t="inlineStr"/>
      <c r="K178" s="276" t="inlineStr">
        <is>
          <t>нет поставщика с записью ПП 719 и соответствием ТЗ</t>
        </is>
      </c>
      <c r="L178" s="276" t="inlineStr"/>
    </row>
    <row r="179">
      <c r="A179" s="276" t="inlineStr">
        <is>
          <t>1.3/149</t>
        </is>
      </c>
      <c r="B179" s="276" t="inlineStr">
        <is>
          <t>Кран шаровый цельносварной неполнопроходной 11с67п Ду 250/200 Ру 16 с КОФ</t>
        </is>
      </c>
      <c r="C179" s="276" t="n">
        <v>2</v>
      </c>
      <c r="D179" s="276" t="inlineStr">
        <is>
          <t>НЕ ЗАКРЫТО</t>
        </is>
      </c>
      <c r="E179" s="276" t="inlineStr"/>
      <c r="F179" s="276" t="inlineStr"/>
      <c r="G179" s="276" t="inlineStr"/>
      <c r="H179" s="276" t="inlineStr"/>
      <c r="I179" s="276" t="inlineStr"/>
      <c r="J179" s="276" t="inlineStr"/>
      <c r="K179" s="276" t="inlineStr">
        <is>
          <t>нет поставщика с записью ПП 719 и соответствием ТЗ</t>
        </is>
      </c>
      <c r="L179" s="276" t="inlineStr"/>
    </row>
    <row r="180">
      <c r="A180" s="276" t="inlineStr">
        <is>
          <t>1.3/150</t>
        </is>
      </c>
      <c r="B180" s="276" t="inlineStr">
        <is>
          <t>Затвор 32нж910р Ду 1000 Ру 10 с эл.приводом</t>
        </is>
      </c>
      <c r="C180" s="276" t="n">
        <v>1</v>
      </c>
      <c r="D180" s="276" t="inlineStr">
        <is>
          <t>завод (новый запрос КП)</t>
        </is>
      </c>
      <c r="E180" s="276" t="inlineStr">
        <is>
          <t>ООО «ПромАрм» (PromArm®)</t>
        </is>
      </c>
      <c r="F180" s="276" t="inlineStr">
        <is>
          <t>+7 (8412) 35-07-97 info@promarm.ru</t>
        </is>
      </c>
      <c r="G180" s="276" t="inlineStr">
        <is>
          <t>ПА954.1000.10-05 DN1000 PN10 / PA700 фланцевый</t>
        </is>
      </c>
      <c r="H180" s="276" t="inlineStr">
        <is>
          <t>ООО «ПромАрм»</t>
        </is>
      </c>
      <c r="I180" s="276" t="inlineStr">
        <is>
          <t>10655456</t>
        </is>
      </c>
      <c r="J180" s="276" t="inlineStr">
        <is>
          <t>24.07.2028</t>
        </is>
      </c>
      <c r="K180" s="276" t="inlineStr">
        <is>
          <t>не подтверждено</t>
        </is>
      </c>
      <c r="L180" s="276" t="inlineStr">
        <is>
          <t>Согласовать тип (межфланцевый/фланцевый PA700), привод, КОФ.</t>
        </is>
      </c>
    </row>
    <row r="181">
      <c r="A181" s="276" t="inlineStr">
        <is>
          <t>1.3/151</t>
        </is>
      </c>
      <c r="B181" s="276" t="inlineStr">
        <is>
          <t>Затвор дисковый поворотный ЗДП-150-6,3-1-М-А-УХЛ1 (не под электропривод) Ду 150 Ру 6,3</t>
        </is>
      </c>
      <c r="C181" s="276" t="n">
        <v>3</v>
      </c>
      <c r="D181" s="276" t="inlineStr">
        <is>
          <t>текущий поставщик</t>
        </is>
      </c>
      <c r="E181" s="276" t="inlineStr">
        <is>
          <t>Лидер-Энерго</t>
        </is>
      </c>
      <c r="F181" s="276" t="inlineStr">
        <is>
          <t>+7 (8482) 21-66-32 trans-energo@bk.ru</t>
        </is>
      </c>
      <c r="G181" s="276" t="inlineStr">
        <is>
          <t>ЗПД-150-УХЛ1 (подтвердить полное обозначение по ТЗ)</t>
        </is>
      </c>
      <c r="H181" s="276" t="inlineStr">
        <is>
          <t>ООО «Транс-Энерго» (ИНН 6324029755)</t>
        </is>
      </c>
      <c r="I181" s="276" t="inlineStr">
        <is>
          <t>10876723</t>
        </is>
      </c>
      <c r="J181" s="276" t="inlineStr">
        <is>
          <t>08.07.2031</t>
        </is>
      </c>
      <c r="K181" s="276" t="inlineStr">
        <is>
          <t>соответствует (по КП)</t>
        </is>
      </c>
      <c r="L181" s="276" t="inlineStr"/>
    </row>
    <row r="182">
      <c r="A182" s="276" t="inlineStr">
        <is>
          <t>1.3/152</t>
        </is>
      </c>
      <c r="B182" s="276" t="inlineStr">
        <is>
          <t>Затвор дисковый поворотный ЗДП-50-6,3-1-М-А-УХЛ1 Ду 50 Ру 6,3</t>
        </is>
      </c>
      <c r="C182" s="276" t="n">
        <v>10</v>
      </c>
      <c r="D182" s="276" t="inlineStr">
        <is>
          <t>текущий поставщик</t>
        </is>
      </c>
      <c r="E182" s="276" t="inlineStr">
        <is>
          <t>Лидер-Энерго</t>
        </is>
      </c>
      <c r="F182" s="276" t="inlineStr">
        <is>
          <t>+7 (8482) 21-66-32 trans-energo@bk.ru</t>
        </is>
      </c>
      <c r="G182" s="276" t="inlineStr">
        <is>
          <t>ЗПД-50-УХЛ1 (подтвердить полное обозначение по ТЗ)</t>
        </is>
      </c>
      <c r="H182" s="276" t="inlineStr">
        <is>
          <t>ООО «Транс-Энерго» (ИНН 6324029755)</t>
        </is>
      </c>
      <c r="I182" s="276" t="inlineStr">
        <is>
          <t>10876719</t>
        </is>
      </c>
      <c r="J182" s="276" t="inlineStr">
        <is>
          <t>08.07.2031</t>
        </is>
      </c>
      <c r="K182" s="276" t="inlineStr">
        <is>
          <t>соответствует (по КП)</t>
        </is>
      </c>
      <c r="L182" s="276" t="inlineStr"/>
    </row>
    <row r="183">
      <c r="A183" s="276" t="inlineStr">
        <is>
          <t>1.3/153</t>
        </is>
      </c>
      <c r="B183" s="276" t="inlineStr">
        <is>
          <t>Затвор дисковый поворотный ЗДП-80-УХЛ1 Ду 80 Ру 6,3</t>
        </is>
      </c>
      <c r="C183" s="276" t="n">
        <v>3</v>
      </c>
      <c r="D183" s="276" t="inlineStr">
        <is>
          <t>текущий поставщик</t>
        </is>
      </c>
      <c r="E183" s="276" t="inlineStr">
        <is>
          <t>Лидер-Энерго</t>
        </is>
      </c>
      <c r="F183" s="276" t="inlineStr">
        <is>
          <t>+7 (8482) 21-66-32 trans-energo@bk.ru</t>
        </is>
      </c>
      <c r="G183" s="276" t="inlineStr">
        <is>
          <t>ЗПД-80-УХЛ1 (подтвердить полное обозначение по ТЗ)</t>
        </is>
      </c>
      <c r="H183" s="276" t="inlineStr">
        <is>
          <t>ООО «Транс-Энерго» (ИНН 6324029755)</t>
        </is>
      </c>
      <c r="I183" s="276" t="inlineStr">
        <is>
          <t>10876720</t>
        </is>
      </c>
      <c r="J183" s="276" t="inlineStr">
        <is>
          <t>08.07.2031</t>
        </is>
      </c>
      <c r="K183" s="276" t="inlineStr">
        <is>
          <t>соответствует (по КП)</t>
        </is>
      </c>
      <c r="L183" s="276" t="inlineStr"/>
    </row>
    <row r="184">
      <c r="A184" s="276" t="inlineStr">
        <is>
          <t>1.3/154</t>
        </is>
      </c>
      <c r="B184" s="276" t="inlineStr">
        <is>
          <t>Затвор дисковый поворотный(ГРЭНВЭЛ) Тип /серия FL(w)-3-MR-E Ду 100, Ру 16</t>
        </is>
      </c>
      <c r="C184" s="276" t="n">
        <v>4</v>
      </c>
      <c r="D184" s="276" t="inlineStr">
        <is>
          <t>текущий поставщик</t>
        </is>
      </c>
      <c r="E184" s="276" t="inlineStr">
        <is>
          <t>ТД АДЛ (Гранвэл)</t>
        </is>
      </c>
      <c r="F184" s="276" t="inlineStr">
        <is>
          <t>+7 (495) 937-89-68 info@adl.ru</t>
        </is>
      </c>
      <c r="G184" s="276" t="inlineStr">
        <is>
          <t>ГРАНВЭЛ ЗПВС FL(w)-3-100-MR-E Ду100 — Россия, ЗПВС в реестре МПТ</t>
        </is>
      </c>
      <c r="H184" s="276" t="inlineStr">
        <is>
          <t>ООО «Торговый Дом АДЛ» (Гранвэл)</t>
        </is>
      </c>
      <c r="I184" s="276" t="inlineStr">
        <is>
          <t>10357202</t>
        </is>
      </c>
      <c r="J184" s="276" t="inlineStr">
        <is>
          <t>15.03.2031</t>
        </is>
      </c>
      <c r="K184" s="276" t="inlineStr">
        <is>
          <t>соответствует (по КП)</t>
        </is>
      </c>
      <c r="L184" s="276" t="inlineStr"/>
    </row>
    <row r="185">
      <c r="A185" s="276" t="inlineStr">
        <is>
          <t>1.3/155</t>
        </is>
      </c>
      <c r="B185" s="276" t="inlineStr">
        <is>
          <t>Затвор дисковый поворотный(ГРЭНВЭЛ) ЗП ТЛ Ду 100 Ру 16</t>
        </is>
      </c>
      <c r="C185" s="276" t="n">
        <v>16</v>
      </c>
      <c r="D185" s="276" t="inlineStr">
        <is>
          <t>текущий поставщик</t>
        </is>
      </c>
      <c r="E185" s="276" t="inlineStr">
        <is>
          <t>ТД АДЛ (Гранвэл)</t>
        </is>
      </c>
      <c r="F185" s="276" t="inlineStr">
        <is>
          <t>+7 (495) 937-89-68 info@adl.ru</t>
        </is>
      </c>
      <c r="G185" s="276" t="inlineStr">
        <is>
          <t>ГРАНВЭЛ ЗПТЛ FLN(w)-5-100-MR-HT Ду100 — Россия, ЗПВС в реестре МПТ</t>
        </is>
      </c>
      <c r="H185" s="276" t="inlineStr">
        <is>
          <t>ООО «Торговый Дом АДЛ» (Гранвэл)</t>
        </is>
      </c>
      <c r="I185" s="276" t="inlineStr">
        <is>
          <t>10357202</t>
        </is>
      </c>
      <c r="J185" s="276" t="inlineStr">
        <is>
          <t>15.03.2031</t>
        </is>
      </c>
      <c r="K185" s="276" t="inlineStr">
        <is>
          <t>соответствует (по КП)</t>
        </is>
      </c>
      <c r="L185" s="276" t="inlineStr"/>
    </row>
    <row r="186">
      <c r="A186" s="276" t="inlineStr">
        <is>
          <t>1.3/156</t>
        </is>
      </c>
      <c r="B186" s="276" t="inlineStr">
        <is>
          <t>Затвор дисковый поворотный(ГРЭНВЭЛ) ЗП ТЛ Ду 150 Ру 16</t>
        </is>
      </c>
      <c r="C186" s="276" t="n">
        <v>20</v>
      </c>
      <c r="D186" s="276" t="inlineStr">
        <is>
          <t>текущий поставщик</t>
        </is>
      </c>
      <c r="E186" s="276" t="inlineStr">
        <is>
          <t>ТД АДЛ (Гранвэл)</t>
        </is>
      </c>
      <c r="F186" s="276" t="inlineStr">
        <is>
          <t>+7 (495) 937-89-68 info@adl.ru</t>
        </is>
      </c>
      <c r="G186" s="276" t="inlineStr">
        <is>
          <t>ГРАНВЭЛ ЗПТЛ FLN(w)-5-150-MR-HT Ду150 — Россия, ЗПВС в реестре МПТ</t>
        </is>
      </c>
      <c r="H186" s="276" t="inlineStr">
        <is>
          <t>ООО «Торговый Дом АДЛ» (Гранвэл)</t>
        </is>
      </c>
      <c r="I186" s="276" t="inlineStr">
        <is>
          <t>10837159</t>
        </is>
      </c>
      <c r="J186" s="276" t="inlineStr">
        <is>
          <t>13.07.2029</t>
        </is>
      </c>
      <c r="K186" s="276" t="inlineStr">
        <is>
          <t>соответствует (по КП)</t>
        </is>
      </c>
      <c r="L186" s="276" t="inlineStr"/>
    </row>
    <row r="187">
      <c r="A187" s="276" t="inlineStr">
        <is>
          <t>1.3/157</t>
        </is>
      </c>
      <c r="B187" s="276" t="inlineStr">
        <is>
          <t>Затвор дисковый поворотный(ГРЭНВЭЛ) ЗП ТЛ Ду 200 Ру 16</t>
        </is>
      </c>
      <c r="C187" s="276" t="n">
        <v>16</v>
      </c>
      <c r="D187" s="276" t="inlineStr">
        <is>
          <t>текущий поставщик</t>
        </is>
      </c>
      <c r="E187" s="276" t="inlineStr">
        <is>
          <t>ТД АДЛ (Гранвэл)</t>
        </is>
      </c>
      <c r="F187" s="276" t="inlineStr">
        <is>
          <t>+7 (495) 937-89-68 info@adl.ru</t>
        </is>
      </c>
      <c r="G187" s="276" t="inlineStr">
        <is>
          <t>ГРАНВЭЛ ЗПТЛ FLN(w)-5-200-MR-HT Ду200 — Россия, ЗПВС в реестре МПТ</t>
        </is>
      </c>
      <c r="H187" s="276" t="inlineStr">
        <is>
          <t>ООО «Торговый Дом АДЛ» (Гранвэл)</t>
        </is>
      </c>
      <c r="I187" s="276" t="inlineStr">
        <is>
          <t>10837159</t>
        </is>
      </c>
      <c r="J187" s="276" t="inlineStr">
        <is>
          <t>13.07.2029</t>
        </is>
      </c>
      <c r="K187" s="276" t="inlineStr">
        <is>
          <t>соответствует (по КП)</t>
        </is>
      </c>
      <c r="L187" s="276" t="inlineStr"/>
    </row>
    <row r="188">
      <c r="A188" s="276" t="inlineStr">
        <is>
          <t>1.3/158</t>
        </is>
      </c>
      <c r="B188" s="276" t="inlineStr">
        <is>
          <t>Затвор дисковый поворотный(ГРЭНВЭЛ) ЗП ТЛ Ду 80 Ру 16</t>
        </is>
      </c>
      <c r="C188" s="276" t="n">
        <v>9</v>
      </c>
      <c r="D188" s="276" t="inlineStr">
        <is>
          <t>текущий поставщик</t>
        </is>
      </c>
      <c r="E188" s="276" t="inlineStr">
        <is>
          <t>ТД АДЛ (Гранвэл)</t>
        </is>
      </c>
      <c r="F188" s="276" t="inlineStr">
        <is>
          <t>+7 (495) 937-89-68 info@adl.ru</t>
        </is>
      </c>
      <c r="G188" s="276" t="inlineStr">
        <is>
          <t>ГРАНВЭЛ ЗПТЛ FLN(w)-5-080-MR-HT Ду80 — Россия, ЗПВС в реестре МПТ</t>
        </is>
      </c>
      <c r="H188" s="276" t="inlineStr">
        <is>
          <t>ООО «Торговый Дом АДЛ» (Гранвэл)</t>
        </is>
      </c>
      <c r="I188" s="276" t="inlineStr">
        <is>
          <t>10357205</t>
        </is>
      </c>
      <c r="J188" s="276" t="inlineStr">
        <is>
          <t>15.03.2031</t>
        </is>
      </c>
      <c r="K188" s="276" t="inlineStr">
        <is>
          <t>соответствует (по КП)</t>
        </is>
      </c>
      <c r="L188" s="276" t="inlineStr"/>
    </row>
    <row r="189">
      <c r="A189" s="276" t="inlineStr">
        <is>
          <t>1.3/159</t>
        </is>
      </c>
      <c r="B189" s="276" t="inlineStr">
        <is>
          <t>Затвор дисковый поворотный(ГРЭНВЭЛ) Тип /серия FL(w)-3-MR-E Ду 150 Ру 16</t>
        </is>
      </c>
      <c r="C189" s="276" t="n">
        <v>25</v>
      </c>
      <c r="D189" s="276" t="inlineStr">
        <is>
          <t>текущий поставщик</t>
        </is>
      </c>
      <c r="E189" s="276" t="inlineStr">
        <is>
          <t>ТД АДЛ (Гранвэл)</t>
        </is>
      </c>
      <c r="F189" s="276" t="inlineStr">
        <is>
          <t>+7 (495) 937-89-68 info@adl.ru</t>
        </is>
      </c>
      <c r="G189" s="276" t="inlineStr">
        <is>
          <t>ГРАНВЭЛ ЗПВС FL(w)-3-150-MR-E Ду150 — Россия, ЗПВС в реестре МПТ</t>
        </is>
      </c>
      <c r="H189" s="276" t="inlineStr">
        <is>
          <t>ООО «Торговый Дом АДЛ» (Гранвэл)</t>
        </is>
      </c>
      <c r="I189" s="276" t="inlineStr">
        <is>
          <t>10837159</t>
        </is>
      </c>
      <c r="J189" s="276" t="inlineStr">
        <is>
          <t>13.07.2029</t>
        </is>
      </c>
      <c r="K189" s="276" t="inlineStr">
        <is>
          <t>соответствует (по КП)</t>
        </is>
      </c>
      <c r="L189" s="276" t="inlineStr"/>
    </row>
    <row r="190">
      <c r="A190" s="276" t="inlineStr">
        <is>
          <t>1.3/160</t>
        </is>
      </c>
      <c r="B190" s="276" t="inlineStr">
        <is>
          <t>Затвор дисковый поворотный(ГРЭНВЭЛ) Тип /серия FL(w)-3-MR-E Ду 200 Ру 16</t>
        </is>
      </c>
      <c r="C190" s="276" t="n">
        <v>6</v>
      </c>
      <c r="D190" s="276" t="inlineStr">
        <is>
          <t>текущий поставщик</t>
        </is>
      </c>
      <c r="E190" s="276" t="inlineStr">
        <is>
          <t>ТД АДЛ (Гранвэл)</t>
        </is>
      </c>
      <c r="F190" s="276" t="inlineStr">
        <is>
          <t>+7 (495) 937-89-68 info@adl.ru</t>
        </is>
      </c>
      <c r="G190" s="276" t="inlineStr">
        <is>
          <t>ГРАНВЭЛ ЗПВС FL(w)-3-200-MR-E Ду200 — Россия, ЗПВС в реестре МПТ</t>
        </is>
      </c>
      <c r="H190" s="276" t="inlineStr">
        <is>
          <t>ООО «Торговый Дом АДЛ» (Гранвэл)</t>
        </is>
      </c>
      <c r="I190" s="276" t="inlineStr">
        <is>
          <t>10837159</t>
        </is>
      </c>
      <c r="J190" s="276" t="inlineStr">
        <is>
          <t>13.07.2029</t>
        </is>
      </c>
      <c r="K190" s="276" t="inlineStr">
        <is>
          <t>соответствует (по КП)</t>
        </is>
      </c>
      <c r="L190" s="276" t="inlineStr"/>
    </row>
    <row r="191">
      <c r="A191" s="276" t="inlineStr">
        <is>
          <t>1.3/161</t>
        </is>
      </c>
      <c r="B191" s="276" t="inlineStr">
        <is>
          <t>Затвор дисковый поворотный(ГРЭНВЭЛ) Тип /серия FL(w)-3-MR-E Ду 80</t>
        </is>
      </c>
      <c r="C191" s="276" t="n">
        <v>2</v>
      </c>
      <c r="D191" s="276" t="inlineStr">
        <is>
          <t>текущий поставщик</t>
        </is>
      </c>
      <c r="E191" s="276" t="inlineStr">
        <is>
          <t>ТД АДЛ (Гранвэл)</t>
        </is>
      </c>
      <c r="F191" s="276" t="inlineStr">
        <is>
          <t>+7 (495) 937-89-68 info@adl.ru</t>
        </is>
      </c>
      <c r="G191" s="276" t="inlineStr">
        <is>
          <t>ГРАНВЭЛ ЗПВС FL(w)-3-080-MR-E Ду80 — Россия, ЗПВС в реестре МПТ</t>
        </is>
      </c>
      <c r="H191" s="276" t="inlineStr">
        <is>
          <t>ООО «Торговый Дом АДЛ» (Гранвэл)</t>
        </is>
      </c>
      <c r="I191" s="276" t="inlineStr">
        <is>
          <t>10357205</t>
        </is>
      </c>
      <c r="J191" s="276" t="inlineStr">
        <is>
          <t>15.03.2031</t>
        </is>
      </c>
      <c r="K191" s="276" t="inlineStr">
        <is>
          <t>соответствует (по КП)</t>
        </is>
      </c>
      <c r="L191" s="276" t="inlineStr"/>
    </row>
    <row r="192">
      <c r="A192" s="276" t="inlineStr">
        <is>
          <t>1.3/162</t>
        </is>
      </c>
      <c r="B192" s="276" t="inlineStr">
        <is>
          <t>Затвор поворотный дисковый Ду 65 Ру 16  ГРАНВЭЛ тип ЗПВС</t>
        </is>
      </c>
      <c r="C192" s="276" t="n">
        <v>2</v>
      </c>
      <c r="D192" s="276" t="inlineStr">
        <is>
          <t>текущий поставщик</t>
        </is>
      </c>
      <c r="E192" s="276" t="inlineStr">
        <is>
          <t>ТД АДЛ (Гранвэл)</t>
        </is>
      </c>
      <c r="F192" s="276" t="inlineStr">
        <is>
          <t>+7 (495) 937-89-68 info@adl.ru</t>
        </is>
      </c>
      <c r="G192" s="276" t="inlineStr">
        <is>
          <t>ГРАНВЭЛ ЗПВС FL(w)-3-065-MR-E Ду65 — Россия, ЗПВС в реестре МПТ</t>
        </is>
      </c>
      <c r="H192" s="276" t="inlineStr">
        <is>
          <t>ООО «Торговый Дом АДЛ» (Гранвэл)</t>
        </is>
      </c>
      <c r="I192" s="276" t="inlineStr">
        <is>
          <t>10357198</t>
        </is>
      </c>
      <c r="J192" s="276" t="inlineStr">
        <is>
          <t>15.03.2031</t>
        </is>
      </c>
      <c r="K192" s="276" t="inlineStr">
        <is>
          <t>соответствует (по КП)</t>
        </is>
      </c>
      <c r="L192" s="276" t="inlineStr"/>
    </row>
    <row r="193">
      <c r="A193" s="276" t="inlineStr">
        <is>
          <t>1.3/163</t>
        </is>
      </c>
      <c r="B193" s="276" t="inlineStr">
        <is>
          <t>Электропривод прямоходный Regada SТ0 490.0-00TQV/00</t>
        </is>
      </c>
      <c r="C193" s="276" t="n">
        <v>1</v>
      </c>
      <c r="D193" s="276" t="inlineStr">
        <is>
          <t>завод (новый запрос КП)</t>
        </is>
      </c>
      <c r="E193" s="276" t="inlineStr">
        <is>
          <t>ООО «Арма-Пром» (Старооскольский арматурный завод, ГК «Авангард», ТМ САЗ)</t>
        </is>
      </c>
      <c r="F193" s="276" t="inlineStr">
        <is>
          <t>+7 (4725) 469-470 (завод) zavod@saz-avangard.ru</t>
        </is>
      </c>
      <c r="G193" s="276" t="inlineStr">
        <is>
          <t>ПЭП-САЗ прямоходный (4000 Н) вместо Regada ST0 490.0</t>
        </is>
      </c>
      <c r="H193" s="276" t="inlineStr">
        <is>
          <t>ООО «Арма-Пром»</t>
        </is>
      </c>
      <c r="I193" s="276" t="inlineStr"/>
      <c r="J193" s="276" t="inlineStr"/>
      <c r="K193" s="276" t="inlineStr">
        <is>
          <t>не подтверждено</t>
        </is>
      </c>
      <c r="L193" s="276" t="inlineStr">
        <is>
          <t>Запросить ход 25 мм, скорость 4 мм/мин, сигнал 4–20 мА, присоединение к клапану (стойки 110 мм).</t>
        </is>
      </c>
    </row>
    <row r="194">
      <c r="A194" s="276" t="inlineStr">
        <is>
          <t>1.4/1</t>
        </is>
      </c>
      <c r="B194" s="276" t="inlineStr">
        <is>
          <t>Рыбозащитное устройство с потокообразователем</t>
        </is>
      </c>
      <c r="C194" s="276" t="n">
        <v>1</v>
      </c>
      <c r="D194" s="276" t="inlineStr">
        <is>
          <t>завод (новый запрос КП)</t>
        </is>
      </c>
      <c r="E194" s="276" t="inlineStr">
        <is>
          <t>ООО «ПКФ «ТЕРМ»</t>
        </is>
      </c>
      <c r="F194" s="276" t="inlineStr">
        <is>
          <t>+7 (927) 279-09-83 term1998@yandex.ru</t>
        </is>
      </c>
      <c r="G194" s="276" t="inlineStr">
        <is>
          <t>СРО (рыбозащитный оголовок с потокообразователем), типоразмер по расходу (250 м³/ч ≈ СРО-100)</t>
        </is>
      </c>
      <c r="H194" s="276" t="inlineStr">
        <is>
          <t>ООО «ПКФ «ТЕРМ»</t>
        </is>
      </c>
      <c r="I194" s="276" t="inlineStr"/>
      <c r="J194" s="276" t="inlineStr"/>
      <c r="K194" s="276" t="inlineStr">
        <is>
          <t>не подтверждено</t>
        </is>
      </c>
      <c r="L194" s="276" t="inlineStr">
        <is>
          <t>Запросить исполнение из ст.20, переход Ду200, ячейку по ТЗ, паспорт.</t>
        </is>
      </c>
    </row>
    <row r="195">
      <c r="A195" s="276" t="inlineStr">
        <is>
          <t>1.5/1</t>
        </is>
      </c>
      <c r="B195" s="276" t="inlineStr">
        <is>
          <t>Клапан запорный 15кч18п Ду 25 Ру 16</t>
        </is>
      </c>
      <c r="C195" s="276" t="n">
        <v>11</v>
      </c>
      <c r="D195" s="276" t="inlineStr">
        <is>
          <t>текущий поставщик (номера записи нет)</t>
        </is>
      </c>
      <c r="E195" s="276" t="inlineStr">
        <is>
          <t>ДН.РУ</t>
        </is>
      </c>
      <c r="F195" s="276" t="inlineStr">
        <is>
          <t>менеджер по счетам 819892/819896</t>
        </is>
      </c>
      <c r="G195" s="276" t="inlineStr">
        <is>
          <t>Клапан запорный 15кч18п Китай 1" Ду25 Ру16 резьбовой, корпус - чугун, с маховиком</t>
        </is>
      </c>
      <c r="H195" s="276" t="inlineStr"/>
      <c r="I195" s="276" t="inlineStr"/>
      <c r="J195" s="276" t="inlineStr"/>
      <c r="K195" s="276" t="inlineStr">
        <is>
          <t>нет записи ПП 719 — не проходит нацрежим</t>
        </is>
      </c>
      <c r="L195" s="276" t="inlineStr">
        <is>
          <t>изготовитель и № записи ПП 719 или российская замена</t>
        </is>
      </c>
    </row>
    <row r="196">
      <c r="A196" s="276" t="inlineStr">
        <is>
          <t>1.5/2</t>
        </is>
      </c>
      <c r="B196" s="276" t="inlineStr">
        <is>
          <t>Задвижка 30с64нж Ду 50 Ру 25</t>
        </is>
      </c>
      <c r="C196" s="276" t="n">
        <v>2</v>
      </c>
      <c r="D196" s="276" t="inlineStr">
        <is>
          <t>завод вместо ДН.РУ</t>
        </is>
      </c>
      <c r="E196" s="276" t="inlineStr">
        <is>
          <t>ООО «Пермский трубопроводный завод» (ООО «ПТЗ»)</t>
        </is>
      </c>
      <c r="F196" s="276" t="inlineStr">
        <is>
          <t>+7 (342) 270-07-34 sales@ptza.ru</t>
        </is>
      </c>
      <c r="G196" s="276" t="inlineStr">
        <is>
          <t>30с64нж Ду50 PN25 (ПТЗ)</t>
        </is>
      </c>
      <c r="H196" s="276" t="inlineStr">
        <is>
          <t>ООО «Пермский трубопроводный завод» (ИНН 5904173655)</t>
        </is>
      </c>
      <c r="I196" s="276" t="inlineStr">
        <is>
          <t>10698940</t>
        </is>
      </c>
      <c r="J196" s="276" t="inlineStr">
        <is>
          <t>17.02.2031</t>
        </is>
      </c>
      <c r="K196" s="276" t="inlineStr">
        <is>
          <t>соответствует</t>
        </is>
      </c>
      <c r="L196" s="276" t="inlineStr">
        <is>
          <t>Запросить паспорт: шпиндель 20Х13, наплавка, ТРГ.</t>
        </is>
      </c>
    </row>
    <row r="197">
      <c r="A197" s="276" t="inlineStr">
        <is>
          <t>1.5/3</t>
        </is>
      </c>
      <c r="B197" s="276" t="inlineStr">
        <is>
          <t>Задвижка 30с64нж Ду 80 Ру 25</t>
        </is>
      </c>
      <c r="C197" s="276" t="n">
        <v>2</v>
      </c>
      <c r="D197" s="276" t="inlineStr">
        <is>
          <t>завод вместо ДН.РУ</t>
        </is>
      </c>
      <c r="E197" s="276" t="inlineStr">
        <is>
          <t>ООО «Пермский трубопроводный завод» (ООО «ПТЗ»)</t>
        </is>
      </c>
      <c r="F197" s="276" t="inlineStr">
        <is>
          <t>+7 (342) 270-07-34 sales@ptza.ru</t>
        </is>
      </c>
      <c r="G197" s="276" t="inlineStr">
        <is>
          <t>30с64нж Ду80 PN25 (ПТЗ)</t>
        </is>
      </c>
      <c r="H197" s="276" t="inlineStr">
        <is>
          <t>ООО «Пермский трубопроводный завод» (ИНН 5904173655)</t>
        </is>
      </c>
      <c r="I197" s="276" t="inlineStr">
        <is>
          <t>10698940</t>
        </is>
      </c>
      <c r="J197" s="276" t="inlineStr">
        <is>
          <t>17.02.2031</t>
        </is>
      </c>
      <c r="K197" s="276" t="inlineStr">
        <is>
          <t>соответствует</t>
        </is>
      </c>
      <c r="L197" s="276" t="inlineStr">
        <is>
          <t>Запросить паспорт: шпиндель 20Х13, наплавка, ТРГ.</t>
        </is>
      </c>
    </row>
    <row r="198">
      <c r="A198" s="276" t="inlineStr">
        <is>
          <t>1.5/4</t>
        </is>
      </c>
      <c r="B198" s="276" t="inlineStr">
        <is>
          <t>Кран шаровой 11б27п1 Ду 15 Ру 16</t>
        </is>
      </c>
      <c r="C198" s="276" t="n">
        <v>28</v>
      </c>
      <c r="D198" s="276" t="inlineStr">
        <is>
          <t>завод (новый запрос КП)</t>
        </is>
      </c>
      <c r="E198" s="276" t="inlineStr">
        <is>
          <t>ООО «ЧелябинскСпецГражданСтрой» / ЛД Прайд (Группа компаний «ЛД», ТМ LD, LD Pride); продажи — ООО «ТД «ЛД»</t>
        </is>
      </c>
      <c r="F198" s="276" t="inlineStr">
        <is>
          <t>+7 (351) 730-47-47 office@chsgs.ru</t>
        </is>
      </c>
      <c r="G198" s="276" t="inlineStr">
        <is>
          <t>LD Pride 47 Ду15 ВР-ВР рычаг (латунь ЛС59-1)</t>
        </is>
      </c>
      <c r="H198" s="276" t="inlineStr">
        <is>
          <t>ООО «ЛД Прайд» (ИНН 7449114775)</t>
        </is>
      </c>
      <c r="I198" s="276" t="inlineStr">
        <is>
          <t>10826766</t>
        </is>
      </c>
      <c r="J198" s="276" t="inlineStr">
        <is>
          <t>04.05.2031</t>
        </is>
      </c>
      <c r="K198" s="276" t="inlineStr">
        <is>
          <t>не подтверждено</t>
        </is>
      </c>
      <c r="L198" s="276" t="inlineStr">
        <is>
          <t>Подтвердить полный проход, исполнение У1 (для улицы), применимость на пар (где указан).</t>
        </is>
      </c>
    </row>
    <row r="199">
      <c r="A199" s="276" t="inlineStr">
        <is>
          <t>1.5/5</t>
        </is>
      </c>
      <c r="B199" s="276" t="inlineStr">
        <is>
          <t>Кран шаровой 11б27п1 Ду 20 Ру 16</t>
        </is>
      </c>
      <c r="C199" s="276" t="n">
        <v>16</v>
      </c>
      <c r="D199" s="276" t="inlineStr">
        <is>
          <t>завод (новый запрос КП)</t>
        </is>
      </c>
      <c r="E199" s="276" t="inlineStr">
        <is>
          <t>ООО «ЧелябинскСпецГражданСтрой» / ЛД Прайд (Группа компаний «ЛД», ТМ LD, LD Pride); продажи — ООО «ТД «ЛД»</t>
        </is>
      </c>
      <c r="F199" s="276" t="inlineStr">
        <is>
          <t>+7 (351) 730-47-47 office@chsgs.ru</t>
        </is>
      </c>
      <c r="G199" s="276" t="inlineStr">
        <is>
          <t>LD Pride 47 Ду20 ВР-ВР рычаг (латунь ЛС59-1)</t>
        </is>
      </c>
      <c r="H199" s="276" t="inlineStr">
        <is>
          <t>ООО «ЛД Прайд» (ИНН 7449114775)</t>
        </is>
      </c>
      <c r="I199" s="276" t="inlineStr">
        <is>
          <t>10826766</t>
        </is>
      </c>
      <c r="J199" s="276" t="inlineStr">
        <is>
          <t>04.05.2031</t>
        </is>
      </c>
      <c r="K199" s="276" t="inlineStr">
        <is>
          <t>не подтверждено</t>
        </is>
      </c>
      <c r="L199" s="276" t="inlineStr">
        <is>
          <t>Подтвердить полный проход, исполнение У1 (для улицы), применимость на пар (где указан).</t>
        </is>
      </c>
    </row>
    <row r="200">
      <c r="A200" s="276" t="inlineStr">
        <is>
          <t>1.5/6</t>
        </is>
      </c>
      <c r="B200" s="276" t="inlineStr">
        <is>
          <t>Кран шаровой 11б27п1 Ду 25 Ру 16</t>
        </is>
      </c>
      <c r="C200" s="276" t="n">
        <v>16</v>
      </c>
      <c r="D200" s="276" t="inlineStr">
        <is>
          <t>завод (новый запрос КП)</t>
        </is>
      </c>
      <c r="E200" s="276" t="inlineStr">
        <is>
          <t>ООО «ЧелябинскСпецГражданСтрой» / ЛД Прайд (Группа компаний «ЛД», ТМ LD, LD Pride); продажи — ООО «ТД «ЛД»</t>
        </is>
      </c>
      <c r="F200" s="276" t="inlineStr">
        <is>
          <t>+7 (351) 730-47-47 office@chsgs.ru</t>
        </is>
      </c>
      <c r="G200" s="276" t="inlineStr">
        <is>
          <t>LD Pride 47 Ду25 ВР-ВР рычаг (латунь ЛС59-1)</t>
        </is>
      </c>
      <c r="H200" s="276" t="inlineStr">
        <is>
          <t>ООО «ЛД Прайд» (ИНН 7449114775)</t>
        </is>
      </c>
      <c r="I200" s="276" t="inlineStr">
        <is>
          <t>10826766</t>
        </is>
      </c>
      <c r="J200" s="276" t="inlineStr">
        <is>
          <t>04.05.2031</t>
        </is>
      </c>
      <c r="K200" s="276" t="inlineStr">
        <is>
          <t>не подтверждено</t>
        </is>
      </c>
      <c r="L200" s="276" t="inlineStr">
        <is>
          <t>Подтвердить полный проход, исполнение У1 (для улицы), применимость на пар (где указан).</t>
        </is>
      </c>
    </row>
    <row r="201">
      <c r="A201" s="276" t="inlineStr">
        <is>
          <t>1.5/7</t>
        </is>
      </c>
      <c r="B201" s="276" t="inlineStr">
        <is>
          <t>Кран шаровой 11б27п1 Ду 32 Ру 16</t>
        </is>
      </c>
      <c r="C201" s="276" t="n">
        <v>6</v>
      </c>
      <c r="D201" s="276" t="inlineStr">
        <is>
          <t>завод (новый запрос КП)</t>
        </is>
      </c>
      <c r="E201" s="276" t="inlineStr">
        <is>
          <t>ООО «ЧелябинскСпецГражданСтрой» / ЛД Прайд (Группа компаний «ЛД», ТМ LD, LD Pride); продажи — ООО «ТД «ЛД»</t>
        </is>
      </c>
      <c r="F201" s="276" t="inlineStr">
        <is>
          <t>+7 (351) 730-47-47 office@chsgs.ru</t>
        </is>
      </c>
      <c r="G201" s="276" t="inlineStr">
        <is>
          <t>LD Pride 47 Ду32 ВР-ВР рычаг (латунь ЛС59-1)</t>
        </is>
      </c>
      <c r="H201" s="276" t="inlineStr">
        <is>
          <t>ООО «ЛД Прайд» (ИНН 7449114775)</t>
        </is>
      </c>
      <c r="I201" s="276" t="inlineStr">
        <is>
          <t>10826766</t>
        </is>
      </c>
      <c r="J201" s="276" t="inlineStr">
        <is>
          <t>04.05.2031</t>
        </is>
      </c>
      <c r="K201" s="276" t="inlineStr">
        <is>
          <t>не подтверждено</t>
        </is>
      </c>
      <c r="L201" s="276" t="inlineStr">
        <is>
          <t>Подтвердить полный проход, исполнение У1 (для улицы), применимость на пар (где указан).</t>
        </is>
      </c>
    </row>
    <row r="202">
      <c r="A202" s="276" t="inlineStr">
        <is>
          <t>1.5/8</t>
        </is>
      </c>
      <c r="B202" s="276" t="inlineStr">
        <is>
          <t>Кран шаровой 11б27п1 Ду 50 Ру 16</t>
        </is>
      </c>
      <c r="C202" s="276" t="n">
        <v>6</v>
      </c>
      <c r="D202" s="276" t="inlineStr">
        <is>
          <t>завод (новый запрос КП)</t>
        </is>
      </c>
      <c r="E202" s="276" t="inlineStr">
        <is>
          <t>ООО «ЧелябинскСпецГражданСтрой» / ЛД Прайд (Группа компаний «ЛД», ТМ LD, LD Pride); продажи — ООО «ТД «ЛД»</t>
        </is>
      </c>
      <c r="F202" s="276" t="inlineStr">
        <is>
          <t>+7 (351) 730-47-47 office@chsgs.ru</t>
        </is>
      </c>
      <c r="G202" s="276" t="inlineStr">
        <is>
          <t>LD Pride 47 Ду50 ВР-ВР рычаг (латунь ЛС59-1)</t>
        </is>
      </c>
      <c r="H202" s="276" t="inlineStr">
        <is>
          <t>ООО «ЛД Прайд» (ИНН 7449114775)</t>
        </is>
      </c>
      <c r="I202" s="276" t="inlineStr">
        <is>
          <t>10826766</t>
        </is>
      </c>
      <c r="J202" s="276" t="inlineStr">
        <is>
          <t>04.05.2031</t>
        </is>
      </c>
      <c r="K202" s="276" t="inlineStr">
        <is>
          <t>не подтверждено</t>
        </is>
      </c>
      <c r="L202" s="276" t="inlineStr">
        <is>
          <t>Подтвердить полный проход, исполнение У1 (для улицы), применимость на пар (где указан).</t>
        </is>
      </c>
    </row>
    <row r="203">
      <c r="A203" s="276" t="inlineStr">
        <is>
          <t>1.5/9</t>
        </is>
      </c>
      <c r="B203" s="276" t="inlineStr">
        <is>
          <t>Кран шаровой 11с22п Ду 50 Ру 16</t>
        </is>
      </c>
      <c r="C203" s="276" t="n">
        <v>4</v>
      </c>
      <c r="D203" s="276" t="inlineStr">
        <is>
          <t>завод (новый запрос КП)</t>
        </is>
      </c>
      <c r="E203" s="276" t="inlineStr">
        <is>
          <t>ООО «ЧелябинскСпецГражданСтрой» / ЛД Прайд (Группа компаний «ЛД», ТМ LD, LD Pride); продажи — ООО «ТД «ЛД»</t>
        </is>
      </c>
      <c r="F203" s="276" t="inlineStr">
        <is>
          <t>+7 (351) 730-47-47 office@chsgs.ru</t>
        </is>
      </c>
      <c r="G203" s="276" t="inlineStr">
        <is>
          <t>LD КШЦФ ст.20 Ду50 Н/П PN16(40) (аналог 11с22п)</t>
        </is>
      </c>
      <c r="H203" s="276" t="inlineStr">
        <is>
          <t>ООО «ЧелябинскСпецГражданСтрой» (ИНН 7451211335)</t>
        </is>
      </c>
      <c r="I203" s="276" t="inlineStr">
        <is>
          <t>10655491</t>
        </is>
      </c>
      <c r="J203" s="276" t="inlineStr">
        <is>
          <t>30.06.2028</t>
        </is>
      </c>
      <c r="K203" s="276" t="inlineStr">
        <is>
          <t>не подтверждено</t>
        </is>
      </c>
      <c r="L203" s="276" t="inlineStr">
        <is>
          <t>Подтвердить письменно применимость на газ/пар при Т по ТЗ.</t>
        </is>
      </c>
    </row>
    <row r="204">
      <c r="A204" s="276" t="inlineStr">
        <is>
          <t>1.5/10</t>
        </is>
      </c>
      <c r="B204" s="276" t="inlineStr">
        <is>
          <t>Кран шаровой 11с22п Ду 80 Ру 16</t>
        </is>
      </c>
      <c r="C204" s="276" t="n">
        <v>4</v>
      </c>
      <c r="D204" s="276" t="inlineStr">
        <is>
          <t>завод (новый запрос КП)</t>
        </is>
      </c>
      <c r="E204" s="276" t="inlineStr">
        <is>
          <t>ООО «ЧелябинскСпецГражданСтрой» / ЛД Прайд (Группа компаний «ЛД», ТМ LD, LD Pride); продажи — ООО «ТД «ЛД»</t>
        </is>
      </c>
      <c r="F204" s="276" t="inlineStr">
        <is>
          <t>+7 (351) 730-47-47 office@chsgs.ru</t>
        </is>
      </c>
      <c r="G204" s="276" t="inlineStr">
        <is>
          <t>LD КШЦФ ст.20 Ду80 Н/П PN16(40) (аналог 11с22п)</t>
        </is>
      </c>
      <c r="H204" s="276" t="inlineStr">
        <is>
          <t>ООО «ЧелябинскСпецГражданСтрой» (ИНН 7451211335)</t>
        </is>
      </c>
      <c r="I204" s="276" t="inlineStr">
        <is>
          <t>10655491</t>
        </is>
      </c>
      <c r="J204" s="276" t="inlineStr">
        <is>
          <t>30.06.2028</t>
        </is>
      </c>
      <c r="K204" s="276" t="inlineStr">
        <is>
          <t>не подтверждено</t>
        </is>
      </c>
      <c r="L204" s="276" t="inlineStr">
        <is>
          <t>Подтвердить письменно применимость на газ/пар при Т по ТЗ.</t>
        </is>
      </c>
    </row>
    <row r="205">
      <c r="A205" s="276" t="inlineStr">
        <is>
          <t>1.5/11</t>
        </is>
      </c>
      <c r="B205" s="276" t="inlineStr">
        <is>
          <t>Кран шаровой 11с22п Ду 100 Ру 16</t>
        </is>
      </c>
      <c r="C205" s="276" t="n">
        <v>2</v>
      </c>
      <c r="D205" s="276" t="inlineStr">
        <is>
          <t>завод (новый запрос КП)</t>
        </is>
      </c>
      <c r="E205" s="276" t="inlineStr">
        <is>
          <t>ООО «ЧелябинскСпецГражданСтрой» / ЛД Прайд (Группа компаний «ЛД», ТМ LD, LD Pride); продажи — ООО «ТД «ЛД»</t>
        </is>
      </c>
      <c r="F205" s="276" t="inlineStr">
        <is>
          <t>+7 (351) 730-47-47 office@chsgs.ru</t>
        </is>
      </c>
      <c r="G205" s="276" t="inlineStr">
        <is>
          <t>LD КШЦФ ст.20 Ду100 Н/П PN16(40) (аналог 11с22п)</t>
        </is>
      </c>
      <c r="H205" s="276" t="inlineStr">
        <is>
          <t>ООО «ЧелябинскСпецГражданСтрой» (ИНН 7451211335)</t>
        </is>
      </c>
      <c r="I205" s="276" t="inlineStr">
        <is>
          <t>10655491</t>
        </is>
      </c>
      <c r="J205" s="276" t="inlineStr">
        <is>
          <t>30.06.2028</t>
        </is>
      </c>
      <c r="K205" s="276" t="inlineStr">
        <is>
          <t>не подтверждено</t>
        </is>
      </c>
      <c r="L205" s="276" t="inlineStr">
        <is>
          <t>Подтвердить письменно применимость на газ/пар при Т по ТЗ.</t>
        </is>
      </c>
    </row>
    <row r="206">
      <c r="A206" s="276" t="inlineStr">
        <is>
          <t>1.5/12</t>
        </is>
      </c>
      <c r="B206" s="276" t="inlineStr">
        <is>
          <t>Кран шаровой 11с67п Ду 15 Ру 25 цельносварной под приварку</t>
        </is>
      </c>
      <c r="C206" s="276" t="n">
        <v>25</v>
      </c>
      <c r="D206" s="276" t="inlineStr">
        <is>
          <t>завод (новый запрос КП)</t>
        </is>
      </c>
      <c r="E206" s="276" t="inlineStr">
        <is>
          <t>ООО «ЧелябинскСпецГражданСтрой» / ЛД Прайд (Группа компаний «ЛД», ТМ LD, LD Pride); продажи — ООО «ТД «ЛД»</t>
        </is>
      </c>
      <c r="F206" s="276" t="inlineStr">
        <is>
          <t>+7 (351) 730-47-47 office@chsgs.ru</t>
        </is>
      </c>
      <c r="G206" s="276" t="inlineStr">
        <is>
          <t>LD КШЦП (КШ.Ц.П) ст.20 Ду15 П/П PN4,0</t>
        </is>
      </c>
      <c r="H206" s="276" t="inlineStr">
        <is>
          <t>ООО «ЧелябинскСпецГражданСтрой» (ИНН 7451211335)</t>
        </is>
      </c>
      <c r="I206" s="276" t="inlineStr">
        <is>
          <t>10655491</t>
        </is>
      </c>
      <c r="J206" s="276" t="inlineStr">
        <is>
          <t>30.06.2028</t>
        </is>
      </c>
      <c r="K206" s="276" t="inlineStr">
        <is>
          <t>соответствует</t>
        </is>
      </c>
      <c r="L206" s="276" t="inlineStr"/>
    </row>
    <row r="207">
      <c r="A207" s="276" t="inlineStr">
        <is>
          <t>1.5/13</t>
        </is>
      </c>
      <c r="B207" s="276" t="inlineStr">
        <is>
          <t>Кран шаровой 11с67п Ду 25 Ру 25 цельносварной под приварку</t>
        </is>
      </c>
      <c r="C207" s="276" t="n">
        <v>32</v>
      </c>
      <c r="D207" s="276" t="inlineStr">
        <is>
          <t>завод (новый запрос КП)</t>
        </is>
      </c>
      <c r="E207" s="276" t="inlineStr">
        <is>
          <t>ООО «ЧелябинскСпецГражданСтрой» / ЛД Прайд (Группа компаний «ЛД», ТМ LD, LD Pride); продажи — ООО «ТД «ЛД»</t>
        </is>
      </c>
      <c r="F207" s="276" t="inlineStr">
        <is>
          <t>+7 (351) 730-47-47 office@chsgs.ru</t>
        </is>
      </c>
      <c r="G207" s="276" t="inlineStr">
        <is>
          <t>LD КШЦП (КШ.Ц.П) ст.20 Ду25 П/П PN4,0</t>
        </is>
      </c>
      <c r="H207" s="276" t="inlineStr">
        <is>
          <t>ООО «ЧелябинскСпецГражданСтрой» (ИНН 7451211335)</t>
        </is>
      </c>
      <c r="I207" s="276" t="inlineStr">
        <is>
          <t>10655491</t>
        </is>
      </c>
      <c r="J207" s="276" t="inlineStr">
        <is>
          <t>30.06.2028</t>
        </is>
      </c>
      <c r="K207" s="276" t="inlineStr">
        <is>
          <t>не подтверждено</t>
        </is>
      </c>
      <c r="L207" s="276" t="inlineStr">
        <is>
          <t>Подтвердить письменно применимость на газ/пар при Т по ТЗ.</t>
        </is>
      </c>
    </row>
    <row r="208">
      <c r="A208" s="276" t="inlineStr">
        <is>
          <t>1.5/14</t>
        </is>
      </c>
      <c r="B208" s="276" t="inlineStr">
        <is>
          <t>Кран шаровой 11с67п Ду 32 Ру 25 цельносварной под приварку</t>
        </is>
      </c>
      <c r="C208" s="276" t="n">
        <v>15</v>
      </c>
      <c r="D208" s="276" t="inlineStr">
        <is>
          <t>НЕ ЗАКРЫТО</t>
        </is>
      </c>
      <c r="E208" s="276" t="inlineStr"/>
      <c r="F208" s="276" t="inlineStr"/>
      <c r="G208" s="276" t="inlineStr"/>
      <c r="H208" s="276" t="inlineStr"/>
      <c r="I208" s="276" t="inlineStr"/>
      <c r="J208" s="276" t="inlineStr"/>
      <c r="K208" s="276" t="inlineStr">
        <is>
          <t>нет поставщика с записью ПП 719 и соответствием ТЗ</t>
        </is>
      </c>
      <c r="L208" s="276" t="inlineStr"/>
    </row>
    <row r="209">
      <c r="A209" s="276" t="inlineStr">
        <is>
          <t>1.5/15</t>
        </is>
      </c>
      <c r="B209" s="276" t="inlineStr">
        <is>
          <t>Кран шаровой 11с67п Ду 40 Ру 25 цельносварной под приварку</t>
        </is>
      </c>
      <c r="C209" s="276" t="n">
        <v>26</v>
      </c>
      <c r="D209" s="276" t="inlineStr">
        <is>
          <t>завод (новый запрос КП)</t>
        </is>
      </c>
      <c r="E209" s="276" t="inlineStr">
        <is>
          <t>ООО «ЧелябинскСпецГражданСтрой» / ЛД Прайд (Группа компаний «ЛД», ТМ LD, LD Pride); продажи — ООО «ТД «ЛД»</t>
        </is>
      </c>
      <c r="F209" s="276" t="inlineStr">
        <is>
          <t>+7 (351) 730-47-47 office@chsgs.ru</t>
        </is>
      </c>
      <c r="G209" s="276" t="inlineStr">
        <is>
          <t>LD КШЦП (КШ.Ц.П) ст.20 Ду40 П/П PN4,0</t>
        </is>
      </c>
      <c r="H209" s="276" t="inlineStr">
        <is>
          <t>ООО «ЧелябинскСпецГражданСтрой» (ИНН 7451211335)</t>
        </is>
      </c>
      <c r="I209" s="276" t="inlineStr">
        <is>
          <t>10655491</t>
        </is>
      </c>
      <c r="J209" s="276" t="inlineStr">
        <is>
          <t>30.06.2028</t>
        </is>
      </c>
      <c r="K209" s="276" t="inlineStr">
        <is>
          <t>соответствует</t>
        </is>
      </c>
      <c r="L209" s="276" t="inlineStr"/>
    </row>
    <row r="210">
      <c r="A210" s="276" t="inlineStr">
        <is>
          <t>1.5/16</t>
        </is>
      </c>
      <c r="B210" s="276" t="inlineStr">
        <is>
          <t>Кран шаровой 11с67п Ду 50 Ру 25 цельносварной под приварку</t>
        </is>
      </c>
      <c r="C210" s="276" t="n">
        <v>9</v>
      </c>
      <c r="D210" s="276" t="inlineStr">
        <is>
          <t>НЕ ЗАКРЫТО</t>
        </is>
      </c>
      <c r="E210" s="276" t="inlineStr"/>
      <c r="F210" s="276" t="inlineStr"/>
      <c r="G210" s="276" t="inlineStr"/>
      <c r="H210" s="276" t="inlineStr"/>
      <c r="I210" s="276" t="inlineStr"/>
      <c r="J210" s="276" t="inlineStr"/>
      <c r="K210" s="276" t="inlineStr">
        <is>
          <t>нет поставщика с записью ПП 719 и соответствием ТЗ</t>
        </is>
      </c>
      <c r="L210" s="276" t="inlineStr"/>
    </row>
    <row r="211">
      <c r="A211" s="276" t="inlineStr">
        <is>
          <t>1.5/17</t>
        </is>
      </c>
      <c r="B211" s="276" t="inlineStr">
        <is>
          <t>Кран шаровой 11с67п Ду 100 Ру 25 цельносварной под приварку</t>
        </is>
      </c>
      <c r="C211" s="276" t="n">
        <v>4</v>
      </c>
      <c r="D211" s="276" t="inlineStr">
        <is>
          <t>НЕ ЗАКРЫТО</t>
        </is>
      </c>
      <c r="E211" s="276" t="inlineStr"/>
      <c r="F211" s="276" t="inlineStr"/>
      <c r="G211" s="276" t="inlineStr"/>
      <c r="H211" s="276" t="inlineStr"/>
      <c r="I211" s="276" t="inlineStr"/>
      <c r="J211" s="276" t="inlineStr"/>
      <c r="K211" s="276" t="inlineStr">
        <is>
          <t>нет поставщика с записью ПП 719 и соответствием ТЗ</t>
        </is>
      </c>
      <c r="L211" s="276" t="inlineStr"/>
    </row>
    <row r="212">
      <c r="A212" s="276" t="inlineStr">
        <is>
          <t>1.5/18</t>
        </is>
      </c>
      <c r="B212" s="276" t="inlineStr">
        <is>
          <t>Кран шаровой 11с67п Ду 150 Ру 25 цельносварной под приварку</t>
        </is>
      </c>
      <c r="C212" s="276" t="n">
        <v>2</v>
      </c>
      <c r="D212" s="276" t="inlineStr">
        <is>
          <t>завод (новый запрос КП)</t>
        </is>
      </c>
      <c r="E212" s="276" t="inlineStr">
        <is>
          <t>ООО «ЧелябинскСпецГражданСтрой» / ЛД Прайд (Группа компаний «ЛД», ТМ LD, LD Pride); продажи — ООО «ТД «ЛД»</t>
        </is>
      </c>
      <c r="F212" s="276" t="inlineStr">
        <is>
          <t>+7 (351) 730-47-47 office@chsgs.ru</t>
        </is>
      </c>
      <c r="G212" s="276" t="inlineStr">
        <is>
          <t>LD КШЦП (КШ.Ц.П) ст.20 Ду150 П/П PN2,5</t>
        </is>
      </c>
      <c r="H212" s="276" t="inlineStr">
        <is>
          <t>ООО «ЧелябинскСпецГражданСтрой» (ИНН 7451211335)</t>
        </is>
      </c>
      <c r="I212" s="276" t="inlineStr">
        <is>
          <t>10655491</t>
        </is>
      </c>
      <c r="J212" s="276" t="inlineStr">
        <is>
          <t>30.06.2028</t>
        </is>
      </c>
      <c r="K212" s="276" t="inlineStr">
        <is>
          <t>соответствует</t>
        </is>
      </c>
      <c r="L212" s="276" t="inlineStr"/>
    </row>
    <row r="213">
      <c r="A213" s="276" t="inlineStr">
        <is>
          <t>1.6/1</t>
        </is>
      </c>
      <c r="B213" s="276" t="inlineStr">
        <is>
          <t>Клапан регулирующий 25с947нж Ду 25 Ру 25 с ЭИМ</t>
        </is>
      </c>
      <c r="C213" s="276" t="n">
        <v>1</v>
      </c>
      <c r="D213" s="276" t="inlineStr">
        <is>
          <t>текущий поставщик (номера записи нет)</t>
        </is>
      </c>
      <c r="E213" s="276" t="inlineStr">
        <is>
          <t>ДН.РУ</t>
        </is>
      </c>
      <c r="F213" s="276" t="inlineStr">
        <is>
          <t>менеджер по счетам 819892/819896</t>
        </is>
      </c>
      <c r="G213" s="276" t="inlineStr">
        <is>
          <t>Клапан регулирующий Авангард КР 25с947нж Ду25 Ру25 с электроприводом 15-20 109 Regada ST mini</t>
        </is>
      </c>
      <c r="H213" s="276" t="inlineStr"/>
      <c r="I213" s="276" t="inlineStr"/>
      <c r="J213" s="276" t="inlineStr"/>
      <c r="K213" s="276" t="inlineStr">
        <is>
          <t>нет записи ПП 719 — не проходит нацрежим</t>
        </is>
      </c>
      <c r="L213" s="276" t="inlineStr">
        <is>
          <t>изготовитель и № записи ПП 719 или российская замена</t>
        </is>
      </c>
    </row>
    <row r="214">
      <c r="A214" s="276" t="inlineStr">
        <is>
          <t>1.6/2</t>
        </is>
      </c>
      <c r="B214" s="276" t="inlineStr">
        <is>
          <t>Клапан регулирующий 25с947нж Ду 50 Ру 25 с ЭИМ</t>
        </is>
      </c>
      <c r="C214" s="276" t="n">
        <v>1</v>
      </c>
      <c r="D214" s="276" t="inlineStr">
        <is>
          <t>текущий поставщик (номера записи нет)</t>
        </is>
      </c>
      <c r="E214" s="276" t="inlineStr">
        <is>
          <t>ДН.РУ</t>
        </is>
      </c>
      <c r="F214" s="276" t="inlineStr">
        <is>
          <t>менеджер по счетам 819892/819896</t>
        </is>
      </c>
      <c r="G214" s="276" t="inlineStr">
        <is>
          <t>Клапан регулирующий Авангард КР 25с947нж Ду50 Ру25 с электроприводом 15-20 110 Regada ST 0</t>
        </is>
      </c>
      <c r="H214" s="276" t="inlineStr"/>
      <c r="I214" s="276" t="inlineStr"/>
      <c r="J214" s="276" t="inlineStr"/>
      <c r="K214" s="276" t="inlineStr">
        <is>
          <t>нет записи ПП 719 — не проходит нацрежим</t>
        </is>
      </c>
      <c r="L214" s="276" t="inlineStr">
        <is>
          <t>изготовитель и № записи ПП 719 или российская замена</t>
        </is>
      </c>
    </row>
    <row r="215">
      <c r="A215" s="276" t="inlineStr">
        <is>
          <t>1.6/3</t>
        </is>
      </c>
      <c r="B215" s="276" t="inlineStr">
        <is>
          <t>Регулирующий клапан Ридан VFG-2R Ду 80, Kvs 80, Ру 16</t>
        </is>
      </c>
      <c r="C215" s="276" t="n">
        <v>1</v>
      </c>
      <c r="D215" s="276" t="inlineStr">
        <is>
          <t>текущий поставщик (номера записи нет)</t>
        </is>
      </c>
      <c r="E215" s="276" t="inlineStr">
        <is>
          <t>ДН.РУ</t>
        </is>
      </c>
      <c r="F215" s="276" t="inlineStr">
        <is>
          <t>менеджер по счетам 819892/819896</t>
        </is>
      </c>
      <c r="G215" s="276" t="inlineStr">
        <is>
          <t xml:space="preserve">Клапан регулирующий двухходовой Ридан VFM-2R Ду80 Ру16 седельный, фланцевый, Kv 100м3/ч, корпус - чугун 111 QT450-10, уплотнение - PTFE, FPM, Tmax до </t>
        </is>
      </c>
      <c r="H215" s="276" t="inlineStr"/>
      <c r="I215" s="276" t="inlineStr"/>
      <c r="J215" s="276" t="inlineStr"/>
      <c r="K215" s="276" t="inlineStr">
        <is>
          <t>нет записи ПП 719 — не проходит нацрежим</t>
        </is>
      </c>
      <c r="L215" s="276" t="inlineStr">
        <is>
          <t>изготовитель и № записи ПП 719 или российская замена</t>
        </is>
      </c>
    </row>
    <row r="216">
      <c r="A216" s="276" t="inlineStr">
        <is>
          <t>1.6/4</t>
        </is>
      </c>
      <c r="B216" s="276" t="inlineStr">
        <is>
          <t>Клапан обратный межфланцевый 19ч21бр Ду 100 Ру 16</t>
        </is>
      </c>
      <c r="C216" s="276" t="n">
        <v>1</v>
      </c>
      <c r="D216" s="276" t="inlineStr">
        <is>
          <t>завод вместо ДН.РУ</t>
        </is>
      </c>
      <c r="E216" s="276" t="inlineStr">
        <is>
          <t>АО «Энергия» (производитель арматуры ДЕНДОР/DENDOR)</t>
        </is>
      </c>
      <c r="F216" s="276" t="inlineStr">
        <is>
          <t>8-800-333-40-30 zakaz@dendor.ru</t>
        </is>
      </c>
      <c r="G216" s="276" t="inlineStr">
        <is>
          <t>Клапан обратный двухстворчатый межфланцевый тип 010C</t>
        </is>
      </c>
      <c r="H216" s="276" t="inlineStr">
        <is>
          <t>АО «Энергия»</t>
        </is>
      </c>
      <c r="I216" s="276" t="inlineStr">
        <is>
          <t>10743786</t>
        </is>
      </c>
      <c r="J216" s="276" t="inlineStr">
        <is>
          <t>08.12.2030</t>
        </is>
      </c>
      <c r="K216" s="276" t="inlineStr">
        <is>
          <t>не проверено построчно</t>
        </is>
      </c>
      <c r="L216" s="276" t="inlineStr"/>
    </row>
    <row r="217">
      <c r="A217" s="276" t="inlineStr">
        <is>
          <t>1.6/5</t>
        </is>
      </c>
      <c r="B217" s="276" t="inlineStr">
        <is>
          <t>Клапан обратный межфланцевый 19ч21бр Ду 50 Ру 16</t>
        </is>
      </c>
      <c r="C217" s="276" t="n">
        <v>1</v>
      </c>
      <c r="D217" s="276" t="inlineStr">
        <is>
          <t>завод вместо ДН.РУ</t>
        </is>
      </c>
      <c r="E217" s="276" t="inlineStr">
        <is>
          <t>АО «Энергия» (производитель арматуры ДЕНДОР/DENDOR)</t>
        </is>
      </c>
      <c r="F217" s="276" t="inlineStr">
        <is>
          <t>8-800-333-40-30 zakaz@dendor.ru</t>
        </is>
      </c>
      <c r="G217" s="276" t="inlineStr">
        <is>
          <t>Клапан обратный двухстворчатый межфланцевый тип 010C</t>
        </is>
      </c>
      <c r="H217" s="276" t="inlineStr">
        <is>
          <t>АО «Энергия»</t>
        </is>
      </c>
      <c r="I217" s="276" t="inlineStr">
        <is>
          <t>10743786</t>
        </is>
      </c>
      <c r="J217" s="276" t="inlineStr">
        <is>
          <t>08.12.2030</t>
        </is>
      </c>
      <c r="K217" s="276" t="inlineStr">
        <is>
          <t>не проверено построчно</t>
        </is>
      </c>
      <c r="L217" s="276" t="inlineStr"/>
    </row>
    <row r="218">
      <c r="A218" s="276" t="inlineStr">
        <is>
          <t>1.6/6</t>
        </is>
      </c>
      <c r="B218" s="276" t="inlineStr">
        <is>
          <t>Клапан обратный межфланцевый 19ч21бр Ду 80 Ру 16</t>
        </is>
      </c>
      <c r="C218" s="276" t="n">
        <v>2</v>
      </c>
      <c r="D218" s="276" t="inlineStr">
        <is>
          <t>завод вместо ДН.РУ</t>
        </is>
      </c>
      <c r="E218" s="276" t="inlineStr">
        <is>
          <t>АО «Энергия» (производитель арматуры ДЕНДОР/DENDOR)</t>
        </is>
      </c>
      <c r="F218" s="276" t="inlineStr">
        <is>
          <t>8-800-333-40-30 zakaz@dendor.ru</t>
        </is>
      </c>
      <c r="G218" s="276" t="inlineStr">
        <is>
          <t>Клапан обратный двухстворчатый межфланцевый тип 010C</t>
        </is>
      </c>
      <c r="H218" s="276" t="inlineStr">
        <is>
          <t>АО «Энергия»</t>
        </is>
      </c>
      <c r="I218" s="276" t="inlineStr">
        <is>
          <t>10743786</t>
        </is>
      </c>
      <c r="J218" s="276" t="inlineStr">
        <is>
          <t>08.12.2030</t>
        </is>
      </c>
      <c r="K218" s="276" t="inlineStr">
        <is>
          <t>не проверено построчно</t>
        </is>
      </c>
      <c r="L218" s="276" t="inlineStr"/>
    </row>
    <row r="219">
      <c r="A219" s="276" t="inlineStr">
        <is>
          <t>1.6/7</t>
        </is>
      </c>
      <c r="B219" s="276" t="inlineStr">
        <is>
          <t>Клапан обратный двухстворчатый DENDOR 010C Ду 100 Ру 16 межфланцевый</t>
        </is>
      </c>
      <c r="C219" s="276" t="n">
        <v>1</v>
      </c>
      <c r="D219" s="276" t="inlineStr">
        <is>
          <t>завод вместо ДН.РУ</t>
        </is>
      </c>
      <c r="E219" s="276" t="inlineStr">
        <is>
          <t>АО «Энергия» (производитель арматуры ДЕНДОР/DENDOR)</t>
        </is>
      </c>
      <c r="F219" s="276" t="inlineStr">
        <is>
          <t>8-800-333-40-30 zakaz@dendor.ru</t>
        </is>
      </c>
      <c r="G219" s="276" t="inlineStr">
        <is>
          <t>ДЕНДОР 010C(.Y) Ду100 PN16, высокотемпературное исполнение</t>
        </is>
      </c>
      <c r="H219" s="276" t="inlineStr">
        <is>
          <t>АО «Энергия» (ИНН 7805499441)</t>
        </is>
      </c>
      <c r="I219" s="276" t="inlineStr">
        <is>
          <t>10743786</t>
        </is>
      </c>
      <c r="J219" s="276" t="inlineStr">
        <is>
          <t>08.12.2030</t>
        </is>
      </c>
      <c r="K219" s="276" t="inlineStr">
        <is>
          <t>эквивалент — согласовать</t>
        </is>
      </c>
      <c r="L219" s="276" t="inlineStr">
        <is>
          <t>Заказать высокотемпературное исполнение (до +150 °С, уплотнение силикон) — стандартное EPDM только до +90 °С (ТЗ +130 °С).</t>
        </is>
      </c>
    </row>
    <row r="220">
      <c r="A220" s="276" t="inlineStr">
        <is>
          <t>1.6/8</t>
        </is>
      </c>
      <c r="B220" s="276" t="inlineStr">
        <is>
          <t>Клапан обратный двухстворчатый DENDOR 010C Ду 150 Ру 16 межфланцевый</t>
        </is>
      </c>
      <c r="C220" s="276" t="n">
        <v>1</v>
      </c>
      <c r="D220" s="276" t="inlineStr">
        <is>
          <t>завод вместо ДН.РУ</t>
        </is>
      </c>
      <c r="E220" s="276" t="inlineStr">
        <is>
          <t>АО «Энергия» (производитель арматуры ДЕНДОР/DENDOR)</t>
        </is>
      </c>
      <c r="F220" s="276" t="inlineStr">
        <is>
          <t>8-800-333-40-30 zakaz@dendor.ru</t>
        </is>
      </c>
      <c r="G220" s="276" t="inlineStr">
        <is>
          <t>ДЕНДОР 010C(.Y) Ду150 PN16, высокотемпературное исполнение</t>
        </is>
      </c>
      <c r="H220" s="276" t="inlineStr">
        <is>
          <t>АО «Энергия» (ИНН 7805499441)</t>
        </is>
      </c>
      <c r="I220" s="276" t="inlineStr">
        <is>
          <t>10743786</t>
        </is>
      </c>
      <c r="J220" s="276" t="inlineStr">
        <is>
          <t>08.12.2030</t>
        </is>
      </c>
      <c r="K220" s="276" t="inlineStr">
        <is>
          <t>эквивалент — согласовать</t>
        </is>
      </c>
      <c r="L220" s="276" t="inlineStr">
        <is>
          <t>Заказать высокотемпературное исполнение (до +150 °С, уплотнение силикон) — стандартное EPDM только до +90 °С (ТЗ +130 °С).</t>
        </is>
      </c>
    </row>
    <row r="221">
      <c r="A221" s="276" t="inlineStr">
        <is>
          <t>1.6/9</t>
        </is>
      </c>
      <c r="B221" s="276" t="inlineStr">
        <is>
          <t>Клапан обратный двухстворчатый DENDOR 010C Ду 200 Ру 16 межфланцевый</t>
        </is>
      </c>
      <c r="C221" s="276" t="n">
        <v>1</v>
      </c>
      <c r="D221" s="276" t="inlineStr">
        <is>
          <t>завод вместо ДН.РУ</t>
        </is>
      </c>
      <c r="E221" s="276" t="inlineStr">
        <is>
          <t>АО «Энергия» (производитель арматуры ДЕНДОР/DENDOR)</t>
        </is>
      </c>
      <c r="F221" s="276" t="inlineStr">
        <is>
          <t>8-800-333-40-30 zakaz@dendor.ru</t>
        </is>
      </c>
      <c r="G221" s="276" t="inlineStr">
        <is>
          <t>ДЕНДОР 010C(.Y) Ду200 PN16, высокотемпературное исполнение</t>
        </is>
      </c>
      <c r="H221" s="276" t="inlineStr">
        <is>
          <t>АО «Энергия» (ИНН 7805499441)</t>
        </is>
      </c>
      <c r="I221" s="276" t="inlineStr">
        <is>
          <t>10743786</t>
        </is>
      </c>
      <c r="J221" s="276" t="inlineStr">
        <is>
          <t>08.12.2030</t>
        </is>
      </c>
      <c r="K221" s="276" t="inlineStr">
        <is>
          <t>эквивалент — согласовать</t>
        </is>
      </c>
      <c r="L221" s="276" t="inlineStr">
        <is>
          <t>Заказать высокотемпературное исполнение (до +150 °С, уплотнение силикон) — стандартное EPDM только до +90 °С (ТЗ +130 °С).</t>
        </is>
      </c>
    </row>
    <row r="222">
      <c r="A222" s="276" t="inlineStr">
        <is>
          <t>1.6/10</t>
        </is>
      </c>
      <c r="B222" s="276" t="inlineStr">
        <is>
          <t>Клапан предохранительный сбросный ПСК 50C/125 Ду 50</t>
        </is>
      </c>
      <c r="C222" s="276" t="n">
        <v>1</v>
      </c>
      <c r="D222" s="276" t="inlineStr">
        <is>
          <t>завод вместо ДН.РУ</t>
        </is>
      </c>
      <c r="E222" s="276" t="inlineStr">
        <is>
          <t>ООО ПКФ «Экс-Форма»</t>
        </is>
      </c>
      <c r="F222" s="276" t="inlineStr">
        <is>
          <t>8-800-550-52-31 exform@exform.ru</t>
        </is>
      </c>
      <c r="G222" s="276" t="inlineStr">
        <is>
          <t>ПСК-50С/125</t>
        </is>
      </c>
      <c r="H222" s="276" t="inlineStr">
        <is>
          <t>ООО ПКФ «Экс-Форма» (ИНН 6455004320)</t>
        </is>
      </c>
      <c r="I222" s="276" t="inlineStr">
        <is>
          <t>10538896</t>
        </is>
      </c>
      <c r="J222" s="276" t="inlineStr">
        <is>
          <t>22.05.2027</t>
        </is>
      </c>
      <c r="K222" s="276" t="inlineStr">
        <is>
          <t>не подтверждено</t>
        </is>
      </c>
      <c r="L222" s="276" t="inlineStr">
        <is>
          <t>Запросить паспорт ПСК-50С/125: давление срабатывания 125 кПа, алюминий, муфтовое, У2 (−40…+50 °С).</t>
        </is>
      </c>
    </row>
    <row r="223">
      <c r="A223" s="276" t="inlineStr">
        <is>
          <t>1.6/11</t>
        </is>
      </c>
      <c r="B223" s="276" t="inlineStr">
        <is>
          <t>Клапан предохранительный 17с11нж Ду 25 Ру 16</t>
        </is>
      </c>
      <c r="C223" s="276" t="n">
        <v>2</v>
      </c>
      <c r="D223" s="276" t="inlineStr">
        <is>
          <t>завод (новый запрос КП)</t>
        </is>
      </c>
      <c r="E223" s="276" t="inlineStr">
        <is>
          <t>ООО «Торговый Дом АДЛ» (бренд «Гранвэл»)</t>
        </is>
      </c>
      <c r="F223" s="276" t="inlineStr">
        <is>
          <t>+7 (495) 937-89-68 granvel@adl.ru</t>
        </is>
      </c>
      <c r="G223" s="276" t="inlineStr"/>
      <c r="H223" s="276" t="inlineStr">
        <is>
          <t>ООО «Торговый Дом АДЛ»</t>
        </is>
      </c>
      <c r="I223" s="276" t="inlineStr"/>
      <c r="J223" s="276" t="inlineStr"/>
      <c r="K223" s="276" t="inlineStr">
        <is>
          <t>не проверено построчно</t>
        </is>
      </c>
      <c r="L223" s="276" t="inlineStr">
        <is>
          <t>№ реестровой записи</t>
        </is>
      </c>
    </row>
    <row r="224">
      <c r="A224" s="276" t="inlineStr">
        <is>
          <t>1.6/12</t>
        </is>
      </c>
      <c r="B224" s="276" t="inlineStr">
        <is>
          <t>Клапан предохранительный 17с28нж Ду 50 Ру16 (Рн 10-16)</t>
        </is>
      </c>
      <c r="C224" s="276" t="n">
        <v>3</v>
      </c>
      <c r="D224" s="276" t="inlineStr">
        <is>
          <t>завод вместо ДН.РУ</t>
        </is>
      </c>
      <c r="E224" s="276" t="inlineStr">
        <is>
          <t>АО «Благовещенский арматурный завод» (АО «БАЗ»)</t>
        </is>
      </c>
      <c r="F224" s="276" t="inlineStr">
        <is>
          <t>+7 (34766) 2-99-10, 2-99-11 baz@bazrb.ru</t>
        </is>
      </c>
      <c r="G224" s="276" t="inlineStr">
        <is>
          <t>СППК4РСО 50-16 (28с20нж1), 20Л, до +425 °С — аналог 17с28нж</t>
        </is>
      </c>
      <c r="H224" s="276" t="inlineStr">
        <is>
          <t>АО «Благовещенский арматурный завод» (ИНН 0258001489)</t>
        </is>
      </c>
      <c r="I224" s="276" t="inlineStr">
        <is>
          <t>10329690</t>
        </is>
      </c>
      <c r="J224" s="276" t="inlineStr">
        <is>
          <t>16.09.2030</t>
        </is>
      </c>
      <c r="K224" s="276" t="inlineStr">
        <is>
          <t>эквивалент — согласовать</t>
        </is>
      </c>
      <c r="L224" s="276" t="inlineStr">
        <is>
          <t>Согласовать замену 17с28нж на СППК4РСО 50-16; подтвердить материалы деталей и диапазон настройки Рн 1,0–1,6 МПа.</t>
        </is>
      </c>
    </row>
    <row r="225">
      <c r="A225" s="276" t="inlineStr">
        <is>
          <t>1.6/13</t>
        </is>
      </c>
      <c r="B225" s="276" t="inlineStr">
        <is>
          <t>Клапан предохранительный 17с6нж Ду 50 Ру 16</t>
        </is>
      </c>
      <c r="C225" s="276" t="n">
        <v>2</v>
      </c>
      <c r="D225" s="276" t="inlineStr">
        <is>
          <t>завод вместо ДН.РУ</t>
        </is>
      </c>
      <c r="E225" s="276" t="inlineStr">
        <is>
          <t>АО «Пензенский завод трубопроводной арматуры» (АО «ПЗТА»)</t>
        </is>
      </c>
      <c r="F225" s="276" t="inlineStr">
        <is>
          <t>+7 (8412) 351-000 sale@pzta.ru</t>
        </is>
      </c>
      <c r="G225" s="276" t="inlineStr">
        <is>
          <t>Клапан предохранительный пружинный ПЗТА.КП</t>
        </is>
      </c>
      <c r="H225" s="276" t="inlineStr">
        <is>
          <t>АО «Пензенский завод трубопроводной арматуры»</t>
        </is>
      </c>
      <c r="I225" s="276" t="inlineStr">
        <is>
          <t>10706186</t>
        </is>
      </c>
      <c r="J225" s="276" t="inlineStr">
        <is>
          <t>03.09.2028</t>
        </is>
      </c>
      <c r="K225" s="276" t="inlineStr">
        <is>
          <t>не проверено построчно</t>
        </is>
      </c>
      <c r="L225" s="276" t="inlineStr"/>
    </row>
    <row r="226">
      <c r="A226" s="276" t="inlineStr">
        <is>
          <t>1.6/14</t>
        </is>
      </c>
      <c r="B226" s="276" t="inlineStr">
        <is>
          <t>Клапан предохранительный 17с6нж Ду 80 Ру 16</t>
        </is>
      </c>
      <c r="C226" s="276" t="n">
        <v>1</v>
      </c>
      <c r="D226" s="276" t="inlineStr">
        <is>
          <t>завод вместо ДН.РУ</t>
        </is>
      </c>
      <c r="E226" s="276" t="inlineStr">
        <is>
          <t>АО «Благовещенский арматурный завод» (АО «БАЗ»)</t>
        </is>
      </c>
      <c r="F226" s="276" t="inlineStr">
        <is>
          <t>+7 (34766) 2-99-10, 2-99-11 baz@bazrb.ru</t>
        </is>
      </c>
      <c r="G226" s="276" t="inlineStr">
        <is>
          <t>СППК4РС 80-16 (17с21нж2), 20Л, до +425 °С</t>
        </is>
      </c>
      <c r="H226" s="276" t="inlineStr">
        <is>
          <t>АО «Благовещенский арматурный завод» (ИНН 0258001489)</t>
        </is>
      </c>
      <c r="I226" s="276" t="inlineStr">
        <is>
          <t>10329690</t>
        </is>
      </c>
      <c r="J226" s="276" t="inlineStr">
        <is>
          <t>16.09.2030</t>
        </is>
      </c>
      <c r="K226" s="276" t="inlineStr">
        <is>
          <t>эквивалент — согласовать</t>
        </is>
      </c>
      <c r="L226" s="276" t="inlineStr">
        <is>
          <t>Согласовать СППК4РС 80-16 вместо 17с6нж; подтвердить материалы седла/штока 20Х13, пружины 50ХФА.</t>
        </is>
      </c>
    </row>
    <row r="227">
      <c r="A227" s="276" t="inlineStr">
        <is>
          <t>1.6/15</t>
        </is>
      </c>
      <c r="B227" s="276" t="inlineStr">
        <is>
          <t>Клапан 15с18нж Ду 32, Ру 25</t>
        </is>
      </c>
      <c r="C227" s="276" t="n">
        <v>1</v>
      </c>
      <c r="D227" s="276" t="inlineStr">
        <is>
          <t>завод вместо ДН.РУ</t>
        </is>
      </c>
      <c r="E227" s="276" t="inlineStr">
        <is>
          <t>ООО «Пермский трубопроводный завод» (ООО «ПТЗ»)</t>
        </is>
      </c>
      <c r="F227" s="276" t="inlineStr">
        <is>
          <t>+7 (342) 270-07-34 sales@ptza.ru</t>
        </is>
      </c>
      <c r="G227" s="276" t="inlineStr">
        <is>
          <t>15с18нж Ду32 PN25 (ПТЗ)</t>
        </is>
      </c>
      <c r="H227" s="276" t="inlineStr">
        <is>
          <t>ООО «Пермский трубопроводный завод» (ИНН 5904173655)</t>
        </is>
      </c>
      <c r="I227" s="276" t="inlineStr">
        <is>
          <t>10698937</t>
        </is>
      </c>
      <c r="J227" s="276" t="inlineStr">
        <is>
          <t>17.02.2031</t>
        </is>
      </c>
      <c r="K227" s="276" t="inlineStr">
        <is>
          <t>эквивалент — согласовать</t>
        </is>
      </c>
      <c r="L227" s="276" t="inlineStr">
        <is>
          <t>Подтвердить: корпус 20Л/20ГЛ или согласовать 25Л; затвор с наплавкой 20Х13; сальник ТРГ.</t>
        </is>
      </c>
    </row>
    <row r="228">
      <c r="A228" s="276" t="inlineStr">
        <is>
          <t>1.6/16</t>
        </is>
      </c>
      <c r="B228" s="276" t="inlineStr">
        <is>
          <t>Кран для манометра трехходовой Ду 15 Ру 16</t>
        </is>
      </c>
      <c r="C228" s="276" t="n">
        <v>2</v>
      </c>
      <c r="D228" s="276" t="inlineStr">
        <is>
          <t>текущий поставщик (номера записи нет)</t>
        </is>
      </c>
      <c r="E228" s="276" t="inlineStr">
        <is>
          <t>КИПИКА (прайс 01.10)</t>
        </is>
      </c>
      <c r="F228" s="276" t="inlineStr">
        <is>
          <t>+7 (8412) 909-200 b18bk@11b18bk.ru</t>
        </is>
      </c>
      <c r="G228" s="276" t="inlineStr">
        <is>
          <t>Кран шаровый трёхходовой для манометра 11б27пм.1 Ру16 Ду15 G1/2×M20×1,5 (арт. 021011011)</t>
        </is>
      </c>
      <c r="H228" s="276" t="inlineStr"/>
      <c r="I228" s="276" t="inlineStr"/>
      <c r="J228" s="276" t="inlineStr"/>
      <c r="K228" s="276" t="inlineStr">
        <is>
          <t>нет записи ПП 719 — не проходит нацрежим</t>
        </is>
      </c>
      <c r="L228" s="276" t="inlineStr">
        <is>
          <t>изготовитель и № записи ПП 719 или российская замена</t>
        </is>
      </c>
    </row>
    <row r="229">
      <c r="A229" s="276" t="inlineStr">
        <is>
          <t>1.6/17</t>
        </is>
      </c>
      <c r="B229" s="276" t="inlineStr">
        <is>
          <t>Клапан запорный муфтовый 15б1п Ду 15 Ру 16</t>
        </is>
      </c>
      <c r="C229" s="276" t="n">
        <v>8</v>
      </c>
      <c r="D229" s="276" t="inlineStr">
        <is>
          <t>завод вместо ДН.РУ</t>
        </is>
      </c>
      <c r="E229" s="276" t="inlineStr">
        <is>
          <t>ООО «Бологовский арматурный завод» (ТМ «БАЗ», латунная арматура)</t>
        </is>
      </c>
      <c r="F229" s="276" t="inlineStr">
        <is>
          <t>+7 (48238) 2-21-13 (завод, Бологое) sales@bolarm.com (продажи)</t>
        </is>
      </c>
      <c r="G229" s="276" t="inlineStr">
        <is>
          <t>15б1п Ду15 латунный муфтовый</t>
        </is>
      </c>
      <c r="H229" s="276" t="inlineStr">
        <is>
          <t>ООО «Бологовский арматурный завод» (ИНН 6908017634)</t>
        </is>
      </c>
      <c r="I229" s="276" t="inlineStr">
        <is>
          <t>10895023</t>
        </is>
      </c>
      <c r="J229" s="276" t="inlineStr">
        <is>
          <t>24.08.2031</t>
        </is>
      </c>
      <c r="K229" s="276" t="inlineStr">
        <is>
          <t>не подтверждено</t>
        </is>
      </c>
      <c r="L229"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0">
      <c r="A230" s="276" t="inlineStr">
        <is>
          <t>1.6/18</t>
        </is>
      </c>
      <c r="B230" s="276" t="inlineStr">
        <is>
          <t>Клапан запорный муфтовый 15б1п Ду 20 Ру 16</t>
        </is>
      </c>
      <c r="C230" s="276" t="n">
        <v>14</v>
      </c>
      <c r="D230" s="276" t="inlineStr">
        <is>
          <t>завод вместо ДН.РУ</t>
        </is>
      </c>
      <c r="E230" s="276" t="inlineStr">
        <is>
          <t>ООО «Бологовский арматурный завод» (ТМ «БАЗ», латунная арматура)</t>
        </is>
      </c>
      <c r="F230" s="276" t="inlineStr">
        <is>
          <t>+7 (48238) 2-21-13 (завод, Бологое) sales@bolarm.com (продажи)</t>
        </is>
      </c>
      <c r="G230" s="276" t="inlineStr">
        <is>
          <t>15б1п Ду20 латунный муфтовый</t>
        </is>
      </c>
      <c r="H230" s="276" t="inlineStr">
        <is>
          <t>ООО «Бологовский арматурный завод» (ИНН 6908017634)</t>
        </is>
      </c>
      <c r="I230" s="276" t="inlineStr">
        <is>
          <t>10895023</t>
        </is>
      </c>
      <c r="J230" s="276" t="inlineStr">
        <is>
          <t>24.08.2031</t>
        </is>
      </c>
      <c r="K230" s="276" t="inlineStr">
        <is>
          <t>не подтверждено</t>
        </is>
      </c>
      <c r="L230"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1">
      <c r="A231" s="276" t="inlineStr">
        <is>
          <t>1.6/19</t>
        </is>
      </c>
      <c r="B231" s="276" t="inlineStr">
        <is>
          <t>Клапан запорный муфтовый 15б1п Ду 25 Ру 16</t>
        </is>
      </c>
      <c r="C231" s="276" t="n">
        <v>12</v>
      </c>
      <c r="D231" s="276" t="inlineStr">
        <is>
          <t>завод вместо ДН.РУ</t>
        </is>
      </c>
      <c r="E231" s="276" t="inlineStr">
        <is>
          <t>ООО «Бологовский арматурный завод» (ТМ «БАЗ», латунная арматура)</t>
        </is>
      </c>
      <c r="F231" s="276" t="inlineStr">
        <is>
          <t>+7 (48238) 2-21-13 (завод, Бологое) sales@bolarm.com (продажи)</t>
        </is>
      </c>
      <c r="G231" s="276" t="inlineStr">
        <is>
          <t>15б1п Ду25 латунный муфтовый</t>
        </is>
      </c>
      <c r="H231" s="276" t="inlineStr">
        <is>
          <t>ООО «Бологовский арматурный завод» (ИНН 6908017634)</t>
        </is>
      </c>
      <c r="I231" s="276" t="inlineStr">
        <is>
          <t>10895023</t>
        </is>
      </c>
      <c r="J231" s="276" t="inlineStr">
        <is>
          <t>24.08.2031</t>
        </is>
      </c>
      <c r="K231" s="276" t="inlineStr">
        <is>
          <t>не подтверждено</t>
        </is>
      </c>
      <c r="L231"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2">
      <c r="A232" s="276" t="inlineStr">
        <is>
          <t>1.6/20</t>
        </is>
      </c>
      <c r="B232" s="276" t="inlineStr">
        <is>
          <t>Клапан запорный 15кч12пМ Ду 25 Ру 25</t>
        </is>
      </c>
      <c r="C232" s="276" t="n">
        <v>1</v>
      </c>
      <c r="D232" s="276" t="inlineStr">
        <is>
          <t>завод (новый запрос КП)</t>
        </is>
      </c>
      <c r="E232" s="276" t="inlineStr">
        <is>
          <t>АО «Благовещенский арматурный завод» (БАЗ)</t>
        </is>
      </c>
      <c r="F232" s="276" t="inlineStr">
        <is>
          <t>+7 (347) 662-99-10 baz@bazrb.ru</t>
        </is>
      </c>
      <c r="G232" s="276" t="inlineStr">
        <is>
          <t>15кч12пМ — в каталоге БАЗ нет</t>
        </is>
      </c>
      <c r="H232" s="276" t="inlineStr">
        <is>
          <t>АО «Благовещенский арматурный завод»</t>
        </is>
      </c>
      <c r="I232" s="276" t="inlineStr"/>
      <c r="J232" s="276" t="inlineStr"/>
      <c r="K232" s="276" t="inlineStr">
        <is>
          <t>не подтверждено</t>
        </is>
      </c>
      <c r="L232" s="276" t="inlineStr">
        <is>
          <t>БАЗ не выпускает 15кч12пМ по каталогу — запросить, будет ли изготовление; иначе снять назначение (см. альтернативы).</t>
        </is>
      </c>
    </row>
    <row r="233">
      <c r="A233" s="276" t="inlineStr">
        <is>
          <t>1.6/21</t>
        </is>
      </c>
      <c r="B233" s="276" t="inlineStr">
        <is>
          <t>Клапан запорный 15кч16п1 Ду 32 Ру 25</t>
        </is>
      </c>
      <c r="C233" s="276" t="n">
        <v>7</v>
      </c>
      <c r="D233" s="276" t="inlineStr">
        <is>
          <t>текущий поставщик (номера записи нет)</t>
        </is>
      </c>
      <c r="E233" s="276" t="inlineStr">
        <is>
          <t>ДН.РУ</t>
        </is>
      </c>
      <c r="F233" s="276" t="inlineStr">
        <is>
          <t>менеджер по счетам 819892/819896</t>
        </is>
      </c>
      <c r="G233" s="276" t="inlineStr">
        <is>
          <t>Клапан запорный Луидор 15кч16п1 Ду32 Ру25 чугунный, фланцевый, штурвал</t>
        </is>
      </c>
      <c r="H233" s="276" t="inlineStr"/>
      <c r="I233" s="276" t="inlineStr"/>
      <c r="J233" s="276" t="inlineStr"/>
      <c r="K233" s="276" t="inlineStr">
        <is>
          <t>нет записи ПП 719 — не проходит нацрежим</t>
        </is>
      </c>
      <c r="L233" s="276" t="inlineStr">
        <is>
          <t>изготовитель и № записи ПП 719 или российская замена</t>
        </is>
      </c>
    </row>
    <row r="234">
      <c r="A234" s="276" t="inlineStr">
        <is>
          <t>1.6/22</t>
        </is>
      </c>
      <c r="B234" s="276" t="inlineStr">
        <is>
          <t>Клапан запорный 15кч16п1 Ду 40 Ру 25</t>
        </is>
      </c>
      <c r="C234" s="276" t="n">
        <v>4</v>
      </c>
      <c r="D234" s="276" t="inlineStr">
        <is>
          <t>текущий поставщик (номера записи нет)</t>
        </is>
      </c>
      <c r="E234" s="276" t="inlineStr">
        <is>
          <t>ДН.РУ</t>
        </is>
      </c>
      <c r="F234" s="276" t="inlineStr">
        <is>
          <t>менеджер по счетам 819892/819896</t>
        </is>
      </c>
      <c r="G234" s="276" t="inlineStr">
        <is>
          <t>Клапан запорный Луидор 15кч16п1 Ду40 Ру25 чугунный, фланцевый, штурвал</t>
        </is>
      </c>
      <c r="H234" s="276" t="inlineStr"/>
      <c r="I234" s="276" t="inlineStr"/>
      <c r="J234" s="276" t="inlineStr"/>
      <c r="K234" s="276" t="inlineStr">
        <is>
          <t>нет записи ПП 719 — не проходит нацрежим</t>
        </is>
      </c>
      <c r="L234" s="276" t="inlineStr">
        <is>
          <t>изготовитель и № записи ПП 719 или российская замена</t>
        </is>
      </c>
    </row>
    <row r="235">
      <c r="A235" s="276" t="inlineStr">
        <is>
          <t>1.6/23</t>
        </is>
      </c>
      <c r="B235" s="276" t="inlineStr">
        <is>
          <t>Клапан запорный 15кч16п1 Ду 50 Ру 25</t>
        </is>
      </c>
      <c r="C235" s="276" t="n">
        <v>5</v>
      </c>
      <c r="D235" s="276" t="inlineStr">
        <is>
          <t>текущий поставщик (номера записи нет)</t>
        </is>
      </c>
      <c r="E235" s="276" t="inlineStr">
        <is>
          <t>ДН.РУ</t>
        </is>
      </c>
      <c r="F235" s="276" t="inlineStr">
        <is>
          <t>менеджер по счетам 819892/819896</t>
        </is>
      </c>
      <c r="G235" s="276" t="inlineStr">
        <is>
          <t>Клапан запорный Луидор 15кч16п1 Ду50 Ру25 чугунный, фланцевый, штурвал</t>
        </is>
      </c>
      <c r="H235" s="276" t="inlineStr"/>
      <c r="I235" s="276" t="inlineStr"/>
      <c r="J235" s="276" t="inlineStr"/>
      <c r="K235" s="276" t="inlineStr">
        <is>
          <t>нет записи ПП 719 — не проходит нацрежим</t>
        </is>
      </c>
      <c r="L235" s="276" t="inlineStr">
        <is>
          <t>изготовитель и № записи ПП 719 или российская замена</t>
        </is>
      </c>
    </row>
    <row r="236">
      <c r="A236" s="276" t="inlineStr">
        <is>
          <t>1.6/24</t>
        </is>
      </c>
      <c r="B236" s="276" t="inlineStr">
        <is>
          <t>Клапан запорный 15кч19п Ду 25 Ру 16</t>
        </is>
      </c>
      <c r="C236" s="276" t="n">
        <v>2</v>
      </c>
      <c r="D236" s="276" t="inlineStr">
        <is>
          <t>текущий поставщик (номера записи нет)</t>
        </is>
      </c>
      <c r="E236" s="276" t="inlineStr">
        <is>
          <t>ДН.РУ</t>
        </is>
      </c>
      <c r="F236" s="276" t="inlineStr">
        <is>
          <t>менеджер по счетам 819892/819896</t>
        </is>
      </c>
      <c r="G236" s="276" t="inlineStr">
        <is>
          <t>Вентиль запорный Ci аналог 15кч19п На складе в Ду25 Ру16 чугунный фланцевый</t>
        </is>
      </c>
      <c r="H236" s="276" t="inlineStr"/>
      <c r="I236" s="276" t="inlineStr"/>
      <c r="J236" s="276" t="inlineStr"/>
      <c r="K236" s="276" t="inlineStr">
        <is>
          <t>нет записи ПП 719 — не проходит нацрежим</t>
        </is>
      </c>
      <c r="L236" s="276" t="inlineStr">
        <is>
          <t>изготовитель и № записи ПП 719 или российская замена</t>
        </is>
      </c>
    </row>
    <row r="237">
      <c r="A237" s="276" t="inlineStr">
        <is>
          <t>1.6/25</t>
        </is>
      </c>
      <c r="B237" s="276" t="inlineStr">
        <is>
          <t>Клапан запорный 15кч19п Ду 50 Ру 16</t>
        </is>
      </c>
      <c r="C237" s="276" t="n">
        <v>5</v>
      </c>
      <c r="D237" s="276" t="inlineStr">
        <is>
          <t>текущий поставщик (номера записи нет)</t>
        </is>
      </c>
      <c r="E237" s="276" t="inlineStr">
        <is>
          <t>ДН.РУ</t>
        </is>
      </c>
      <c r="F237" s="276" t="inlineStr">
        <is>
          <t>менеджер по счетам 819892/819896</t>
        </is>
      </c>
      <c r="G237" s="276" t="inlineStr">
        <is>
          <t>Вентиль запорный Ci аналог 15кч19п Ду50 Ру16 чугунный фланцевый</t>
        </is>
      </c>
      <c r="H237" s="276" t="inlineStr"/>
      <c r="I237" s="276" t="inlineStr"/>
      <c r="J237" s="276" t="inlineStr"/>
      <c r="K237" s="276" t="inlineStr">
        <is>
          <t>нет записи ПП 719 — не проходит нацрежим</t>
        </is>
      </c>
      <c r="L237" s="276" t="inlineStr">
        <is>
          <t>изготовитель и № записи ПП 719 или российская замена</t>
        </is>
      </c>
    </row>
    <row r="238">
      <c r="A238" s="276" t="inlineStr">
        <is>
          <t>1.6/26</t>
        </is>
      </c>
      <c r="B238" s="276" t="inlineStr">
        <is>
          <t>Клапан запорный 15нж65нж Ду 80 Ру 16</t>
        </is>
      </c>
      <c r="C238" s="276" t="n">
        <v>1</v>
      </c>
      <c r="D238" s="276" t="inlineStr">
        <is>
          <t>завод вместо ДН.РУ</t>
        </is>
      </c>
      <c r="E238" s="276" t="inlineStr">
        <is>
          <t>ООО «Пермский трубопроводный завод» (ООО «ПТЗ»)</t>
        </is>
      </c>
      <c r="F238" s="276" t="inlineStr">
        <is>
          <t>+7 (342) 270-07-34 sales@ptza.ru</t>
        </is>
      </c>
      <c r="G238" s="276" t="inlineStr">
        <is>
          <t>15нж65нж Ду80 PN16 (ПТЗ)</t>
        </is>
      </c>
      <c r="H238" s="276" t="inlineStr">
        <is>
          <t>ООО «Пермский трубопроводный завод» (ИНН 5904173655)</t>
        </is>
      </c>
      <c r="I238" s="276" t="inlineStr">
        <is>
          <t>10698937</t>
        </is>
      </c>
      <c r="J238" s="276" t="inlineStr">
        <is>
          <t>17.02.2031</t>
        </is>
      </c>
      <c r="K238" s="276" t="inlineStr">
        <is>
          <t>эквивалент — согласовать</t>
        </is>
      </c>
      <c r="L238" s="276" t="inlineStr">
        <is>
          <t>Подтвердить корпус 08Х18Н10 (AISI 304), крепёж 14Х17Н2, ТРГ.</t>
        </is>
      </c>
    </row>
    <row r="239">
      <c r="A239" s="276" t="inlineStr">
        <is>
          <t>1.6/27</t>
        </is>
      </c>
      <c r="B239" s="276" t="inlineStr">
        <is>
          <t>Клапан запорный 15нж65нж Ду 100 Ру 16</t>
        </is>
      </c>
      <c r="C239" s="276" t="n">
        <v>1</v>
      </c>
      <c r="D239" s="276" t="inlineStr">
        <is>
          <t>завод вместо ДН.РУ</t>
        </is>
      </c>
      <c r="E239" s="276" t="inlineStr">
        <is>
          <t>ООО «Пермский трубопроводный завод» (ООО «ПТЗ»)</t>
        </is>
      </c>
      <c r="F239" s="276" t="inlineStr">
        <is>
          <t>+7 (342) 270-07-34 sales@ptza.ru</t>
        </is>
      </c>
      <c r="G239" s="276" t="inlineStr">
        <is>
          <t>15нж65нж Ду100 PN16 (ПТЗ)</t>
        </is>
      </c>
      <c r="H239" s="276" t="inlineStr">
        <is>
          <t>ООО «Пермский трубопроводный завод» (ИНН 5904173655)</t>
        </is>
      </c>
      <c r="I239" s="276" t="inlineStr">
        <is>
          <t>10698937</t>
        </is>
      </c>
      <c r="J239" s="276" t="inlineStr">
        <is>
          <t>17.02.2031</t>
        </is>
      </c>
      <c r="K239" s="276" t="inlineStr">
        <is>
          <t>эквивалент — согласовать</t>
        </is>
      </c>
      <c r="L239" s="276" t="inlineStr">
        <is>
          <t>Подтвердить корпус 08Х18Н10 (AISI 304), крепёж 14Х17Н2, ТРГ.</t>
        </is>
      </c>
    </row>
    <row r="240">
      <c r="A240" s="276" t="inlineStr">
        <is>
          <t>1.6/28</t>
        </is>
      </c>
      <c r="B240" s="276" t="inlineStr">
        <is>
          <t>Клапан запорный 15нж65нж Ду 32 Ру 16</t>
        </is>
      </c>
      <c r="C240" s="276" t="n">
        <v>1</v>
      </c>
      <c r="D240" s="276" t="inlineStr">
        <is>
          <t>завод вместо ДН.РУ</t>
        </is>
      </c>
      <c r="E240" s="276" t="inlineStr">
        <is>
          <t>ООО «Пермский трубопроводный завод» (ООО «ПТЗ»)</t>
        </is>
      </c>
      <c r="F240" s="276" t="inlineStr">
        <is>
          <t>+7 (342) 270-07-34 sales@ptza.ru</t>
        </is>
      </c>
      <c r="G240" s="276" t="inlineStr">
        <is>
          <t>15нж65нж Ду32 PN16 (ПТЗ)</t>
        </is>
      </c>
      <c r="H240" s="276" t="inlineStr">
        <is>
          <t>ООО «Пермский трубопроводный завод» (ИНН 5904173655)</t>
        </is>
      </c>
      <c r="I240" s="276" t="inlineStr">
        <is>
          <t>10698937</t>
        </is>
      </c>
      <c r="J240" s="276" t="inlineStr">
        <is>
          <t>17.02.2031</t>
        </is>
      </c>
      <c r="K240" s="276" t="inlineStr">
        <is>
          <t>эквивалент — согласовать</t>
        </is>
      </c>
      <c r="L240" s="276" t="inlineStr">
        <is>
          <t>Подтвердить корпус 08Х18Н10 (AISI 304), крепёж 14Х17Н2, ТРГ.</t>
        </is>
      </c>
    </row>
    <row r="241">
      <c r="A241" s="276" t="inlineStr">
        <is>
          <t>1.6/29</t>
        </is>
      </c>
      <c r="B241" s="276" t="inlineStr">
        <is>
          <t>Клапан стальной запорный фланцевый 15с18нж Ду 32 Ру 16</t>
        </is>
      </c>
      <c r="C241" s="276" t="n">
        <v>2</v>
      </c>
      <c r="D241" s="276" t="inlineStr">
        <is>
          <t>завод вместо ДН.РУ</t>
        </is>
      </c>
      <c r="E241" s="276" t="inlineStr">
        <is>
          <t>ООО «Пермский трубопроводный завод» (ООО «ПТЗ»)</t>
        </is>
      </c>
      <c r="F241" s="276" t="inlineStr">
        <is>
          <t>+7 (342) 270-07-34 sales@ptza.ru</t>
        </is>
      </c>
      <c r="G241" s="276" t="inlineStr">
        <is>
          <t>15с18нж Ду32 PN25 вместо PN16 (ПТЗ)</t>
        </is>
      </c>
      <c r="H241" s="276" t="inlineStr">
        <is>
          <t>ООО «Пермский трубопроводный завод» (ИНН 5904173655)</t>
        </is>
      </c>
      <c r="I241" s="276" t="inlineStr">
        <is>
          <t>10698937</t>
        </is>
      </c>
      <c r="J241" s="276" t="inlineStr">
        <is>
          <t>17.02.2031</t>
        </is>
      </c>
      <c r="K241" s="276" t="inlineStr">
        <is>
          <t>не подтверждено</t>
        </is>
      </c>
      <c r="L241" s="276" t="inlineStr">
        <is>
          <t>Подтвердить применимость на хлорсодержащих средах (ТЗ).</t>
        </is>
      </c>
    </row>
    <row r="242">
      <c r="A242" s="276" t="inlineStr">
        <is>
          <t>1.6/30</t>
        </is>
      </c>
      <c r="B242" s="276" t="inlineStr">
        <is>
          <t>Клапан запорный 15с18п Ду 80 Ру 25</t>
        </is>
      </c>
      <c r="C242" s="276" t="n">
        <v>1</v>
      </c>
      <c r="D242" s="276" t="inlineStr">
        <is>
          <t>завод вместо ДН.РУ</t>
        </is>
      </c>
      <c r="E242" s="276" t="inlineStr">
        <is>
          <t>ООО «Пермский трубопроводный завод» (ООО «ПТЗ»)</t>
        </is>
      </c>
      <c r="F242" s="276" t="inlineStr">
        <is>
          <t>+7 (342) 270-07-34 sales@ptza.ru</t>
        </is>
      </c>
      <c r="G242" s="276" t="inlineStr">
        <is>
          <t>15с18п Ду80 PN25 (ПТЗ)</t>
        </is>
      </c>
      <c r="H242" s="276" t="inlineStr">
        <is>
          <t>ООО «Пермский трубопроводный завод» (ИНН 5904173655)</t>
        </is>
      </c>
      <c r="I242" s="276" t="inlineStr">
        <is>
          <t>10698937</t>
        </is>
      </c>
      <c r="J242" s="276" t="inlineStr">
        <is>
          <t>17.02.2031</t>
        </is>
      </c>
      <c r="K242" s="276" t="inlineStr">
        <is>
          <t>не подтверждено</t>
        </is>
      </c>
      <c r="L242" s="276" t="inlineStr">
        <is>
          <t>Подтвердить применение на аммиаке и топливном газе.</t>
        </is>
      </c>
    </row>
    <row r="243">
      <c r="A243" s="276" t="inlineStr">
        <is>
          <t>1.6/31</t>
        </is>
      </c>
      <c r="B243" s="276" t="inlineStr">
        <is>
          <t>Клапан запорный 15с18п Ду 100 Ру 25</t>
        </is>
      </c>
      <c r="C243" s="276" t="n">
        <v>1</v>
      </c>
      <c r="D243" s="276" t="inlineStr">
        <is>
          <t>завод вместо ДН.РУ</t>
        </is>
      </c>
      <c r="E243" s="276" t="inlineStr">
        <is>
          <t>ООО «Пермский трубопроводный завод» (ООО «ПТЗ»)</t>
        </is>
      </c>
      <c r="F243" s="276" t="inlineStr">
        <is>
          <t>+7 (342) 270-07-34 sales@ptza.ru</t>
        </is>
      </c>
      <c r="G243" s="276" t="inlineStr">
        <is>
          <t>15с18п Ду100 PN25 (ПТЗ)</t>
        </is>
      </c>
      <c r="H243" s="276" t="inlineStr">
        <is>
          <t>ООО «Пермский трубопроводный завод» (ИНН 5904173655)</t>
        </is>
      </c>
      <c r="I243" s="276" t="inlineStr">
        <is>
          <t>10698937</t>
        </is>
      </c>
      <c r="J243" s="276" t="inlineStr">
        <is>
          <t>17.02.2031</t>
        </is>
      </c>
      <c r="K243" s="276" t="inlineStr">
        <is>
          <t>не подтверждено</t>
        </is>
      </c>
      <c r="L243" s="276" t="inlineStr">
        <is>
          <t>Подтвердить применение на аммиаке и топливном газе.</t>
        </is>
      </c>
    </row>
    <row r="244">
      <c r="A244" s="276" t="inlineStr">
        <is>
          <t>1.6/32</t>
        </is>
      </c>
      <c r="B244" s="276" t="inlineStr">
        <is>
          <t>Клапан запорный 15с22нж Ду 25 Ру 40</t>
        </is>
      </c>
      <c r="C244" s="276" t="n">
        <v>1</v>
      </c>
      <c r="D244" s="276" t="inlineStr">
        <is>
          <t>завод вместо ДН.РУ</t>
        </is>
      </c>
      <c r="E244" s="276" t="inlineStr">
        <is>
          <t>ООО «Восточная арматурная компания»</t>
        </is>
      </c>
      <c r="F244" s="276" t="inlineStr">
        <is>
          <t>+7 (347) 226-00-00 kontakt@vark.ru</t>
        </is>
      </c>
      <c r="G244" s="276" t="inlineStr">
        <is>
          <t>Клапаны запорные DN 10-400 мм, PN 0,6-50,0 МПа</t>
        </is>
      </c>
      <c r="H244" s="276" t="inlineStr">
        <is>
          <t>ООО «Восточная арматурная компания»</t>
        </is>
      </c>
      <c r="I244" s="276" t="inlineStr">
        <is>
          <t>10811565</t>
        </is>
      </c>
      <c r="J244" s="276" t="inlineStr">
        <is>
          <t>31.05.2031</t>
        </is>
      </c>
      <c r="K244" s="276" t="inlineStr">
        <is>
          <t>не проверено построчно</t>
        </is>
      </c>
      <c r="L244" s="276" t="inlineStr"/>
    </row>
    <row r="245">
      <c r="A245" s="276" t="inlineStr">
        <is>
          <t>1.6/33</t>
        </is>
      </c>
      <c r="B245" s="276" t="inlineStr">
        <is>
          <t>Клапан запорный 15с22нж Ду 32 Ру 40</t>
        </is>
      </c>
      <c r="C245" s="276" t="n">
        <v>5</v>
      </c>
      <c r="D245" s="276" t="inlineStr">
        <is>
          <t>завод вместо ДН.РУ</t>
        </is>
      </c>
      <c r="E245" s="276" t="inlineStr">
        <is>
          <t>ООО «Восточная арматурная компания»</t>
        </is>
      </c>
      <c r="F245" s="276" t="inlineStr">
        <is>
          <t>+7 (347) 226-00-00 kontakt@vark.ru</t>
        </is>
      </c>
      <c r="G245" s="276" t="inlineStr">
        <is>
          <t>Клапаны запорные DN 10-400 мм, PN 0,6-50,0 МПа</t>
        </is>
      </c>
      <c r="H245" s="276" t="inlineStr">
        <is>
          <t>ООО «Восточная арматурная компания»</t>
        </is>
      </c>
      <c r="I245" s="276" t="inlineStr">
        <is>
          <t>10811565</t>
        </is>
      </c>
      <c r="J245" s="276" t="inlineStr">
        <is>
          <t>31.05.2031</t>
        </is>
      </c>
      <c r="K245" s="276" t="inlineStr">
        <is>
          <t>не проверено построчно</t>
        </is>
      </c>
      <c r="L245" s="276" t="inlineStr"/>
    </row>
    <row r="246">
      <c r="A246" s="276" t="inlineStr">
        <is>
          <t>1.6/34</t>
        </is>
      </c>
      <c r="B246" s="276" t="inlineStr">
        <is>
          <t>Клапан запорный 15с22нж Ду 40 Ру 40</t>
        </is>
      </c>
      <c r="C246" s="276" t="n">
        <v>2</v>
      </c>
      <c r="D246" s="276" t="inlineStr">
        <is>
          <t>завод вместо ДН.РУ</t>
        </is>
      </c>
      <c r="E246" s="276" t="inlineStr">
        <is>
          <t>ООО «Восточная арматурная компания»</t>
        </is>
      </c>
      <c r="F246" s="276" t="inlineStr">
        <is>
          <t>+7 (347) 226-00-00 kontakt@vark.ru</t>
        </is>
      </c>
      <c r="G246" s="276" t="inlineStr">
        <is>
          <t>Клапаны запорные DN 10-400 мм, PN 0,6-50,0 МПа</t>
        </is>
      </c>
      <c r="H246" s="276" t="inlineStr">
        <is>
          <t>ООО «Восточная арматурная компания»</t>
        </is>
      </c>
      <c r="I246" s="276" t="inlineStr">
        <is>
          <t>10811565</t>
        </is>
      </c>
      <c r="J246" s="276" t="inlineStr">
        <is>
          <t>31.05.2031</t>
        </is>
      </c>
      <c r="K246" s="276" t="inlineStr">
        <is>
          <t>не проверено построчно</t>
        </is>
      </c>
      <c r="L246" s="276" t="inlineStr"/>
    </row>
    <row r="247">
      <c r="A247" s="276" t="inlineStr">
        <is>
          <t>1.6/35</t>
        </is>
      </c>
      <c r="B247" s="276" t="inlineStr">
        <is>
          <t>Клапан запорный 15с22нж Ду 50 Ру 40</t>
        </is>
      </c>
      <c r="C247" s="276" t="n">
        <v>4</v>
      </c>
      <c r="D247" s="276" t="inlineStr">
        <is>
          <t>завод вместо ДН.РУ</t>
        </is>
      </c>
      <c r="E247" s="276" t="inlineStr">
        <is>
          <t>ООО «Восточная арматурная компания»</t>
        </is>
      </c>
      <c r="F247" s="276" t="inlineStr">
        <is>
          <t>+7 (347) 226-00-00 kontakt@vark.ru</t>
        </is>
      </c>
      <c r="G247" s="276" t="inlineStr">
        <is>
          <t>Клапаны запорные DN 10-400 мм, PN 0,6-50,0 МПа</t>
        </is>
      </c>
      <c r="H247" s="276" t="inlineStr">
        <is>
          <t>ООО «Восточная арматурная компания»</t>
        </is>
      </c>
      <c r="I247" s="276" t="inlineStr">
        <is>
          <t>10811565</t>
        </is>
      </c>
      <c r="J247" s="276" t="inlineStr">
        <is>
          <t>31.05.2031</t>
        </is>
      </c>
      <c r="K247" s="276" t="inlineStr">
        <is>
          <t>не проверено построчно</t>
        </is>
      </c>
      <c r="L247" s="276" t="inlineStr"/>
    </row>
    <row r="248">
      <c r="A248" s="276" t="inlineStr">
        <is>
          <t>1.6/36</t>
        </is>
      </c>
      <c r="B248" s="276" t="inlineStr">
        <is>
          <t>Клапан запорный 15с22нж Ду 80 Ру 40</t>
        </is>
      </c>
      <c r="C248" s="276" t="n">
        <v>2</v>
      </c>
      <c r="D248" s="276" t="inlineStr">
        <is>
          <t>завод вместо ДН.РУ</t>
        </is>
      </c>
      <c r="E248" s="276" t="inlineStr">
        <is>
          <t>ООО «Восточная арматурная компания»</t>
        </is>
      </c>
      <c r="F248" s="276" t="inlineStr">
        <is>
          <t>+7 (347) 226-00-00 kontakt@vark.ru</t>
        </is>
      </c>
      <c r="G248" s="276" t="inlineStr">
        <is>
          <t>Клапаны запорные DN 10-400 мм, PN 0,6-50,0 МПа</t>
        </is>
      </c>
      <c r="H248" s="276" t="inlineStr">
        <is>
          <t>ООО «Восточная арматурная компания»</t>
        </is>
      </c>
      <c r="I248" s="276" t="inlineStr">
        <is>
          <t>10811565</t>
        </is>
      </c>
      <c r="J248" s="276" t="inlineStr">
        <is>
          <t>31.05.2031</t>
        </is>
      </c>
      <c r="K248" s="276" t="inlineStr">
        <is>
          <t>не проверено построчно</t>
        </is>
      </c>
      <c r="L248" s="276" t="inlineStr"/>
    </row>
    <row r="249">
      <c r="A249" s="276" t="inlineStr">
        <is>
          <t>1.6/37</t>
        </is>
      </c>
      <c r="B249" s="276" t="inlineStr">
        <is>
          <t>Клапан запорный 15с65нж Ду 100 Ру 16 с КОФ</t>
        </is>
      </c>
      <c r="C249" s="276" t="n">
        <v>1</v>
      </c>
      <c r="D249" s="276" t="inlineStr">
        <is>
          <t>завод вместо ДН.РУ</t>
        </is>
      </c>
      <c r="E249" s="276" t="inlineStr">
        <is>
          <t>ООО «Восточная арматурная компания»</t>
        </is>
      </c>
      <c r="F249" s="276" t="inlineStr">
        <is>
          <t>+7 (347) 226-00-00 kontakt@vark.ru</t>
        </is>
      </c>
      <c r="G249" s="276" t="inlineStr">
        <is>
          <t>Клапаны запорные DN 10-400 мм, PN 0,6-50,0 МПа</t>
        </is>
      </c>
      <c r="H249" s="276" t="inlineStr">
        <is>
          <t>ООО «Восточная арматурная компания»</t>
        </is>
      </c>
      <c r="I249" s="276" t="inlineStr">
        <is>
          <t>10811565</t>
        </is>
      </c>
      <c r="J249" s="276" t="inlineStr">
        <is>
          <t>31.05.2031</t>
        </is>
      </c>
      <c r="K249" s="276" t="inlineStr">
        <is>
          <t>не проверено построчно</t>
        </is>
      </c>
      <c r="L249" s="276" t="inlineStr"/>
    </row>
    <row r="250">
      <c r="A250" s="276" t="inlineStr">
        <is>
          <t>1.6/38</t>
        </is>
      </c>
      <c r="B250" s="276" t="inlineStr">
        <is>
          <t>Клапан запорный 15с65нж Ду 25 Ру 16 с КОФ</t>
        </is>
      </c>
      <c r="C250" s="276" t="n">
        <v>1</v>
      </c>
      <c r="D250" s="276" t="inlineStr">
        <is>
          <t>завод вместо ДН.РУ</t>
        </is>
      </c>
      <c r="E250" s="276" t="inlineStr">
        <is>
          <t>ООО «Восточная арматурная компания»</t>
        </is>
      </c>
      <c r="F250" s="276" t="inlineStr">
        <is>
          <t>+7 (347) 226-00-00 kontakt@vark.ru</t>
        </is>
      </c>
      <c r="G250" s="276" t="inlineStr">
        <is>
          <t>Клапаны запорные DN 10-400 мм, PN 0,6-50,0 МПа</t>
        </is>
      </c>
      <c r="H250" s="276" t="inlineStr">
        <is>
          <t>ООО «Восточная арматурная компания»</t>
        </is>
      </c>
      <c r="I250" s="276" t="inlineStr">
        <is>
          <t>10811565</t>
        </is>
      </c>
      <c r="J250" s="276" t="inlineStr">
        <is>
          <t>31.05.2031</t>
        </is>
      </c>
      <c r="K250" s="276" t="inlineStr">
        <is>
          <t>не проверено построчно</t>
        </is>
      </c>
      <c r="L250" s="276" t="inlineStr"/>
    </row>
    <row r="251">
      <c r="A251" s="276" t="inlineStr">
        <is>
          <t>1.6/39</t>
        </is>
      </c>
      <c r="B251" s="276" t="inlineStr">
        <is>
          <t>Клапан запорный 15с65нж Ду 40 Ру 16 с КОФ</t>
        </is>
      </c>
      <c r="C251" s="276" t="n">
        <v>1</v>
      </c>
      <c r="D251" s="276" t="inlineStr">
        <is>
          <t>завод вместо ДН.РУ</t>
        </is>
      </c>
      <c r="E251" s="276" t="inlineStr">
        <is>
          <t>ООО «Восточная арматурная компания»</t>
        </is>
      </c>
      <c r="F251" s="276" t="inlineStr">
        <is>
          <t>+7 (347) 226-00-00 kontakt@vark.ru</t>
        </is>
      </c>
      <c r="G251" s="276" t="inlineStr">
        <is>
          <t>Клапаны запорные DN 10-400 мм, PN 0,6-50,0 МПа</t>
        </is>
      </c>
      <c r="H251" s="276" t="inlineStr">
        <is>
          <t>ООО «Восточная арматурная компания»</t>
        </is>
      </c>
      <c r="I251" s="276" t="inlineStr">
        <is>
          <t>10811565</t>
        </is>
      </c>
      <c r="J251" s="276" t="inlineStr">
        <is>
          <t>31.05.2031</t>
        </is>
      </c>
      <c r="K251" s="276" t="inlineStr">
        <is>
          <t>не проверено построчно</t>
        </is>
      </c>
      <c r="L251" s="276" t="inlineStr"/>
    </row>
    <row r="252">
      <c r="A252" s="276" t="inlineStr">
        <is>
          <t>1.6/40</t>
        </is>
      </c>
      <c r="B252" s="276" t="inlineStr">
        <is>
          <t>Клапан запорный 15с65нж Ду 50 Ру 16 с КОФ</t>
        </is>
      </c>
      <c r="C252" s="276" t="n">
        <v>2</v>
      </c>
      <c r="D252" s="276" t="inlineStr">
        <is>
          <t>завод вместо ДН.РУ</t>
        </is>
      </c>
      <c r="E252" s="276" t="inlineStr">
        <is>
          <t>ООО «Восточная арматурная компания»</t>
        </is>
      </c>
      <c r="F252" s="276" t="inlineStr">
        <is>
          <t>+7 (347) 226-00-00 kontakt@vark.ru</t>
        </is>
      </c>
      <c r="G252" s="276" t="inlineStr">
        <is>
          <t>Клапаны запорные DN 10-400 мм, PN 0,6-50,0 МПа</t>
        </is>
      </c>
      <c r="H252" s="276" t="inlineStr">
        <is>
          <t>ООО «Восточная арматурная компания»</t>
        </is>
      </c>
      <c r="I252" s="276" t="inlineStr">
        <is>
          <t>10811565</t>
        </is>
      </c>
      <c r="J252" s="276" t="inlineStr">
        <is>
          <t>31.05.2031</t>
        </is>
      </c>
      <c r="K252" s="276" t="inlineStr">
        <is>
          <t>не проверено построчно</t>
        </is>
      </c>
      <c r="L252" s="276" t="inlineStr"/>
    </row>
    <row r="253">
      <c r="A253" s="276" t="inlineStr">
        <is>
          <t>1.6/41</t>
        </is>
      </c>
      <c r="B253" s="276" t="inlineStr">
        <is>
          <t>Задвижка 30нж41нж Ду 80 Ру 16 1исп. САЗ</t>
        </is>
      </c>
      <c r="C253" s="276" t="n">
        <v>1</v>
      </c>
      <c r="D253" s="276" t="inlineStr">
        <is>
          <t>завод вместо ДН.РУ</t>
        </is>
      </c>
      <c r="E253" s="276" t="inlineStr">
        <is>
          <t>ООО «Пермский трубопроводный завод» (ООО «ПТЗ»)</t>
        </is>
      </c>
      <c r="F253" s="276" t="inlineStr">
        <is>
          <t>+7 (342) 270-07-34 sales@ptza.ru</t>
        </is>
      </c>
      <c r="G253" s="276" t="inlineStr">
        <is>
          <t>30нж41нж Ду80 PN16 (ПТЗ)</t>
        </is>
      </c>
      <c r="H253" s="276" t="inlineStr">
        <is>
          <t>ООО «Пермский трубопроводный завод» (ИНН 5904173655)</t>
        </is>
      </c>
      <c r="I253" s="276" t="inlineStr">
        <is>
          <t>10698940</t>
        </is>
      </c>
      <c r="J253" s="276" t="inlineStr">
        <is>
          <t>17.02.2031</t>
        </is>
      </c>
      <c r="K253" s="276" t="inlineStr">
        <is>
          <t>соответствует</t>
        </is>
      </c>
      <c r="L253" s="276" t="inlineStr">
        <is>
          <t>Подтвердить комплектацию материалов по ТЗ (шпиндель 12Х18Н9Т, шпильки 45Х14Н14В2М, ТРГ, паронит ПМБ); «1 исп. САЗ» — ПТЗ не САЗ, конструкция-аналог.</t>
        </is>
      </c>
    </row>
    <row r="254">
      <c r="A254" s="276" t="inlineStr">
        <is>
          <t>1.6/42</t>
        </is>
      </c>
      <c r="B254" s="276" t="inlineStr">
        <is>
          <t>Задвижка 30с41нж Ду 50 Ру 16</t>
        </is>
      </c>
      <c r="C254" s="276" t="n">
        <v>14</v>
      </c>
      <c r="D254" s="276" t="inlineStr">
        <is>
          <t>завод вместо ДН.РУ</t>
        </is>
      </c>
      <c r="E254" s="276" t="inlineStr">
        <is>
          <t>ООО «Пермский трубопроводный завод» (ООО «ПТЗ»)</t>
        </is>
      </c>
      <c r="F254" s="276" t="inlineStr">
        <is>
          <t>+7 (342) 270-07-34 sales@ptza.ru</t>
        </is>
      </c>
      <c r="G254" s="276" t="inlineStr">
        <is>
          <t>30с41нж Ду50 PN16 (ПТЗ)</t>
        </is>
      </c>
      <c r="H254" s="276" t="inlineStr">
        <is>
          <t>ООО «Пермский трубопроводный завод» (ИНН 5904173655)</t>
        </is>
      </c>
      <c r="I254" s="276" t="inlineStr">
        <is>
          <t>10698940</t>
        </is>
      </c>
      <c r="J254" s="276" t="inlineStr">
        <is>
          <t>17.02.2031</t>
        </is>
      </c>
      <c r="K254" s="276" t="inlineStr">
        <is>
          <t>соответствует</t>
        </is>
      </c>
      <c r="L254" s="276" t="inlineStr">
        <is>
          <t>Подтвердить: шпиндель 20Х13, наплавка 20Х13 (или 07Х25Н13 где указано), ТРГ.</t>
        </is>
      </c>
    </row>
    <row r="255">
      <c r="A255" s="276" t="inlineStr">
        <is>
          <t>1.6/43</t>
        </is>
      </c>
      <c r="B255" s="276" t="inlineStr">
        <is>
          <t>Задвижка 30с41нж Ду 80 Ру 16</t>
        </is>
      </c>
      <c r="C255" s="276" t="n">
        <v>11</v>
      </c>
      <c r="D255" s="276" t="inlineStr">
        <is>
          <t>завод вместо ДН.РУ</t>
        </is>
      </c>
      <c r="E255" s="276" t="inlineStr">
        <is>
          <t>ООО «Пермский трубопроводный завод» (ООО «ПТЗ»)</t>
        </is>
      </c>
      <c r="F255" s="276" t="inlineStr">
        <is>
          <t>+7 (342) 270-07-34 sales@ptza.ru</t>
        </is>
      </c>
      <c r="G255" s="276" t="inlineStr">
        <is>
          <t>30с41нж Ду80 PN16 (ПТЗ)</t>
        </is>
      </c>
      <c r="H255" s="276" t="inlineStr">
        <is>
          <t>ООО «Пермский трубопроводный завод» (ИНН 5904173655)</t>
        </is>
      </c>
      <c r="I255" s="276" t="inlineStr">
        <is>
          <t>10698940</t>
        </is>
      </c>
      <c r="J255" s="276" t="inlineStr">
        <is>
          <t>17.02.2031</t>
        </is>
      </c>
      <c r="K255" s="276" t="inlineStr">
        <is>
          <t>соответствует</t>
        </is>
      </c>
      <c r="L255" s="276" t="inlineStr">
        <is>
          <t>Подтвердить: шпиндель 20Х13, наплавка 20Х13 (или 07Х25Н13 где указано), ТРГ.</t>
        </is>
      </c>
    </row>
    <row r="256">
      <c r="A256" s="276" t="inlineStr">
        <is>
          <t>1.6/44</t>
        </is>
      </c>
      <c r="B256" s="276" t="inlineStr">
        <is>
          <t>Задвижка 30с41нж Ду 100 Ру 16</t>
        </is>
      </c>
      <c r="C256" s="276" t="n">
        <v>10</v>
      </c>
      <c r="D256" s="276" t="inlineStr">
        <is>
          <t>завод вместо ДН.РУ</t>
        </is>
      </c>
      <c r="E256" s="276" t="inlineStr">
        <is>
          <t>ООО «Пермский трубопроводный завод» (ООО «ПТЗ»)</t>
        </is>
      </c>
      <c r="F256" s="276" t="inlineStr">
        <is>
          <t>+7 (342) 270-07-34 sales@ptza.ru</t>
        </is>
      </c>
      <c r="G256" s="276" t="inlineStr">
        <is>
          <t>30с41нж Ду100 PN16 (ПТЗ)</t>
        </is>
      </c>
      <c r="H256" s="276" t="inlineStr">
        <is>
          <t>ООО «Пермский трубопроводный завод» (ИНН 5904173655)</t>
        </is>
      </c>
      <c r="I256" s="276" t="inlineStr">
        <is>
          <t>10698940</t>
        </is>
      </c>
      <c r="J256" s="276" t="inlineStr">
        <is>
          <t>17.02.2031</t>
        </is>
      </c>
      <c r="K256" s="276" t="inlineStr">
        <is>
          <t>соответствует</t>
        </is>
      </c>
      <c r="L256" s="276" t="inlineStr">
        <is>
          <t>Подтвердить: шпиндель 20Х13, наплавка 20Х13 (или 07Х25Н13 где указано), ТРГ.</t>
        </is>
      </c>
    </row>
    <row r="257">
      <c r="A257" s="276" t="inlineStr">
        <is>
          <t>1.6/45</t>
        </is>
      </c>
      <c r="B257" s="276" t="inlineStr">
        <is>
          <t>Задвижка 30с41нж Ду 150 Ру 16</t>
        </is>
      </c>
      <c r="C257" s="276" t="n">
        <v>7</v>
      </c>
      <c r="D257" s="276" t="inlineStr">
        <is>
          <t>завод вместо ДН.РУ</t>
        </is>
      </c>
      <c r="E257" s="276" t="inlineStr">
        <is>
          <t>ООО «Пермский трубопроводный завод» (ООО «ПТЗ»)</t>
        </is>
      </c>
      <c r="F257" s="276" t="inlineStr">
        <is>
          <t>+7 (342) 270-07-34 sales@ptza.ru</t>
        </is>
      </c>
      <c r="G257" s="276" t="inlineStr">
        <is>
          <t>30с41нж Ду150 PN16 (ПТЗ)</t>
        </is>
      </c>
      <c r="H257" s="276" t="inlineStr">
        <is>
          <t>ООО «Пермский трубопроводный завод» (ИНН 5904173655)</t>
        </is>
      </c>
      <c r="I257" s="276" t="inlineStr">
        <is>
          <t>10698940</t>
        </is>
      </c>
      <c r="J257" s="276" t="inlineStr">
        <is>
          <t>17.02.2031</t>
        </is>
      </c>
      <c r="K257" s="276" t="inlineStr">
        <is>
          <t>соответствует</t>
        </is>
      </c>
      <c r="L257" s="276" t="inlineStr">
        <is>
          <t>Подтвердить: шпиндель 20Х13, наплавка 20Х13 (или 07Х25Н13 где указано), ТРГ.</t>
        </is>
      </c>
    </row>
    <row r="258">
      <c r="A258" s="276" t="inlineStr">
        <is>
          <t>1.6/46</t>
        </is>
      </c>
      <c r="B258" s="276" t="inlineStr">
        <is>
          <t>Задвижка 30с41нж Ду 200 Ру 16</t>
        </is>
      </c>
      <c r="C258" s="276" t="n">
        <v>2</v>
      </c>
      <c r="D258" s="276" t="inlineStr">
        <is>
          <t>завод вместо ДН.РУ</t>
        </is>
      </c>
      <c r="E258" s="276" t="inlineStr">
        <is>
          <t>ООО «Пермский трубопроводный завод» (ООО «ПТЗ»)</t>
        </is>
      </c>
      <c r="F258" s="276" t="inlineStr">
        <is>
          <t>+7 (342) 270-07-34 sales@ptza.ru</t>
        </is>
      </c>
      <c r="G258" s="276" t="inlineStr">
        <is>
          <t>30с41нж Ду200 PN16 (ПТЗ)</t>
        </is>
      </c>
      <c r="H258" s="276" t="inlineStr">
        <is>
          <t>ООО «Пермский трубопроводный завод» (ИНН 5904173655)</t>
        </is>
      </c>
      <c r="I258" s="276" t="inlineStr">
        <is>
          <t>10698940</t>
        </is>
      </c>
      <c r="J258" s="276" t="inlineStr">
        <is>
          <t>17.02.2031</t>
        </is>
      </c>
      <c r="K258" s="276" t="inlineStr">
        <is>
          <t>соответствует</t>
        </is>
      </c>
      <c r="L258" s="276" t="inlineStr">
        <is>
          <t>Подтвердить: шпиндель 20Х13, наплавка 20Х13 (или 07Х25Н13 где указано), ТРГ.</t>
        </is>
      </c>
    </row>
    <row r="259">
      <c r="A259" s="276" t="inlineStr">
        <is>
          <t>1.6/47</t>
        </is>
      </c>
      <c r="B259" s="276" t="inlineStr">
        <is>
          <t>Задвижка 30ч6бр Ду 50 Ру 10</t>
        </is>
      </c>
      <c r="C259" s="276" t="n">
        <v>9</v>
      </c>
      <c r="D259" s="276" t="inlineStr">
        <is>
          <t>завод вместо ДН.РУ</t>
        </is>
      </c>
      <c r="E259" s="276" t="inlineStr">
        <is>
          <t>ООО ПИК «АЛГРУПП»</t>
        </is>
      </c>
      <c r="F259" s="276" t="inlineStr">
        <is>
          <t>8-800-200-52-76 info@pik-algrupp.ru</t>
        </is>
      </c>
      <c r="G259" s="276" t="inlineStr">
        <is>
          <t>Задвижка чугунная параллельная литая PN 0,6-1,6 МПа DN 50-400 мм</t>
        </is>
      </c>
      <c r="H259" s="276" t="inlineStr">
        <is>
          <t>ООО ПИК «АЛГРУПП»</t>
        </is>
      </c>
      <c r="I259" s="276" t="inlineStr">
        <is>
          <t>10716626</t>
        </is>
      </c>
      <c r="J259" s="276" t="inlineStr">
        <is>
          <t>16.10.2030</t>
        </is>
      </c>
      <c r="K259" s="276" t="inlineStr">
        <is>
          <t>не проверено построчно</t>
        </is>
      </c>
      <c r="L259" s="276" t="inlineStr"/>
    </row>
    <row r="260">
      <c r="A260" s="276" t="inlineStr">
        <is>
          <t>1.6/48</t>
        </is>
      </c>
      <c r="B260" s="276" t="inlineStr">
        <is>
          <t>Задвижка 30ч6бр Ду 80 Ру 10</t>
        </is>
      </c>
      <c r="C260" s="276" t="n">
        <v>3</v>
      </c>
      <c r="D260" s="276" t="inlineStr">
        <is>
          <t>завод вместо ДН.РУ</t>
        </is>
      </c>
      <c r="E260" s="276" t="inlineStr">
        <is>
          <t>ООО ПИК «АЛГРУПП»</t>
        </is>
      </c>
      <c r="F260" s="276" t="inlineStr">
        <is>
          <t>8-800-200-52-76 info@pik-algrupp.ru</t>
        </is>
      </c>
      <c r="G260" s="276" t="inlineStr">
        <is>
          <t>Задвижка чугунная параллельная литая PN 0,6-1,6 МПа DN 50-400 мм</t>
        </is>
      </c>
      <c r="H260" s="276" t="inlineStr">
        <is>
          <t>ООО ПИК «АЛГРУПП»</t>
        </is>
      </c>
      <c r="I260" s="276" t="inlineStr">
        <is>
          <t>10716626</t>
        </is>
      </c>
      <c r="J260" s="276" t="inlineStr">
        <is>
          <t>16.10.2030</t>
        </is>
      </c>
      <c r="K260" s="276" t="inlineStr">
        <is>
          <t>не проверено построчно</t>
        </is>
      </c>
      <c r="L260" s="276" t="inlineStr"/>
    </row>
    <row r="261">
      <c r="A261" s="276" t="inlineStr">
        <is>
          <t>1.6/49</t>
        </is>
      </c>
      <c r="B261" s="276" t="inlineStr">
        <is>
          <t>Задвижка 30ч6бр Ду 100 Ру 10</t>
        </is>
      </c>
      <c r="C261" s="276" t="n">
        <v>3</v>
      </c>
      <c r="D261" s="276" t="inlineStr">
        <is>
          <t>завод вместо ДН.РУ</t>
        </is>
      </c>
      <c r="E261" s="276" t="inlineStr">
        <is>
          <t>ООО ПИК «АЛГРУПП»</t>
        </is>
      </c>
      <c r="F261" s="276" t="inlineStr">
        <is>
          <t>8-800-200-52-76 info@pik-algrupp.ru</t>
        </is>
      </c>
      <c r="G261" s="276" t="inlineStr">
        <is>
          <t>Задвижка чугунная параллельная литая PN 0,6-1,6 МПа DN 50-400 мм</t>
        </is>
      </c>
      <c r="H261" s="276" t="inlineStr">
        <is>
          <t>ООО ПИК «АЛГРУПП»</t>
        </is>
      </c>
      <c r="I261" s="276" t="inlineStr">
        <is>
          <t>10716626</t>
        </is>
      </c>
      <c r="J261" s="276" t="inlineStr">
        <is>
          <t>16.10.2030</t>
        </is>
      </c>
      <c r="K261" s="276" t="inlineStr">
        <is>
          <t>не проверено построчно</t>
        </is>
      </c>
      <c r="L261" s="276" t="inlineStr"/>
    </row>
    <row r="262">
      <c r="A262" s="276" t="inlineStr">
        <is>
          <t>1.6/50</t>
        </is>
      </c>
      <c r="B262" s="276" t="inlineStr">
        <is>
          <t>Кран шаровой 11б27п(м) Ду 015 Ру16 3-х ходовой для манометров</t>
        </is>
      </c>
      <c r="C262" s="276" t="n">
        <v>132</v>
      </c>
      <c r="D262" s="276" t="inlineStr">
        <is>
          <t>текущий поставщик (номера записи нет)</t>
        </is>
      </c>
      <c r="E262" s="276" t="inlineStr">
        <is>
          <t>КИПИКА (прайс 01.10)</t>
        </is>
      </c>
      <c r="F262" s="276" t="inlineStr">
        <is>
          <t>+7 (8412) 909-200 b18bk@11b18bk.ru</t>
        </is>
      </c>
      <c r="G262" s="276" t="inlineStr">
        <is>
          <t>Кран шаровый трёхходовой для манометра 11б27пм.1 Ру16 Ду15 G1/2×M20×1,5 (арт. 021011011)</t>
        </is>
      </c>
      <c r="H262" s="276" t="inlineStr"/>
      <c r="I262" s="276" t="inlineStr"/>
      <c r="J262" s="276" t="inlineStr"/>
      <c r="K262" s="276" t="inlineStr">
        <is>
          <t>нет записи ПП 719 — не проходит нацрежим</t>
        </is>
      </c>
      <c r="L262" s="276" t="inlineStr">
        <is>
          <t>изготовитель и № записи ПП 719 или российская замена</t>
        </is>
      </c>
    </row>
    <row r="263">
      <c r="A263" s="276" t="inlineStr">
        <is>
          <t>1.6/51</t>
        </is>
      </c>
      <c r="B263" s="276" t="inlineStr">
        <is>
          <t>Кран шаровой 11б27п1 Ду 15 Ру 16</t>
        </is>
      </c>
      <c r="C263" s="276" t="n">
        <v>47</v>
      </c>
      <c r="D263" s="276" t="inlineStr">
        <is>
          <t>завод (новый запрос КП)</t>
        </is>
      </c>
      <c r="E263" s="276" t="inlineStr">
        <is>
          <t>ООО «ЧелябинскСпецГражданСтрой» / ЛД Прайд (Группа компаний «ЛД», ТМ LD, LD Pride); продажи — ООО «ТД «ЛД»</t>
        </is>
      </c>
      <c r="F263" s="276" t="inlineStr">
        <is>
          <t>+7 (351) 730-47-47 office@chsgs.ru</t>
        </is>
      </c>
      <c r="G263" s="276" t="inlineStr">
        <is>
          <t>LD Pride 47 Ду15 ВР-ВР рычаг (латунь ЛС59-1)</t>
        </is>
      </c>
      <c r="H263" s="276" t="inlineStr">
        <is>
          <t>ООО «ЛД Прайд» (ИНН 7449114775)</t>
        </is>
      </c>
      <c r="I263" s="276" t="inlineStr">
        <is>
          <t>10826766</t>
        </is>
      </c>
      <c r="J263" s="276" t="inlineStr">
        <is>
          <t>04.05.2031</t>
        </is>
      </c>
      <c r="K263" s="276" t="inlineStr">
        <is>
          <t>не подтверждено</t>
        </is>
      </c>
      <c r="L263" s="276" t="inlineStr">
        <is>
          <t>Подтвердить полный проход, исполнение У1 (для улицы), применимость на пар (где указан).</t>
        </is>
      </c>
    </row>
    <row r="264">
      <c r="A264" s="276" t="inlineStr">
        <is>
          <t>1.6/52</t>
        </is>
      </c>
      <c r="B264" s="276" t="inlineStr">
        <is>
          <t>Кран шаровой 11б27п1 Ду 20 Ру 16</t>
        </is>
      </c>
      <c r="C264" s="276" t="n">
        <v>63</v>
      </c>
      <c r="D264" s="276" t="inlineStr">
        <is>
          <t>завод (новый запрос КП)</t>
        </is>
      </c>
      <c r="E264" s="276" t="inlineStr">
        <is>
          <t>ООО «ЧелябинскСпецГражданСтрой» / ЛД Прайд (Группа компаний «ЛД», ТМ LD, LD Pride); продажи — ООО «ТД «ЛД»</t>
        </is>
      </c>
      <c r="F264" s="276" t="inlineStr">
        <is>
          <t>+7 (351) 730-47-47 office@chsgs.ru</t>
        </is>
      </c>
      <c r="G264" s="276" t="inlineStr">
        <is>
          <t>LD Pride 47 Ду20 ВР-ВР рычаг (латунь ЛС59-1)</t>
        </is>
      </c>
      <c r="H264" s="276" t="inlineStr">
        <is>
          <t>ООО «ЛД Прайд» (ИНН 7449114775)</t>
        </is>
      </c>
      <c r="I264" s="276" t="inlineStr">
        <is>
          <t>10826766</t>
        </is>
      </c>
      <c r="J264" s="276" t="inlineStr">
        <is>
          <t>04.05.2031</t>
        </is>
      </c>
      <c r="K264" s="276" t="inlineStr">
        <is>
          <t>не подтверждено</t>
        </is>
      </c>
      <c r="L264" s="276" t="inlineStr">
        <is>
          <t>Подтвердить полный проход, исполнение У1 (для улицы), применимость на пар (где указан).</t>
        </is>
      </c>
    </row>
    <row r="265">
      <c r="A265" s="276" t="inlineStr">
        <is>
          <t>1.6/53</t>
        </is>
      </c>
      <c r="B265" s="276" t="inlineStr">
        <is>
          <t>Кран шаровой 11б27п1 Ду 25 Ру 16</t>
        </is>
      </c>
      <c r="C265" s="276" t="n">
        <v>40</v>
      </c>
      <c r="D265" s="276" t="inlineStr">
        <is>
          <t>завод (новый запрос КП)</t>
        </is>
      </c>
      <c r="E265" s="276" t="inlineStr">
        <is>
          <t>ООО «ЧелябинскСпецГражданСтрой» / ЛД Прайд (Группа компаний «ЛД», ТМ LD, LD Pride); продажи — ООО «ТД «ЛД»</t>
        </is>
      </c>
      <c r="F265" s="276" t="inlineStr">
        <is>
          <t>+7 (351) 730-47-47 office@chsgs.ru</t>
        </is>
      </c>
      <c r="G265" s="276" t="inlineStr">
        <is>
          <t>LD Pride 47 Ду25 ВР-ВР рычаг (латунь ЛС59-1)</t>
        </is>
      </c>
      <c r="H265" s="276" t="inlineStr">
        <is>
          <t>ООО «ЛД Прайд» (ИНН 7449114775)</t>
        </is>
      </c>
      <c r="I265" s="276" t="inlineStr">
        <is>
          <t>10826766</t>
        </is>
      </c>
      <c r="J265" s="276" t="inlineStr">
        <is>
          <t>04.05.2031</t>
        </is>
      </c>
      <c r="K265" s="276" t="inlineStr">
        <is>
          <t>не подтверждено</t>
        </is>
      </c>
      <c r="L265" s="276" t="inlineStr">
        <is>
          <t>Подтвердить полный проход, исполнение У1 (для улицы), применимость на пар (где указан).</t>
        </is>
      </c>
    </row>
    <row r="266">
      <c r="A266" s="276" t="inlineStr">
        <is>
          <t>1.6/54</t>
        </is>
      </c>
      <c r="B266" s="276" t="inlineStr">
        <is>
          <t>Кран шаровой 11б27п1 Ду 32 Ру 16</t>
        </is>
      </c>
      <c r="C266" s="276" t="n">
        <v>77</v>
      </c>
      <c r="D266" s="276" t="inlineStr">
        <is>
          <t>завод (новый запрос КП)</t>
        </is>
      </c>
      <c r="E266" s="276" t="inlineStr">
        <is>
          <t>ООО «ЧелябинскСпецГражданСтрой» / ЛД Прайд (Группа компаний «ЛД», ТМ LD, LD Pride); продажи — ООО «ТД «ЛД»</t>
        </is>
      </c>
      <c r="F266" s="276" t="inlineStr">
        <is>
          <t>+7 (351) 730-47-47 office@chsgs.ru</t>
        </is>
      </c>
      <c r="G266" s="276" t="inlineStr">
        <is>
          <t>LD Pride 47 Ду32 ВР-ВР рычаг (латунь ЛС59-1)</t>
        </is>
      </c>
      <c r="H266" s="276" t="inlineStr">
        <is>
          <t>ООО «ЛД Прайд» (ИНН 7449114775)</t>
        </is>
      </c>
      <c r="I266" s="276" t="inlineStr">
        <is>
          <t>10826766</t>
        </is>
      </c>
      <c r="J266" s="276" t="inlineStr">
        <is>
          <t>04.05.2031</t>
        </is>
      </c>
      <c r="K266" s="276" t="inlineStr">
        <is>
          <t>не подтверждено</t>
        </is>
      </c>
      <c r="L266" s="276" t="inlineStr">
        <is>
          <t>Подтвердить полный проход, исполнение У1 (для улицы), применимость на пар (где указан).</t>
        </is>
      </c>
    </row>
    <row r="267">
      <c r="A267" s="276" t="inlineStr">
        <is>
          <t>1.6/55</t>
        </is>
      </c>
      <c r="B267" s="276" t="inlineStr">
        <is>
          <t>Кран шаровой 11б27п1 Ду 40 Ру 16</t>
        </is>
      </c>
      <c r="C267" s="276" t="n">
        <v>2</v>
      </c>
      <c r="D267" s="276" t="inlineStr">
        <is>
          <t>завод (новый запрос КП)</t>
        </is>
      </c>
      <c r="E267" s="276" t="inlineStr">
        <is>
          <t>ООО «ЧелябинскСпецГражданСтрой» / ЛД Прайд (Группа компаний «ЛД», ТМ LD, LD Pride); продажи — ООО «ТД «ЛД»</t>
        </is>
      </c>
      <c r="F267" s="276" t="inlineStr">
        <is>
          <t>+7 (351) 730-47-47 office@chsgs.ru</t>
        </is>
      </c>
      <c r="G267" s="276" t="inlineStr">
        <is>
          <t>LD Pride 47 Ду40 ВР-ВР рычаг (латунь ЛС59-1)</t>
        </is>
      </c>
      <c r="H267" s="276" t="inlineStr">
        <is>
          <t>ООО «ЛД Прайд» (ИНН 7449114775)</t>
        </is>
      </c>
      <c r="I267" s="276" t="inlineStr">
        <is>
          <t>10826766</t>
        </is>
      </c>
      <c r="J267" s="276" t="inlineStr">
        <is>
          <t>04.05.2031</t>
        </is>
      </c>
      <c r="K267" s="276" t="inlineStr">
        <is>
          <t>не подтверждено</t>
        </is>
      </c>
      <c r="L267" s="276" t="inlineStr">
        <is>
          <t>Подтвердить полный проход, исполнение У1 (для улицы), применимость на пар (где указан).</t>
        </is>
      </c>
    </row>
    <row r="268">
      <c r="A268" s="276" t="inlineStr">
        <is>
          <t>1.6/56</t>
        </is>
      </c>
      <c r="B268" s="276" t="inlineStr">
        <is>
          <t>Кран шаровой 11б27п1 Ду 50 Ру 16</t>
        </is>
      </c>
      <c r="C268" s="276" t="n">
        <v>6</v>
      </c>
      <c r="D268" s="276" t="inlineStr">
        <is>
          <t>завод (новый запрос КП)</t>
        </is>
      </c>
      <c r="E268" s="276" t="inlineStr">
        <is>
          <t>ООО «ЧелябинскСпецГражданСтрой» / ЛД Прайд (Группа компаний «ЛД», ТМ LD, LD Pride); продажи — ООО «ТД «ЛД»</t>
        </is>
      </c>
      <c r="F268" s="276" t="inlineStr">
        <is>
          <t>+7 (351) 730-47-47 office@chsgs.ru</t>
        </is>
      </c>
      <c r="G268" s="276" t="inlineStr">
        <is>
          <t>LD Pride 47 Ду50 ВР-ВР рычаг (латунь ЛС59-1)</t>
        </is>
      </c>
      <c r="H268" s="276" t="inlineStr">
        <is>
          <t>ООО «ЛД Прайд» (ИНН 7449114775)</t>
        </is>
      </c>
      <c r="I268" s="276" t="inlineStr">
        <is>
          <t>10826766</t>
        </is>
      </c>
      <c r="J268" s="276" t="inlineStr">
        <is>
          <t>04.05.2031</t>
        </is>
      </c>
      <c r="K268" s="276" t="inlineStr">
        <is>
          <t>не подтверждено</t>
        </is>
      </c>
      <c r="L268" s="276" t="inlineStr">
        <is>
          <t>Подтвердить полный проход, исполнение У1 (для улицы), применимость на пар (где указан).</t>
        </is>
      </c>
    </row>
    <row r="269">
      <c r="A269" s="276" t="inlineStr">
        <is>
          <t>1.6/57</t>
        </is>
      </c>
      <c r="B269" s="276" t="inlineStr">
        <is>
          <t>Кран шаровой 11с22п Ду 32 Ру 16</t>
        </is>
      </c>
      <c r="C269" s="276" t="n">
        <v>55</v>
      </c>
      <c r="D269" s="276" t="inlineStr">
        <is>
          <t>завод (новый запрос КП)</t>
        </is>
      </c>
      <c r="E269" s="276" t="inlineStr">
        <is>
          <t>ООО «ЧелябинскСпецГражданСтрой» / ЛД Прайд (Группа компаний «ЛД», ТМ LD, LD Pride); продажи — ООО «ТД «ЛД»</t>
        </is>
      </c>
      <c r="F269" s="276" t="inlineStr">
        <is>
          <t>+7 (351) 730-47-47 office@chsgs.ru</t>
        </is>
      </c>
      <c r="G269" s="276" t="inlineStr">
        <is>
          <t>LD КШЦФ ст.20 Ду32 Н/П PN16(40) (аналог 11с22п)</t>
        </is>
      </c>
      <c r="H269" s="276" t="inlineStr">
        <is>
          <t>ООО «ЧелябинскСпецГражданСтрой» (ИНН 7451211335)</t>
        </is>
      </c>
      <c r="I269" s="276" t="inlineStr">
        <is>
          <t>10655491</t>
        </is>
      </c>
      <c r="J269" s="276" t="inlineStr">
        <is>
          <t>30.06.2028</t>
        </is>
      </c>
      <c r="K269" s="276" t="inlineStr">
        <is>
          <t>не подтверждено</t>
        </is>
      </c>
      <c r="L269" s="276" t="inlineStr">
        <is>
          <t>Подтвердить письменно применимость на газ/пар при Т по ТЗ.</t>
        </is>
      </c>
    </row>
    <row r="270">
      <c r="A270" s="276" t="inlineStr">
        <is>
          <t>1.6/58</t>
        </is>
      </c>
      <c r="B270" s="276" t="inlineStr">
        <is>
          <t>Кран шаровой 11с22п Ду 50 Ру 16</t>
        </is>
      </c>
      <c r="C270" s="276" t="n">
        <v>35</v>
      </c>
      <c r="D270" s="276" t="inlineStr">
        <is>
          <t>завод (новый запрос КП)</t>
        </is>
      </c>
      <c r="E270" s="276" t="inlineStr">
        <is>
          <t>ООО «ЧелябинскСпецГражданСтрой» / ЛД Прайд (Группа компаний «ЛД», ТМ LD, LD Pride); продажи — ООО «ТД «ЛД»</t>
        </is>
      </c>
      <c r="F270" s="276" t="inlineStr">
        <is>
          <t>+7 (351) 730-47-47 office@chsgs.ru</t>
        </is>
      </c>
      <c r="G270" s="276" t="inlineStr">
        <is>
          <t>LD КШЦФ ст.20 Ду50 Н/П PN16(40) (аналог 11с22п)</t>
        </is>
      </c>
      <c r="H270" s="276" t="inlineStr">
        <is>
          <t>ООО «ЧелябинскСпецГражданСтрой» (ИНН 7451211335)</t>
        </is>
      </c>
      <c r="I270" s="276" t="inlineStr">
        <is>
          <t>10655491</t>
        </is>
      </c>
      <c r="J270" s="276" t="inlineStr">
        <is>
          <t>30.06.2028</t>
        </is>
      </c>
      <c r="K270" s="276" t="inlineStr">
        <is>
          <t>не подтверждено</t>
        </is>
      </c>
      <c r="L270" s="276" t="inlineStr">
        <is>
          <t>Подтвердить письменно применимость на газ/пар при Т по ТЗ.</t>
        </is>
      </c>
    </row>
    <row r="271">
      <c r="A271" s="276" t="inlineStr">
        <is>
          <t>1.6/59</t>
        </is>
      </c>
      <c r="B271" s="276" t="inlineStr">
        <is>
          <t>Кран шаровой 11с22п Ду 80 Ру 16</t>
        </is>
      </c>
      <c r="C271" s="276" t="n">
        <v>24</v>
      </c>
      <c r="D271" s="276" t="inlineStr">
        <is>
          <t>завод (новый запрос КП)</t>
        </is>
      </c>
      <c r="E271" s="276" t="inlineStr">
        <is>
          <t>ООО «ЧелябинскСпецГражданСтрой» / ЛД Прайд (Группа компаний «ЛД», ТМ LD, LD Pride); продажи — ООО «ТД «ЛД»</t>
        </is>
      </c>
      <c r="F271" s="276" t="inlineStr">
        <is>
          <t>+7 (351) 730-47-47 office@chsgs.ru</t>
        </is>
      </c>
      <c r="G271" s="276" t="inlineStr">
        <is>
          <t>LD КШЦФ ст.20 Ду80 Н/П PN16(40) (аналог 11с22п)</t>
        </is>
      </c>
      <c r="H271" s="276" t="inlineStr">
        <is>
          <t>ООО «ЧелябинскСпецГражданСтрой» (ИНН 7451211335)</t>
        </is>
      </c>
      <c r="I271" s="276" t="inlineStr">
        <is>
          <t>10655491</t>
        </is>
      </c>
      <c r="J271" s="276" t="inlineStr">
        <is>
          <t>30.06.2028</t>
        </is>
      </c>
      <c r="K271" s="276" t="inlineStr">
        <is>
          <t>не подтверждено</t>
        </is>
      </c>
      <c r="L271" s="276" t="inlineStr">
        <is>
          <t>Подтвердить письменно применимость на газ/пар при Т по ТЗ.</t>
        </is>
      </c>
    </row>
    <row r="272">
      <c r="A272" s="276" t="inlineStr">
        <is>
          <t>1.6/60</t>
        </is>
      </c>
      <c r="B272" s="276" t="inlineStr">
        <is>
          <t>Кран шаровой 11с22п Ду 100 Ру 16</t>
        </is>
      </c>
      <c r="C272" s="276" t="n">
        <v>27</v>
      </c>
      <c r="D272" s="276" t="inlineStr">
        <is>
          <t>завод (новый запрос КП)</t>
        </is>
      </c>
      <c r="E272" s="276" t="inlineStr">
        <is>
          <t>ООО «ЧелябинскСпецГражданСтрой» / ЛД Прайд (Группа компаний «ЛД», ТМ LD, LD Pride); продажи — ООО «ТД «ЛД»</t>
        </is>
      </c>
      <c r="F272" s="276" t="inlineStr">
        <is>
          <t>+7 (351) 730-47-47 office@chsgs.ru</t>
        </is>
      </c>
      <c r="G272" s="276" t="inlineStr">
        <is>
          <t>LD КШЦФ ст.20 Ду100 Н/П PN16(40) (аналог 11с22п)</t>
        </is>
      </c>
      <c r="H272" s="276" t="inlineStr">
        <is>
          <t>ООО «ЧелябинскСпецГражданСтрой» (ИНН 7451211335)</t>
        </is>
      </c>
      <c r="I272" s="276" t="inlineStr">
        <is>
          <t>10655491</t>
        </is>
      </c>
      <c r="J272" s="276" t="inlineStr">
        <is>
          <t>30.06.2028</t>
        </is>
      </c>
      <c r="K272" s="276" t="inlineStr">
        <is>
          <t>не подтверждено</t>
        </is>
      </c>
      <c r="L272" s="276" t="inlineStr">
        <is>
          <t>Подтвердить письменно применимость на газ/пар при Т по ТЗ.</t>
        </is>
      </c>
    </row>
    <row r="273">
      <c r="A273" s="276" t="inlineStr">
        <is>
          <t>1.6/61</t>
        </is>
      </c>
      <c r="B273" s="276" t="inlineStr">
        <is>
          <t>Кран шаровой 11с22п Ду 150 Ру 16</t>
        </is>
      </c>
      <c r="C273" s="276" t="n">
        <v>13</v>
      </c>
      <c r="D273" s="276" t="inlineStr">
        <is>
          <t>завод (новый запрос КП)</t>
        </is>
      </c>
      <c r="E273" s="276" t="inlineStr">
        <is>
          <t>ООО «ЧелябинскСпецГражданСтрой» / ЛД Прайд (Группа компаний «ЛД», ТМ LD, LD Pride); продажи — ООО «ТД «ЛД»</t>
        </is>
      </c>
      <c r="F273" s="276" t="inlineStr">
        <is>
          <t>+7 (351) 730-47-47 office@chsgs.ru</t>
        </is>
      </c>
      <c r="G273" s="276" t="inlineStr">
        <is>
          <t>LD КШЦФ ст.20 Ду150 Н/П PN16(40) (аналог 11с22п)</t>
        </is>
      </c>
      <c r="H273" s="276" t="inlineStr">
        <is>
          <t>ООО «ЧелябинскСпецГражданСтрой» (ИНН 7451211335)</t>
        </is>
      </c>
      <c r="I273" s="276" t="inlineStr">
        <is>
          <t>10655491</t>
        </is>
      </c>
      <c r="J273" s="276" t="inlineStr">
        <is>
          <t>30.06.2028</t>
        </is>
      </c>
      <c r="K273" s="276" t="inlineStr">
        <is>
          <t>не подтверждено</t>
        </is>
      </c>
      <c r="L273" s="276" t="inlineStr">
        <is>
          <t>Подтвердить письменно применимость на газ/пар при Т по ТЗ.</t>
        </is>
      </c>
    </row>
    <row r="274">
      <c r="A274" s="276" t="inlineStr">
        <is>
          <t>1.6/62</t>
        </is>
      </c>
      <c r="B274" s="276" t="inlineStr">
        <is>
          <t>Кран шаровой 11с22п Ду 200 Ру 16</t>
        </is>
      </c>
      <c r="C274" s="276" t="n">
        <v>3</v>
      </c>
      <c r="D274" s="276" t="inlineStr">
        <is>
          <t>завод (новый запрос КП)</t>
        </is>
      </c>
      <c r="E274" s="276" t="inlineStr">
        <is>
          <t>ООО «ЧелябинскСпецГражданСтрой» / ЛД Прайд (Группа компаний «ЛД», ТМ LD, LD Pride); продажи — ООО «ТД «ЛД»</t>
        </is>
      </c>
      <c r="F274" s="276" t="inlineStr">
        <is>
          <t>+7 (351) 730-47-47 office@chsgs.ru</t>
        </is>
      </c>
      <c r="G274" s="276" t="inlineStr">
        <is>
          <t>LD КШЦФ ст.20 Ду200 Н/П PN16(40) (аналог 11с22п)</t>
        </is>
      </c>
      <c r="H274" s="276" t="inlineStr">
        <is>
          <t>ООО «ЧелябинскСпецГражданСтрой» (ИНН 7451211335)</t>
        </is>
      </c>
      <c r="I274" s="276" t="inlineStr">
        <is>
          <t>10655491</t>
        </is>
      </c>
      <c r="J274" s="276" t="inlineStr">
        <is>
          <t>30.06.2028</t>
        </is>
      </c>
      <c r="K274" s="276" t="inlineStr">
        <is>
          <t>не подтверждено</t>
        </is>
      </c>
      <c r="L274" s="276" t="inlineStr">
        <is>
          <t>Подтвердить письменно применимость на газ/пар при Т по ТЗ.</t>
        </is>
      </c>
    </row>
    <row r="275">
      <c r="A275" s="276" t="inlineStr">
        <is>
          <t>1.6/63</t>
        </is>
      </c>
      <c r="B275" s="276" t="inlineStr">
        <is>
          <t>Кран запорный шаровой 11С67П Ду 100 Ру 16</t>
        </is>
      </c>
      <c r="C275" s="276" t="n">
        <v>25</v>
      </c>
      <c r="D275" s="276" t="inlineStr">
        <is>
          <t>завод (новый запрос КП)</t>
        </is>
      </c>
      <c r="E275" s="276" t="inlineStr">
        <is>
          <t>ООО «ЧелябинскСпецГражданСтрой» / ЛД Прайд (Группа компаний «ЛД», ТМ LD, LD Pride); продажи — ООО «ТД «ЛД»</t>
        </is>
      </c>
      <c r="F275" s="276" t="inlineStr">
        <is>
          <t>+7 (351) 730-47-47 office@chsgs.ru</t>
        </is>
      </c>
      <c r="G275" s="276" t="inlineStr">
        <is>
          <t>LD КШЦФ ст.20 Ду100 Н/П PN16(40) (аналог 11С67П)</t>
        </is>
      </c>
      <c r="H275" s="276" t="inlineStr">
        <is>
          <t>ООО «ЧелябинскСпецГражданСтрой» (ИНН 7451211335)</t>
        </is>
      </c>
      <c r="I275" s="276" t="inlineStr">
        <is>
          <t>10655491</t>
        </is>
      </c>
      <c r="J275" s="276" t="inlineStr">
        <is>
          <t>30.06.2028</t>
        </is>
      </c>
      <c r="K275" s="276" t="inlineStr">
        <is>
          <t>не подтверждено</t>
        </is>
      </c>
      <c r="L275" s="276" t="inlineStr">
        <is>
          <t>Подтвердить письменно применимость на газ/пар при Т по ТЗ.</t>
        </is>
      </c>
    </row>
    <row r="276">
      <c r="A276" s="276" t="inlineStr">
        <is>
          <t>1.6/64</t>
        </is>
      </c>
      <c r="B276" s="276" t="inlineStr">
        <is>
          <t>Кран запорный шаровой 11С67П Ду 150 Ру 16</t>
        </is>
      </c>
      <c r="C276" s="276" t="n">
        <v>9</v>
      </c>
      <c r="D276" s="276" t="inlineStr">
        <is>
          <t>завод (новый запрос КП)</t>
        </is>
      </c>
      <c r="E276" s="276" t="inlineStr">
        <is>
          <t>ООО «ЧелябинскСпецГражданСтрой» / ЛД Прайд (Группа компаний «ЛД», ТМ LD, LD Pride); продажи — ООО «ТД «ЛД»</t>
        </is>
      </c>
      <c r="F276" s="276" t="inlineStr">
        <is>
          <t>+7 (351) 730-47-47 office@chsgs.ru</t>
        </is>
      </c>
      <c r="G276" s="276" t="inlineStr">
        <is>
          <t>LD КШЦФ ст.20 Ду150 Н/П PN16(40) (аналог 11С67П)</t>
        </is>
      </c>
      <c r="H276" s="276" t="inlineStr">
        <is>
          <t>ООО «ЧелябинскСпецГражданСтрой» (ИНН 7451211335)</t>
        </is>
      </c>
      <c r="I276" s="276" t="inlineStr">
        <is>
          <t>10655491</t>
        </is>
      </c>
      <c r="J276" s="276" t="inlineStr">
        <is>
          <t>30.06.2028</t>
        </is>
      </c>
      <c r="K276" s="276" t="inlineStr">
        <is>
          <t>не подтверждено</t>
        </is>
      </c>
      <c r="L276" s="276" t="inlineStr">
        <is>
          <t>Подтвердить письменно применимость на газ/пар при Т по ТЗ.</t>
        </is>
      </c>
    </row>
    <row r="277">
      <c r="A277" s="276" t="inlineStr">
        <is>
          <t>1.6/65</t>
        </is>
      </c>
      <c r="B277" s="276" t="inlineStr">
        <is>
          <t>Кран запорный шаровой 11С67П Ду 200 Ру 16</t>
        </is>
      </c>
      <c r="C277" s="276" t="n">
        <v>2</v>
      </c>
      <c r="D277" s="276" t="inlineStr">
        <is>
          <t>завод (новый запрос КП)</t>
        </is>
      </c>
      <c r="E277" s="276" t="inlineStr">
        <is>
          <t>ООО «ЧелябинскСпецГражданСтрой» / ЛД Прайд (Группа компаний «ЛД», ТМ LD, LD Pride); продажи — ООО «ТД «ЛД»</t>
        </is>
      </c>
      <c r="F277" s="276" t="inlineStr">
        <is>
          <t>+7 (351) 730-47-47 office@chsgs.ru</t>
        </is>
      </c>
      <c r="G277" s="276" t="inlineStr">
        <is>
          <t>LD КШЦФ ст.20 Ду200 Н/П PN16(40) (аналог 11С67П)</t>
        </is>
      </c>
      <c r="H277" s="276" t="inlineStr">
        <is>
          <t>ООО «ЧелябинскСпецГражданСтрой» (ИНН 7451211335)</t>
        </is>
      </c>
      <c r="I277" s="276" t="inlineStr">
        <is>
          <t>10655491</t>
        </is>
      </c>
      <c r="J277" s="276" t="inlineStr">
        <is>
          <t>30.06.2028</t>
        </is>
      </c>
      <c r="K277" s="276" t="inlineStr">
        <is>
          <t>не подтверждено</t>
        </is>
      </c>
      <c r="L277" s="276" t="inlineStr">
        <is>
          <t>Подтвердить письменно применимость на газ/пар при Т по ТЗ.</t>
        </is>
      </c>
    </row>
    <row r="278">
      <c r="A278" s="276" t="inlineStr">
        <is>
          <t>1.6/66</t>
        </is>
      </c>
      <c r="B278" s="276" t="inlineStr">
        <is>
          <t>Кран запорный шаровой 11С67П Ду 50 Ру 16</t>
        </is>
      </c>
      <c r="C278" s="276" t="n">
        <v>25</v>
      </c>
      <c r="D278" s="276" t="inlineStr">
        <is>
          <t>завод (новый запрос КП)</t>
        </is>
      </c>
      <c r="E278" s="276" t="inlineStr">
        <is>
          <t>ООО «ЧелябинскСпецГражданСтрой» / ЛД Прайд (Группа компаний «ЛД», ТМ LD, LD Pride); продажи — ООО «ТД «ЛД»</t>
        </is>
      </c>
      <c r="F278" s="276" t="inlineStr">
        <is>
          <t>+7 (351) 730-47-47 office@chsgs.ru</t>
        </is>
      </c>
      <c r="G278" s="276" t="inlineStr">
        <is>
          <t>LD КШЦФ ст.20 Ду50 Н/П PN16(40) (аналог 11С67П)</t>
        </is>
      </c>
      <c r="H278" s="276" t="inlineStr">
        <is>
          <t>ООО «ЧелябинскСпецГражданСтрой» (ИНН 7451211335)</t>
        </is>
      </c>
      <c r="I278" s="276" t="inlineStr">
        <is>
          <t>10655491</t>
        </is>
      </c>
      <c r="J278" s="276" t="inlineStr">
        <is>
          <t>30.06.2028</t>
        </is>
      </c>
      <c r="K278" s="276" t="inlineStr">
        <is>
          <t>не подтверждено</t>
        </is>
      </c>
      <c r="L278" s="276" t="inlineStr">
        <is>
          <t>Подтвердить письменно применимость на газ/пар при Т по ТЗ.</t>
        </is>
      </c>
    </row>
    <row r="279">
      <c r="A279" s="276" t="inlineStr">
        <is>
          <t>1.6/67</t>
        </is>
      </c>
      <c r="B279" s="276" t="inlineStr">
        <is>
          <t>Кран запорный шаровой 11С67П Ду 80 Ру 16</t>
        </is>
      </c>
      <c r="C279" s="276" t="n">
        <v>22</v>
      </c>
      <c r="D279" s="276" t="inlineStr">
        <is>
          <t>завод (новый запрос КП)</t>
        </is>
      </c>
      <c r="E279" s="276" t="inlineStr">
        <is>
          <t>ООО «ЧелябинскСпецГражданСтрой» / ЛД Прайд (Группа компаний «ЛД», ТМ LD, LD Pride); продажи — ООО «ТД «ЛД»</t>
        </is>
      </c>
      <c r="F279" s="276" t="inlineStr">
        <is>
          <t>+7 (351) 730-47-47 office@chsgs.ru</t>
        </is>
      </c>
      <c r="G279" s="276" t="inlineStr">
        <is>
          <t>LD КШЦФ ст.20 Ду80 Н/П PN16(40) (аналог 11С67П)</t>
        </is>
      </c>
      <c r="H279" s="276" t="inlineStr">
        <is>
          <t>ООО «ЧелябинскСпецГражданСтрой» (ИНН 7451211335)</t>
        </is>
      </c>
      <c r="I279" s="276" t="inlineStr">
        <is>
          <t>10655491</t>
        </is>
      </c>
      <c r="J279" s="276" t="inlineStr">
        <is>
          <t>30.06.2028</t>
        </is>
      </c>
      <c r="K279" s="276" t="inlineStr">
        <is>
          <t>не подтверждено</t>
        </is>
      </c>
      <c r="L279" s="276" t="inlineStr">
        <is>
          <t>Подтвердить письменно применимость на газ/пар при Т по ТЗ.</t>
        </is>
      </c>
    </row>
    <row r="280">
      <c r="A280" s="276" t="inlineStr">
        <is>
          <t>1.6/68</t>
        </is>
      </c>
      <c r="B280" s="276" t="inlineStr">
        <is>
          <t>Кран шаровой 11с67п Ду 25 Ру 25 цельносварной под приварку</t>
        </is>
      </c>
      <c r="C280" s="276" t="n">
        <v>36</v>
      </c>
      <c r="D280" s="276" t="inlineStr">
        <is>
          <t>завод (новый запрос КП)</t>
        </is>
      </c>
      <c r="E280" s="276" t="inlineStr">
        <is>
          <t>ООО «ЧелябинскСпецГражданСтрой» / ЛД Прайд (Группа компаний «ЛД», ТМ LD, LD Pride); продажи — ООО «ТД «ЛД»</t>
        </is>
      </c>
      <c r="F280" s="276" t="inlineStr">
        <is>
          <t>+7 (351) 730-47-47 office@chsgs.ru</t>
        </is>
      </c>
      <c r="G280" s="276" t="inlineStr">
        <is>
          <t>LD КШЦП (КШ.Ц.П) ст.20 Ду25 Н/П PN4,0</t>
        </is>
      </c>
      <c r="H280" s="276" t="inlineStr">
        <is>
          <t>ООО «ЧелябинскСпецГражданСтрой» (ИНН 7451211335)</t>
        </is>
      </c>
      <c r="I280" s="276" t="inlineStr">
        <is>
          <t>10655491</t>
        </is>
      </c>
      <c r="J280" s="276" t="inlineStr">
        <is>
          <t>30.06.2028</t>
        </is>
      </c>
      <c r="K280" s="276" t="inlineStr">
        <is>
          <t>не подтверждено</t>
        </is>
      </c>
      <c r="L280" s="276" t="inlineStr">
        <is>
          <t>Подтвердить письменно применимость на газ/пар при Т по ТЗ.</t>
        </is>
      </c>
    </row>
    <row r="281">
      <c r="A281" s="276" t="inlineStr">
        <is>
          <t>1.6/69</t>
        </is>
      </c>
      <c r="B281" s="276" t="inlineStr">
        <is>
          <t>Кран шаровой 11с67п Ду 32 Ру 25 цельносварной под приварку</t>
        </is>
      </c>
      <c r="C281" s="276" t="n">
        <v>6</v>
      </c>
      <c r="D281" s="276" t="inlineStr">
        <is>
          <t>завод (новый запрос КП)</t>
        </is>
      </c>
      <c r="E281" s="276" t="inlineStr">
        <is>
          <t>ООО «ЧелябинскСпецГражданСтрой» / ЛД Прайд (Группа компаний «ЛД», ТМ LD, LD Pride); продажи — ООО «ТД «ЛД»</t>
        </is>
      </c>
      <c r="F281" s="276" t="inlineStr">
        <is>
          <t>+7 (351) 730-47-47 office@chsgs.ru</t>
        </is>
      </c>
      <c r="G281" s="276" t="inlineStr">
        <is>
          <t>LD КШЦП (КШ.Ц.П) ст.20 Ду32 Н/П PN4,0</t>
        </is>
      </c>
      <c r="H281" s="276" t="inlineStr">
        <is>
          <t>ООО «ЧелябинскСпецГражданСтрой» (ИНН 7451211335)</t>
        </is>
      </c>
      <c r="I281" s="276" t="inlineStr">
        <is>
          <t>10655491</t>
        </is>
      </c>
      <c r="J281" s="276" t="inlineStr">
        <is>
          <t>30.06.2028</t>
        </is>
      </c>
      <c r="K281" s="276" t="inlineStr">
        <is>
          <t>не подтверждено</t>
        </is>
      </c>
      <c r="L281" s="276" t="inlineStr">
        <is>
          <t>Подтвердить письменно применимость на газ/пар при Т по ТЗ.</t>
        </is>
      </c>
    </row>
    <row r="282">
      <c r="A282" s="276" t="inlineStr">
        <is>
          <t>1.6/70</t>
        </is>
      </c>
      <c r="B282" s="276" t="inlineStr">
        <is>
          <t>Кран шаровой 11с67п Ду 40 Ру 25 цельносварной под приварку</t>
        </is>
      </c>
      <c r="C282" s="276" t="n">
        <v>10</v>
      </c>
      <c r="D282" s="276" t="inlineStr">
        <is>
          <t>завод (новый запрос КП)</t>
        </is>
      </c>
      <c r="E282" s="276" t="inlineStr">
        <is>
          <t>ООО «ЧелябинскСпецГражданСтрой» / ЛД Прайд (Группа компаний «ЛД», ТМ LD, LD Pride); продажи — ООО «ТД «ЛД»</t>
        </is>
      </c>
      <c r="F282" s="276" t="inlineStr">
        <is>
          <t>+7 (351) 730-47-47 office@chsgs.ru</t>
        </is>
      </c>
      <c r="G282" s="276" t="inlineStr">
        <is>
          <t>LD КШЦП (КШ.Ц.П) ст.20 Ду40 Н/П PN4,0</t>
        </is>
      </c>
      <c r="H282" s="276" t="inlineStr">
        <is>
          <t>ООО «ЧелябинскСпецГражданСтрой» (ИНН 7451211335)</t>
        </is>
      </c>
      <c r="I282" s="276" t="inlineStr">
        <is>
          <t>10655491</t>
        </is>
      </c>
      <c r="J282" s="276" t="inlineStr">
        <is>
          <t>30.06.2028</t>
        </is>
      </c>
      <c r="K282" s="276" t="inlineStr">
        <is>
          <t>не подтверждено</t>
        </is>
      </c>
      <c r="L282" s="276" t="inlineStr">
        <is>
          <t>Подтвердить письменно применимость на газ/пар при Т по ТЗ.</t>
        </is>
      </c>
    </row>
    <row r="283">
      <c r="A283" s="276" t="inlineStr">
        <is>
          <t>1.6/71</t>
        </is>
      </c>
      <c r="B283" s="276" t="inlineStr">
        <is>
          <t>Кран шаровой 11с67п Ду 20 Ру 25 полнопрох. с КОФ (КЗШС41нж)</t>
        </is>
      </c>
      <c r="C283" s="276" t="n">
        <v>2</v>
      </c>
      <c r="D283" s="276" t="inlineStr">
        <is>
          <t>НЕ ЗАКРЫТО</t>
        </is>
      </c>
      <c r="E283" s="276" t="inlineStr"/>
      <c r="F283" s="276" t="inlineStr"/>
      <c r="G283" s="276" t="inlineStr"/>
      <c r="H283" s="276" t="inlineStr"/>
      <c r="I283" s="276" t="inlineStr"/>
      <c r="J283" s="276" t="inlineStr"/>
      <c r="K283" s="276" t="inlineStr">
        <is>
          <t>нет поставщика с записью ПП 719 и соответствием ТЗ</t>
        </is>
      </c>
      <c r="L283" s="276" t="inlineStr"/>
    </row>
    <row r="284">
      <c r="A284" s="276" t="inlineStr">
        <is>
          <t>1.6/72</t>
        </is>
      </c>
      <c r="B284" s="276" t="inlineStr">
        <is>
          <t>Кран шаровой 11с67п Ду 25 Ру 25 полнопрох. с КОФ (КЗШС41нж)</t>
        </is>
      </c>
      <c r="C284" s="276" t="n">
        <v>9</v>
      </c>
      <c r="D284" s="276" t="inlineStr">
        <is>
          <t>НЕ ЗАКРЫТО</t>
        </is>
      </c>
      <c r="E284" s="276" t="inlineStr"/>
      <c r="F284" s="276" t="inlineStr"/>
      <c r="G284" s="276" t="inlineStr"/>
      <c r="H284" s="276" t="inlineStr"/>
      <c r="I284" s="276" t="inlineStr"/>
      <c r="J284" s="276" t="inlineStr"/>
      <c r="K284" s="276" t="inlineStr">
        <is>
          <t>нет поставщика с записью ПП 719 и соответствием ТЗ</t>
        </is>
      </c>
      <c r="L284" s="276" t="inlineStr"/>
    </row>
    <row r="285">
      <c r="A285" s="276" t="inlineStr">
        <is>
          <t>1.6/73</t>
        </is>
      </c>
      <c r="B285" s="276" t="inlineStr">
        <is>
          <t>Кран шаровой 11с67п Ду 32 Ру 25 полнопрох. с КОФ (КЗШС41нж)</t>
        </is>
      </c>
      <c r="C285" s="276" t="n">
        <v>10</v>
      </c>
      <c r="D285" s="276" t="inlineStr">
        <is>
          <t>НЕ ЗАКРЫТО</t>
        </is>
      </c>
      <c r="E285" s="276" t="inlineStr"/>
      <c r="F285" s="276" t="inlineStr"/>
      <c r="G285" s="276" t="inlineStr"/>
      <c r="H285" s="276" t="inlineStr"/>
      <c r="I285" s="276" t="inlineStr"/>
      <c r="J285" s="276" t="inlineStr"/>
      <c r="K285" s="276" t="inlineStr">
        <is>
          <t>нет поставщика с записью ПП 719 и соответствием ТЗ</t>
        </is>
      </c>
      <c r="L285" s="276" t="inlineStr"/>
    </row>
    <row r="286">
      <c r="A286" s="276" t="inlineStr">
        <is>
          <t>1.6/74</t>
        </is>
      </c>
      <c r="B286" s="276" t="inlineStr">
        <is>
          <t>Кран шаровой 11с67п Ду 40 Ру 25 полнопрох. с КОФ (КЗШС41нж)</t>
        </is>
      </c>
      <c r="C286" s="276" t="n">
        <v>2</v>
      </c>
      <c r="D286" s="276" t="inlineStr">
        <is>
          <t>НЕ ЗАКРЫТО</t>
        </is>
      </c>
      <c r="E286" s="276" t="inlineStr"/>
      <c r="F286" s="276" t="inlineStr"/>
      <c r="G286" s="276" t="inlineStr"/>
      <c r="H286" s="276" t="inlineStr"/>
      <c r="I286" s="276" t="inlineStr"/>
      <c r="J286" s="276" t="inlineStr"/>
      <c r="K286" s="276" t="inlineStr">
        <is>
          <t>нет поставщика с записью ПП 719 и соответствием ТЗ</t>
        </is>
      </c>
      <c r="L286" s="276" t="inlineStr"/>
    </row>
    <row r="287">
      <c r="A287" s="276" t="inlineStr">
        <is>
          <t>1.6/75</t>
        </is>
      </c>
      <c r="B287" s="276" t="inlineStr">
        <is>
          <t>Кран шаровой 11с67п Ду 50 Ру 25 полнопрох. с КОФ (КЗШС41нж)</t>
        </is>
      </c>
      <c r="C287" s="276" t="n">
        <v>9</v>
      </c>
      <c r="D287" s="276" t="inlineStr">
        <is>
          <t>НЕ ЗАКРЫТО</t>
        </is>
      </c>
      <c r="E287" s="276" t="inlineStr"/>
      <c r="F287" s="276" t="inlineStr"/>
      <c r="G287" s="276" t="inlineStr"/>
      <c r="H287" s="276" t="inlineStr"/>
      <c r="I287" s="276" t="inlineStr"/>
      <c r="J287" s="276" t="inlineStr"/>
      <c r="K287" s="276" t="inlineStr">
        <is>
          <t>нет поставщика с записью ПП 719 и соответствием ТЗ</t>
        </is>
      </c>
      <c r="L287" s="276" t="inlineStr"/>
    </row>
    <row r="288">
      <c r="A288" s="276" t="inlineStr">
        <is>
          <t>1.6/76</t>
        </is>
      </c>
      <c r="B288" s="276" t="inlineStr">
        <is>
          <t>Кран шаровой 11с67п Ду 80 Ру 25 полнопрох. с КОФ (КЗШС41нж)</t>
        </is>
      </c>
      <c r="C288" s="276" t="n">
        <v>9</v>
      </c>
      <c r="D288" s="276" t="inlineStr">
        <is>
          <t>НЕ ЗАКРЫТО</t>
        </is>
      </c>
      <c r="E288" s="276" t="inlineStr"/>
      <c r="F288" s="276" t="inlineStr"/>
      <c r="G288" s="276" t="inlineStr"/>
      <c r="H288" s="276" t="inlineStr"/>
      <c r="I288" s="276" t="inlineStr"/>
      <c r="J288" s="276" t="inlineStr"/>
      <c r="K288" s="276" t="inlineStr">
        <is>
          <t>нет поставщика с записью ПП 719 и соответствием ТЗ</t>
        </is>
      </c>
      <c r="L288" s="276" t="inlineStr"/>
    </row>
    <row r="289">
      <c r="A289" s="276" t="inlineStr">
        <is>
          <t>1.6/77</t>
        </is>
      </c>
      <c r="B289" s="276" t="inlineStr">
        <is>
          <t>Кран шаровой 11с67п Ду 100 Ру 16 ЦУФ.001 КШ укороченный полнопроходной фланцевый с рукояткой</t>
        </is>
      </c>
      <c r="C289" s="276" t="n">
        <v>4</v>
      </c>
      <c r="D289" s="276" t="inlineStr">
        <is>
          <t>завод (новый запрос КП)</t>
        </is>
      </c>
      <c r="E289" s="276" t="inlineStr">
        <is>
          <t>ООО «ЧелябинскСпецГражданСтрой» / ЛД Прайд (Группа компаний «ЛД», ТМ LD, LD Pride); продажи — ООО «ТД «ЛД»</t>
        </is>
      </c>
      <c r="F289" s="276" t="inlineStr">
        <is>
          <t>+7 (351) 730-47-47 office@chsgs.ru</t>
        </is>
      </c>
      <c r="G289" s="276" t="inlineStr">
        <is>
          <t>LD 11с67п КШРФ Ду100 П/П PN16</t>
        </is>
      </c>
      <c r="H289" s="276" t="inlineStr">
        <is>
          <t>ООО «ЧелябинскСпецГражданСтрой» (ИНН 7451211335)</t>
        </is>
      </c>
      <c r="I289" s="276" t="inlineStr">
        <is>
          <t>10655491</t>
        </is>
      </c>
      <c r="J289" s="276" t="inlineStr">
        <is>
          <t>30.06.2028</t>
        </is>
      </c>
      <c r="K289" s="276" t="inlineStr">
        <is>
          <t>не подтверждено</t>
        </is>
      </c>
      <c r="L289" s="276" t="inlineStr">
        <is>
          <t>Подтвердить письменно применимость на газ/пар при Т по ТЗ.</t>
        </is>
      </c>
    </row>
    <row r="290">
      <c r="A290" s="276" t="inlineStr">
        <is>
          <t>1.6/78</t>
        </is>
      </c>
      <c r="B290" s="276" t="inlineStr">
        <is>
          <t>Кран шаровой 11с67п Ду 32 Ру 16 ЦУФ.001 КШ укороченный полнопроходной фланцевый с рукояткой</t>
        </is>
      </c>
      <c r="C290" s="276" t="n">
        <v>1</v>
      </c>
      <c r="D290" s="276" t="inlineStr">
        <is>
          <t>завод (новый запрос КП)</t>
        </is>
      </c>
      <c r="E290" s="276" t="inlineStr">
        <is>
          <t>ООО «ЧелябинскСпецГражданСтрой» / ЛД Прайд (Группа компаний «ЛД», ТМ LD, LD Pride); продажи — ООО «ТД «ЛД»</t>
        </is>
      </c>
      <c r="F290" s="276" t="inlineStr">
        <is>
          <t>+7 (351) 730-47-47 office@chsgs.ru</t>
        </is>
      </c>
      <c r="G290" s="276" t="inlineStr">
        <is>
          <t>LD 11с67п КШРФ Ду32 П/П PN16</t>
        </is>
      </c>
      <c r="H290" s="276" t="inlineStr">
        <is>
          <t>ООО «ЧелябинскСпецГражданСтрой» (ИНН 7451211335)</t>
        </is>
      </c>
      <c r="I290" s="276" t="inlineStr">
        <is>
          <t>10655491</t>
        </is>
      </c>
      <c r="J290" s="276" t="inlineStr">
        <is>
          <t>30.06.2028</t>
        </is>
      </c>
      <c r="K290" s="276" t="inlineStr">
        <is>
          <t>не подтверждено</t>
        </is>
      </c>
      <c r="L290" s="276" t="inlineStr">
        <is>
          <t>Подтвердить письменно применимость на газ/пар при Т по ТЗ.</t>
        </is>
      </c>
    </row>
    <row r="291">
      <c r="A291" s="276" t="inlineStr">
        <is>
          <t>1.6/79</t>
        </is>
      </c>
      <c r="B291" s="276" t="inlineStr">
        <is>
          <t>Кран шаровой 11с67п Ду 40 Ру 16 ЦУФ.001 КШ укороченный полнопроходной фланцевый с рукояткой</t>
        </is>
      </c>
      <c r="C291" s="276" t="n">
        <v>1</v>
      </c>
      <c r="D291" s="276" t="inlineStr">
        <is>
          <t>завод (новый запрос КП)</t>
        </is>
      </c>
      <c r="E291" s="276" t="inlineStr">
        <is>
          <t>ООО «ЧелябинскСпецГражданСтрой» / ЛД Прайд (Группа компаний «ЛД», ТМ LD, LD Pride); продажи — ООО «ТД «ЛД»</t>
        </is>
      </c>
      <c r="F291" s="276" t="inlineStr">
        <is>
          <t>+7 (351) 730-47-47 office@chsgs.ru</t>
        </is>
      </c>
      <c r="G291" s="276" t="inlineStr">
        <is>
          <t>LD 11с67п КШРФ Ду40 П/П PN16</t>
        </is>
      </c>
      <c r="H291" s="276" t="inlineStr">
        <is>
          <t>ООО «ЧелябинскСпецГражданСтрой» (ИНН 7451211335)</t>
        </is>
      </c>
      <c r="I291" s="276" t="inlineStr">
        <is>
          <t>10655491</t>
        </is>
      </c>
      <c r="J291" s="276" t="inlineStr">
        <is>
          <t>30.06.2028</t>
        </is>
      </c>
      <c r="K291" s="276" t="inlineStr">
        <is>
          <t>не подтверждено</t>
        </is>
      </c>
      <c r="L291" s="276" t="inlineStr">
        <is>
          <t>Подтвердить письменно применимость на газ/пар при Т по ТЗ.</t>
        </is>
      </c>
    </row>
    <row r="292">
      <c r="A292" s="276" t="inlineStr">
        <is>
          <t>1.6/80</t>
        </is>
      </c>
      <c r="B292" s="276" t="inlineStr">
        <is>
          <t>Кран шаровой 11с67п Ду 50 Ру 16 ЦУФ.001 КШ укороченный полнопроходной фланцевый с рукояткой</t>
        </is>
      </c>
      <c r="C292" s="276" t="n">
        <v>3</v>
      </c>
      <c r="D292" s="276" t="inlineStr">
        <is>
          <t>завод (новый запрос КП)</t>
        </is>
      </c>
      <c r="E292" s="276" t="inlineStr">
        <is>
          <t>ООО «ЧелябинскСпецГражданСтрой» / ЛД Прайд (Группа компаний «ЛД», ТМ LD, LD Pride); продажи — ООО «ТД «ЛД»</t>
        </is>
      </c>
      <c r="F292" s="276" t="inlineStr">
        <is>
          <t>+7 (351) 730-47-47 office@chsgs.ru</t>
        </is>
      </c>
      <c r="G292" s="276" t="inlineStr">
        <is>
          <t>LD 11с67п КШРФ Ду50 П/П PN16</t>
        </is>
      </c>
      <c r="H292" s="276" t="inlineStr">
        <is>
          <t>ООО «ЧелябинскСпецГражданСтрой» (ИНН 7451211335)</t>
        </is>
      </c>
      <c r="I292" s="276" t="inlineStr">
        <is>
          <t>10655491</t>
        </is>
      </c>
      <c r="J292" s="276" t="inlineStr">
        <is>
          <t>30.06.2028</t>
        </is>
      </c>
      <c r="K292" s="276" t="inlineStr">
        <is>
          <t>не подтверждено</t>
        </is>
      </c>
      <c r="L292" s="276" t="inlineStr">
        <is>
          <t>Подтвердить письменно применимость на газ/пар при Т по ТЗ.</t>
        </is>
      </c>
    </row>
    <row r="293">
      <c r="A293" s="276" t="inlineStr">
        <is>
          <t>1.6/81</t>
        </is>
      </c>
      <c r="B293" s="276" t="inlineStr">
        <is>
          <t>Кран шаровой 11с67п Ду 80 Ру 16 ЦУФ.001 КШ укороченный полнопроходной фланцевый с рукояткой</t>
        </is>
      </c>
      <c r="C293" s="276" t="n">
        <v>6</v>
      </c>
      <c r="D293" s="276" t="inlineStr">
        <is>
          <t>завод (новый запрос КП)</t>
        </is>
      </c>
      <c r="E293" s="276" t="inlineStr">
        <is>
          <t>ООО «ЧелябинскСпецГражданСтрой» / ЛД Прайд (Группа компаний «ЛД», ТМ LD, LD Pride); продажи — ООО «ТД «ЛД»</t>
        </is>
      </c>
      <c r="F293" s="276" t="inlineStr">
        <is>
          <t>+7 (351) 730-47-47 office@chsgs.ru</t>
        </is>
      </c>
      <c r="G293" s="276" t="inlineStr">
        <is>
          <t>LD 11с67п КШРФ Ду80 П/П PN16</t>
        </is>
      </c>
      <c r="H293" s="276" t="inlineStr">
        <is>
          <t>ООО «ЧелябинскСпецГражданСтрой» (ИНН 7451211335)</t>
        </is>
      </c>
      <c r="I293" s="276" t="inlineStr">
        <is>
          <t>10655491</t>
        </is>
      </c>
      <c r="J293" s="276" t="inlineStr">
        <is>
          <t>30.06.2028</t>
        </is>
      </c>
      <c r="K293" s="276" t="inlineStr">
        <is>
          <t>не подтверждено</t>
        </is>
      </c>
      <c r="L293" s="276" t="inlineStr">
        <is>
          <t>Подтвердить письменно применимость на газ/пар при Т по ТЗ.</t>
        </is>
      </c>
    </row>
    <row r="294">
      <c r="A294" s="276" t="inlineStr">
        <is>
          <t>1.6/82</t>
        </is>
      </c>
      <c r="B294" s="276" t="inlineStr">
        <is>
          <t>Кран шаровой TEMPER 28020025 муфтовый, Ду 25, Ру 40</t>
        </is>
      </c>
      <c r="C294" s="276" t="n">
        <v>2</v>
      </c>
      <c r="D294" s="276" t="inlineStr">
        <is>
          <t>НЕ ЗАКРЫТО</t>
        </is>
      </c>
      <c r="E294" s="276" t="inlineStr"/>
      <c r="F294" s="276" t="inlineStr"/>
      <c r="G294" s="276" t="inlineStr"/>
      <c r="H294" s="276" t="inlineStr"/>
      <c r="I294" s="276" t="inlineStr"/>
      <c r="J294" s="276" t="inlineStr"/>
      <c r="K294" s="276" t="inlineStr">
        <is>
          <t>нет поставщика с записью ПП 719 и соответствием ТЗ</t>
        </is>
      </c>
      <c r="L294" s="276" t="inlineStr"/>
    </row>
    <row r="295">
      <c r="A295" s="276" t="inlineStr">
        <is>
          <t>1.6/83</t>
        </is>
      </c>
      <c r="B295" s="276" t="inlineStr">
        <is>
          <t>Кран шаровый LD полнопроходной 11с67п КШРФ Ду 100 Ру 16 с КОФ</t>
        </is>
      </c>
      <c r="C295" s="276" t="n">
        <v>3</v>
      </c>
      <c r="D295" s="276" t="inlineStr">
        <is>
          <t>завод (новый запрос КП)</t>
        </is>
      </c>
      <c r="E295" s="276" t="inlineStr">
        <is>
          <t>ООО «ЧелябинскСпецГражданСтрой» / ЛД Прайд (Группа компаний «ЛД», ТМ LD, LD Pride); продажи — ООО «ТД «ЛД»</t>
        </is>
      </c>
      <c r="F295" s="276" t="inlineStr">
        <is>
          <t>+7 (351) 730-47-47 office@chsgs.ru</t>
        </is>
      </c>
      <c r="G295" s="276" t="inlineStr">
        <is>
          <t>LD 11с67п КШРФ Ду100 П/П PN16 с КОФ</t>
        </is>
      </c>
      <c r="H295" s="276" t="inlineStr">
        <is>
          <t>ООО «ЧелябинскСпецГражданСтрой» (ИНН 7451211335)</t>
        </is>
      </c>
      <c r="I295" s="276" t="inlineStr">
        <is>
          <t>10714005</t>
        </is>
      </c>
      <c r="J295" s="276" t="inlineStr">
        <is>
          <t>17.09.2028</t>
        </is>
      </c>
      <c r="K295" s="276" t="inlineStr">
        <is>
          <t>не подтверждено</t>
        </is>
      </c>
      <c r="L295" s="276" t="inlineStr">
        <is>
          <t>Подтвердить поставку с КОФ. Подтвердить письменно применимость на газ/пар при Т по ТЗ.</t>
        </is>
      </c>
    </row>
    <row r="296">
      <c r="A296" s="276" t="inlineStr">
        <is>
          <t>1.6/84</t>
        </is>
      </c>
      <c r="B296" s="276" t="inlineStr">
        <is>
          <t>Кран шаровый LD полнопроходной 11с67п КШРФ Ду 150 Ру 16 с КОФ</t>
        </is>
      </c>
      <c r="C296" s="276" t="n">
        <v>1</v>
      </c>
      <c r="D296" s="276" t="inlineStr">
        <is>
          <t>завод (новый запрос КП)</t>
        </is>
      </c>
      <c r="E296" s="276" t="inlineStr">
        <is>
          <t>ООО «ЧелябинскСпецГражданСтрой» / ЛД Прайд (Группа компаний «ЛД», ТМ LD, LD Pride); продажи — ООО «ТД «ЛД»</t>
        </is>
      </c>
      <c r="F296" s="276" t="inlineStr">
        <is>
          <t>+7 (351) 730-47-47 office@chsgs.ru</t>
        </is>
      </c>
      <c r="G296" s="276" t="inlineStr">
        <is>
          <t>LD 11с67п КШРФ Ду150 П/П PN16 с КОФ</t>
        </is>
      </c>
      <c r="H296" s="276" t="inlineStr">
        <is>
          <t>ООО «ЧелябинскСпецГражданСтрой» (ИНН 7451211335)</t>
        </is>
      </c>
      <c r="I296" s="276" t="inlineStr">
        <is>
          <t>10714005</t>
        </is>
      </c>
      <c r="J296" s="276" t="inlineStr">
        <is>
          <t>17.09.2028</t>
        </is>
      </c>
      <c r="K296" s="276" t="inlineStr">
        <is>
          <t>не подтверждено</t>
        </is>
      </c>
      <c r="L296" s="276" t="inlineStr">
        <is>
          <t>Подтвердить поставку с КОФ. Подтвердить письменно применимость на газ/пар при Т по ТЗ.</t>
        </is>
      </c>
    </row>
    <row r="297">
      <c r="A297" s="276" t="inlineStr">
        <is>
          <t>1.6/85</t>
        </is>
      </c>
      <c r="B297" s="276" t="inlineStr">
        <is>
          <t>Кран шаровый LD полнопроходной 11с67п КШРФ Ду 25 Ру 16 с КОФ</t>
        </is>
      </c>
      <c r="C297" s="276" t="n">
        <v>2</v>
      </c>
      <c r="D297" s="276" t="inlineStr">
        <is>
          <t>завод (новый запрос КП)</t>
        </is>
      </c>
      <c r="E297" s="276" t="inlineStr">
        <is>
          <t>ООО «ЧелябинскСпецГражданСтрой» / ЛД Прайд (Группа компаний «ЛД», ТМ LD, LD Pride); продажи — ООО «ТД «ЛД»</t>
        </is>
      </c>
      <c r="F297" s="276" t="inlineStr">
        <is>
          <t>+7 (351) 730-47-47 office@chsgs.ru</t>
        </is>
      </c>
      <c r="G297" s="276" t="inlineStr">
        <is>
          <t>LD 11с67п КШРФ Ду25 П/П PN16 с КОФ</t>
        </is>
      </c>
      <c r="H297" s="276" t="inlineStr">
        <is>
          <t>ООО «ЧелябинскСпецГражданСтрой» (ИНН 7451211335)</t>
        </is>
      </c>
      <c r="I297" s="276" t="inlineStr">
        <is>
          <t>10714005</t>
        </is>
      </c>
      <c r="J297" s="276" t="inlineStr">
        <is>
          <t>17.09.2028</t>
        </is>
      </c>
      <c r="K297" s="276" t="inlineStr">
        <is>
          <t>не подтверждено</t>
        </is>
      </c>
      <c r="L297" s="276" t="inlineStr">
        <is>
          <t>Подтвердить поставку с КОФ. Подтвердить письменно применимость на газ/пар при Т по ТЗ.</t>
        </is>
      </c>
    </row>
    <row r="298">
      <c r="A298" s="276" t="inlineStr">
        <is>
          <t>1.6/86</t>
        </is>
      </c>
      <c r="B298" s="276" t="inlineStr">
        <is>
          <t>Кран шаровый LD полнопроходной 11с67п КШРФ Ду 40 Ру 16 с КОФ</t>
        </is>
      </c>
      <c r="C298" s="276" t="n">
        <v>6</v>
      </c>
      <c r="D298" s="276" t="inlineStr">
        <is>
          <t>завод (новый запрос КП)</t>
        </is>
      </c>
      <c r="E298" s="276" t="inlineStr">
        <is>
          <t>ООО «ЧелябинскСпецГражданСтрой» / ЛД Прайд (Группа компаний «ЛД», ТМ LD, LD Pride); продажи — ООО «ТД «ЛД»</t>
        </is>
      </c>
      <c r="F298" s="276" t="inlineStr">
        <is>
          <t>+7 (351) 730-47-47 office@chsgs.ru</t>
        </is>
      </c>
      <c r="G298" s="276" t="inlineStr">
        <is>
          <t>LD 11с67п КШРФ Ду40 П/П PN16 с КОФ</t>
        </is>
      </c>
      <c r="H298" s="276" t="inlineStr">
        <is>
          <t>ООО «ЧелябинскСпецГражданСтрой» (ИНН 7451211335)</t>
        </is>
      </c>
      <c r="I298" s="276" t="inlineStr">
        <is>
          <t>10714005</t>
        </is>
      </c>
      <c r="J298" s="276" t="inlineStr">
        <is>
          <t>17.09.2028</t>
        </is>
      </c>
      <c r="K298" s="276" t="inlineStr">
        <is>
          <t>не подтверждено</t>
        </is>
      </c>
      <c r="L298" s="276" t="inlineStr">
        <is>
          <t>Подтвердить поставку с КОФ. Подтвердить письменно применимость на газ/пар при Т по ТЗ.</t>
        </is>
      </c>
    </row>
    <row r="299">
      <c r="A299" s="276" t="inlineStr">
        <is>
          <t>1.6/87</t>
        </is>
      </c>
      <c r="B299" s="276" t="inlineStr">
        <is>
          <t>Кран шаровый LD полнопроходной 11с67п КШРФ Ду 50 Ру 16 с КОФ</t>
        </is>
      </c>
      <c r="C299" s="276" t="n">
        <v>5</v>
      </c>
      <c r="D299" s="276" t="inlineStr">
        <is>
          <t>завод (новый запрос КП)</t>
        </is>
      </c>
      <c r="E299" s="276" t="inlineStr">
        <is>
          <t>ООО «ЧелябинскСпецГражданСтрой» / ЛД Прайд (Группа компаний «ЛД», ТМ LD, LD Pride); продажи — ООО «ТД «ЛД»</t>
        </is>
      </c>
      <c r="F299" s="276" t="inlineStr">
        <is>
          <t>+7 (351) 730-47-47 office@chsgs.ru</t>
        </is>
      </c>
      <c r="G299" s="276" t="inlineStr">
        <is>
          <t>LD 11с67п КШРФ Ду50 П/П PN16 с КОФ</t>
        </is>
      </c>
      <c r="H299" s="276" t="inlineStr">
        <is>
          <t>ООО «ЧелябинскСпецГражданСтрой» (ИНН 7451211335)</t>
        </is>
      </c>
      <c r="I299" s="276" t="inlineStr">
        <is>
          <t>10714005</t>
        </is>
      </c>
      <c r="J299" s="276" t="inlineStr">
        <is>
          <t>17.09.2028</t>
        </is>
      </c>
      <c r="K299" s="276" t="inlineStr">
        <is>
          <t>не подтверждено</t>
        </is>
      </c>
      <c r="L299" s="276" t="inlineStr">
        <is>
          <t>Подтвердить поставку с КОФ. Подтвердить письменно применимость на газ/пар при Т по ТЗ.</t>
        </is>
      </c>
    </row>
    <row r="300">
      <c r="A300" s="276" t="inlineStr">
        <is>
          <t>1.6/88</t>
        </is>
      </c>
      <c r="B300" s="276" t="inlineStr">
        <is>
          <t>Кран шаровый LD полнопроходной 11с67п КШРФ Ду 80 Ру 16 с КОФ</t>
        </is>
      </c>
      <c r="C300" s="276" t="n">
        <v>6</v>
      </c>
      <c r="D300" s="276" t="inlineStr">
        <is>
          <t>завод (новый запрос КП)</t>
        </is>
      </c>
      <c r="E300" s="276" t="inlineStr">
        <is>
          <t>ООО «ЧелябинскСпецГражданСтрой» / ЛД Прайд (Группа компаний «ЛД», ТМ LD, LD Pride); продажи — ООО «ТД «ЛД»</t>
        </is>
      </c>
      <c r="F300" s="276" t="inlineStr">
        <is>
          <t>+7 (351) 730-47-47 office@chsgs.ru</t>
        </is>
      </c>
      <c r="G300" s="276" t="inlineStr">
        <is>
          <t>LD 11с67п КШРФ Ду80 П/П PN16 с КОФ</t>
        </is>
      </c>
      <c r="H300" s="276" t="inlineStr">
        <is>
          <t>ООО «ЧелябинскСпецГражданСтрой» (ИНН 7451211335)</t>
        </is>
      </c>
      <c r="I300" s="276" t="inlineStr">
        <is>
          <t>10714005</t>
        </is>
      </c>
      <c r="J300" s="276" t="inlineStr">
        <is>
          <t>17.09.2028</t>
        </is>
      </c>
      <c r="K300" s="276" t="inlineStr">
        <is>
          <t>не подтверждено</t>
        </is>
      </c>
      <c r="L300" s="276" t="inlineStr">
        <is>
          <t>Подтвердить поставку с КОФ. Подтвердить письменно применимость на газ/пар при Т по ТЗ.</t>
        </is>
      </c>
    </row>
    <row r="301">
      <c r="A301" s="276" t="inlineStr">
        <is>
          <t>1.6/89</t>
        </is>
      </c>
      <c r="B301" s="276" t="inlineStr">
        <is>
          <t>Затвор дисковый поворотный(ГРЭНВЭЛ) ЗП ТЛ Ду 100, Ру 16</t>
        </is>
      </c>
      <c r="C301" s="276" t="n">
        <v>2</v>
      </c>
      <c r="D301" s="276" t="inlineStr">
        <is>
          <t>текущий поставщик</t>
        </is>
      </c>
      <c r="E301" s="276" t="inlineStr">
        <is>
          <t>ТД АДЛ (Гранвэл)</t>
        </is>
      </c>
      <c r="F301" s="276" t="inlineStr">
        <is>
          <t>+7 (495) 937-89-68 info@adl.ru</t>
        </is>
      </c>
      <c r="G301" s="276" t="inlineStr">
        <is>
          <t>ГРАНВЭЛ ЗПТЛ FLN(w)-5-100-MR-HT Ду100 — Россия, ЗПВС в реестре МПТ</t>
        </is>
      </c>
      <c r="H301" s="276" t="inlineStr">
        <is>
          <t>ООО «Торговый Дом АДЛ» (Гранвэл)</t>
        </is>
      </c>
      <c r="I301" s="276" t="inlineStr">
        <is>
          <t>10357202</t>
        </is>
      </c>
      <c r="J301" s="276" t="inlineStr">
        <is>
          <t>15.03.2031</t>
        </is>
      </c>
      <c r="K301" s="276" t="inlineStr">
        <is>
          <t>соответствует (по КП)</t>
        </is>
      </c>
      <c r="L301" s="276" t="inlineStr"/>
    </row>
    <row r="302">
      <c r="A302" s="276" t="inlineStr">
        <is>
          <t>1.6/90</t>
        </is>
      </c>
      <c r="B302" s="276" t="inlineStr">
        <is>
          <t>Затвор дисковый поворотный(ГРЭНВЭЛ) ЗП ТЛ Ду 80 Ру 16</t>
        </is>
      </c>
      <c r="C302" s="276" t="n">
        <v>1</v>
      </c>
      <c r="D302" s="276" t="inlineStr">
        <is>
          <t>текущий поставщик</t>
        </is>
      </c>
      <c r="E302" s="276" t="inlineStr">
        <is>
          <t>ТД АДЛ (Гранвэл)</t>
        </is>
      </c>
      <c r="F302" s="276" t="inlineStr">
        <is>
          <t>+7 (495) 937-89-68 info@adl.ru</t>
        </is>
      </c>
      <c r="G302" s="276" t="inlineStr">
        <is>
          <t>ГРАНВЭЛ ЗПТЛ FLN(w)-5-080-MR-HT Ду80 — Россия, ЗПВС в реестре МПТ</t>
        </is>
      </c>
      <c r="H302" s="276" t="inlineStr">
        <is>
          <t>ООО «Торговый Дом АДЛ» (Гранвэл)</t>
        </is>
      </c>
      <c r="I302" s="276" t="inlineStr">
        <is>
          <t>10357205</t>
        </is>
      </c>
      <c r="J302" s="276" t="inlineStr">
        <is>
          <t>15.03.2031</t>
        </is>
      </c>
      <c r="K302" s="276" t="inlineStr">
        <is>
          <t>соответствует (по КП)</t>
        </is>
      </c>
      <c r="L302" s="276" t="inlineStr"/>
    </row>
    <row r="303">
      <c r="A303" s="276" t="inlineStr">
        <is>
          <t>1.6/91</t>
        </is>
      </c>
      <c r="B303" s="276" t="inlineStr">
        <is>
          <t>Затвор дисковый поворотный(ГРЭНВЭЛ) Тип /серия FL(w)-3-MR-E Ду 80 Ру 16</t>
        </is>
      </c>
      <c r="C303" s="276" t="n">
        <v>1</v>
      </c>
      <c r="D303" s="276" t="inlineStr">
        <is>
          <t>текущий поставщик</t>
        </is>
      </c>
      <c r="E303" s="276" t="inlineStr">
        <is>
          <t>ТД АДЛ (Гранвэл)</t>
        </is>
      </c>
      <c r="F303" s="276" t="inlineStr">
        <is>
          <t>+7 (495) 937-89-68 info@adl.ru</t>
        </is>
      </c>
      <c r="G303" s="276" t="inlineStr">
        <is>
          <t>ГРАНВЭЛ ЗПВС FL(w)-3-080-MR-E Ду80 — Россия, ЗПВС в реестре МПТ</t>
        </is>
      </c>
      <c r="H303" s="276" t="inlineStr">
        <is>
          <t>ООО «Торговый Дом АДЛ» (Гранвэл)</t>
        </is>
      </c>
      <c r="I303" s="276" t="inlineStr">
        <is>
          <t>10357205</t>
        </is>
      </c>
      <c r="J303" s="276" t="inlineStr">
        <is>
          <t>15.03.2031</t>
        </is>
      </c>
      <c r="K303" s="276" t="inlineStr">
        <is>
          <t>соответствует (по КП)</t>
        </is>
      </c>
      <c r="L303" s="276" t="inlineStr"/>
    </row>
    <row r="304">
      <c r="A304" s="276" t="inlineStr">
        <is>
          <t>1.6/92</t>
        </is>
      </c>
      <c r="B304" s="276" t="inlineStr">
        <is>
          <t>Газовый клапан Dungs LGV 507/5 230 V, 119271</t>
        </is>
      </c>
      <c r="C304" s="276" t="n">
        <v>2</v>
      </c>
      <c r="D304" s="276" t="inlineStr">
        <is>
          <t>завод (новый запрос КП)</t>
        </is>
      </c>
      <c r="E304" s="276" t="inlineStr">
        <is>
          <t>ТЕД Газовые системы (TEDGAS; сервисный центр DUNGS; домен dungs.ru ведёт на tedgas.ru)</t>
        </is>
      </c>
      <c r="F304" s="276" t="inlineStr">
        <is>
          <t>8-800-550-60-80 info@tedgas.ru (отдел продаж: retail@karldungs.ru)</t>
        </is>
      </c>
      <c r="G304" s="276" t="inlineStr">
        <is>
          <t>DUNGS LGV 507/5 230 VAC IP54 арт.119271 (оригинал)</t>
        </is>
      </c>
      <c r="H304" s="276" t="inlineStr">
        <is>
          <t>ТЕД Газовые системы</t>
        </is>
      </c>
      <c r="I304" s="276" t="inlineStr"/>
      <c r="J304" s="276" t="inlineStr"/>
      <c r="K304" s="276" t="inlineStr">
        <is>
          <t>не подтверждено</t>
        </is>
      </c>
      <c r="L304" s="276" t="inlineStr">
        <is>
          <t>Соответствие ТЗ — по артикулу; запросить российский аналог (ПП 1875).</t>
        </is>
      </c>
    </row>
    <row r="305">
      <c r="A305" s="276" t="inlineStr">
        <is>
          <t>1.6/93</t>
        </is>
      </c>
      <c r="B305" s="276" t="inlineStr">
        <is>
          <t>Электропривод Esbe 95 - 12051900</t>
        </is>
      </c>
      <c r="C305" s="276" t="n">
        <v>1</v>
      </c>
      <c r="D305" s="276" t="inlineStr">
        <is>
          <t>завод (новый запрос КП)</t>
        </is>
      </c>
      <c r="E305" s="276" t="inlineStr">
        <is>
          <t>АО «АБС ЗЭиМ Автоматизация»</t>
        </is>
      </c>
      <c r="F305" s="276" t="inlineStr">
        <is>
          <t>+7 (8352) 30-51-48 sales@zeim.ru</t>
        </is>
      </c>
      <c r="G305" s="276" t="inlineStr">
        <is>
          <t>МЭОФ (однооборотный) вместо ESBE 95</t>
        </is>
      </c>
      <c r="H305" s="276" t="inlineStr">
        <is>
          <t>АО «АБС ЗЭиМ Автоматизация»</t>
        </is>
      </c>
      <c r="I305" s="276" t="inlineStr"/>
      <c r="J305" s="276" t="inlineStr"/>
      <c r="K305" s="276" t="inlineStr">
        <is>
          <t>не подтверждено</t>
        </is>
      </c>
      <c r="L305" s="276" t="inlineStr">
        <is>
          <t>Запросить адаптер/кронштейн под клапаны ESBE и минимальный МЭОФ с 30–180°; иначе — привод ESBE (импорт) с обоснованием.</t>
        </is>
      </c>
    </row>
    <row r="306">
      <c r="A306" s="276" t="inlineStr">
        <is>
          <t>1.7/1</t>
        </is>
      </c>
      <c r="B306" s="276" t="inlineStr">
        <is>
          <t>АРТ-85 Ду 50 Ру 16 "после себя"</t>
        </is>
      </c>
      <c r="C306" s="276" t="n">
        <v>1</v>
      </c>
      <c r="D306" s="276" t="inlineStr">
        <is>
          <t>завод (новый запрос КП)</t>
        </is>
      </c>
      <c r="E306" s="276" t="inlineStr">
        <is>
          <t>ООО «Ридан»</t>
        </is>
      </c>
      <c r="F306" s="276" t="inlineStr">
        <is>
          <t>+7 (495) 792-57-57 call@ridan.ru</t>
        </is>
      </c>
      <c r="G306" s="276" t="inlineStr">
        <is>
          <t>АРТ-85 (у Ридан — регуляторы AFD/VFG, параметры не сверены)</t>
        </is>
      </c>
      <c r="H306" s="276" t="inlineStr">
        <is>
          <t>ООО «Ридан»</t>
        </is>
      </c>
      <c r="I306" s="276" t="inlineStr"/>
      <c r="J306" s="276" t="inlineStr"/>
      <c r="K306" s="276" t="inlineStr">
        <is>
          <t>не подтверждено</t>
        </is>
      </c>
      <c r="L306" s="276" t="inlineStr">
        <is>
          <t>Назначение Ридан не подтверждено каталогом — вернуть к ДЕНДОР (1.3/19), БАЗ КОП/ПТЗ 19с76нж (1.3/27); для 1.7/1 запросить у Ридан конкретную модель.</t>
        </is>
      </c>
    </row>
    <row r="307">
      <c r="A307" s="276" t="inlineStr">
        <is>
          <t>1.7/2</t>
        </is>
      </c>
      <c r="B307" s="276" t="inlineStr">
        <is>
          <t>Кран шаровой 11с67п Ду 25 Ру 25 цельносварной под приварку</t>
        </is>
      </c>
      <c r="C307" s="276" t="n">
        <v>12</v>
      </c>
      <c r="D307" s="276" t="inlineStr">
        <is>
          <t>завод (новый запрос КП)</t>
        </is>
      </c>
      <c r="E307" s="276" t="inlineStr">
        <is>
          <t>ООО «ЧелябинскСпецГражданСтрой» / ЛД Прайд (Группа компаний «ЛД», ТМ LD, LD Pride); продажи — ООО «ТД «ЛД»</t>
        </is>
      </c>
      <c r="F307" s="276" t="inlineStr">
        <is>
          <t>+7 (351) 730-47-47 office@chsgs.ru</t>
        </is>
      </c>
      <c r="G307" s="276" t="inlineStr">
        <is>
          <t>LD КШЦП (КШ.Ц.П) ст.20 Ду25 Н/П PN4,0</t>
        </is>
      </c>
      <c r="H307" s="276" t="inlineStr">
        <is>
          <t>ООО «ЧелябинскСпецГражданСтрой» (ИНН 7451211335)</t>
        </is>
      </c>
      <c r="I307" s="276" t="inlineStr">
        <is>
          <t>10655491</t>
        </is>
      </c>
      <c r="J307" s="276" t="inlineStr">
        <is>
          <t>30.06.2028</t>
        </is>
      </c>
      <c r="K307" s="276" t="inlineStr">
        <is>
          <t>не подтверждено</t>
        </is>
      </c>
      <c r="L307" s="276" t="inlineStr">
        <is>
          <t>Подтвердить письменно применимость на газ/пар при Т по ТЗ.</t>
        </is>
      </c>
    </row>
    <row r="308">
      <c r="A308" s="276" t="inlineStr">
        <is>
          <t>1.7/3</t>
        </is>
      </c>
      <c r="B308" s="276" t="inlineStr">
        <is>
          <t>Кран шаровой 11с67п Ду 32 Ру 25 цельносварной под приварку</t>
        </is>
      </c>
      <c r="C308" s="276" t="n">
        <v>12</v>
      </c>
      <c r="D308" s="276" t="inlineStr">
        <is>
          <t>завод (новый запрос КП)</t>
        </is>
      </c>
      <c r="E308" s="276" t="inlineStr">
        <is>
          <t>ООО «ЧелябинскСпецГражданСтрой» / ЛД Прайд (Группа компаний «ЛД», ТМ LD, LD Pride); продажи — ООО «ТД «ЛД»</t>
        </is>
      </c>
      <c r="F308" s="276" t="inlineStr">
        <is>
          <t>+7 (351) 730-47-47 office@chsgs.ru</t>
        </is>
      </c>
      <c r="G308" s="276" t="inlineStr">
        <is>
          <t>LD КШЦП (КШ.Ц.П) ст.20 Ду32 Н/П PN4,0</t>
        </is>
      </c>
      <c r="H308" s="276" t="inlineStr">
        <is>
          <t>ООО «ЧелябинскСпецГражданСтрой» (ИНН 7451211335)</t>
        </is>
      </c>
      <c r="I308" s="276" t="inlineStr">
        <is>
          <t>10655491</t>
        </is>
      </c>
      <c r="J308" s="276" t="inlineStr">
        <is>
          <t>30.06.2028</t>
        </is>
      </c>
      <c r="K308" s="276" t="inlineStr">
        <is>
          <t>не подтверждено</t>
        </is>
      </c>
      <c r="L308" s="276" t="inlineStr">
        <is>
          <t>Подтвердить письменно применимость на газ/пар при Т по ТЗ.</t>
        </is>
      </c>
    </row>
    <row r="309">
      <c r="A309" s="276" t="inlineStr">
        <is>
          <t>1.7/4</t>
        </is>
      </c>
      <c r="B309" s="276" t="inlineStr">
        <is>
          <t>Кран шаровой 11с67п Ду 40 Ру 25 цельносварной под приварку</t>
        </is>
      </c>
      <c r="C309" s="276" t="n">
        <v>10</v>
      </c>
      <c r="D309" s="276" t="inlineStr">
        <is>
          <t>завод (новый запрос КП)</t>
        </is>
      </c>
      <c r="E309" s="276" t="inlineStr">
        <is>
          <t>ООО «ЧелябинскСпецГражданСтрой» / ЛД Прайд (Группа компаний «ЛД», ТМ LD, LD Pride); продажи — ООО «ТД «ЛД»</t>
        </is>
      </c>
      <c r="F309" s="276" t="inlineStr">
        <is>
          <t>+7 (351) 730-47-47 office@chsgs.ru</t>
        </is>
      </c>
      <c r="G309" s="276" t="inlineStr">
        <is>
          <t>LD КШЦП (КШ.Ц.П) ст.20 Ду40 Н/П PN4,0</t>
        </is>
      </c>
      <c r="H309" s="276" t="inlineStr">
        <is>
          <t>ООО «ЧелябинскСпецГражданСтрой» (ИНН 7451211335)</t>
        </is>
      </c>
      <c r="I309" s="276" t="inlineStr">
        <is>
          <t>10655491</t>
        </is>
      </c>
      <c r="J309" s="276" t="inlineStr">
        <is>
          <t>30.06.2028</t>
        </is>
      </c>
      <c r="K309" s="276" t="inlineStr">
        <is>
          <t>не подтверждено</t>
        </is>
      </c>
      <c r="L309" s="276" t="inlineStr">
        <is>
          <t>Подтвердить письменно применимость на газ/пар при Т по ТЗ.</t>
        </is>
      </c>
    </row>
    <row r="310">
      <c r="A310" s="276" t="inlineStr">
        <is>
          <t>1.8/1</t>
        </is>
      </c>
      <c r="B310" s="276" t="inlineStr">
        <is>
          <t>Задвижка 30нж41нж Ду 80 Ру 16 1исп. САЗ</t>
        </is>
      </c>
      <c r="C310" s="276" t="n">
        <v>1</v>
      </c>
      <c r="D310" s="276" t="inlineStr">
        <is>
          <t>завод вместо ДН.РУ</t>
        </is>
      </c>
      <c r="E310" s="276" t="inlineStr">
        <is>
          <t>ООО «Пермский трубопроводный завод» (ООО «ПТЗ»)</t>
        </is>
      </c>
      <c r="F310" s="276" t="inlineStr">
        <is>
          <t>+7 (342) 270-07-34 sales@ptza.ru</t>
        </is>
      </c>
      <c r="G310" s="276" t="inlineStr">
        <is>
          <t>30нж41нж Ду80 PN16 (ПТЗ)</t>
        </is>
      </c>
      <c r="H310" s="276" t="inlineStr">
        <is>
          <t>ООО «Пермский трубопроводный завод» (ИНН 5904173655)</t>
        </is>
      </c>
      <c r="I310" s="276" t="inlineStr">
        <is>
          <t>10698940</t>
        </is>
      </c>
      <c r="J310" s="276" t="inlineStr">
        <is>
          <t>17.02.2031</t>
        </is>
      </c>
      <c r="K310" s="276" t="inlineStr">
        <is>
          <t>эквивалент — согласовать</t>
        </is>
      </c>
      <c r="L310" s="276" t="inlineStr">
        <is>
          <t>В ТЗ противоречие: марка 30нж41нж (нерж.), а «материал корпуса — углеродистая сталь». Согласовать нерж. исполнение.</t>
        </is>
      </c>
    </row>
    <row r="311">
      <c r="A311" s="276" t="inlineStr">
        <is>
          <t>1.8/2</t>
        </is>
      </c>
      <c r="B311" s="276" t="inlineStr">
        <is>
          <t>Кран шаровой 10нж45фт 2ЦФ Ду 20 Ру 16</t>
        </is>
      </c>
      <c r="C311" s="276" t="n">
        <v>2</v>
      </c>
      <c r="D311" s="276" t="inlineStr">
        <is>
          <t>завод (новый запрос КП)</t>
        </is>
      </c>
      <c r="E311" s="276" t="inlineStr">
        <is>
          <t>ООО «ЧелябинскСпецГражданСтрой» / ЛД Прайд (Группа компаний «ЛД», ТМ LD, LD Pride); продажи — ООО «ТД «ЛД»</t>
        </is>
      </c>
      <c r="F311" s="276" t="inlineStr">
        <is>
          <t>+7 (351) 730-47-47 office@chsgs.ru</t>
        </is>
      </c>
      <c r="G311" s="276" t="inlineStr">
        <is>
          <t>LD КШЦФ Energy 12Х18Н10Т Ду20 Н/П PN40</t>
        </is>
      </c>
      <c r="H311" s="276" t="inlineStr">
        <is>
          <t>ООО «ЧелябинскСпецГражданСтрой» (ИНН 7451211335)</t>
        </is>
      </c>
      <c r="I311" s="276" t="inlineStr">
        <is>
          <t>10657717</t>
        </is>
      </c>
      <c r="J311" s="276" t="inlineStr">
        <is>
          <t>30.06.2028</t>
        </is>
      </c>
      <c r="K311" s="276" t="inlineStr">
        <is>
          <t>не подтверждено</t>
        </is>
      </c>
      <c r="L311" s="276" t="inlineStr">
        <is>
          <t>Подтвердить Ду20/Ду32 в исполнении 12Х18Н10Т и материалы шара/шпинделя; пар.</t>
        </is>
      </c>
    </row>
    <row r="312">
      <c r="A312" s="276" t="inlineStr">
        <is>
          <t>1.8/3</t>
        </is>
      </c>
      <c r="B312" s="276" t="inlineStr">
        <is>
          <t>Кран шаровой 10нж45фт 2ЦФ Ду 25 Ру 16</t>
        </is>
      </c>
      <c r="C312" s="276" t="n">
        <v>2</v>
      </c>
      <c r="D312" s="276" t="inlineStr">
        <is>
          <t>завод (новый запрос КП)</t>
        </is>
      </c>
      <c r="E312" s="276" t="inlineStr">
        <is>
          <t>ООО «ЧелябинскСпецГражданСтрой» / ЛД Прайд (Группа компаний «ЛД», ТМ LD, LD Pride); продажи — ООО «ТД «ЛД»</t>
        </is>
      </c>
      <c r="F312" s="276" t="inlineStr">
        <is>
          <t>+7 (351) 730-47-47 office@chsgs.ru</t>
        </is>
      </c>
      <c r="G312" s="276" t="inlineStr">
        <is>
          <t>LD КШЦФ Energy 12Х18Н10Т Ду25 Н/П PN40</t>
        </is>
      </c>
      <c r="H312" s="276" t="inlineStr">
        <is>
          <t>ООО «ЧелябинскСпецГражданСтрой» (ИНН 7451211335)</t>
        </is>
      </c>
      <c r="I312" s="276" t="inlineStr">
        <is>
          <t>10657717</t>
        </is>
      </c>
      <c r="J312" s="276" t="inlineStr">
        <is>
          <t>30.06.2028</t>
        </is>
      </c>
      <c r="K312" s="276" t="inlineStr">
        <is>
          <t>не подтверждено</t>
        </is>
      </c>
      <c r="L312" s="276" t="inlineStr">
        <is>
          <t>Подтвердить Ду20/Ду32 в исполнении 12Х18Н10Т и материалы шара/шпинделя; пар.</t>
        </is>
      </c>
    </row>
    <row r="313">
      <c r="A313" s="276" t="inlineStr">
        <is>
          <t>1.8/4</t>
        </is>
      </c>
      <c r="B313" s="276" t="inlineStr">
        <is>
          <t>Кран шаровой 10нж45фт 2ЦФ Ду 32 Ру 16</t>
        </is>
      </c>
      <c r="C313" s="276" t="n">
        <v>2</v>
      </c>
      <c r="D313" s="276" t="inlineStr">
        <is>
          <t>завод (новый запрос КП)</t>
        </is>
      </c>
      <c r="E313" s="276" t="inlineStr">
        <is>
          <t>ООО «ЧелябинскСпецГражданСтрой» / ЛД Прайд (Группа компаний «ЛД», ТМ LD, LD Pride); продажи — ООО «ТД «ЛД»</t>
        </is>
      </c>
      <c r="F313" s="276" t="inlineStr">
        <is>
          <t>+7 (351) 730-47-47 office@chsgs.ru</t>
        </is>
      </c>
      <c r="G313" s="276" t="inlineStr">
        <is>
          <t>LD КШЦФ Energy 12Х18Н10Т Ду32 Н/П PN40</t>
        </is>
      </c>
      <c r="H313" s="276" t="inlineStr">
        <is>
          <t>ООО «ЧелябинскСпецГражданСтрой» (ИНН 7451211335)</t>
        </is>
      </c>
      <c r="I313" s="276" t="inlineStr">
        <is>
          <t>10657717</t>
        </is>
      </c>
      <c r="J313" s="276" t="inlineStr">
        <is>
          <t>30.06.2028</t>
        </is>
      </c>
      <c r="K313" s="276" t="inlineStr">
        <is>
          <t>не подтверждено</t>
        </is>
      </c>
      <c r="L313" s="276" t="inlineStr">
        <is>
          <t>Подтвердить Ду20/Ду32 в исполнении 12Х18Н10Т и материалы шара/шпинделя; пар.</t>
        </is>
      </c>
    </row>
    <row r="314">
      <c r="A314" s="276" t="inlineStr">
        <is>
          <t>1.8/5</t>
        </is>
      </c>
      <c r="B314" s="276" t="inlineStr">
        <is>
          <t>Кран шаровой 11с22п Ду 80 Ру 16</t>
        </is>
      </c>
      <c r="C314" s="276" t="n">
        <v>2</v>
      </c>
      <c r="D314" s="276" t="inlineStr">
        <is>
          <t>завод (новый запрос КП)</t>
        </is>
      </c>
      <c r="E314" s="276" t="inlineStr">
        <is>
          <t>ООО «ЧелябинскСпецГражданСтрой» / ЛД Прайд (Группа компаний «ЛД», ТМ LD, LD Pride); продажи — ООО «ТД «ЛД»</t>
        </is>
      </c>
      <c r="F314" s="276" t="inlineStr">
        <is>
          <t>+7 (351) 730-47-47 office@chsgs.ru</t>
        </is>
      </c>
      <c r="G314" s="276" t="inlineStr">
        <is>
          <t>LD КШЦФ ст.20 Ду80 Н/П PN16(40) (аналог 11с22п)</t>
        </is>
      </c>
      <c r="H314" s="276" t="inlineStr">
        <is>
          <t>ООО «ЧелябинскСпецГражданСтрой» (ИНН 7451211335)</t>
        </is>
      </c>
      <c r="I314" s="276" t="inlineStr">
        <is>
          <t>10655491</t>
        </is>
      </c>
      <c r="J314" s="276" t="inlineStr">
        <is>
          <t>30.06.2028</t>
        </is>
      </c>
      <c r="K314" s="276" t="inlineStr">
        <is>
          <t>не подтверждено</t>
        </is>
      </c>
      <c r="L314" s="276" t="inlineStr">
        <is>
          <t>Подтвердить письменно применимость на газ/пар при Т по ТЗ.</t>
        </is>
      </c>
    </row>
    <row r="315">
      <c r="A315" s="276" t="inlineStr">
        <is>
          <t>1.8/6</t>
        </is>
      </c>
      <c r="B315" s="276" t="inlineStr">
        <is>
          <t>Кран шаровой 11с22п Ду 100 Ру 16</t>
        </is>
      </c>
      <c r="C315" s="276" t="n">
        <v>1</v>
      </c>
      <c r="D315" s="276" t="inlineStr">
        <is>
          <t>завод (новый запрос КП)</t>
        </is>
      </c>
      <c r="E315" s="276" t="inlineStr">
        <is>
          <t>ООО «ЧелябинскСпецГражданСтрой» / ЛД Прайд (Группа компаний «ЛД», ТМ LD, LD Pride); продажи — ООО «ТД «ЛД»</t>
        </is>
      </c>
      <c r="F315" s="276" t="inlineStr">
        <is>
          <t>+7 (351) 730-47-47 office@chsgs.ru</t>
        </is>
      </c>
      <c r="G315" s="276" t="inlineStr">
        <is>
          <t>LD КШЦФ ст.20 Ду100 Н/П PN16(40) (аналог 11с22п)</t>
        </is>
      </c>
      <c r="H315" s="276" t="inlineStr">
        <is>
          <t>ООО «ЧелябинскСпецГражданСтрой» (ИНН 7451211335)</t>
        </is>
      </c>
      <c r="I315" s="276" t="inlineStr">
        <is>
          <t>10655491</t>
        </is>
      </c>
      <c r="J315" s="276" t="inlineStr">
        <is>
          <t>30.06.2028</t>
        </is>
      </c>
      <c r="K315" s="276" t="inlineStr">
        <is>
          <t>не подтверждено</t>
        </is>
      </c>
      <c r="L315" s="276" t="inlineStr">
        <is>
          <t>Подтвердить письменно применимость на газ/пар при Т по ТЗ.</t>
        </is>
      </c>
    </row>
    <row r="316">
      <c r="A316" s="276" t="inlineStr">
        <is>
          <t>1.8/7</t>
        </is>
      </c>
      <c r="B316" s="276" t="inlineStr">
        <is>
          <t>Кран шаровой 11с67п Ду 50 Ру 25 полнопрох. с КОФ (КЗШС41нж)</t>
        </is>
      </c>
      <c r="C316" s="276" t="n">
        <v>4</v>
      </c>
      <c r="D316" s="276" t="inlineStr">
        <is>
          <t>завод (новый запрос КП)</t>
        </is>
      </c>
      <c r="E316" s="276" t="inlineStr">
        <is>
          <t>ООО «ЧелябинскСпецГражданСтрой» / ЛД Прайд (Группа компаний «ЛД», ТМ LD, LD Pride); продажи — ООО «ТД «ЛД»</t>
        </is>
      </c>
      <c r="F316" s="276" t="inlineStr">
        <is>
          <t>+7 (351) 730-47-47 office@chsgs.ru</t>
        </is>
      </c>
      <c r="G316" s="276" t="inlineStr">
        <is>
          <t>LD КШЦФ ст.20 Ду20 П/П PN4,0 с КОФ</t>
        </is>
      </c>
      <c r="H316" s="276" t="inlineStr">
        <is>
          <t>ООО «ЧелябинскСпецГражданСтрой» (ИНН 7451211335)</t>
        </is>
      </c>
      <c r="I316" s="276" t="inlineStr">
        <is>
          <t>10655491</t>
        </is>
      </c>
      <c r="J316" s="276" t="inlineStr">
        <is>
          <t>30.06.2028</t>
        </is>
      </c>
      <c r="K316" s="276" t="inlineStr">
        <is>
          <t>не подтверждено</t>
        </is>
      </c>
      <c r="L316" s="276" t="inlineStr">
        <is>
          <t>Подтвердить поставку с КОФ. Уточнить у Заказчика Ду (50 или 20). Подтвердить письменно применимость на газ/пар при Т по ТЗ.</t>
        </is>
      </c>
    </row>
  </sheetData>
  <autoFilter ref="A1:L3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44" customWidth="1" style="169" min="2" max="2"/>
    <col width="5" customWidth="1" style="169" min="3" max="3"/>
    <col width="7" customWidth="1" style="169" min="4" max="4"/>
    <col width="34" customWidth="1" style="169" min="5" max="5"/>
    <col width="12" customWidth="1" style="169" min="6" max="6"/>
    <col width="18" customWidth="1" style="169" min="7" max="7"/>
    <col width="16" customWidth="1" style="169" min="8" max="8"/>
    <col width="14" customWidth="1" style="169" min="9" max="9"/>
  </cols>
  <sheetData>
    <row r="1">
      <c r="A1" s="275" t="inlineStr">
        <is>
          <t>Табл./№</t>
        </is>
      </c>
      <c r="B1" s="275" t="inlineStr">
        <is>
          <t>Наименование</t>
        </is>
      </c>
      <c r="C1" s="275" t="inlineStr">
        <is>
          <t>Ед.</t>
        </is>
      </c>
      <c r="D1" s="275" t="inlineStr">
        <is>
          <t>Кол-во</t>
        </is>
      </c>
      <c r="E1" s="275" t="inlineStr">
        <is>
          <t>Производитель</t>
        </is>
      </c>
      <c r="F1" s="275" t="inlineStr">
        <is>
          <t>Страна происхождения</t>
        </is>
      </c>
      <c r="G1" s="275" t="inlineStr">
        <is>
          <t>№ реестровой записи ПП 719 / ЕАЭС</t>
        </is>
      </c>
      <c r="H1" s="275" t="inlineStr">
        <is>
          <t>Цена за ед. без НДС, ₽ (заполнить)</t>
        </is>
      </c>
      <c r="I1" s="275" t="inlineStr">
        <is>
          <t>Сумма, ₽</t>
        </is>
      </c>
    </row>
    <row r="2">
      <c r="A2" s="276" t="inlineStr">
        <is>
          <t>1.1/1</t>
        </is>
      </c>
      <c r="B2" s="276" t="inlineStr">
        <is>
          <t>Клапан предохранительный 17лс17нж Ду 200-300  Ру 16-6 полноподъемный пружинный фланцевый</t>
        </is>
      </c>
      <c r="C2" s="276" t="inlineStr">
        <is>
          <t>шт</t>
        </is>
      </c>
      <c r="D2" s="276" t="n">
        <v>1</v>
      </c>
      <c r="E2" s="276" t="inlineStr">
        <is>
          <t>АО «Благовещенский арматурный завод» (ИНН 0258001489)</t>
        </is>
      </c>
      <c r="F2" s="276" t="inlineStr">
        <is>
          <t>Россия</t>
        </is>
      </c>
      <c r="G2" s="276" t="inlineStr">
        <is>
          <t>10329690</t>
        </is>
      </c>
      <c r="H2" s="277" t="n"/>
      <c r="I2" s="276">
        <f>D2*H2</f>
        <v/>
      </c>
    </row>
    <row r="3">
      <c r="A3" s="276" t="inlineStr">
        <is>
          <t>1.1/2</t>
        </is>
      </c>
      <c r="B3" s="276" t="inlineStr">
        <is>
          <t>Клапан запорный 15нж65нж Ду 200 Ру 16</t>
        </is>
      </c>
      <c r="C3" s="276" t="inlineStr">
        <is>
          <t>шт</t>
        </is>
      </c>
      <c r="D3" s="276" t="n">
        <v>4</v>
      </c>
      <c r="E3" s="276" t="inlineStr">
        <is>
          <t>ООО «Восточная арматурная компания»</t>
        </is>
      </c>
      <c r="F3" s="276" t="inlineStr">
        <is>
          <t>Россия</t>
        </is>
      </c>
      <c r="G3" s="276" t="inlineStr">
        <is>
          <t>10811565</t>
        </is>
      </c>
      <c r="H3" s="277" t="n"/>
      <c r="I3" s="276">
        <f>D3*H3</f>
        <v/>
      </c>
    </row>
    <row r="4">
      <c r="A4" s="276" t="inlineStr">
        <is>
          <t>1.1/3</t>
        </is>
      </c>
      <c r="B4" s="276" t="inlineStr">
        <is>
          <t>Клапан запорный15нж65нж Ду 50 Ру 16</t>
        </is>
      </c>
      <c r="C4" s="276" t="inlineStr">
        <is>
          <t>шт</t>
        </is>
      </c>
      <c r="D4" s="276" t="n">
        <v>3</v>
      </c>
      <c r="E4" s="276" t="inlineStr">
        <is>
          <t>ООО «Восточная арматурная компания»</t>
        </is>
      </c>
      <c r="F4" s="276" t="inlineStr">
        <is>
          <t>Россия</t>
        </is>
      </c>
      <c r="G4" s="276" t="inlineStr">
        <is>
          <t>10811565</t>
        </is>
      </c>
      <c r="H4" s="277" t="n"/>
      <c r="I4" s="276">
        <f>D4*H4</f>
        <v/>
      </c>
    </row>
    <row r="5">
      <c r="A5" s="276" t="inlineStr">
        <is>
          <t>1.1/4</t>
        </is>
      </c>
      <c r="B5" s="276" t="inlineStr">
        <is>
          <t>Клапан запорный15с52нж11 Ду 32 Ру 63 под приварку</t>
        </is>
      </c>
      <c r="C5" s="276" t="inlineStr">
        <is>
          <t>шт</t>
        </is>
      </c>
      <c r="D5" s="276" t="n">
        <v>12</v>
      </c>
      <c r="E5" s="276" t="inlineStr">
        <is>
          <t>ООО «Восточная арматурная компания»</t>
        </is>
      </c>
      <c r="F5" s="276" t="inlineStr">
        <is>
          <t>Россия</t>
        </is>
      </c>
      <c r="G5" s="276" t="inlineStr">
        <is>
          <t>10811565</t>
        </is>
      </c>
      <c r="H5" s="277" t="n"/>
      <c r="I5" s="276">
        <f>D5*H5</f>
        <v/>
      </c>
    </row>
    <row r="6">
      <c r="A6" s="276" t="inlineStr">
        <is>
          <t>1.1/5</t>
        </is>
      </c>
      <c r="B6" s="276" t="inlineStr">
        <is>
          <t>Задвижка 30нж41нж Ду 150 Ру 16 1исп. САЗ</t>
        </is>
      </c>
      <c r="C6" s="276" t="inlineStr">
        <is>
          <t>шт</t>
        </is>
      </c>
      <c r="D6" s="276" t="n">
        <v>1</v>
      </c>
      <c r="E6" s="276" t="inlineStr">
        <is>
          <t>ООО «Пермский трубопроводный завод» (ИНН 5904173655)</t>
        </is>
      </c>
      <c r="F6" s="276" t="inlineStr">
        <is>
          <t>Россия</t>
        </is>
      </c>
      <c r="G6" s="276" t="inlineStr">
        <is>
          <t>10698940</t>
        </is>
      </c>
      <c r="H6" s="277" t="n"/>
      <c r="I6" s="276">
        <f>D6*H6</f>
        <v/>
      </c>
    </row>
    <row r="7">
      <c r="A7" s="276" t="inlineStr">
        <is>
          <t>1.1/6</t>
        </is>
      </c>
      <c r="B7" s="276" t="inlineStr">
        <is>
          <t>Задвижка 30нж947нж Ду 1000 Ру 4</t>
        </is>
      </c>
      <c r="C7" s="276" t="inlineStr">
        <is>
          <t>шт</t>
        </is>
      </c>
      <c r="D7" s="276" t="n">
        <v>1</v>
      </c>
      <c r="E7" s="276" t="inlineStr">
        <is>
          <t>ООО «Челябинский завод трубопроводной арматуры»</t>
        </is>
      </c>
      <c r="F7" s="277" t="inlineStr"/>
      <c r="G7" s="277" t="inlineStr"/>
      <c r="H7" s="277" t="n"/>
      <c r="I7" s="276">
        <f>D7*H7</f>
        <v/>
      </c>
    </row>
    <row r="8">
      <c r="A8" s="276" t="inlineStr">
        <is>
          <t>1.1/7</t>
        </is>
      </c>
      <c r="B8" s="276" t="inlineStr">
        <is>
          <t>Задвижка 30с41нж Ду 50 Ру 16</t>
        </is>
      </c>
      <c r="C8" s="276" t="inlineStr">
        <is>
          <t>шт</t>
        </is>
      </c>
      <c r="D8" s="276" t="n">
        <v>10</v>
      </c>
      <c r="E8" s="276" t="inlineStr">
        <is>
          <t>ООО «Пермский трубопроводный завод» (ИНН 5904173655)</t>
        </is>
      </c>
      <c r="F8" s="276" t="inlineStr">
        <is>
          <t>Россия</t>
        </is>
      </c>
      <c r="G8" s="276" t="inlineStr">
        <is>
          <t>10698940</t>
        </is>
      </c>
      <c r="H8" s="277" t="n"/>
      <c r="I8" s="276">
        <f>D8*H8</f>
        <v/>
      </c>
    </row>
    <row r="9">
      <c r="A9" s="276" t="inlineStr">
        <is>
          <t>1.1/8</t>
        </is>
      </c>
      <c r="B9" s="276" t="inlineStr">
        <is>
          <t>Задвижка 30с41нж Ду 100 Ру 16</t>
        </is>
      </c>
      <c r="C9" s="276" t="inlineStr">
        <is>
          <t>шт</t>
        </is>
      </c>
      <c r="D9" s="276" t="n">
        <v>7</v>
      </c>
      <c r="E9" s="276" t="inlineStr">
        <is>
          <t>ООО «Пермский трубопроводный завод» (ИНН 5904173655)</t>
        </is>
      </c>
      <c r="F9" s="276" t="inlineStr">
        <is>
          <t>Россия</t>
        </is>
      </c>
      <c r="G9" s="276" t="inlineStr">
        <is>
          <t>10698940</t>
        </is>
      </c>
      <c r="H9" s="277" t="n"/>
      <c r="I9" s="276">
        <f>D9*H9</f>
        <v/>
      </c>
    </row>
    <row r="10">
      <c r="A10" s="276" t="inlineStr">
        <is>
          <t>1.1/9</t>
        </is>
      </c>
      <c r="B10" s="276" t="inlineStr">
        <is>
          <t>Задвижка 30с41нж Ду 150 Ру 16</t>
        </is>
      </c>
      <c r="C10" s="276" t="inlineStr">
        <is>
          <t>шт</t>
        </is>
      </c>
      <c r="D10" s="276" t="n">
        <v>10</v>
      </c>
      <c r="E10" s="276" t="inlineStr">
        <is>
          <t>ООО «Пермский трубопроводный завод» (ИНН 5904173655)</t>
        </is>
      </c>
      <c r="F10" s="276" t="inlineStr">
        <is>
          <t>Россия</t>
        </is>
      </c>
      <c r="G10" s="276" t="inlineStr">
        <is>
          <t>10698940</t>
        </is>
      </c>
      <c r="H10" s="277" t="n"/>
      <c r="I10" s="276">
        <f>D10*H10</f>
        <v/>
      </c>
    </row>
    <row r="11">
      <c r="A11" s="276" t="inlineStr">
        <is>
          <t>1.1/10</t>
        </is>
      </c>
      <c r="B11" s="276" t="inlineStr">
        <is>
          <t>Задвижка клиновая фланцевая 30с41нж Ду 300 Ру 16 с КОФ</t>
        </is>
      </c>
      <c r="C11" s="276" t="inlineStr">
        <is>
          <t>шт</t>
        </is>
      </c>
      <c r="D11" s="276" t="n">
        <v>2</v>
      </c>
      <c r="E11" s="276" t="inlineStr">
        <is>
          <t>ООО «Пермский трубопроводный завод» (ИНН 5904173655)</t>
        </is>
      </c>
      <c r="F11" s="276" t="inlineStr">
        <is>
          <t>Россия</t>
        </is>
      </c>
      <c r="G11" s="276" t="inlineStr">
        <is>
          <t>10698940</t>
        </is>
      </c>
      <c r="H11" s="277" t="n"/>
      <c r="I11" s="276">
        <f>D11*H11</f>
        <v/>
      </c>
    </row>
    <row r="12">
      <c r="A12" s="276" t="inlineStr">
        <is>
          <t>1.1/11</t>
        </is>
      </c>
      <c r="B12" s="276" t="inlineStr">
        <is>
          <t>Задвижка 30С576НЖ Ду 300 Ру 63 с редуктором РК-Г-1М, в комплекте с крепежом и ответными фланцами.</t>
        </is>
      </c>
      <c r="C12" s="276" t="inlineStr">
        <is>
          <t>шт</t>
        </is>
      </c>
      <c r="D12" s="276" t="n">
        <v>2</v>
      </c>
      <c r="E12" s="276" t="inlineStr">
        <is>
          <t>АО «Благовещенский арматурный завод»</t>
        </is>
      </c>
      <c r="F12" s="276" t="inlineStr">
        <is>
          <t>Россия</t>
        </is>
      </c>
      <c r="G12" s="276" t="inlineStr">
        <is>
          <t>10306806</t>
        </is>
      </c>
      <c r="H12" s="277" t="n"/>
      <c r="I12" s="276">
        <f>D12*H12</f>
        <v/>
      </c>
    </row>
    <row r="13">
      <c r="A13" s="276" t="inlineStr">
        <is>
          <t>1.1/12</t>
        </is>
      </c>
      <c r="B13" s="276" t="inlineStr">
        <is>
          <t>Задвижка клиновая фланцевая 30с941нж Ду 500 Ру 16 с КОФ под электропривод Bernard ST-30</t>
        </is>
      </c>
      <c r="C13" s="276" t="inlineStr">
        <is>
          <t>шт</t>
        </is>
      </c>
      <c r="D13" s="276" t="n">
        <v>1</v>
      </c>
      <c r="E13" s="276" t="inlineStr">
        <is>
          <t>ООО «Пермский трубопроводный завод» (ИНН 5904173655)</t>
        </is>
      </c>
      <c r="F13" s="276" t="inlineStr">
        <is>
          <t>Россия</t>
        </is>
      </c>
      <c r="G13" s="276" t="inlineStr">
        <is>
          <t>10698940</t>
        </is>
      </c>
      <c r="H13" s="277" t="n"/>
      <c r="I13" s="276">
        <f>D13*H13</f>
        <v/>
      </c>
    </row>
    <row r="14">
      <c r="A14" s="276" t="inlineStr">
        <is>
          <t>1.1/13</t>
        </is>
      </c>
      <c r="B14" s="276" t="inlineStr">
        <is>
          <t>Задвижка 30с964нж Ду 300 Ру 25</t>
        </is>
      </c>
      <c r="C14" s="276" t="inlineStr">
        <is>
          <t>шт</t>
        </is>
      </c>
      <c r="D14" s="276" t="n">
        <v>1</v>
      </c>
      <c r="E14" s="276" t="inlineStr">
        <is>
          <t>ООО «Пермский трубопроводный завод» (ИНН 5904173655)</t>
        </is>
      </c>
      <c r="F14" s="276" t="inlineStr">
        <is>
          <t>Россия</t>
        </is>
      </c>
      <c r="G14" s="276" t="inlineStr">
        <is>
          <t>10698940</t>
        </is>
      </c>
      <c r="H14" s="277" t="n"/>
      <c r="I14" s="276">
        <f>D14*H14</f>
        <v/>
      </c>
    </row>
    <row r="15">
      <c r="A15" s="276" t="inlineStr">
        <is>
          <t>1.1/14</t>
        </is>
      </c>
      <c r="B15" s="276" t="inlineStr">
        <is>
          <t>Кран шаровой 11б27п1 Ду 15 Ру 16</t>
        </is>
      </c>
      <c r="C15" s="276" t="inlineStr">
        <is>
          <t>шт</t>
        </is>
      </c>
      <c r="D15" s="276" t="n">
        <v>35</v>
      </c>
      <c r="E15" s="276" t="inlineStr">
        <is>
          <t>ООО «ЛД Прайд» (ИНН 7449114775)</t>
        </is>
      </c>
      <c r="F15" s="276" t="inlineStr">
        <is>
          <t>Россия</t>
        </is>
      </c>
      <c r="G15" s="276" t="inlineStr">
        <is>
          <t>10826766</t>
        </is>
      </c>
      <c r="H15" s="277" t="n"/>
      <c r="I15" s="276">
        <f>D15*H15</f>
        <v/>
      </c>
    </row>
    <row r="16">
      <c r="A16" s="276" t="inlineStr">
        <is>
          <t>1.1/15</t>
        </is>
      </c>
      <c r="B16" s="276" t="inlineStr">
        <is>
          <t>Кран шаровой 11б27п1 Ду 20 Ру 16</t>
        </is>
      </c>
      <c r="C16" s="276" t="inlineStr">
        <is>
          <t>шт</t>
        </is>
      </c>
      <c r="D16" s="276" t="n">
        <v>35</v>
      </c>
      <c r="E16" s="276" t="inlineStr">
        <is>
          <t>ООО «ЛД Прайд» (ИНН 7449114775)</t>
        </is>
      </c>
      <c r="F16" s="276" t="inlineStr">
        <is>
          <t>Россия</t>
        </is>
      </c>
      <c r="G16" s="276" t="inlineStr">
        <is>
          <t>10826766</t>
        </is>
      </c>
      <c r="H16" s="277" t="n"/>
      <c r="I16" s="276">
        <f>D16*H16</f>
        <v/>
      </c>
    </row>
    <row r="17">
      <c r="A17" s="276" t="inlineStr">
        <is>
          <t>1.1/16</t>
        </is>
      </c>
      <c r="B17" s="276" t="inlineStr">
        <is>
          <t>Кран шаровой 11б27п1 Ду 25 Ру 16</t>
        </is>
      </c>
      <c r="C17" s="276" t="inlineStr">
        <is>
          <t>шт</t>
        </is>
      </c>
      <c r="D17" s="276" t="n">
        <v>20</v>
      </c>
      <c r="E17" s="276" t="inlineStr">
        <is>
          <t>ООО «ЛД Прайд» (ИНН 7449114775)</t>
        </is>
      </c>
      <c r="F17" s="276" t="inlineStr">
        <is>
          <t>Россия</t>
        </is>
      </c>
      <c r="G17" s="276" t="inlineStr">
        <is>
          <t>10826766</t>
        </is>
      </c>
      <c r="H17" s="277" t="n"/>
      <c r="I17" s="276">
        <f>D17*H17</f>
        <v/>
      </c>
    </row>
    <row r="18">
      <c r="A18" s="276" t="inlineStr">
        <is>
          <t>1.1/17</t>
        </is>
      </c>
      <c r="B18" s="276" t="inlineStr">
        <is>
          <t>Кран шаровой 11б27п1 Ду 32 Ру 16</t>
        </is>
      </c>
      <c r="C18" s="276" t="inlineStr">
        <is>
          <t>шт</t>
        </is>
      </c>
      <c r="D18" s="276" t="n">
        <v>25</v>
      </c>
      <c r="E18" s="276" t="inlineStr">
        <is>
          <t>ООО «ЛД Прайд» (ИНН 7449114775)</t>
        </is>
      </c>
      <c r="F18" s="276" t="inlineStr">
        <is>
          <t>Россия</t>
        </is>
      </c>
      <c r="G18" s="276" t="inlineStr">
        <is>
          <t>10826766</t>
        </is>
      </c>
      <c r="H18" s="277" t="n"/>
      <c r="I18" s="276">
        <f>D18*H18</f>
        <v/>
      </c>
    </row>
    <row r="19">
      <c r="A19" s="276" t="inlineStr">
        <is>
          <t>1.1/18</t>
        </is>
      </c>
      <c r="B19" s="276" t="inlineStr">
        <is>
          <t>Кран шаровой 11б27п1 Ду 40 Ру 16</t>
        </is>
      </c>
      <c r="C19" s="276" t="inlineStr">
        <is>
          <t>шт</t>
        </is>
      </c>
      <c r="D19" s="276" t="n">
        <v>8</v>
      </c>
      <c r="E19" s="276" t="inlineStr">
        <is>
          <t>ООО «ЛД Прайд» (ИНН 7449114775)</t>
        </is>
      </c>
      <c r="F19" s="276" t="inlineStr">
        <is>
          <t>Россия</t>
        </is>
      </c>
      <c r="G19" s="276" t="inlineStr">
        <is>
          <t>10826766</t>
        </is>
      </c>
      <c r="H19" s="277" t="n"/>
      <c r="I19" s="276">
        <f>D19*H19</f>
        <v/>
      </c>
    </row>
    <row r="20">
      <c r="A20" s="276" t="inlineStr">
        <is>
          <t>1.1/19</t>
        </is>
      </c>
      <c r="B20" s="276" t="inlineStr">
        <is>
          <t>Кран шаровой 11б27п1 Ду 50 Ру 16</t>
        </is>
      </c>
      <c r="C20" s="276" t="inlineStr">
        <is>
          <t>шт</t>
        </is>
      </c>
      <c r="D20" s="276" t="n">
        <v>8</v>
      </c>
      <c r="E20" s="276" t="inlineStr">
        <is>
          <t>ООО «ЛД Прайд» (ИНН 7449114775)</t>
        </is>
      </c>
      <c r="F20" s="276" t="inlineStr">
        <is>
          <t>Россия</t>
        </is>
      </c>
      <c r="G20" s="276" t="inlineStr">
        <is>
          <t>10826766</t>
        </is>
      </c>
      <c r="H20" s="277" t="n"/>
      <c r="I20" s="276">
        <f>D20*H20</f>
        <v/>
      </c>
    </row>
    <row r="21">
      <c r="A21" s="276" t="inlineStr">
        <is>
          <t>1.1/20</t>
        </is>
      </c>
      <c r="B21" s="276" t="inlineStr">
        <is>
          <t>Кран шаровой 11с67п Ду 150 Ру 25 цельносварной под приварку</t>
        </is>
      </c>
      <c r="C21" s="276" t="inlineStr">
        <is>
          <t>шт</t>
        </is>
      </c>
      <c r="D21" s="276" t="n">
        <v>2</v>
      </c>
      <c r="E21" s="276" t="inlineStr">
        <is>
          <t>ООО «ЧелябинскСпецГражданСтрой» (ИНН 7451211335)</t>
        </is>
      </c>
      <c r="F21" s="276" t="inlineStr">
        <is>
          <t>Россия</t>
        </is>
      </c>
      <c r="G21" s="276" t="inlineStr">
        <is>
          <t>10655491</t>
        </is>
      </c>
      <c r="H21" s="277" t="n"/>
      <c r="I21" s="276">
        <f>D21*H21</f>
        <v/>
      </c>
    </row>
    <row r="22">
      <c r="A22" s="276" t="inlineStr">
        <is>
          <t>1.1/21</t>
        </is>
      </c>
      <c r="B22" s="276" t="inlineStr">
        <is>
          <t>Кран шаровой 11с67п Ду 200 Ру 16 ЦУФ.001 КШ укороченный полнопроходной фланцевый с рукояткой</t>
        </is>
      </c>
      <c r="C22" s="276" t="inlineStr">
        <is>
          <t>шт</t>
        </is>
      </c>
      <c r="D22" s="276" t="n">
        <v>2</v>
      </c>
      <c r="E22" s="277" t="inlineStr"/>
      <c r="F22" s="277" t="inlineStr"/>
      <c r="G22" s="277" t="inlineStr"/>
      <c r="H22" s="277" t="n"/>
      <c r="I22" s="276">
        <f>D22*H22</f>
        <v/>
      </c>
    </row>
    <row r="23">
      <c r="A23" s="276" t="inlineStr">
        <is>
          <t>1.1/22</t>
        </is>
      </c>
      <c r="B23" s="276" t="inlineStr">
        <is>
          <t>Затвор дисковый поворотный межфланцевый Stensel 31070-01 Ду 200 Ру 25</t>
        </is>
      </c>
      <c r="C23" s="276" t="inlineStr">
        <is>
          <t>шт</t>
        </is>
      </c>
      <c r="D23" s="276" t="n">
        <v>3</v>
      </c>
      <c r="E23" s="277" t="inlineStr"/>
      <c r="F23" s="277" t="inlineStr"/>
      <c r="G23" s="277" t="inlineStr"/>
      <c r="H23" s="277" t="n"/>
      <c r="I23" s="276">
        <f>D23*H23</f>
        <v/>
      </c>
    </row>
    <row r="24">
      <c r="A24" s="276" t="inlineStr">
        <is>
          <t>1.1/23</t>
        </is>
      </c>
      <c r="B24" s="276" t="inlineStr">
        <is>
          <t>Затвор дисковый поворотный межфланцевый ПА954.450.10-05 Ду 450 Ру 10</t>
        </is>
      </c>
      <c r="C24" s="276" t="inlineStr">
        <is>
          <t>шт</t>
        </is>
      </c>
      <c r="D24" s="276" t="n">
        <v>1</v>
      </c>
      <c r="E24" s="277" t="inlineStr"/>
      <c r="F24" s="277" t="inlineStr"/>
      <c r="G24" s="277" t="inlineStr"/>
      <c r="H24" s="277" t="n"/>
      <c r="I24" s="276">
        <f>D24*H24</f>
        <v/>
      </c>
    </row>
    <row r="25">
      <c r="A25" s="276" t="inlineStr">
        <is>
          <t>1.1/24</t>
        </is>
      </c>
      <c r="B25" s="276" t="inlineStr">
        <is>
          <t>Электропривод общепромышленный Н-В-02 У2</t>
        </is>
      </c>
      <c r="C25" s="276" t="inlineStr">
        <is>
          <t>шт</t>
        </is>
      </c>
      <c r="D25" s="276" t="n">
        <v>2</v>
      </c>
      <c r="E25" s="276" t="inlineStr">
        <is>
          <t>АО «ПО «Тулаэлектропривод» (ИНН 7130025182)</t>
        </is>
      </c>
      <c r="F25" s="276" t="inlineStr">
        <is>
          <t>Россия</t>
        </is>
      </c>
      <c r="G25" s="276" t="inlineStr">
        <is>
          <t>10612591</t>
        </is>
      </c>
      <c r="H25" s="277" t="n"/>
      <c r="I25" s="276">
        <f>D25*H25</f>
        <v/>
      </c>
    </row>
    <row r="26">
      <c r="A26" s="276" t="inlineStr">
        <is>
          <t>1.2/1</t>
        </is>
      </c>
      <c r="B26" s="276" t="inlineStr">
        <is>
          <t>Кран шаровой 11с67п Ду 32 Ру 25 цельносварной под приварку</t>
        </is>
      </c>
      <c r="C26" s="276" t="inlineStr">
        <is>
          <t>шт</t>
        </is>
      </c>
      <c r="D26" s="276" t="n">
        <v>2</v>
      </c>
      <c r="E26" s="276" t="inlineStr">
        <is>
          <t>ООО «ЧелябинскСпецГражданСтрой» (ИНН 7451211335)</t>
        </is>
      </c>
      <c r="F26" s="276" t="inlineStr">
        <is>
          <t>Россия</t>
        </is>
      </c>
      <c r="G26" s="276" t="inlineStr">
        <is>
          <t>10655491</t>
        </is>
      </c>
      <c r="H26" s="277" t="n"/>
      <c r="I26" s="276">
        <f>D26*H26</f>
        <v/>
      </c>
    </row>
    <row r="27">
      <c r="A27" s="276" t="inlineStr">
        <is>
          <t>1.2/2</t>
        </is>
      </c>
      <c r="B27" s="276" t="inlineStr">
        <is>
          <t>Кран шаровой 11с67п Ду 100 Ру 25 цельносварной под приварку</t>
        </is>
      </c>
      <c r="C27" s="276" t="inlineStr">
        <is>
          <t>шт</t>
        </is>
      </c>
      <c r="D27" s="276" t="n">
        <v>4</v>
      </c>
      <c r="E27" s="277" t="inlineStr"/>
      <c r="F27" s="277" t="inlineStr"/>
      <c r="G27" s="277" t="inlineStr"/>
      <c r="H27" s="277" t="n"/>
      <c r="I27" s="276">
        <f>D27*H27</f>
        <v/>
      </c>
    </row>
    <row r="28">
      <c r="A28" s="276" t="inlineStr">
        <is>
          <t>1.2/3</t>
        </is>
      </c>
      <c r="B28" s="276" t="inlineStr">
        <is>
          <t>Кран шаровой 11с67п Ду 50 Ру 25 полнопрох. с КОФ (КЗШС41нж)</t>
        </is>
      </c>
      <c r="C28" s="276" t="inlineStr">
        <is>
          <t>шт</t>
        </is>
      </c>
      <c r="D28" s="276" t="n">
        <v>18</v>
      </c>
      <c r="E28" s="276" t="inlineStr">
        <is>
          <t>ООО «ЧелябинскСпецГражданСтрой» (ИНН 7451211335)</t>
        </is>
      </c>
      <c r="F28" s="276" t="inlineStr">
        <is>
          <t>Россия</t>
        </is>
      </c>
      <c r="G28" s="276" t="inlineStr">
        <is>
          <t>10655491</t>
        </is>
      </c>
      <c r="H28" s="277" t="n"/>
      <c r="I28" s="276">
        <f>D28*H28</f>
        <v/>
      </c>
    </row>
    <row r="29">
      <c r="A29" s="276" t="inlineStr">
        <is>
          <t>1.2/4</t>
        </is>
      </c>
      <c r="B29" s="276" t="inlineStr">
        <is>
          <t>Кран шаровой 11с67п Ду 80 Ру 25 полнопрох. с КОФ (КЗШС41нж)</t>
        </is>
      </c>
      <c r="C29" s="276" t="inlineStr">
        <is>
          <t>шт</t>
        </is>
      </c>
      <c r="D29" s="276" t="n">
        <v>4</v>
      </c>
      <c r="E29" s="276" t="inlineStr">
        <is>
          <t>ООО «ЧелябинскСпецГражданСтрой» (ИНН 7451211335)</t>
        </is>
      </c>
      <c r="F29" s="276" t="inlineStr">
        <is>
          <t>Россия</t>
        </is>
      </c>
      <c r="G29" s="276" t="inlineStr">
        <is>
          <t>10655491</t>
        </is>
      </c>
      <c r="H29" s="277" t="n"/>
      <c r="I29" s="276">
        <f>D29*H29</f>
        <v/>
      </c>
    </row>
    <row r="30">
      <c r="A30" s="276" t="inlineStr">
        <is>
          <t>1.2/5</t>
        </is>
      </c>
      <c r="B30" s="276" t="inlineStr">
        <is>
          <t>Кран шаровой 11с67п Ду 100 Ру 16 ЦУФ.001 КШ укороченный полнопроходной фланцевый с рукояткой</t>
        </is>
      </c>
      <c r="C30" s="276" t="inlineStr">
        <is>
          <t>шт</t>
        </is>
      </c>
      <c r="D30" s="276" t="n">
        <v>2</v>
      </c>
      <c r="E30" s="276" t="inlineStr">
        <is>
          <t>ООО «ЧелябинскСпецГражданСтрой» (ИНН 7451211335)</t>
        </is>
      </c>
      <c r="F30" s="276" t="inlineStr">
        <is>
          <t>Россия</t>
        </is>
      </c>
      <c r="G30" s="276" t="inlineStr">
        <is>
          <t>10655491</t>
        </is>
      </c>
      <c r="H30" s="277" t="n"/>
      <c r="I30" s="276">
        <f>D30*H30</f>
        <v/>
      </c>
    </row>
    <row r="31">
      <c r="A31" s="276" t="inlineStr">
        <is>
          <t>1.3/1</t>
        </is>
      </c>
      <c r="B31" s="276" t="inlineStr">
        <is>
          <t>Клапан регулирующий 25с947нж Ду 50 Ру 25 с ЭИМ</t>
        </is>
      </c>
      <c r="C31" s="276" t="inlineStr">
        <is>
          <t>шт</t>
        </is>
      </c>
      <c r="D31" s="276" t="n">
        <v>1</v>
      </c>
      <c r="E31" s="277" t="inlineStr"/>
      <c r="F31" s="277" t="inlineStr"/>
      <c r="G31" s="277" t="inlineStr"/>
      <c r="H31" s="277" t="n"/>
      <c r="I31" s="276">
        <f>D31*H31</f>
        <v/>
      </c>
    </row>
    <row r="32">
      <c r="A32" s="276" t="inlineStr">
        <is>
          <t>1.3/2</t>
        </is>
      </c>
      <c r="B32" s="276" t="inlineStr">
        <is>
          <t>Клапан регулирующий 25ч945п Ду 15 Ру 16 с ЭИМ</t>
        </is>
      </c>
      <c r="C32" s="276" t="inlineStr">
        <is>
          <t>шт</t>
        </is>
      </c>
      <c r="D32" s="276" t="n">
        <v>2</v>
      </c>
      <c r="E32" s="276" t="inlineStr">
        <is>
          <t>ООО «Арма-Пром»</t>
        </is>
      </c>
      <c r="F32" s="277" t="inlineStr"/>
      <c r="G32" s="277" t="inlineStr"/>
      <c r="H32" s="277" t="n"/>
      <c r="I32" s="276">
        <f>D32*H32</f>
        <v/>
      </c>
    </row>
    <row r="33">
      <c r="A33" s="276" t="inlineStr">
        <is>
          <t>1.3/3</t>
        </is>
      </c>
      <c r="B33" s="276" t="inlineStr">
        <is>
          <t>Клапан регулирующий 25ч945п Ду 25 Ру 16 с ЭИМ</t>
        </is>
      </c>
      <c r="C33" s="276" t="inlineStr">
        <is>
          <t>шт</t>
        </is>
      </c>
      <c r="D33" s="276" t="n">
        <v>1</v>
      </c>
      <c r="E33" s="276" t="inlineStr">
        <is>
          <t>ООО «Арма-Пром»</t>
        </is>
      </c>
      <c r="F33" s="277" t="inlineStr"/>
      <c r="G33" s="277" t="inlineStr"/>
      <c r="H33" s="277" t="n"/>
      <c r="I33" s="276">
        <f>D33*H33</f>
        <v/>
      </c>
    </row>
    <row r="34">
      <c r="A34" s="276" t="inlineStr">
        <is>
          <t>1.3/4</t>
        </is>
      </c>
      <c r="B34" s="276" t="inlineStr">
        <is>
          <t>Клапан регулирующий 25ч945п Ду 50 Ру 16 KV100 с ЭИМ</t>
        </is>
      </c>
      <c r="C34" s="276" t="inlineStr">
        <is>
          <t>шт</t>
        </is>
      </c>
      <c r="D34" s="276" t="n">
        <v>2</v>
      </c>
      <c r="E34" s="277" t="inlineStr"/>
      <c r="F34" s="277" t="inlineStr"/>
      <c r="G34" s="277" t="inlineStr"/>
      <c r="H34" s="277" t="n"/>
      <c r="I34" s="276">
        <f>D34*H34</f>
        <v/>
      </c>
    </row>
    <row r="35">
      <c r="A35" s="276" t="inlineStr">
        <is>
          <t>1.3/5</t>
        </is>
      </c>
      <c r="B35" s="276" t="inlineStr">
        <is>
          <t>Клапан регулирующий 25ч945п Ду 80 Ру 16 с ЭИМ</t>
        </is>
      </c>
      <c r="C35" s="276" t="inlineStr">
        <is>
          <t>шт</t>
        </is>
      </c>
      <c r="D35" s="276" t="n">
        <v>8</v>
      </c>
      <c r="E35" s="276" t="inlineStr">
        <is>
          <t>ООО «Арма-Пром»</t>
        </is>
      </c>
      <c r="F35" s="277" t="inlineStr"/>
      <c r="G35" s="277" t="inlineStr"/>
      <c r="H35" s="277" t="n"/>
      <c r="I35" s="276">
        <f>D35*H35</f>
        <v/>
      </c>
    </row>
    <row r="36">
      <c r="A36" s="276" t="inlineStr">
        <is>
          <t>1.3/6</t>
        </is>
      </c>
      <c r="B36" s="276" t="inlineStr">
        <is>
          <t>Регулирующий клапан Ридан VFG-2R Ду 100, Kvs 125, Ру 16</t>
        </is>
      </c>
      <c r="C36" s="276" t="inlineStr">
        <is>
          <t>шт</t>
        </is>
      </c>
      <c r="D36" s="276" t="n">
        <v>2</v>
      </c>
      <c r="E36" s="277" t="inlineStr"/>
      <c r="F36" s="277" t="inlineStr"/>
      <c r="G36" s="277" t="inlineStr"/>
      <c r="H36" s="277" t="n"/>
      <c r="I36" s="276">
        <f>D36*H36</f>
        <v/>
      </c>
    </row>
    <row r="37">
      <c r="A37" s="276" t="inlineStr">
        <is>
          <t>1.3/7</t>
        </is>
      </c>
      <c r="B37" s="276" t="inlineStr">
        <is>
          <t>Регулирующий клапан Ридан VFG-2R Ду 32, Kvs 16,  Ру 16</t>
        </is>
      </c>
      <c r="C37" s="276" t="inlineStr">
        <is>
          <t>шт</t>
        </is>
      </c>
      <c r="D37" s="276" t="n">
        <v>4</v>
      </c>
      <c r="E37" s="276" t="inlineStr">
        <is>
          <t>АО «Энерготехномаш» (ИНН 0323085570)</t>
        </is>
      </c>
      <c r="F37" s="276" t="inlineStr">
        <is>
          <t>Россия</t>
        </is>
      </c>
      <c r="G37" s="276" t="inlineStr">
        <is>
          <t>10789125</t>
        </is>
      </c>
      <c r="H37" s="277" t="n"/>
      <c r="I37" s="276">
        <f>D37*H37</f>
        <v/>
      </c>
    </row>
    <row r="38">
      <c r="A38" s="276" t="inlineStr">
        <is>
          <t>1.3/8</t>
        </is>
      </c>
      <c r="B38" s="276" t="inlineStr">
        <is>
          <t>регулирующий клапан Ридан VFG-2R Ду 80, Kvs 80,  Ру 16</t>
        </is>
      </c>
      <c r="C38" s="276" t="inlineStr">
        <is>
          <t>шт</t>
        </is>
      </c>
      <c r="D38" s="276" t="n">
        <v>2</v>
      </c>
      <c r="E38" s="277" t="inlineStr"/>
      <c r="F38" s="277" t="inlineStr"/>
      <c r="G38" s="277" t="inlineStr"/>
      <c r="H38" s="277" t="n"/>
      <c r="I38" s="276">
        <f>D38*H38</f>
        <v/>
      </c>
    </row>
    <row r="39">
      <c r="A39" s="276" t="inlineStr">
        <is>
          <t>1.3/9</t>
        </is>
      </c>
      <c r="B39" s="276" t="inlineStr">
        <is>
          <t>Регулятор давления РД-НО (Нормально открытый) Ду 25 Ру 16</t>
        </is>
      </c>
      <c r="C39" s="276" t="inlineStr">
        <is>
          <t>шт</t>
        </is>
      </c>
      <c r="D39" s="276" t="n">
        <v>2</v>
      </c>
      <c r="E39" s="276" t="inlineStr">
        <is>
          <t>АО «Энерготехномаш» (ИНН 0323085570)</t>
        </is>
      </c>
      <c r="F39" s="276" t="inlineStr">
        <is>
          <t>Россия</t>
        </is>
      </c>
      <c r="G39" s="276" t="inlineStr">
        <is>
          <t>10789125</t>
        </is>
      </c>
      <c r="H39" s="277" t="n"/>
      <c r="I39" s="276">
        <f>D39*H39</f>
        <v/>
      </c>
    </row>
    <row r="40">
      <c r="A40" s="276" t="inlineStr">
        <is>
          <t>1.3/10</t>
        </is>
      </c>
      <c r="B40" s="276" t="inlineStr">
        <is>
          <t>Регулятор давления РД-НО (Нормально открытый) Ду 32 Ру 16</t>
        </is>
      </c>
      <c r="C40" s="276" t="inlineStr">
        <is>
          <t>шт</t>
        </is>
      </c>
      <c r="D40" s="276" t="n">
        <v>1</v>
      </c>
      <c r="E40" s="276" t="inlineStr">
        <is>
          <t>АО «Энерготехномаш» (ИНН 0323085570)</t>
        </is>
      </c>
      <c r="F40" s="276" t="inlineStr">
        <is>
          <t>Россия</t>
        </is>
      </c>
      <c r="G40" s="276" t="inlineStr">
        <is>
          <t>10789125</t>
        </is>
      </c>
      <c r="H40" s="277" t="n"/>
      <c r="I40" s="276">
        <f>D40*H40</f>
        <v/>
      </c>
    </row>
    <row r="41">
      <c r="A41" s="276" t="inlineStr">
        <is>
          <t>1.3/11</t>
        </is>
      </c>
      <c r="B41" s="276" t="inlineStr">
        <is>
          <t>Регулятор давления РД-НО (Нормально открытый) Ду 50 Ру 16</t>
        </is>
      </c>
      <c r="C41" s="276" t="inlineStr">
        <is>
          <t>шт</t>
        </is>
      </c>
      <c r="D41" s="276" t="n">
        <v>3</v>
      </c>
      <c r="E41" s="276" t="inlineStr">
        <is>
          <t>АО «Энерготехномаш» (ИНН 0323085570)</t>
        </is>
      </c>
      <c r="F41" s="276" t="inlineStr">
        <is>
          <t>Россия</t>
        </is>
      </c>
      <c r="G41" s="276" t="inlineStr">
        <is>
          <t>10789125</t>
        </is>
      </c>
      <c r="H41" s="277" t="n"/>
      <c r="I41" s="276">
        <f>D41*H41</f>
        <v/>
      </c>
    </row>
    <row r="42">
      <c r="A42" s="276" t="inlineStr">
        <is>
          <t>1.3/12</t>
        </is>
      </c>
      <c r="B42" s="276" t="inlineStr">
        <is>
          <t>Регулятор давления РД-НО (Нормально открытый) Ду 80 Ру 16</t>
        </is>
      </c>
      <c r="C42" s="276" t="inlineStr">
        <is>
          <t>шт</t>
        </is>
      </c>
      <c r="D42" s="276" t="n">
        <v>3</v>
      </c>
      <c r="E42" s="276" t="inlineStr">
        <is>
          <t>АО «Энерготехномаш» (ИНН 0323085570)</t>
        </is>
      </c>
      <c r="F42" s="276" t="inlineStr">
        <is>
          <t>Россия</t>
        </is>
      </c>
      <c r="G42" s="276" t="inlineStr">
        <is>
          <t>10789125</t>
        </is>
      </c>
      <c r="H42" s="277" t="n"/>
      <c r="I42" s="276">
        <f>D42*H42</f>
        <v/>
      </c>
    </row>
    <row r="43">
      <c r="A43" s="276" t="inlineStr">
        <is>
          <t>1.3/13</t>
        </is>
      </c>
      <c r="B43" s="276" t="inlineStr">
        <is>
          <t>Регулирующий блок после себя AFD Ду 15-250 с диапазоном настройки Ру 25</t>
        </is>
      </c>
      <c r="C43" s="276" t="inlineStr">
        <is>
          <t>шт</t>
        </is>
      </c>
      <c r="D43" s="276" t="n">
        <v>2</v>
      </c>
      <c r="E43" s="277" t="inlineStr"/>
      <c r="F43" s="277" t="inlineStr"/>
      <c r="G43" s="277" t="inlineStr"/>
      <c r="H43" s="277" t="n"/>
      <c r="I43" s="276">
        <f>D43*H43</f>
        <v/>
      </c>
    </row>
    <row r="44">
      <c r="A44" s="276" t="inlineStr">
        <is>
          <t>1.3/14</t>
        </is>
      </c>
      <c r="B44" s="276" t="inlineStr">
        <is>
          <t>Клапан обратный 19с53нж Ду 80 Ру 40</t>
        </is>
      </c>
      <c r="C44" s="276" t="inlineStr">
        <is>
          <t>шт</t>
        </is>
      </c>
      <c r="D44" s="276" t="n">
        <v>2</v>
      </c>
      <c r="E44" s="276" t="inlineStr">
        <is>
          <t>АО «Пензенский завод трубопроводной арматуры»</t>
        </is>
      </c>
      <c r="F44" s="276" t="inlineStr">
        <is>
          <t>Россия</t>
        </is>
      </c>
      <c r="G44" s="276" t="inlineStr">
        <is>
          <t>10706185</t>
        </is>
      </c>
      <c r="H44" s="277" t="n"/>
      <c r="I44" s="276">
        <f>D44*H44</f>
        <v/>
      </c>
    </row>
    <row r="45">
      <c r="A45" s="276" t="inlineStr">
        <is>
          <t>1.3/15</t>
        </is>
      </c>
      <c r="B45" s="276" t="inlineStr">
        <is>
          <t>Клапан обратный 19с53нж Ду 150 Ру 40</t>
        </is>
      </c>
      <c r="C45" s="276" t="inlineStr">
        <is>
          <t>шт</t>
        </is>
      </c>
      <c r="D45" s="276" t="n">
        <v>2</v>
      </c>
      <c r="E45" s="276" t="inlineStr">
        <is>
          <t>АО «Пензенский завод трубопроводной арматуры»</t>
        </is>
      </c>
      <c r="F45" s="276" t="inlineStr">
        <is>
          <t>Россия</t>
        </is>
      </c>
      <c r="G45" s="276" t="inlineStr">
        <is>
          <t>10706185</t>
        </is>
      </c>
      <c r="H45" s="277" t="n"/>
      <c r="I45" s="276">
        <f>D45*H45</f>
        <v/>
      </c>
    </row>
    <row r="46">
      <c r="A46" s="276" t="inlineStr">
        <is>
          <t>1.3/16</t>
        </is>
      </c>
      <c r="B46" s="276" t="inlineStr">
        <is>
          <t>Клапан обратный межфланцевый 19ч21бр Ду 100 Ру 16</t>
        </is>
      </c>
      <c r="C46" s="276" t="inlineStr">
        <is>
          <t>шт</t>
        </is>
      </c>
      <c r="D46" s="276" t="n">
        <v>4</v>
      </c>
      <c r="E46" s="276" t="inlineStr">
        <is>
          <t>АО «Энергия»</t>
        </is>
      </c>
      <c r="F46" s="276" t="inlineStr">
        <is>
          <t>Россия</t>
        </is>
      </c>
      <c r="G46" s="276" t="inlineStr">
        <is>
          <t>10743786</t>
        </is>
      </c>
      <c r="H46" s="277" t="n"/>
      <c r="I46" s="276">
        <f>D46*H46</f>
        <v/>
      </c>
    </row>
    <row r="47">
      <c r="A47" s="276" t="inlineStr">
        <is>
          <t>1.3/17</t>
        </is>
      </c>
      <c r="B47" s="276" t="inlineStr">
        <is>
          <t>Клапан обратный межфланцевый 19ч21бр Ду 50 Ру 16</t>
        </is>
      </c>
      <c r="C47" s="276" t="inlineStr">
        <is>
          <t>шт</t>
        </is>
      </c>
      <c r="D47" s="276" t="n">
        <v>6</v>
      </c>
      <c r="E47" s="276" t="inlineStr">
        <is>
          <t>АО «Энергия»</t>
        </is>
      </c>
      <c r="F47" s="276" t="inlineStr">
        <is>
          <t>Россия</t>
        </is>
      </c>
      <c r="G47" s="276" t="inlineStr">
        <is>
          <t>10743786</t>
        </is>
      </c>
      <c r="H47" s="277" t="n"/>
      <c r="I47" s="276">
        <f>D47*H47</f>
        <v/>
      </c>
    </row>
    <row r="48">
      <c r="A48" s="276" t="inlineStr">
        <is>
          <t>1.3/18</t>
        </is>
      </c>
      <c r="B48" s="276" t="inlineStr">
        <is>
          <t>Клапан обратный межфланцевый 19ч21бр Ду 80 Ру 16</t>
        </is>
      </c>
      <c r="C48" s="276" t="inlineStr">
        <is>
          <t>шт</t>
        </is>
      </c>
      <c r="D48" s="276" t="n">
        <v>7</v>
      </c>
      <c r="E48" s="276" t="inlineStr">
        <is>
          <t>АО «Энергия»</t>
        </is>
      </c>
      <c r="F48" s="276" t="inlineStr">
        <is>
          <t>Россия</t>
        </is>
      </c>
      <c r="G48" s="276" t="inlineStr">
        <is>
          <t>10743786</t>
        </is>
      </c>
      <c r="H48" s="277" t="n"/>
      <c r="I48" s="276">
        <f>D48*H48</f>
        <v/>
      </c>
    </row>
    <row r="49">
      <c r="A49" s="276" t="inlineStr">
        <is>
          <t>1.3/19</t>
        </is>
      </c>
      <c r="B49" s="276" t="inlineStr">
        <is>
          <t>Клапан обратный двухстворчатый DENDOR 010C Ду 100 Ру 16</t>
        </is>
      </c>
      <c r="C49" s="276" t="inlineStr">
        <is>
          <t>шт</t>
        </is>
      </c>
      <c r="D49" s="276" t="n">
        <v>5</v>
      </c>
      <c r="E49" s="276" t="inlineStr">
        <is>
          <t>АО «Энергия» (ИНН 7805499441)</t>
        </is>
      </c>
      <c r="F49" s="276" t="inlineStr">
        <is>
          <t>Россия</t>
        </is>
      </c>
      <c r="G49" s="276" t="inlineStr">
        <is>
          <t>10743786</t>
        </is>
      </c>
      <c r="H49" s="277" t="n"/>
      <c r="I49" s="276">
        <f>D49*H49</f>
        <v/>
      </c>
    </row>
    <row r="50">
      <c r="A50" s="276" t="inlineStr">
        <is>
          <t>1.3/20</t>
        </is>
      </c>
      <c r="B50" s="276" t="inlineStr">
        <is>
          <t>Клапан обратный двухстворчатый DENDOR 010C Ду 200 Ру 16</t>
        </is>
      </c>
      <c r="C50" s="276" t="inlineStr">
        <is>
          <t>шт</t>
        </is>
      </c>
      <c r="D50" s="276" t="n">
        <v>5</v>
      </c>
      <c r="E50" s="276" t="inlineStr">
        <is>
          <t>АО «Энергия» (ИНН 7805499441)</t>
        </is>
      </c>
      <c r="F50" s="276" t="inlineStr">
        <is>
          <t>Россия</t>
        </is>
      </c>
      <c r="G50" s="276" t="inlineStr">
        <is>
          <t>10743786</t>
        </is>
      </c>
      <c r="H50" s="277" t="n"/>
      <c r="I50" s="276">
        <f>D50*H50</f>
        <v/>
      </c>
    </row>
    <row r="51">
      <c r="A51" s="276" t="inlineStr">
        <is>
          <t>1.3/21</t>
        </is>
      </c>
      <c r="B51" s="276" t="inlineStr">
        <is>
          <t>Клапан обратный фланцевый Ду 50 Ру 40</t>
        </is>
      </c>
      <c r="C51" s="276" t="inlineStr">
        <is>
          <t>шт</t>
        </is>
      </c>
      <c r="D51" s="276" t="n">
        <v>1</v>
      </c>
      <c r="E51" s="276" t="inlineStr">
        <is>
          <t>АО «Пензенский завод трубопроводной арматуры»</t>
        </is>
      </c>
      <c r="F51" s="276" t="inlineStr">
        <is>
          <t>Россия</t>
        </is>
      </c>
      <c r="G51" s="276" t="inlineStr">
        <is>
          <t>10706185</t>
        </is>
      </c>
      <c r="H51" s="277" t="n"/>
      <c r="I51" s="276">
        <f>D51*H51</f>
        <v/>
      </c>
    </row>
    <row r="52">
      <c r="A52" s="276" t="inlineStr">
        <is>
          <t>1.3/22</t>
        </is>
      </c>
      <c r="B52" s="276" t="inlineStr">
        <is>
          <t>Обратный клапан «Гранлок» серии CV16 Ду 150 Ру 16</t>
        </is>
      </c>
      <c r="C52" s="276" t="inlineStr">
        <is>
          <t>шт</t>
        </is>
      </c>
      <c r="D52" s="276" t="n">
        <v>4</v>
      </c>
      <c r="E52" s="276" t="inlineStr">
        <is>
          <t>ООО «Торговый Дом АДЛ» (ИНН 7718625072)</t>
        </is>
      </c>
      <c r="F52" s="276" t="inlineStr">
        <is>
          <t>Россия</t>
        </is>
      </c>
      <c r="G52" s="276" t="inlineStr">
        <is>
          <t>10618660</t>
        </is>
      </c>
      <c r="H52" s="277" t="n"/>
      <c r="I52" s="276">
        <f>D52*H52</f>
        <v/>
      </c>
    </row>
    <row r="53">
      <c r="A53" s="276" t="inlineStr">
        <is>
          <t>1.3/23</t>
        </is>
      </c>
      <c r="B53" s="276" t="inlineStr">
        <is>
          <t>Клапан обратный 16нж10нж Ду 50 Ру 16</t>
        </is>
      </c>
      <c r="C53" s="276" t="inlineStr">
        <is>
          <t>шт</t>
        </is>
      </c>
      <c r="D53" s="276" t="n">
        <v>2</v>
      </c>
      <c r="E53" s="276" t="inlineStr">
        <is>
          <t>ООО «ПТЗ» (Пермь)</t>
        </is>
      </c>
      <c r="F53" s="276" t="inlineStr">
        <is>
          <t>Россия</t>
        </is>
      </c>
      <c r="G53" s="276" t="inlineStr">
        <is>
          <t>10746921</t>
        </is>
      </c>
      <c r="H53" s="277" t="n"/>
      <c r="I53" s="276">
        <f>D53*H53</f>
        <v/>
      </c>
    </row>
    <row r="54">
      <c r="A54" s="276" t="inlineStr">
        <is>
          <t>1.3/24</t>
        </is>
      </c>
      <c r="B54" s="276" t="inlineStr">
        <is>
          <t>Клапан обратный 16нж10нж Ду 32 Ру16</t>
        </is>
      </c>
      <c r="C54" s="276" t="inlineStr">
        <is>
          <t>шт</t>
        </is>
      </c>
      <c r="D54" s="276" t="n">
        <v>5</v>
      </c>
      <c r="E54" s="276" t="inlineStr">
        <is>
          <t>ООО «ПТЗ» (Пермь)</t>
        </is>
      </c>
      <c r="F54" s="276" t="inlineStr">
        <is>
          <t>Россия</t>
        </is>
      </c>
      <c r="G54" s="276" t="inlineStr">
        <is>
          <t>10746921</t>
        </is>
      </c>
      <c r="H54" s="277" t="n"/>
      <c r="I54" s="276">
        <f>D54*H54</f>
        <v/>
      </c>
    </row>
    <row r="55">
      <c r="A55" s="276" t="inlineStr">
        <is>
          <t>1.3/25</t>
        </is>
      </c>
      <c r="B55" s="276" t="inlineStr">
        <is>
          <t>Клапан обратный 16ч42р Ду 100 Ру 2,5</t>
        </is>
      </c>
      <c r="C55" s="276" t="inlineStr">
        <is>
          <t>шт</t>
        </is>
      </c>
      <c r="D55" s="276" t="n">
        <v>3</v>
      </c>
      <c r="E55" s="277" t="inlineStr"/>
      <c r="F55" s="277" t="inlineStr"/>
      <c r="G55" s="277" t="inlineStr"/>
      <c r="H55" s="277" t="n"/>
      <c r="I55" s="276">
        <f>D55*H55</f>
        <v/>
      </c>
    </row>
    <row r="56">
      <c r="A56" s="276" t="inlineStr">
        <is>
          <t>1.3/26</t>
        </is>
      </c>
      <c r="B56" s="276" t="inlineStr">
        <is>
          <t>Клапан обратный 19нж76нж Ду 100 Ру 16</t>
        </is>
      </c>
      <c r="C56" s="276" t="inlineStr">
        <is>
          <t>шт</t>
        </is>
      </c>
      <c r="D56" s="276" t="n">
        <v>2</v>
      </c>
      <c r="E56" s="276" t="inlineStr">
        <is>
          <t>АО «Пензенский завод трубопроводной арматуры»</t>
        </is>
      </c>
      <c r="F56" s="276" t="inlineStr">
        <is>
          <t>Россия</t>
        </is>
      </c>
      <c r="G56" s="276" t="inlineStr">
        <is>
          <t>10706185</t>
        </is>
      </c>
      <c r="H56" s="277" t="n"/>
      <c r="I56" s="276">
        <f>D56*H56</f>
        <v/>
      </c>
    </row>
    <row r="57">
      <c r="A57" s="276" t="inlineStr">
        <is>
          <t>1.3/27</t>
        </is>
      </c>
      <c r="B57" s="276" t="inlineStr">
        <is>
          <t>Клапан обратный 19с76нж Ду 80 Ру 16</t>
        </is>
      </c>
      <c r="C57" s="276" t="inlineStr">
        <is>
          <t>шт</t>
        </is>
      </c>
      <c r="D57" s="276" t="n">
        <v>1</v>
      </c>
      <c r="E57" s="276" t="inlineStr">
        <is>
          <t>АО «Благовещенский арматурный завод» (ИНН 0258001489)</t>
        </is>
      </c>
      <c r="F57" s="276" t="inlineStr">
        <is>
          <t>Россия</t>
        </is>
      </c>
      <c r="G57" s="276" t="inlineStr">
        <is>
          <t>10329682</t>
        </is>
      </c>
      <c r="H57" s="277" t="n"/>
      <c r="I57" s="276">
        <f>D57*H57</f>
        <v/>
      </c>
    </row>
    <row r="58">
      <c r="A58" s="276" t="inlineStr">
        <is>
          <t>1.3/28</t>
        </is>
      </c>
      <c r="B58" s="276" t="inlineStr">
        <is>
          <t>Клапан обратный 19с76нж Ду 100 Ру 16</t>
        </is>
      </c>
      <c r="C58" s="276" t="inlineStr">
        <is>
          <t>шт</t>
        </is>
      </c>
      <c r="D58" s="276" t="n">
        <v>2</v>
      </c>
      <c r="E58" s="276" t="inlineStr">
        <is>
          <t>АО «Благовещенский арматурный завод» (ИНН 0258001489)</t>
        </is>
      </c>
      <c r="F58" s="276" t="inlineStr">
        <is>
          <t>Россия</t>
        </is>
      </c>
      <c r="G58" s="276" t="inlineStr">
        <is>
          <t>10329682</t>
        </is>
      </c>
      <c r="H58" s="277" t="n"/>
      <c r="I58" s="276">
        <f>D58*H58</f>
        <v/>
      </c>
    </row>
    <row r="59">
      <c r="A59" s="276" t="inlineStr">
        <is>
          <t>1.3/29</t>
        </is>
      </c>
      <c r="B59" s="276" t="inlineStr">
        <is>
          <t>Клапан обратный 19с76нж Ду 50 Ру 16</t>
        </is>
      </c>
      <c r="C59" s="276" t="inlineStr">
        <is>
          <t>шт</t>
        </is>
      </c>
      <c r="D59" s="276" t="n">
        <v>2</v>
      </c>
      <c r="E59" s="276" t="inlineStr">
        <is>
          <t>АО «Благовещенский арматурный завод» (ИНН 0258001489)</t>
        </is>
      </c>
      <c r="F59" s="276" t="inlineStr">
        <is>
          <t>Россия</t>
        </is>
      </c>
      <c r="G59" s="276" t="inlineStr">
        <is>
          <t>10329682</t>
        </is>
      </c>
      <c r="H59" s="277" t="n"/>
      <c r="I59" s="276">
        <f>D59*H59</f>
        <v/>
      </c>
    </row>
    <row r="60">
      <c r="A60" s="276" t="inlineStr">
        <is>
          <t>1.3/30</t>
        </is>
      </c>
      <c r="B60" s="276" t="inlineStr">
        <is>
          <t>Клапан обратный межфланцевый пружинный тарельчатый NVD-802R Ду 125 Ру 16</t>
        </is>
      </c>
      <c r="C60" s="276" t="inlineStr">
        <is>
          <t>шт</t>
        </is>
      </c>
      <c r="D60" s="276" t="n">
        <v>2</v>
      </c>
      <c r="E60" s="276" t="inlineStr">
        <is>
          <t>АО «Энергия»</t>
        </is>
      </c>
      <c r="F60" s="276" t="inlineStr">
        <is>
          <t>Россия</t>
        </is>
      </c>
      <c r="G60" s="276" t="inlineStr">
        <is>
          <t>10743786</t>
        </is>
      </c>
      <c r="H60" s="277" t="n"/>
      <c r="I60" s="276">
        <f>D60*H60</f>
        <v/>
      </c>
    </row>
    <row r="61">
      <c r="A61" s="276" t="inlineStr">
        <is>
          <t>1.3/31</t>
        </is>
      </c>
      <c r="B61" s="276" t="inlineStr">
        <is>
          <t>Клапан обратный межфланцевый пружинный тарельчатый NVD-802R Ду 150 Ру 16</t>
        </is>
      </c>
      <c r="C61" s="276" t="inlineStr">
        <is>
          <t>шт</t>
        </is>
      </c>
      <c r="D61" s="276" t="n">
        <v>10</v>
      </c>
      <c r="E61" s="276" t="inlineStr">
        <is>
          <t>АО «Энергия»</t>
        </is>
      </c>
      <c r="F61" s="276" t="inlineStr">
        <is>
          <t>Россия</t>
        </is>
      </c>
      <c r="G61" s="276" t="inlineStr">
        <is>
          <t>10743786</t>
        </is>
      </c>
      <c r="H61" s="277" t="n"/>
      <c r="I61" s="276">
        <f>D61*H61</f>
        <v/>
      </c>
    </row>
    <row r="62">
      <c r="A62" s="276" t="inlineStr">
        <is>
          <t>1.3/32</t>
        </is>
      </c>
      <c r="B62" s="276" t="inlineStr">
        <is>
          <t>Клапан обратный фланцевый пружинный с аксиальным затвором NVD-402R Ду 100 Ру 16</t>
        </is>
      </c>
      <c r="C62" s="276" t="inlineStr">
        <is>
          <t>шт</t>
        </is>
      </c>
      <c r="D62" s="276" t="n">
        <v>2</v>
      </c>
      <c r="E62" s="276" t="inlineStr">
        <is>
          <t>ООО «Ридан»</t>
        </is>
      </c>
      <c r="F62" s="277" t="inlineStr"/>
      <c r="G62" s="277" t="inlineStr"/>
      <c r="H62" s="277" t="n"/>
      <c r="I62" s="276">
        <f>D62*H62</f>
        <v/>
      </c>
    </row>
    <row r="63">
      <c r="A63" s="276" t="inlineStr">
        <is>
          <t>1.3/33</t>
        </is>
      </c>
      <c r="B63" s="276" t="inlineStr">
        <is>
          <t>Клапан обратный фланцевый пружинный с аксиальным затвором NVD-402R Ду 150 Ру 16</t>
        </is>
      </c>
      <c r="C63" s="276" t="inlineStr">
        <is>
          <t>шт</t>
        </is>
      </c>
      <c r="D63" s="276" t="n">
        <v>5</v>
      </c>
      <c r="E63" s="277" t="inlineStr"/>
      <c r="F63" s="277" t="inlineStr"/>
      <c r="G63" s="277" t="inlineStr"/>
      <c r="H63" s="277" t="n"/>
      <c r="I63" s="276">
        <f>D63*H63</f>
        <v/>
      </c>
    </row>
    <row r="64">
      <c r="A64" s="276" t="inlineStr">
        <is>
          <t>1.3/34</t>
        </is>
      </c>
      <c r="B64" s="276" t="inlineStr">
        <is>
          <t>Клапан обратный фланцевый пружинный с аксиальным затвором NVD-402R Ду 200 Ру 16</t>
        </is>
      </c>
      <c r="C64" s="276" t="inlineStr">
        <is>
          <t>шт</t>
        </is>
      </c>
      <c r="D64" s="276" t="n">
        <v>4</v>
      </c>
      <c r="E64" s="276" t="inlineStr">
        <is>
          <t>ООО «Ридан»</t>
        </is>
      </c>
      <c r="F64" s="277" t="inlineStr"/>
      <c r="G64" s="277" t="inlineStr"/>
      <c r="H64" s="277" t="n"/>
      <c r="I64" s="276">
        <f>D64*H64</f>
        <v/>
      </c>
    </row>
    <row r="65">
      <c r="A65" s="276" t="inlineStr">
        <is>
          <t>1.3/35</t>
        </is>
      </c>
      <c r="B65" s="276" t="inlineStr">
        <is>
          <t>Обратный клапан пружинный NVD-812R Ду 150 Ру 40</t>
        </is>
      </c>
      <c r="C65" s="276" t="inlineStr">
        <is>
          <t>шт</t>
        </is>
      </c>
      <c r="D65" s="276" t="n">
        <v>1</v>
      </c>
      <c r="E65" s="276" t="inlineStr">
        <is>
          <t>ООО «Ридан»</t>
        </is>
      </c>
      <c r="F65" s="277" t="inlineStr"/>
      <c r="G65" s="277" t="inlineStr"/>
      <c r="H65" s="277" t="n"/>
      <c r="I65" s="276">
        <f>D65*H65</f>
        <v/>
      </c>
    </row>
    <row r="66">
      <c r="A66" s="276" t="inlineStr">
        <is>
          <t>1.3/36</t>
        </is>
      </c>
      <c r="B66" s="276" t="inlineStr">
        <is>
          <t>Предохранительный клапан ARI-SAFE 12.903 Ду 32/50 Ру 16</t>
        </is>
      </c>
      <c r="C66" s="276" t="inlineStr">
        <is>
          <t>шт</t>
        </is>
      </c>
      <c r="D66" s="276" t="n">
        <v>2</v>
      </c>
      <c r="E66" s="276" t="inlineStr">
        <is>
          <t>ООО «Торговый Дом АДЛ» (ИНН 7718625072)</t>
        </is>
      </c>
      <c r="F66" s="276" t="inlineStr">
        <is>
          <t>Россия</t>
        </is>
      </c>
      <c r="G66" s="276" t="inlineStr">
        <is>
          <t>10535129</t>
        </is>
      </c>
      <c r="H66" s="277" t="n"/>
      <c r="I66" s="276">
        <f>D66*H66</f>
        <v/>
      </c>
    </row>
    <row r="67">
      <c r="A67" s="276" t="inlineStr">
        <is>
          <t>1.3/37</t>
        </is>
      </c>
      <c r="B67" s="276" t="inlineStr">
        <is>
          <t>Предохранительный клапан ARI-SAFE 12.903 Ду 25/40 Ру 16</t>
        </is>
      </c>
      <c r="C67" s="276" t="inlineStr">
        <is>
          <t>шт</t>
        </is>
      </c>
      <c r="D67" s="276" t="n">
        <v>2</v>
      </c>
      <c r="E67" s="276" t="inlineStr">
        <is>
          <t>ООО «Торговый Дом АДЛ» (ИНН 7718625072)</t>
        </is>
      </c>
      <c r="F67" s="276" t="inlineStr">
        <is>
          <t>Россия</t>
        </is>
      </c>
      <c r="G67" s="276" t="inlineStr">
        <is>
          <t>10535148</t>
        </is>
      </c>
      <c r="H67" s="277" t="n"/>
      <c r="I67" s="276">
        <f>D67*H67</f>
        <v/>
      </c>
    </row>
    <row r="68">
      <c r="A68" s="276" t="inlineStr">
        <is>
          <t>1.3/38</t>
        </is>
      </c>
      <c r="B68" s="276" t="inlineStr">
        <is>
          <t>Предохранительный клапан ARI-SAFE 12.903 Ду 25/40 Ру 16</t>
        </is>
      </c>
      <c r="C68" s="276" t="inlineStr">
        <is>
          <t>шт</t>
        </is>
      </c>
      <c r="D68" s="276" t="n">
        <v>2</v>
      </c>
      <c r="E68" s="276" t="inlineStr">
        <is>
          <t>ООО «Торговый Дом АДЛ» (ИНН 7718625072)</t>
        </is>
      </c>
      <c r="F68" s="276" t="inlineStr">
        <is>
          <t>Россия</t>
        </is>
      </c>
      <c r="G68" s="276" t="inlineStr">
        <is>
          <t>10535148</t>
        </is>
      </c>
      <c r="H68" s="277" t="n"/>
      <c r="I68" s="276">
        <f>D68*H68</f>
        <v/>
      </c>
    </row>
    <row r="69">
      <c r="A69" s="276" t="inlineStr">
        <is>
          <t>1.3/39</t>
        </is>
      </c>
      <c r="B69" s="276" t="inlineStr">
        <is>
          <t>Кран для манометра трехходовой Ду 15 Ру 16</t>
        </is>
      </c>
      <c r="C69" s="276" t="inlineStr">
        <is>
          <t>шт</t>
        </is>
      </c>
      <c r="D69" s="276" t="n">
        <v>34</v>
      </c>
      <c r="E69" s="277" t="inlineStr"/>
      <c r="F69" s="277" t="inlineStr"/>
      <c r="G69" s="277" t="inlineStr"/>
      <c r="H69" s="277" t="n"/>
      <c r="I69" s="276">
        <f>D69*H69</f>
        <v/>
      </c>
    </row>
    <row r="70">
      <c r="A70" s="276" t="inlineStr">
        <is>
          <t>1.3/40</t>
        </is>
      </c>
      <c r="B70" s="276" t="inlineStr">
        <is>
          <t>Клапан 22б16п (15б34бк1) запорный вакуумный сильфонный Ду6 Ру16</t>
        </is>
      </c>
      <c r="C70" s="276" t="inlineStr">
        <is>
          <t>шт</t>
        </is>
      </c>
      <c r="D70" s="276" t="n">
        <v>2</v>
      </c>
      <c r="E70" s="276" t="inlineStr">
        <is>
          <t>Компания «Арматон»</t>
        </is>
      </c>
      <c r="F70" s="277" t="inlineStr"/>
      <c r="G70" s="277" t="inlineStr"/>
      <c r="H70" s="277" t="n"/>
      <c r="I70" s="276">
        <f>D70*H70</f>
        <v/>
      </c>
    </row>
    <row r="71">
      <c r="A71" s="276" t="inlineStr">
        <is>
          <t>1.3/41</t>
        </is>
      </c>
      <c r="B71" s="276" t="inlineStr">
        <is>
          <t>Клапан ВДХ Ду 80 Ру 10</t>
        </is>
      </c>
      <c r="C71" s="276" t="inlineStr">
        <is>
          <t>шт</t>
        </is>
      </c>
      <c r="D71" s="276" t="n">
        <v>2</v>
      </c>
      <c r="E71" s="276" t="inlineStr">
        <is>
          <t>АО «Благовещенский арматурный завод»</t>
        </is>
      </c>
      <c r="F71" s="277" t="inlineStr"/>
      <c r="G71" s="277" t="inlineStr"/>
      <c r="H71" s="277" t="n"/>
      <c r="I71" s="276">
        <f>D71*H71</f>
        <v/>
      </c>
    </row>
    <row r="72">
      <c r="A72" s="276" t="inlineStr">
        <is>
          <t>1.3/42</t>
        </is>
      </c>
      <c r="B72" s="276" t="inlineStr">
        <is>
          <t>Клапан диафрагменный химический ВДХ Ду 150 Ру 16</t>
        </is>
      </c>
      <c r="C72" s="276" t="inlineStr">
        <is>
          <t>шт</t>
        </is>
      </c>
      <c r="D72" s="276" t="n">
        <v>1</v>
      </c>
      <c r="E72" s="276" t="inlineStr">
        <is>
          <t>АО «Благовещенский арматурный завод»</t>
        </is>
      </c>
      <c r="F72" s="277" t="inlineStr"/>
      <c r="G72" s="277" t="inlineStr"/>
      <c r="H72" s="277" t="n"/>
      <c r="I72" s="276">
        <f>D72*H72</f>
        <v/>
      </c>
    </row>
    <row r="73">
      <c r="A73" s="276" t="inlineStr">
        <is>
          <t>1.3/43</t>
        </is>
      </c>
      <c r="B73" s="276" t="inlineStr">
        <is>
          <t>Клапан диафрагменный химический ВДХ Ду 50, Ру 16</t>
        </is>
      </c>
      <c r="C73" s="276" t="inlineStr">
        <is>
          <t>шт</t>
        </is>
      </c>
      <c r="D73" s="276" t="n">
        <v>1</v>
      </c>
      <c r="E73" s="276" t="inlineStr">
        <is>
          <t>АО «Благовещенский арматурный завод»</t>
        </is>
      </c>
      <c r="F73" s="277" t="inlineStr"/>
      <c r="G73" s="277" t="inlineStr"/>
      <c r="H73" s="277" t="n"/>
      <c r="I73" s="276">
        <f>D73*H73</f>
        <v/>
      </c>
    </row>
    <row r="74">
      <c r="A74" s="276" t="inlineStr">
        <is>
          <t>1.3/44</t>
        </is>
      </c>
      <c r="B74" s="276" t="inlineStr">
        <is>
          <t>Клапан диафрагменный химический ВДХ Ду 80 Ру 16</t>
        </is>
      </c>
      <c r="C74" s="276" t="inlineStr">
        <is>
          <t>шт</t>
        </is>
      </c>
      <c r="D74" s="276" t="n">
        <v>3</v>
      </c>
      <c r="E74" s="276" t="inlineStr">
        <is>
          <t>АО «Благовещенский арматурный завод»</t>
        </is>
      </c>
      <c r="F74" s="277" t="inlineStr"/>
      <c r="G74" s="277" t="inlineStr"/>
      <c r="H74" s="277" t="n"/>
      <c r="I74" s="276">
        <f>D74*H74</f>
        <v/>
      </c>
    </row>
    <row r="75">
      <c r="A75" s="276" t="inlineStr">
        <is>
          <t>1.3/45</t>
        </is>
      </c>
      <c r="B75" s="276" t="inlineStr">
        <is>
          <t>Клапан запорный 14нж17п Ду 15 Ру 10 цапковый</t>
        </is>
      </c>
      <c r="C75" s="276" t="inlineStr">
        <is>
          <t>шт</t>
        </is>
      </c>
      <c r="D75" s="276" t="n">
        <v>2</v>
      </c>
      <c r="E75" s="276" t="inlineStr">
        <is>
          <t>ООО «Нижегородский завод «Старт»</t>
        </is>
      </c>
      <c r="F75" s="277" t="inlineStr"/>
      <c r="G75" s="277" t="inlineStr"/>
      <c r="H75" s="277" t="n"/>
      <c r="I75" s="276">
        <f>D75*H75</f>
        <v/>
      </c>
    </row>
    <row r="76">
      <c r="A76" s="276" t="inlineStr">
        <is>
          <t>1.3/46</t>
        </is>
      </c>
      <c r="B76" s="276" t="inlineStr">
        <is>
          <t>Клапан запорный 14нж17п Ду 25 Ру 10 цапковый</t>
        </is>
      </c>
      <c r="C76" s="276" t="inlineStr">
        <is>
          <t>шт</t>
        </is>
      </c>
      <c r="D76" s="276" t="n">
        <v>2</v>
      </c>
      <c r="E76" s="276" t="inlineStr">
        <is>
          <t>ООО «Нижегородский завод «Старт»</t>
        </is>
      </c>
      <c r="F76" s="277" t="inlineStr"/>
      <c r="G76" s="277" t="inlineStr"/>
      <c r="H76" s="277" t="n"/>
      <c r="I76" s="276">
        <f>D76*H76</f>
        <v/>
      </c>
    </row>
    <row r="77">
      <c r="A77" s="276" t="inlineStr">
        <is>
          <t>1.3/47</t>
        </is>
      </c>
      <c r="B77" s="276" t="inlineStr">
        <is>
          <t>Клапан запорный 14нж17п Ду 32 Ру 10 цапковый</t>
        </is>
      </c>
      <c r="C77" s="276" t="inlineStr">
        <is>
          <t>шт</t>
        </is>
      </c>
      <c r="D77" s="276" t="n">
        <v>1</v>
      </c>
      <c r="E77" s="276" t="inlineStr">
        <is>
          <t>ООО «Нижегородский завод «Старт»</t>
        </is>
      </c>
      <c r="F77" s="277" t="inlineStr"/>
      <c r="G77" s="277" t="inlineStr"/>
      <c r="H77" s="277" t="n"/>
      <c r="I77" s="276">
        <f>D77*H77</f>
        <v/>
      </c>
    </row>
    <row r="78">
      <c r="A78" s="276" t="inlineStr">
        <is>
          <t>1.3/48</t>
        </is>
      </c>
      <c r="B78" s="276" t="inlineStr">
        <is>
          <t>Клапан запорный 15б1п Ду 15 Ру16</t>
        </is>
      </c>
      <c r="C78" s="276" t="inlineStr">
        <is>
          <t>шт</t>
        </is>
      </c>
      <c r="D78" s="276" t="n">
        <v>45</v>
      </c>
      <c r="E78" s="276" t="inlineStr">
        <is>
          <t>ООО «Бологовский арматурный завод» (ИНН 6908017634)</t>
        </is>
      </c>
      <c r="F78" s="276" t="inlineStr">
        <is>
          <t>Россия</t>
        </is>
      </c>
      <c r="G78" s="276" t="inlineStr">
        <is>
          <t>10895023</t>
        </is>
      </c>
      <c r="H78" s="277" t="n"/>
      <c r="I78" s="276">
        <f>D78*H78</f>
        <v/>
      </c>
    </row>
    <row r="79">
      <c r="A79" s="276" t="inlineStr">
        <is>
          <t>1.3/49</t>
        </is>
      </c>
      <c r="B79" s="276" t="inlineStr">
        <is>
          <t>Клапан запорный 15б1п Ду 20 Ру16</t>
        </is>
      </c>
      <c r="C79" s="276" t="inlineStr">
        <is>
          <t>шт</t>
        </is>
      </c>
      <c r="D79" s="276" t="n">
        <v>15</v>
      </c>
      <c r="E79" s="276" t="inlineStr">
        <is>
          <t>ООО «Бологовский арматурный завод» (ИНН 6908017634)</t>
        </is>
      </c>
      <c r="F79" s="276" t="inlineStr">
        <is>
          <t>Россия</t>
        </is>
      </c>
      <c r="G79" s="276" t="inlineStr">
        <is>
          <t>10895023</t>
        </is>
      </c>
      <c r="H79" s="277" t="n"/>
      <c r="I79" s="276">
        <f>D79*H79</f>
        <v/>
      </c>
    </row>
    <row r="80">
      <c r="A80" s="276" t="inlineStr">
        <is>
          <t>1.3/50</t>
        </is>
      </c>
      <c r="B80" s="276" t="inlineStr">
        <is>
          <t>Клапан запорный 15б1п Ду 25 Ру16</t>
        </is>
      </c>
      <c r="C80" s="276" t="inlineStr">
        <is>
          <t>шт</t>
        </is>
      </c>
      <c r="D80" s="276" t="n">
        <v>10</v>
      </c>
      <c r="E80" s="276" t="inlineStr">
        <is>
          <t>ООО «Бологовский арматурный завод» (ИНН 6908017634)</t>
        </is>
      </c>
      <c r="F80" s="276" t="inlineStr">
        <is>
          <t>Россия</t>
        </is>
      </c>
      <c r="G80" s="276" t="inlineStr">
        <is>
          <t>10895023</t>
        </is>
      </c>
      <c r="H80" s="277" t="n"/>
      <c r="I80" s="276">
        <f>D80*H80</f>
        <v/>
      </c>
    </row>
    <row r="81">
      <c r="A81" s="276" t="inlineStr">
        <is>
          <t>1.3/51</t>
        </is>
      </c>
      <c r="B81" s="276" t="inlineStr">
        <is>
          <t>Клапан запорный 15б1п Ду 32 Ру16</t>
        </is>
      </c>
      <c r="C81" s="276" t="inlineStr">
        <is>
          <t>шт</t>
        </is>
      </c>
      <c r="D81" s="276" t="n">
        <v>10</v>
      </c>
      <c r="E81" s="276" t="inlineStr">
        <is>
          <t>ООО «Бологовский арматурный завод» (ИНН 6908017634)</t>
        </is>
      </c>
      <c r="F81" s="276" t="inlineStr">
        <is>
          <t>Россия</t>
        </is>
      </c>
      <c r="G81" s="276" t="inlineStr">
        <is>
          <t>10895022</t>
        </is>
      </c>
      <c r="H81" s="277" t="n"/>
      <c r="I81" s="276">
        <f>D81*H81</f>
        <v/>
      </c>
    </row>
    <row r="82">
      <c r="A82" s="276" t="inlineStr">
        <is>
          <t>1.3/52</t>
        </is>
      </c>
      <c r="B82" s="276" t="inlineStr">
        <is>
          <t>Клапан запорный 15б1п Ду 40 Ру16</t>
        </is>
      </c>
      <c r="C82" s="276" t="inlineStr">
        <is>
          <t>шт</t>
        </is>
      </c>
      <c r="D82" s="276" t="n">
        <v>5</v>
      </c>
      <c r="E82" s="276" t="inlineStr">
        <is>
          <t>ООО «Бологовский арматурный завод» (ИНН 6908017634)</t>
        </is>
      </c>
      <c r="F82" s="276" t="inlineStr">
        <is>
          <t>Россия</t>
        </is>
      </c>
      <c r="G82" s="276" t="inlineStr">
        <is>
          <t>10895022</t>
        </is>
      </c>
      <c r="H82" s="277" t="n"/>
      <c r="I82" s="276">
        <f>D82*H82</f>
        <v/>
      </c>
    </row>
    <row r="83">
      <c r="A83" s="276" t="inlineStr">
        <is>
          <t>1.3/53</t>
        </is>
      </c>
      <c r="B83" s="276" t="inlineStr">
        <is>
          <t>Клапан запорный 15б1п Ду 50 Ру16</t>
        </is>
      </c>
      <c r="C83" s="276" t="inlineStr">
        <is>
          <t>шт</t>
        </is>
      </c>
      <c r="D83" s="276" t="n">
        <v>7</v>
      </c>
      <c r="E83" s="276" t="inlineStr">
        <is>
          <t>ООО «Бологовский арматурный завод» (ИНН 6908017634)</t>
        </is>
      </c>
      <c r="F83" s="276" t="inlineStr">
        <is>
          <t>Россия</t>
        </is>
      </c>
      <c r="G83" s="276" t="inlineStr">
        <is>
          <t>10895022</t>
        </is>
      </c>
      <c r="H83" s="277" t="n"/>
      <c r="I83" s="276">
        <f>D83*H83</f>
        <v/>
      </c>
    </row>
    <row r="84">
      <c r="A84" s="276" t="inlineStr">
        <is>
          <t>1.3/54</t>
        </is>
      </c>
      <c r="B84" s="276" t="inlineStr">
        <is>
          <t>Клапан запорны 15нж65нж Ду 80 Ру 16 фланцевый</t>
        </is>
      </c>
      <c r="C84" s="276" t="inlineStr">
        <is>
          <t>шт</t>
        </is>
      </c>
      <c r="D84" s="276" t="n">
        <v>2</v>
      </c>
      <c r="E84" s="276" t="inlineStr">
        <is>
          <t>ООО «Восточная арматурная компания»</t>
        </is>
      </c>
      <c r="F84" s="276" t="inlineStr">
        <is>
          <t>Россия</t>
        </is>
      </c>
      <c r="G84" s="276" t="inlineStr">
        <is>
          <t>10811565</t>
        </is>
      </c>
      <c r="H84" s="277" t="n"/>
      <c r="I84" s="276">
        <f>D84*H84</f>
        <v/>
      </c>
    </row>
    <row r="85">
      <c r="A85" s="276" t="inlineStr">
        <is>
          <t>1.3/55</t>
        </is>
      </c>
      <c r="B85" s="276" t="inlineStr">
        <is>
          <t>Клапан запорны 15нж65нж Ду 100 Ру 16 фланцевый</t>
        </is>
      </c>
      <c r="C85" s="276" t="inlineStr">
        <is>
          <t>шт</t>
        </is>
      </c>
      <c r="D85" s="276" t="n">
        <v>9</v>
      </c>
      <c r="E85" s="276" t="inlineStr">
        <is>
          <t>ООО «Восточная арматурная компания»</t>
        </is>
      </c>
      <c r="F85" s="276" t="inlineStr">
        <is>
          <t>Россия</t>
        </is>
      </c>
      <c r="G85" s="276" t="inlineStr">
        <is>
          <t>10811565</t>
        </is>
      </c>
      <c r="H85" s="277" t="n"/>
      <c r="I85" s="276">
        <f>D85*H85</f>
        <v/>
      </c>
    </row>
    <row r="86">
      <c r="A86" s="276" t="inlineStr">
        <is>
          <t>1.3/56</t>
        </is>
      </c>
      <c r="B86" s="276" t="inlineStr">
        <is>
          <t>Клапан запорны 15нж65нж Ду 125 Ру 16 фланцевый</t>
        </is>
      </c>
      <c r="C86" s="276" t="inlineStr">
        <is>
          <t>шт</t>
        </is>
      </c>
      <c r="D86" s="276" t="n">
        <v>1</v>
      </c>
      <c r="E86" s="277" t="inlineStr"/>
      <c r="F86" s="277" t="inlineStr"/>
      <c r="G86" s="277" t="inlineStr"/>
      <c r="H86" s="277" t="n"/>
      <c r="I86" s="276">
        <f>D86*H86</f>
        <v/>
      </c>
    </row>
    <row r="87">
      <c r="A87" s="276" t="inlineStr">
        <is>
          <t>1.3/57</t>
        </is>
      </c>
      <c r="B87" s="276" t="inlineStr">
        <is>
          <t>Клапан запорны 15нж65нж Ду 150 Ру 16 фланцевый</t>
        </is>
      </c>
      <c r="C87" s="276" t="inlineStr">
        <is>
          <t>шт</t>
        </is>
      </c>
      <c r="D87" s="276" t="n">
        <v>3</v>
      </c>
      <c r="E87" s="277" t="inlineStr"/>
      <c r="F87" s="277" t="inlineStr"/>
      <c r="G87" s="277" t="inlineStr"/>
      <c r="H87" s="277" t="n"/>
      <c r="I87" s="276">
        <f>D87*H87</f>
        <v/>
      </c>
    </row>
    <row r="88">
      <c r="A88" s="276" t="inlineStr">
        <is>
          <t>1.3/58</t>
        </is>
      </c>
      <c r="B88" s="276" t="inlineStr">
        <is>
          <t>Клапан запорны 15нж65нж Ду 32 Ру 16 фланцевый</t>
        </is>
      </c>
      <c r="C88" s="276" t="inlineStr">
        <is>
          <t>шт</t>
        </is>
      </c>
      <c r="D88" s="276" t="n">
        <v>4</v>
      </c>
      <c r="E88" s="276" t="inlineStr">
        <is>
          <t>ООО «Восточная арматурная компания»</t>
        </is>
      </c>
      <c r="F88" s="276" t="inlineStr">
        <is>
          <t>Россия</t>
        </is>
      </c>
      <c r="G88" s="276" t="inlineStr">
        <is>
          <t>10811565</t>
        </is>
      </c>
      <c r="H88" s="277" t="n"/>
      <c r="I88" s="276">
        <f>D88*H88</f>
        <v/>
      </c>
    </row>
    <row r="89">
      <c r="A89" s="276" t="inlineStr">
        <is>
          <t>1.3/59</t>
        </is>
      </c>
      <c r="B89" s="276" t="inlineStr">
        <is>
          <t>Клапан запорны 15нж65нж Ду 50 Ру 16 фланцевый</t>
        </is>
      </c>
      <c r="C89" s="276" t="inlineStr">
        <is>
          <t>шт</t>
        </is>
      </c>
      <c r="D89" s="276" t="n">
        <v>4</v>
      </c>
      <c r="E89" s="276" t="inlineStr">
        <is>
          <t>ООО «Восточная арматурная компания»</t>
        </is>
      </c>
      <c r="F89" s="276" t="inlineStr">
        <is>
          <t>Россия</t>
        </is>
      </c>
      <c r="G89" s="276" t="inlineStr">
        <is>
          <t>10811565</t>
        </is>
      </c>
      <c r="H89" s="277" t="n"/>
      <c r="I89" s="276">
        <f>D89*H89</f>
        <v/>
      </c>
    </row>
    <row r="90">
      <c r="A90" s="276" t="inlineStr">
        <is>
          <t>1.3/60</t>
        </is>
      </c>
      <c r="B90" s="276" t="inlineStr">
        <is>
          <t>Клапан запорный 15с22нж Ду 32 Ру 40</t>
        </is>
      </c>
      <c r="C90" s="276" t="inlineStr">
        <is>
          <t>шт</t>
        </is>
      </c>
      <c r="D90" s="276" t="n">
        <v>2</v>
      </c>
      <c r="E90" s="276" t="inlineStr">
        <is>
          <t>ООО «Восточная арматурная компания»</t>
        </is>
      </c>
      <c r="F90" s="276" t="inlineStr">
        <is>
          <t>Россия</t>
        </is>
      </c>
      <c r="G90" s="276" t="inlineStr">
        <is>
          <t>10811565</t>
        </is>
      </c>
      <c r="H90" s="277" t="n"/>
      <c r="I90" s="276">
        <f>D90*H90</f>
        <v/>
      </c>
    </row>
    <row r="91">
      <c r="A91" s="276" t="inlineStr">
        <is>
          <t>1.3/61</t>
        </is>
      </c>
      <c r="B91" s="276" t="inlineStr">
        <is>
          <t>Клапан запорный 15с22нж Ду 50 Ру 40</t>
        </is>
      </c>
      <c r="C91" s="276" t="inlineStr">
        <is>
          <t>шт</t>
        </is>
      </c>
      <c r="D91" s="276" t="n">
        <v>9</v>
      </c>
      <c r="E91" s="276" t="inlineStr">
        <is>
          <t>ООО «Восточная арматурная компания»</t>
        </is>
      </c>
      <c r="F91" s="276" t="inlineStr">
        <is>
          <t>Россия</t>
        </is>
      </c>
      <c r="G91" s="276" t="inlineStr">
        <is>
          <t>10811565</t>
        </is>
      </c>
      <c r="H91" s="277" t="n"/>
      <c r="I91" s="276">
        <f>D91*H91</f>
        <v/>
      </c>
    </row>
    <row r="92">
      <c r="A92" s="276" t="inlineStr">
        <is>
          <t>1.3/62</t>
        </is>
      </c>
      <c r="B92" s="276" t="inlineStr">
        <is>
          <t>Клапан запорный 15с22нж Ду 80 Ру 40</t>
        </is>
      </c>
      <c r="C92" s="276" t="inlineStr">
        <is>
          <t>шт</t>
        </is>
      </c>
      <c r="D92" s="276" t="n">
        <v>6</v>
      </c>
      <c r="E92" s="276" t="inlineStr">
        <is>
          <t>ООО «Восточная арматурная компания»</t>
        </is>
      </c>
      <c r="F92" s="276" t="inlineStr">
        <is>
          <t>Россия</t>
        </is>
      </c>
      <c r="G92" s="276" t="inlineStr">
        <is>
          <t>10811565</t>
        </is>
      </c>
      <c r="H92" s="277" t="n"/>
      <c r="I92" s="276">
        <f>D92*H92</f>
        <v/>
      </c>
    </row>
    <row r="93">
      <c r="A93" s="276" t="inlineStr">
        <is>
          <t>1.3/63</t>
        </is>
      </c>
      <c r="B93" s="276" t="inlineStr">
        <is>
          <t>Клапан запорный 15с52нж11 Ду 20 Ру 63 под приварку</t>
        </is>
      </c>
      <c r="C93" s="276" t="inlineStr">
        <is>
          <t>шт</t>
        </is>
      </c>
      <c r="D93" s="276" t="n">
        <v>6</v>
      </c>
      <c r="E93" s="276" t="inlineStr">
        <is>
          <t>ООО «Восточная арматурная компания»</t>
        </is>
      </c>
      <c r="F93" s="276" t="inlineStr">
        <is>
          <t>Россия</t>
        </is>
      </c>
      <c r="G93" s="276" t="inlineStr">
        <is>
          <t>10811565</t>
        </is>
      </c>
      <c r="H93" s="277" t="n"/>
      <c r="I93" s="276">
        <f>D93*H93</f>
        <v/>
      </c>
    </row>
    <row r="94">
      <c r="A94" s="276" t="inlineStr">
        <is>
          <t>1.3/64</t>
        </is>
      </c>
      <c r="B94" s="276" t="inlineStr">
        <is>
          <t>Клапан запорный 15ч75п2 Ду 25 Ру10</t>
        </is>
      </c>
      <c r="C94" s="276" t="inlineStr">
        <is>
          <t>шт</t>
        </is>
      </c>
      <c r="D94" s="276" t="n">
        <v>3</v>
      </c>
      <c r="E94" s="277" t="inlineStr"/>
      <c r="F94" s="277" t="inlineStr"/>
      <c r="G94" s="277" t="inlineStr"/>
      <c r="H94" s="277" t="n"/>
      <c r="I94" s="276">
        <f>D94*H94</f>
        <v/>
      </c>
    </row>
    <row r="95">
      <c r="A95" s="276" t="inlineStr">
        <is>
          <t>1.3/65</t>
        </is>
      </c>
      <c r="B95" s="276" t="inlineStr">
        <is>
          <t>Клапан запорный 15ч75п2 Ду 50 Ру10</t>
        </is>
      </c>
      <c r="C95" s="276" t="inlineStr">
        <is>
          <t>шт</t>
        </is>
      </c>
      <c r="D95" s="276" t="n">
        <v>9</v>
      </c>
      <c r="E95" s="277" t="inlineStr"/>
      <c r="F95" s="277" t="inlineStr"/>
      <c r="G95" s="277" t="inlineStr"/>
      <c r="H95" s="277" t="n"/>
      <c r="I95" s="276">
        <f>D95*H95</f>
        <v/>
      </c>
    </row>
    <row r="96">
      <c r="A96" s="276" t="inlineStr">
        <is>
          <t>1.3/66</t>
        </is>
      </c>
      <c r="B96" s="276" t="inlineStr">
        <is>
          <t>Клапан запорный 15ч76п2 Ду 80 Ру 6,3</t>
        </is>
      </c>
      <c r="C96" s="276" t="inlineStr">
        <is>
          <t>шт</t>
        </is>
      </c>
      <c r="D96" s="276" t="n">
        <v>3</v>
      </c>
      <c r="E96" s="277" t="inlineStr"/>
      <c r="F96" s="277" t="inlineStr"/>
      <c r="G96" s="277" t="inlineStr"/>
      <c r="H96" s="277" t="n"/>
      <c r="I96" s="276">
        <f>D96*H96</f>
        <v/>
      </c>
    </row>
    <row r="97">
      <c r="A97" s="276" t="inlineStr">
        <is>
          <t>1.3/67</t>
        </is>
      </c>
      <c r="B97" s="276" t="inlineStr">
        <is>
          <t>Клапан запорный 15ч93эм Ду 20 Ру 16</t>
        </is>
      </c>
      <c r="C97" s="276" t="inlineStr">
        <is>
          <t>шт</t>
        </is>
      </c>
      <c r="D97" s="276" t="n">
        <v>2</v>
      </c>
      <c r="E97" s="276" t="inlineStr">
        <is>
          <t>АО «Благовещенский арматурный завод»</t>
        </is>
      </c>
      <c r="F97" s="277" t="inlineStr"/>
      <c r="G97" s="277" t="inlineStr"/>
      <c r="H97" s="277" t="n"/>
      <c r="I97" s="276">
        <f>D97*H97</f>
        <v/>
      </c>
    </row>
    <row r="98">
      <c r="A98" s="276" t="inlineStr">
        <is>
          <t>1.3/68</t>
        </is>
      </c>
      <c r="B98" s="276" t="inlineStr">
        <is>
          <t>Задвижка 30нж41нж DN 100 PN 16 1исп. САЗ</t>
        </is>
      </c>
      <c r="C98" s="276" t="inlineStr">
        <is>
          <t>шт</t>
        </is>
      </c>
      <c r="D98" s="276" t="n">
        <v>2</v>
      </c>
      <c r="E98" s="276" t="inlineStr">
        <is>
          <t>ООО «Пермский трубопроводный завод» (ИНН 5904173655)</t>
        </is>
      </c>
      <c r="F98" s="276" t="inlineStr">
        <is>
          <t>Россия</t>
        </is>
      </c>
      <c r="G98" s="276" t="inlineStr">
        <is>
          <t>10698940</t>
        </is>
      </c>
      <c r="H98" s="277" t="n"/>
      <c r="I98" s="276">
        <f>D98*H98</f>
        <v/>
      </c>
    </row>
    <row r="99">
      <c r="A99" s="276" t="inlineStr">
        <is>
          <t>1.3/69</t>
        </is>
      </c>
      <c r="B99" s="276" t="inlineStr">
        <is>
          <t>Задвижка 30нж41нж DN 150 PN 16 1исп. САЗ</t>
        </is>
      </c>
      <c r="C99" s="276" t="inlineStr">
        <is>
          <t>шт</t>
        </is>
      </c>
      <c r="D99" s="276" t="n">
        <v>2</v>
      </c>
      <c r="E99" s="276" t="inlineStr">
        <is>
          <t>ООО «Пермский трубопроводный завод» (ИНН 5904173655)</t>
        </is>
      </c>
      <c r="F99" s="276" t="inlineStr">
        <is>
          <t>Россия</t>
        </is>
      </c>
      <c r="G99" s="276" t="inlineStr">
        <is>
          <t>10698940</t>
        </is>
      </c>
      <c r="H99" s="277" t="n"/>
      <c r="I99" s="276">
        <f>D99*H99</f>
        <v/>
      </c>
    </row>
    <row r="100">
      <c r="A100" s="276" t="inlineStr">
        <is>
          <t>1.3/70</t>
        </is>
      </c>
      <c r="B100" s="276" t="inlineStr">
        <is>
          <t>Задвижка 30нж41нж DN 200 PN 16 1исп. САЗ</t>
        </is>
      </c>
      <c r="C100" s="276" t="inlineStr">
        <is>
          <t>шт</t>
        </is>
      </c>
      <c r="D100" s="276" t="n">
        <v>2</v>
      </c>
      <c r="E100" s="276" t="inlineStr">
        <is>
          <t>ООО «Пермский трубопроводный завод» (ИНН 5904173655)</t>
        </is>
      </c>
      <c r="F100" s="276" t="inlineStr">
        <is>
          <t>Россия</t>
        </is>
      </c>
      <c r="G100" s="276" t="inlineStr">
        <is>
          <t>10698940</t>
        </is>
      </c>
      <c r="H100" s="277" t="n"/>
      <c r="I100" s="276">
        <f>D100*H100</f>
        <v/>
      </c>
    </row>
    <row r="101">
      <c r="A101" s="276" t="inlineStr">
        <is>
          <t>1.3/71</t>
        </is>
      </c>
      <c r="B101" s="276" t="inlineStr">
        <is>
          <t>Задвижка 30нж41нж DN 50 PN 16 1исп. САЗ</t>
        </is>
      </c>
      <c r="C101" s="276" t="inlineStr">
        <is>
          <t>шт</t>
        </is>
      </c>
      <c r="D101" s="276" t="n">
        <v>2</v>
      </c>
      <c r="E101" s="276" t="inlineStr">
        <is>
          <t>ООО «Пермский трубопроводный завод» (ИНН 5904173655)</t>
        </is>
      </c>
      <c r="F101" s="276" t="inlineStr">
        <is>
          <t>Россия</t>
        </is>
      </c>
      <c r="G101" s="276" t="inlineStr">
        <is>
          <t>10698940</t>
        </is>
      </c>
      <c r="H101" s="277" t="n"/>
      <c r="I101" s="276">
        <f>D101*H101</f>
        <v/>
      </c>
    </row>
    <row r="102">
      <c r="A102" s="276" t="inlineStr">
        <is>
          <t>1.3/72</t>
        </is>
      </c>
      <c r="B102" s="276" t="inlineStr">
        <is>
          <t>Задвижка 30нж41нж DN 80 PN 16 1исп. САЗ</t>
        </is>
      </c>
      <c r="C102" s="276" t="inlineStr">
        <is>
          <t>шт</t>
        </is>
      </c>
      <c r="D102" s="276" t="n">
        <v>2</v>
      </c>
      <c r="E102" s="276" t="inlineStr">
        <is>
          <t>ООО «Пермский трубопроводный завод» (ИНН 5904173655)</t>
        </is>
      </c>
      <c r="F102" s="276" t="inlineStr">
        <is>
          <t>Россия</t>
        </is>
      </c>
      <c r="G102" s="276" t="inlineStr">
        <is>
          <t>10698940</t>
        </is>
      </c>
      <c r="H102" s="277" t="n"/>
      <c r="I102" s="276">
        <f>D102*H102</f>
        <v/>
      </c>
    </row>
    <row r="103">
      <c r="A103" s="276" t="inlineStr">
        <is>
          <t>1.3/73</t>
        </is>
      </c>
      <c r="B103" s="276" t="inlineStr">
        <is>
          <t>Задвижка 30с41нж Ду 50 Ру 16</t>
        </is>
      </c>
      <c r="C103" s="276" t="inlineStr">
        <is>
          <t>шт</t>
        </is>
      </c>
      <c r="D103" s="276" t="n">
        <v>6</v>
      </c>
      <c r="E103" s="276" t="inlineStr">
        <is>
          <t>АО «Благовещенский арматурный завод»</t>
        </is>
      </c>
      <c r="F103" s="276" t="inlineStr">
        <is>
          <t>Россия</t>
        </is>
      </c>
      <c r="G103" s="276" t="inlineStr">
        <is>
          <t>10306805</t>
        </is>
      </c>
      <c r="H103" s="277" t="n"/>
      <c r="I103" s="276">
        <f>D103*H103</f>
        <v/>
      </c>
    </row>
    <row r="104">
      <c r="A104" s="276" t="inlineStr">
        <is>
          <t>1.3/74</t>
        </is>
      </c>
      <c r="B104" s="276" t="inlineStr">
        <is>
          <t>Задвижка 30с41нж Ду 80 Ру 16</t>
        </is>
      </c>
      <c r="C104" s="276" t="inlineStr">
        <is>
          <t>шт</t>
        </is>
      </c>
      <c r="D104" s="276" t="n">
        <v>12</v>
      </c>
      <c r="E104" s="276" t="inlineStr">
        <is>
          <t>ООО «Пермский трубопроводный завод» (ИНН 5904173655)</t>
        </is>
      </c>
      <c r="F104" s="276" t="inlineStr">
        <is>
          <t>Россия</t>
        </is>
      </c>
      <c r="G104" s="276" t="inlineStr">
        <is>
          <t>10698940</t>
        </is>
      </c>
      <c r="H104" s="277" t="n"/>
      <c r="I104" s="276">
        <f>D104*H104</f>
        <v/>
      </c>
    </row>
    <row r="105">
      <c r="A105" s="276" t="inlineStr">
        <is>
          <t>1.3/75</t>
        </is>
      </c>
      <c r="B105" s="276" t="inlineStr">
        <is>
          <t>Задвижка 30с41нж Ду 100 Ру 16</t>
        </is>
      </c>
      <c r="C105" s="276" t="inlineStr">
        <is>
          <t>шт</t>
        </is>
      </c>
      <c r="D105" s="276" t="n">
        <v>2</v>
      </c>
      <c r="E105" s="276" t="inlineStr">
        <is>
          <t>АО «Благовещенский арматурный завод»</t>
        </is>
      </c>
      <c r="F105" s="276" t="inlineStr">
        <is>
          <t>Россия</t>
        </is>
      </c>
      <c r="G105" s="276" t="inlineStr">
        <is>
          <t>10306805</t>
        </is>
      </c>
      <c r="H105" s="277" t="n"/>
      <c r="I105" s="276">
        <f>D105*H105</f>
        <v/>
      </c>
    </row>
    <row r="106">
      <c r="A106" s="276" t="inlineStr">
        <is>
          <t>1.3/76</t>
        </is>
      </c>
      <c r="B106" s="276" t="inlineStr">
        <is>
          <t>Задвижка 30с41нж Ду 150 Ру 16</t>
        </is>
      </c>
      <c r="C106" s="276" t="inlineStr">
        <is>
          <t>шт</t>
        </is>
      </c>
      <c r="D106" s="276" t="n">
        <v>5</v>
      </c>
      <c r="E106" s="276" t="inlineStr">
        <is>
          <t>АО «Благовещенский арматурный завод»</t>
        </is>
      </c>
      <c r="F106" s="276" t="inlineStr">
        <is>
          <t>Россия</t>
        </is>
      </c>
      <c r="G106" s="276" t="inlineStr">
        <is>
          <t>10306805</t>
        </is>
      </c>
      <c r="H106" s="277" t="n"/>
      <c r="I106" s="276">
        <f>D106*H106</f>
        <v/>
      </c>
    </row>
    <row r="107">
      <c r="A107" s="276" t="inlineStr">
        <is>
          <t>1.3/77</t>
        </is>
      </c>
      <c r="B107" s="276" t="inlineStr">
        <is>
          <t>Задвижка 30с564нж Ду 400 Ру 25</t>
        </is>
      </c>
      <c r="C107" s="276" t="inlineStr">
        <is>
          <t>шт</t>
        </is>
      </c>
      <c r="D107" s="276" t="n">
        <v>3</v>
      </c>
      <c r="E107" s="276" t="inlineStr">
        <is>
          <t>ООО «Пермский трубопроводный завод» (ИНН 5904173655)</t>
        </is>
      </c>
      <c r="F107" s="276" t="inlineStr">
        <is>
          <t>Россия</t>
        </is>
      </c>
      <c r="G107" s="276" t="inlineStr">
        <is>
          <t>10698940</t>
        </is>
      </c>
      <c r="H107" s="277" t="n"/>
      <c r="I107" s="276">
        <f>D107*H107</f>
        <v/>
      </c>
    </row>
    <row r="108">
      <c r="A108" s="276" t="inlineStr">
        <is>
          <t>1.3/78</t>
        </is>
      </c>
      <c r="B108" s="276" t="inlineStr">
        <is>
          <t>Задвижка 30с64нж Ду 50 Ру 25</t>
        </is>
      </c>
      <c r="C108" s="276" t="inlineStr">
        <is>
          <t>шт</t>
        </is>
      </c>
      <c r="D108" s="276" t="n">
        <v>5</v>
      </c>
      <c r="E108" s="276" t="inlineStr">
        <is>
          <t>ООО «Пермский трубопроводный завод» (ИНН 5904173655)</t>
        </is>
      </c>
      <c r="F108" s="276" t="inlineStr">
        <is>
          <t>Россия</t>
        </is>
      </c>
      <c r="G108" s="276" t="inlineStr">
        <is>
          <t>10698940</t>
        </is>
      </c>
      <c r="H108" s="277" t="n"/>
      <c r="I108" s="276">
        <f>D108*H108</f>
        <v/>
      </c>
    </row>
    <row r="109">
      <c r="A109" s="276" t="inlineStr">
        <is>
          <t>1.3/79</t>
        </is>
      </c>
      <c r="B109" s="276" t="inlineStr">
        <is>
          <t>Задвижка 30с64нж Ду 80 Ру 25</t>
        </is>
      </c>
      <c r="C109" s="276" t="inlineStr">
        <is>
          <t>шт</t>
        </is>
      </c>
      <c r="D109" s="276" t="n">
        <v>3</v>
      </c>
      <c r="E109" s="276" t="inlineStr">
        <is>
          <t>ООО «Пермский трубопроводный завод» (ИНН 5904173655)</t>
        </is>
      </c>
      <c r="F109" s="276" t="inlineStr">
        <is>
          <t>Россия</t>
        </is>
      </c>
      <c r="G109" s="276" t="inlineStr">
        <is>
          <t>10698940</t>
        </is>
      </c>
      <c r="H109" s="277" t="n"/>
      <c r="I109" s="276">
        <f>D109*H109</f>
        <v/>
      </c>
    </row>
    <row r="110">
      <c r="A110" s="276" t="inlineStr">
        <is>
          <t>1.3/80</t>
        </is>
      </c>
      <c r="B110" s="276" t="inlineStr">
        <is>
          <t>Задвижка 30с64нж Ду 100 Ру 25</t>
        </is>
      </c>
      <c r="C110" s="276" t="inlineStr">
        <is>
          <t>шт</t>
        </is>
      </c>
      <c r="D110" s="276" t="n">
        <v>20</v>
      </c>
      <c r="E110" s="276" t="inlineStr">
        <is>
          <t>ООО «Пермский трубопроводный завод» (ИНН 5904173655)</t>
        </is>
      </c>
      <c r="F110" s="276" t="inlineStr">
        <is>
          <t>Россия</t>
        </is>
      </c>
      <c r="G110" s="276" t="inlineStr">
        <is>
          <t>10698940</t>
        </is>
      </c>
      <c r="H110" s="277" t="n"/>
      <c r="I110" s="276">
        <f>D110*H110</f>
        <v/>
      </c>
    </row>
    <row r="111">
      <c r="A111" s="276" t="inlineStr">
        <is>
          <t>1.3/81</t>
        </is>
      </c>
      <c r="B111" s="276" t="inlineStr">
        <is>
          <t>Задвижка 30с64нж Ду 150 Ру 25</t>
        </is>
      </c>
      <c r="C111" s="276" t="inlineStr">
        <is>
          <t>шт</t>
        </is>
      </c>
      <c r="D111" s="276" t="n">
        <v>18</v>
      </c>
      <c r="E111" s="276" t="inlineStr">
        <is>
          <t>ООО «Пермский трубопроводный завод» (ИНН 5904173655)</t>
        </is>
      </c>
      <c r="F111" s="276" t="inlineStr">
        <is>
          <t>Россия</t>
        </is>
      </c>
      <c r="G111" s="276" t="inlineStr">
        <is>
          <t>10698940</t>
        </is>
      </c>
      <c r="H111" s="277" t="n"/>
      <c r="I111" s="276">
        <f>D111*H111</f>
        <v/>
      </c>
    </row>
    <row r="112">
      <c r="A112" s="276" t="inlineStr">
        <is>
          <t>1.3/82</t>
        </is>
      </c>
      <c r="B112" s="276" t="inlineStr">
        <is>
          <t>Задвижка 30с64нж Ду 200 Ру 25</t>
        </is>
      </c>
      <c r="C112" s="276" t="inlineStr">
        <is>
          <t>шт</t>
        </is>
      </c>
      <c r="D112" s="276" t="n">
        <v>9</v>
      </c>
      <c r="E112" s="276" t="inlineStr">
        <is>
          <t>ООО «Пермский трубопроводный завод» (ИНН 5904173655)</t>
        </is>
      </c>
      <c r="F112" s="276" t="inlineStr">
        <is>
          <t>Россия</t>
        </is>
      </c>
      <c r="G112" s="276" t="inlineStr">
        <is>
          <t>10698940</t>
        </is>
      </c>
      <c r="H112" s="277" t="n"/>
      <c r="I112" s="276">
        <f>D112*H112</f>
        <v/>
      </c>
    </row>
    <row r="113">
      <c r="A113" s="276" t="inlineStr">
        <is>
          <t>1.3/83</t>
        </is>
      </c>
      <c r="B113" s="276" t="inlineStr">
        <is>
          <t>Задвижка 30с64нж Ду 250 Ру 25</t>
        </is>
      </c>
      <c r="C113" s="276" t="inlineStr">
        <is>
          <t>шт</t>
        </is>
      </c>
      <c r="D113" s="276" t="n">
        <v>2</v>
      </c>
      <c r="E113" s="276" t="inlineStr">
        <is>
          <t>ООО «Пермский трубопроводный завод» (ИНН 5904173655)</t>
        </is>
      </c>
      <c r="F113" s="276" t="inlineStr">
        <is>
          <t>Россия</t>
        </is>
      </c>
      <c r="G113" s="276" t="inlineStr">
        <is>
          <t>10698940</t>
        </is>
      </c>
      <c r="H113" s="277" t="n"/>
      <c r="I113" s="276">
        <f>D113*H113</f>
        <v/>
      </c>
    </row>
    <row r="114">
      <c r="A114" s="276" t="inlineStr">
        <is>
          <t>1.3/84</t>
        </is>
      </c>
      <c r="B114" s="276" t="inlineStr">
        <is>
          <t>Задвижка 30с64нж Ду 300 Ру 25</t>
        </is>
      </c>
      <c r="C114" s="276" t="inlineStr">
        <is>
          <t>шт</t>
        </is>
      </c>
      <c r="D114" s="276" t="n">
        <v>3</v>
      </c>
      <c r="E114" s="276" t="inlineStr">
        <is>
          <t>ООО «Пермский трубопроводный завод» (ИНН 5904173655)</t>
        </is>
      </c>
      <c r="F114" s="276" t="inlineStr">
        <is>
          <t>Россия</t>
        </is>
      </c>
      <c r="G114" s="276" t="inlineStr">
        <is>
          <t>10698940</t>
        </is>
      </c>
      <c r="H114" s="277" t="n"/>
      <c r="I114" s="276">
        <f>D114*H114</f>
        <v/>
      </c>
    </row>
    <row r="115">
      <c r="A115" s="276" t="inlineStr">
        <is>
          <t>1.3/85</t>
        </is>
      </c>
      <c r="B115" s="276" t="inlineStr">
        <is>
          <t>Задвижка 30с76нж Ду 200 Ру 63</t>
        </is>
      </c>
      <c r="C115" s="276" t="inlineStr">
        <is>
          <t>шт</t>
        </is>
      </c>
      <c r="D115" s="276" t="n">
        <v>1</v>
      </c>
      <c r="E115" s="276" t="inlineStr">
        <is>
          <t>АО «Благовещенский арматурный завод»</t>
        </is>
      </c>
      <c r="F115" s="276" t="inlineStr">
        <is>
          <t>Россия</t>
        </is>
      </c>
      <c r="G115" s="276" t="inlineStr">
        <is>
          <t>10306806</t>
        </is>
      </c>
      <c r="H115" s="277" t="n"/>
      <c r="I115" s="276">
        <f>D115*H115</f>
        <v/>
      </c>
    </row>
    <row r="116">
      <c r="A116" s="276" t="inlineStr">
        <is>
          <t>1.3/86</t>
        </is>
      </c>
      <c r="B116" s="276" t="inlineStr">
        <is>
          <t>Задвижка 30с927нж Ду 250 Ру 25 с электроприводом</t>
        </is>
      </c>
      <c r="C116" s="276" t="inlineStr">
        <is>
          <t>шт</t>
        </is>
      </c>
      <c r="D116" s="276" t="n">
        <v>2</v>
      </c>
      <c r="E116" s="276" t="inlineStr">
        <is>
          <t>АО «Благовещенский арматурный завод»</t>
        </is>
      </c>
      <c r="F116" s="276" t="inlineStr">
        <is>
          <t>Россия</t>
        </is>
      </c>
      <c r="G116" s="276" t="inlineStr">
        <is>
          <t>10306805</t>
        </is>
      </c>
      <c r="H116" s="277" t="n"/>
      <c r="I116" s="276">
        <f>D116*H116</f>
        <v/>
      </c>
    </row>
    <row r="117">
      <c r="A117" s="276" t="inlineStr">
        <is>
          <t>1.3/87</t>
        </is>
      </c>
      <c r="B117" s="276" t="inlineStr">
        <is>
          <t>Задвижка 30с941нж Ду 150 Ру 16 с электроприводом</t>
        </is>
      </c>
      <c r="C117" s="276" t="inlineStr">
        <is>
          <t>шт</t>
        </is>
      </c>
      <c r="D117" s="276" t="n">
        <v>6</v>
      </c>
      <c r="E117" s="276" t="inlineStr">
        <is>
          <t>ООО «Пермский трубопроводный завод» (ИНН 5904173655)</t>
        </is>
      </c>
      <c r="F117" s="276" t="inlineStr">
        <is>
          <t>Россия</t>
        </is>
      </c>
      <c r="G117" s="276" t="inlineStr">
        <is>
          <t>10698940</t>
        </is>
      </c>
      <c r="H117" s="277" t="n"/>
      <c r="I117" s="276">
        <f>D117*H117</f>
        <v/>
      </c>
    </row>
    <row r="118">
      <c r="A118" s="276" t="inlineStr">
        <is>
          <t>1.3/88</t>
        </is>
      </c>
      <c r="B118" s="276" t="inlineStr">
        <is>
          <t>Задвижка 30с964нж Ду 150 Ру 25 с электроприводом</t>
        </is>
      </c>
      <c r="C118" s="276" t="inlineStr">
        <is>
          <t>шт</t>
        </is>
      </c>
      <c r="D118" s="276" t="n">
        <v>1</v>
      </c>
      <c r="E118" s="276" t="inlineStr">
        <is>
          <t>ООО «Пермский трубопроводный завод» (ИНН 5904173655)</t>
        </is>
      </c>
      <c r="F118" s="276" t="inlineStr">
        <is>
          <t>Россия</t>
        </is>
      </c>
      <c r="G118" s="276" t="inlineStr">
        <is>
          <t>10698940</t>
        </is>
      </c>
      <c r="H118" s="277" t="n"/>
      <c r="I118" s="276">
        <f>D118*H118</f>
        <v/>
      </c>
    </row>
    <row r="119">
      <c r="A119" s="276" t="inlineStr">
        <is>
          <t>1.3/89</t>
        </is>
      </c>
      <c r="B119" s="276" t="inlineStr">
        <is>
          <t>Задвижка 30с964нж Ду 400 Ру 25</t>
        </is>
      </c>
      <c r="C119" s="276" t="inlineStr">
        <is>
          <t>шт</t>
        </is>
      </c>
      <c r="D119" s="276" t="n">
        <v>4</v>
      </c>
      <c r="E119" s="276" t="inlineStr">
        <is>
          <t>ООО «Пермский трубопроводный завод» (ИНН 5904173655)</t>
        </is>
      </c>
      <c r="F119" s="276" t="inlineStr">
        <is>
          <t>Россия</t>
        </is>
      </c>
      <c r="G119" s="276" t="inlineStr">
        <is>
          <t>10698940</t>
        </is>
      </c>
      <c r="H119" s="277" t="n"/>
      <c r="I119" s="276">
        <f>D119*H119</f>
        <v/>
      </c>
    </row>
    <row r="120">
      <c r="A120" s="276" t="inlineStr">
        <is>
          <t>1.3/90</t>
        </is>
      </c>
      <c r="B120" s="276" t="inlineStr">
        <is>
          <t>Задвижка стальная 30с964нж Ду 100 Ру 25 с электроприводом  МТ-100-220, 220В</t>
        </is>
      </c>
      <c r="C120" s="276" t="inlineStr">
        <is>
          <t>шт</t>
        </is>
      </c>
      <c r="D120" s="276" t="n">
        <v>3</v>
      </c>
      <c r="E120" s="276" t="inlineStr">
        <is>
          <t>ООО «Пермский трубопроводный завод» (ИНН 5904173655)</t>
        </is>
      </c>
      <c r="F120" s="276" t="inlineStr">
        <is>
          <t>Россия</t>
        </is>
      </c>
      <c r="G120" s="276" t="inlineStr">
        <is>
          <t>10698940</t>
        </is>
      </c>
      <c r="H120" s="277" t="n"/>
      <c r="I120" s="276">
        <f>D120*H120</f>
        <v/>
      </c>
    </row>
    <row r="121">
      <c r="A121" s="276" t="inlineStr">
        <is>
          <t>1.3/91</t>
        </is>
      </c>
      <c r="B121" s="276" t="inlineStr">
        <is>
          <t>Задвижка 30с99нж Ду 50 Ру 25</t>
        </is>
      </c>
      <c r="C121" s="276" t="inlineStr">
        <is>
          <t>шт</t>
        </is>
      </c>
      <c r="D121" s="276" t="n">
        <v>1</v>
      </c>
      <c r="E121" s="276" t="inlineStr">
        <is>
          <t>ООО «Пермский трубопроводный завод» (ИНН 5904173655)</t>
        </is>
      </c>
      <c r="F121" s="276" t="inlineStr">
        <is>
          <t>Россия</t>
        </is>
      </c>
      <c r="G121" s="276" t="inlineStr">
        <is>
          <t>10698940</t>
        </is>
      </c>
      <c r="H121" s="277" t="n"/>
      <c r="I121" s="276">
        <f>D121*H121</f>
        <v/>
      </c>
    </row>
    <row r="122">
      <c r="A122" s="276" t="inlineStr">
        <is>
          <t>1.3/92</t>
        </is>
      </c>
      <c r="B122" s="276" t="inlineStr">
        <is>
          <t>Задвижка 30с99нж Ду 80 Ру 25</t>
        </is>
      </c>
      <c r="C122" s="276" t="inlineStr">
        <is>
          <t>шт</t>
        </is>
      </c>
      <c r="D122" s="276" t="n">
        <v>1</v>
      </c>
      <c r="E122" s="276" t="inlineStr">
        <is>
          <t>ООО «Пермский трубопроводный завод» (ИНН 5904173655)</t>
        </is>
      </c>
      <c r="F122" s="276" t="inlineStr">
        <is>
          <t>Россия</t>
        </is>
      </c>
      <c r="G122" s="276" t="inlineStr">
        <is>
          <t>10698940</t>
        </is>
      </c>
      <c r="H122" s="277" t="n"/>
      <c r="I122" s="276">
        <f>D122*H122</f>
        <v/>
      </c>
    </row>
    <row r="123">
      <c r="A123" s="276" t="inlineStr">
        <is>
          <t>1.3/93</t>
        </is>
      </c>
      <c r="B123" s="276" t="inlineStr">
        <is>
          <t>Задвижка 30ч6бр Ду 50 Ру 10</t>
        </is>
      </c>
      <c r="C123" s="276" t="inlineStr">
        <is>
          <t>шт</t>
        </is>
      </c>
      <c r="D123" s="276" t="n">
        <v>8</v>
      </c>
      <c r="E123" s="276" t="inlineStr">
        <is>
          <t>ООО ПИК «АЛГРУПП»</t>
        </is>
      </c>
      <c r="F123" s="276" t="inlineStr">
        <is>
          <t>Россия</t>
        </is>
      </c>
      <c r="G123" s="276" t="inlineStr">
        <is>
          <t>10716626</t>
        </is>
      </c>
      <c r="H123" s="277" t="n"/>
      <c r="I123" s="276">
        <f>D123*H123</f>
        <v/>
      </c>
    </row>
    <row r="124">
      <c r="A124" s="276" t="inlineStr">
        <is>
          <t>1.3/94</t>
        </is>
      </c>
      <c r="B124" s="276" t="inlineStr">
        <is>
          <t>Задвижка 30ч6бр Ду 80 Ру 10</t>
        </is>
      </c>
      <c r="C124" s="276" t="inlineStr">
        <is>
          <t>шт</t>
        </is>
      </c>
      <c r="D124" s="276" t="n">
        <v>14</v>
      </c>
      <c r="E124" s="276" t="inlineStr">
        <is>
          <t>ООО ПИК «АЛГРУПП»</t>
        </is>
      </c>
      <c r="F124" s="276" t="inlineStr">
        <is>
          <t>Россия</t>
        </is>
      </c>
      <c r="G124" s="276" t="inlineStr">
        <is>
          <t>10716626</t>
        </is>
      </c>
      <c r="H124" s="277" t="n"/>
      <c r="I124" s="276">
        <f>D124*H124</f>
        <v/>
      </c>
    </row>
    <row r="125">
      <c r="A125" s="276" t="inlineStr">
        <is>
          <t>1.3/95</t>
        </is>
      </c>
      <c r="B125" s="276" t="inlineStr">
        <is>
          <t>Задвижка 30ч6бр Ду 100 Ру 10</t>
        </is>
      </c>
      <c r="C125" s="276" t="inlineStr">
        <is>
          <t>шт</t>
        </is>
      </c>
      <c r="D125" s="276" t="n">
        <v>19</v>
      </c>
      <c r="E125" s="276" t="inlineStr">
        <is>
          <t>ООО ПИК «АЛГРУПП»</t>
        </is>
      </c>
      <c r="F125" s="276" t="inlineStr">
        <is>
          <t>Россия</t>
        </is>
      </c>
      <c r="G125" s="276" t="inlineStr">
        <is>
          <t>10716626</t>
        </is>
      </c>
      <c r="H125" s="277" t="n"/>
      <c r="I125" s="276">
        <f>D125*H125</f>
        <v/>
      </c>
    </row>
    <row r="126">
      <c r="A126" s="276" t="inlineStr">
        <is>
          <t>1.3/96</t>
        </is>
      </c>
      <c r="B126" s="276" t="inlineStr">
        <is>
          <t>Задвижка 30ч6бр Ду 150 Ру 10</t>
        </is>
      </c>
      <c r="C126" s="276" t="inlineStr">
        <is>
          <t>шт</t>
        </is>
      </c>
      <c r="D126" s="276" t="n">
        <v>19</v>
      </c>
      <c r="E126" s="276" t="inlineStr">
        <is>
          <t>ООО ПИК «АЛГРУПП»</t>
        </is>
      </c>
      <c r="F126" s="276" t="inlineStr">
        <is>
          <t>Россия</t>
        </is>
      </c>
      <c r="G126" s="276" t="inlineStr">
        <is>
          <t>10716626</t>
        </is>
      </c>
      <c r="H126" s="277" t="n"/>
      <c r="I126" s="276">
        <f>D126*H126</f>
        <v/>
      </c>
    </row>
    <row r="127">
      <c r="A127" s="276" t="inlineStr">
        <is>
          <t>1.3/97</t>
        </is>
      </c>
      <c r="B127" s="276" t="inlineStr">
        <is>
          <t>Задвижка 30ч6бр Ду 200 Ру 10</t>
        </is>
      </c>
      <c r="C127" s="276" t="inlineStr">
        <is>
          <t>шт</t>
        </is>
      </c>
      <c r="D127" s="276" t="n">
        <v>13</v>
      </c>
      <c r="E127" s="276" t="inlineStr">
        <is>
          <t>ООО ПИК «АЛГРУПП»</t>
        </is>
      </c>
      <c r="F127" s="276" t="inlineStr">
        <is>
          <t>Россия</t>
        </is>
      </c>
      <c r="G127" s="276" t="inlineStr">
        <is>
          <t>10716626</t>
        </is>
      </c>
      <c r="H127" s="277" t="n"/>
      <c r="I127" s="276">
        <f>D127*H127</f>
        <v/>
      </c>
    </row>
    <row r="128">
      <c r="A128" s="276" t="inlineStr">
        <is>
          <t>1.3/98</t>
        </is>
      </c>
      <c r="B128" s="276" t="inlineStr">
        <is>
          <t>Задвижка 30ч6бр Ду 250 Ру 10</t>
        </is>
      </c>
      <c r="C128" s="276" t="inlineStr">
        <is>
          <t>шт</t>
        </is>
      </c>
      <c r="D128" s="276" t="n">
        <v>4</v>
      </c>
      <c r="E128" s="276" t="inlineStr">
        <is>
          <t>ООО ПИК «АЛГРУПП»</t>
        </is>
      </c>
      <c r="F128" s="276" t="inlineStr">
        <is>
          <t>Россия</t>
        </is>
      </c>
      <c r="G128" s="276" t="inlineStr">
        <is>
          <t>10716626</t>
        </is>
      </c>
      <c r="H128" s="277" t="n"/>
      <c r="I128" s="276">
        <f>D128*H128</f>
        <v/>
      </c>
    </row>
    <row r="129">
      <c r="A129" s="276" t="inlineStr">
        <is>
          <t>1.3/99</t>
        </is>
      </c>
      <c r="B129" s="276" t="inlineStr">
        <is>
          <t>Задвижка 30ч6бр Ду 300 Ру 10</t>
        </is>
      </c>
      <c r="C129" s="276" t="inlineStr">
        <is>
          <t>шт</t>
        </is>
      </c>
      <c r="D129" s="276" t="n">
        <v>4</v>
      </c>
      <c r="E129" s="276" t="inlineStr">
        <is>
          <t>ООО ПИК «АЛГРУПП»</t>
        </is>
      </c>
      <c r="F129" s="276" t="inlineStr">
        <is>
          <t>Россия</t>
        </is>
      </c>
      <c r="G129" s="276" t="inlineStr">
        <is>
          <t>10716626</t>
        </is>
      </c>
      <c r="H129" s="277" t="n"/>
      <c r="I129" s="276">
        <f>D129*H129</f>
        <v/>
      </c>
    </row>
    <row r="130">
      <c r="A130" s="276" t="inlineStr">
        <is>
          <t>1.3/100</t>
        </is>
      </c>
      <c r="B130" s="276" t="inlineStr">
        <is>
          <t>Кран 11б27п(м) Ду 15 Ру 16 3-х ходовой для манометров</t>
        </is>
      </c>
      <c r="C130" s="276" t="inlineStr">
        <is>
          <t>шт</t>
        </is>
      </c>
      <c r="D130" s="276" t="n">
        <v>4</v>
      </c>
      <c r="E130" s="277" t="inlineStr"/>
      <c r="F130" s="277" t="inlineStr"/>
      <c r="G130" s="277" t="inlineStr"/>
      <c r="H130" s="277" t="n"/>
      <c r="I130" s="276">
        <f>D130*H130</f>
        <v/>
      </c>
    </row>
    <row r="131">
      <c r="A131" s="276" t="inlineStr">
        <is>
          <t>1.3/101</t>
        </is>
      </c>
      <c r="B131" s="276" t="inlineStr">
        <is>
          <t>Кран шаровой 11б27п1 Ду 15 Ру 16</t>
        </is>
      </c>
      <c r="C131" s="276" t="inlineStr">
        <is>
          <t>шт</t>
        </is>
      </c>
      <c r="D131" s="276" t="n">
        <v>110</v>
      </c>
      <c r="E131" s="276" t="inlineStr">
        <is>
          <t>ООО «ЛД Прайд» (ИНН 7449114775)</t>
        </is>
      </c>
      <c r="F131" s="276" t="inlineStr">
        <is>
          <t>Россия</t>
        </is>
      </c>
      <c r="G131" s="276" t="inlineStr">
        <is>
          <t>10826766</t>
        </is>
      </c>
      <c r="H131" s="277" t="n"/>
      <c r="I131" s="276">
        <f>D131*H131</f>
        <v/>
      </c>
    </row>
    <row r="132">
      <c r="A132" s="276" t="inlineStr">
        <is>
          <t>1.3/102</t>
        </is>
      </c>
      <c r="B132" s="276" t="inlineStr">
        <is>
          <t>Кран шаровой 11б27п1 Ду 20 Ру 16</t>
        </is>
      </c>
      <c r="C132" s="276" t="inlineStr">
        <is>
          <t>шт</t>
        </is>
      </c>
      <c r="D132" s="276" t="n">
        <v>57</v>
      </c>
      <c r="E132" s="276" t="inlineStr">
        <is>
          <t>ООО «ЛД Прайд» (ИНН 7449114775)</t>
        </is>
      </c>
      <c r="F132" s="276" t="inlineStr">
        <is>
          <t>Россия</t>
        </is>
      </c>
      <c r="G132" s="276" t="inlineStr">
        <is>
          <t>10826766</t>
        </is>
      </c>
      <c r="H132" s="277" t="n"/>
      <c r="I132" s="276">
        <f>D132*H132</f>
        <v/>
      </c>
    </row>
    <row r="133">
      <c r="A133" s="276" t="inlineStr">
        <is>
          <t>1.3/103</t>
        </is>
      </c>
      <c r="B133" s="276" t="inlineStr">
        <is>
          <t>Кран шаровой 11б27п1 Ду 25 Ру 16</t>
        </is>
      </c>
      <c r="C133" s="276" t="inlineStr">
        <is>
          <t>шт</t>
        </is>
      </c>
      <c r="D133" s="276" t="n">
        <v>29</v>
      </c>
      <c r="E133" s="276" t="inlineStr">
        <is>
          <t>ООО «ЛД Прайд» (ИНН 7449114775)</t>
        </is>
      </c>
      <c r="F133" s="276" t="inlineStr">
        <is>
          <t>Россия</t>
        </is>
      </c>
      <c r="G133" s="276" t="inlineStr">
        <is>
          <t>10826766</t>
        </is>
      </c>
      <c r="H133" s="277" t="n"/>
      <c r="I133" s="276">
        <f>D133*H133</f>
        <v/>
      </c>
    </row>
    <row r="134">
      <c r="A134" s="276" t="inlineStr">
        <is>
          <t>1.3/104</t>
        </is>
      </c>
      <c r="B134" s="276" t="inlineStr">
        <is>
          <t>Кран шаровой 11б27п1 Ду 32 Ру 16</t>
        </is>
      </c>
      <c r="C134" s="276" t="inlineStr">
        <is>
          <t>шт</t>
        </is>
      </c>
      <c r="D134" s="276" t="n">
        <v>47</v>
      </c>
      <c r="E134" s="276" t="inlineStr">
        <is>
          <t>ООО «ЛД Прайд» (ИНН 7449114775)</t>
        </is>
      </c>
      <c r="F134" s="276" t="inlineStr">
        <is>
          <t>Россия</t>
        </is>
      </c>
      <c r="G134" s="276" t="inlineStr">
        <is>
          <t>10826766</t>
        </is>
      </c>
      <c r="H134" s="277" t="n"/>
      <c r="I134" s="276">
        <f>D134*H134</f>
        <v/>
      </c>
    </row>
    <row r="135">
      <c r="A135" s="276" t="inlineStr">
        <is>
          <t>1.3/105</t>
        </is>
      </c>
      <c r="B135" s="276" t="inlineStr">
        <is>
          <t>Кран шаровой 11б27п1 Ду 50 Ру 16</t>
        </is>
      </c>
      <c r="C135" s="276" t="inlineStr">
        <is>
          <t>шт</t>
        </is>
      </c>
      <c r="D135" s="276" t="n">
        <v>24</v>
      </c>
      <c r="E135" s="276" t="inlineStr">
        <is>
          <t>ООО «ЛД Прайд» (ИНН 7449114775)</t>
        </is>
      </c>
      <c r="F135" s="276" t="inlineStr">
        <is>
          <t>Россия</t>
        </is>
      </c>
      <c r="G135" s="276" t="inlineStr">
        <is>
          <t>10826766</t>
        </is>
      </c>
      <c r="H135" s="277" t="n"/>
      <c r="I135" s="276">
        <f>D135*H135</f>
        <v/>
      </c>
    </row>
    <row r="136">
      <c r="A136" s="276" t="inlineStr">
        <is>
          <t>1.3/106</t>
        </is>
      </c>
      <c r="B136" s="276" t="inlineStr">
        <is>
          <t>Кран шаровой фланцевый 11с22п Ду 50 Ру 16</t>
        </is>
      </c>
      <c r="C136" s="276" t="inlineStr">
        <is>
          <t>шт</t>
        </is>
      </c>
      <c r="D136" s="276" t="n">
        <v>7</v>
      </c>
      <c r="E136" s="276" t="inlineStr">
        <is>
          <t>ООО «ЧелябинскСпецГражданСтрой» (ИНН 7451211335)</t>
        </is>
      </c>
      <c r="F136" s="276" t="inlineStr">
        <is>
          <t>Россия</t>
        </is>
      </c>
      <c r="G136" s="276" t="inlineStr">
        <is>
          <t>10655491</t>
        </is>
      </c>
      <c r="H136" s="277" t="n"/>
      <c r="I136" s="276">
        <f>D136*H136</f>
        <v/>
      </c>
    </row>
    <row r="137">
      <c r="A137" s="276" t="inlineStr">
        <is>
          <t>1.3/107</t>
        </is>
      </c>
      <c r="B137" s="276" t="inlineStr">
        <is>
          <t>Кран шаровой фланцевый 11с22п Ду 80 Ру 16</t>
        </is>
      </c>
      <c r="C137" s="276" t="inlineStr">
        <is>
          <t>шт</t>
        </is>
      </c>
      <c r="D137" s="276" t="n">
        <v>8</v>
      </c>
      <c r="E137" s="276" t="inlineStr">
        <is>
          <t>ООО «ЧелябинскСпецГражданСтрой» (ИНН 7451211335)</t>
        </is>
      </c>
      <c r="F137" s="276" t="inlineStr">
        <is>
          <t>Россия</t>
        </is>
      </c>
      <c r="G137" s="276" t="inlineStr">
        <is>
          <t>10655491</t>
        </is>
      </c>
      <c r="H137" s="277" t="n"/>
      <c r="I137" s="276">
        <f>D137*H137</f>
        <v/>
      </c>
    </row>
    <row r="138">
      <c r="A138" s="276" t="inlineStr">
        <is>
          <t>1.3/108</t>
        </is>
      </c>
      <c r="B138" s="276" t="inlineStr">
        <is>
          <t>Кран шаровой фланцевый 11с22п Ду 100 Ру 16</t>
        </is>
      </c>
      <c r="C138" s="276" t="inlineStr">
        <is>
          <t>шт</t>
        </is>
      </c>
      <c r="D138" s="276" t="n">
        <v>8</v>
      </c>
      <c r="E138" s="276" t="inlineStr">
        <is>
          <t>ООО «ЧелябинскСпецГражданСтрой» (ИНН 7451211335)</t>
        </is>
      </c>
      <c r="F138" s="276" t="inlineStr">
        <is>
          <t>Россия</t>
        </is>
      </c>
      <c r="G138" s="276" t="inlineStr">
        <is>
          <t>10655491</t>
        </is>
      </c>
      <c r="H138" s="277" t="n"/>
      <c r="I138" s="276">
        <f>D138*H138</f>
        <v/>
      </c>
    </row>
    <row r="139">
      <c r="A139" s="276" t="inlineStr">
        <is>
          <t>1.3/109</t>
        </is>
      </c>
      <c r="B139" s="276" t="inlineStr">
        <is>
          <t>Кран шаровой 11С67П Ду 100 Ру 16</t>
        </is>
      </c>
      <c r="C139" s="276" t="inlineStr">
        <is>
          <t>шт</t>
        </is>
      </c>
      <c r="D139" s="276" t="n">
        <v>2</v>
      </c>
      <c r="E139" s="276" t="inlineStr">
        <is>
          <t>ООО «ЧелябинскСпецГражданСтрой» (ИНН 7451211335)</t>
        </is>
      </c>
      <c r="F139" s="276" t="inlineStr">
        <is>
          <t>Россия</t>
        </is>
      </c>
      <c r="G139" s="276" t="inlineStr">
        <is>
          <t>10655491</t>
        </is>
      </c>
      <c r="H139" s="277" t="n"/>
      <c r="I139" s="276">
        <f>D139*H139</f>
        <v/>
      </c>
    </row>
    <row r="140">
      <c r="A140" s="276" t="inlineStr">
        <is>
          <t>1.3/110</t>
        </is>
      </c>
      <c r="B140" s="276" t="inlineStr">
        <is>
          <t>Кран шаровой 11С67П Ду 150 Ру 16</t>
        </is>
      </c>
      <c r="C140" s="276" t="inlineStr">
        <is>
          <t>шт</t>
        </is>
      </c>
      <c r="D140" s="276" t="n">
        <v>2</v>
      </c>
      <c r="E140" s="276" t="inlineStr">
        <is>
          <t>ООО «ЧелябинскСпецГражданСтрой» (ИНН 7451211335)</t>
        </is>
      </c>
      <c r="F140" s="276" t="inlineStr">
        <is>
          <t>Россия</t>
        </is>
      </c>
      <c r="G140" s="276" t="inlineStr">
        <is>
          <t>10655491</t>
        </is>
      </c>
      <c r="H140" s="277" t="n"/>
      <c r="I140" s="276">
        <f>D140*H140</f>
        <v/>
      </c>
    </row>
    <row r="141">
      <c r="A141" s="276" t="inlineStr">
        <is>
          <t>1.3/111</t>
        </is>
      </c>
      <c r="B141" s="276" t="inlineStr">
        <is>
          <t>Кран шаровой 11С67П Ду 200 Ру 16</t>
        </is>
      </c>
      <c r="C141" s="276" t="inlineStr">
        <is>
          <t>шт</t>
        </is>
      </c>
      <c r="D141" s="276" t="n">
        <v>2</v>
      </c>
      <c r="E141" s="277" t="inlineStr"/>
      <c r="F141" s="277" t="inlineStr"/>
      <c r="G141" s="277" t="inlineStr"/>
      <c r="H141" s="277" t="n"/>
      <c r="I141" s="276">
        <f>D141*H141</f>
        <v/>
      </c>
    </row>
    <row r="142">
      <c r="A142" s="276" t="inlineStr">
        <is>
          <t>1.3/112</t>
        </is>
      </c>
      <c r="B142" s="276" t="inlineStr">
        <is>
          <t>Кран шаровой 11С67П Ду 80 Ру 16</t>
        </is>
      </c>
      <c r="C142" s="276" t="inlineStr">
        <is>
          <t>шт</t>
        </is>
      </c>
      <c r="D142" s="276" t="n">
        <v>2</v>
      </c>
      <c r="E142" s="276" t="inlineStr">
        <is>
          <t>ООО «ЧелябинскСпецГражданСтрой» (ИНН 7451211335)</t>
        </is>
      </c>
      <c r="F142" s="276" t="inlineStr">
        <is>
          <t>Россия</t>
        </is>
      </c>
      <c r="G142" s="276" t="inlineStr">
        <is>
          <t>10655491</t>
        </is>
      </c>
      <c r="H142" s="277" t="n"/>
      <c r="I142" s="276">
        <f>D142*H142</f>
        <v/>
      </c>
    </row>
    <row r="143">
      <c r="A143" s="276" t="inlineStr">
        <is>
          <t>1.3/113</t>
        </is>
      </c>
      <c r="B143" s="276" t="inlineStr">
        <is>
          <t>Кран шаровой 11с67п Ду 15 Ру 25 цельносварной под приварку</t>
        </is>
      </c>
      <c r="C143" s="276" t="inlineStr">
        <is>
          <t>шт</t>
        </is>
      </c>
      <c r="D143" s="276" t="n">
        <v>62</v>
      </c>
      <c r="E143" s="276" t="inlineStr">
        <is>
          <t>ООО «ЧелябинскСпецГражданСтрой» (ИНН 7451211335)</t>
        </is>
      </c>
      <c r="F143" s="276" t="inlineStr">
        <is>
          <t>Россия</t>
        </is>
      </c>
      <c r="G143" s="276" t="inlineStr">
        <is>
          <t>10655491</t>
        </is>
      </c>
      <c r="H143" s="277" t="n"/>
      <c r="I143" s="276">
        <f>D143*H143</f>
        <v/>
      </c>
    </row>
    <row r="144">
      <c r="A144" s="276" t="inlineStr">
        <is>
          <t>1.3/114</t>
        </is>
      </c>
      <c r="B144" s="276" t="inlineStr">
        <is>
          <t>Кран шаровой 11с67п Ду 25 Ру 25 цельносварной под приварку</t>
        </is>
      </c>
      <c r="C144" s="276" t="inlineStr">
        <is>
          <t>шт</t>
        </is>
      </c>
      <c r="D144" s="276" t="n">
        <v>48</v>
      </c>
      <c r="E144" s="276" t="inlineStr">
        <is>
          <t>ООО «ЧелябинскСпецГражданСтрой» (ИНН 7451211335)</t>
        </is>
      </c>
      <c r="F144" s="276" t="inlineStr">
        <is>
          <t>Россия</t>
        </is>
      </c>
      <c r="G144" s="276" t="inlineStr">
        <is>
          <t>10655491</t>
        </is>
      </c>
      <c r="H144" s="277" t="n"/>
      <c r="I144" s="276">
        <f>D144*H144</f>
        <v/>
      </c>
    </row>
    <row r="145">
      <c r="A145" s="276" t="inlineStr">
        <is>
          <t>1.3/115</t>
        </is>
      </c>
      <c r="B145" s="276" t="inlineStr">
        <is>
          <t>Кран шаровой 11с67п Ду 32 Ру 25 цельносварной под приварку</t>
        </is>
      </c>
      <c r="C145" s="276" t="inlineStr">
        <is>
          <t>шт</t>
        </is>
      </c>
      <c r="D145" s="276" t="n">
        <v>40</v>
      </c>
      <c r="E145" s="277" t="inlineStr"/>
      <c r="F145" s="277" t="inlineStr"/>
      <c r="G145" s="277" t="inlineStr"/>
      <c r="H145" s="277" t="n"/>
      <c r="I145" s="276">
        <f>D145*H145</f>
        <v/>
      </c>
    </row>
    <row r="146">
      <c r="A146" s="276" t="inlineStr">
        <is>
          <t>1.3/116</t>
        </is>
      </c>
      <c r="B146" s="276" t="inlineStr">
        <is>
          <t>Кран шаровой 11с67п Ду 40 Ру 25 цельносварной под приварку</t>
        </is>
      </c>
      <c r="C146" s="276" t="inlineStr">
        <is>
          <t>шт</t>
        </is>
      </c>
      <c r="D146" s="276" t="n">
        <v>38</v>
      </c>
      <c r="E146" s="276" t="inlineStr">
        <is>
          <t>ООО «ЧелябинскСпецГражданСтрой» (ИНН 7451211335)</t>
        </is>
      </c>
      <c r="F146" s="276" t="inlineStr">
        <is>
          <t>Россия</t>
        </is>
      </c>
      <c r="G146" s="276" t="inlineStr">
        <is>
          <t>10655491</t>
        </is>
      </c>
      <c r="H146" s="277" t="n"/>
      <c r="I146" s="276">
        <f>D146*H146</f>
        <v/>
      </c>
    </row>
    <row r="147">
      <c r="A147" s="276" t="inlineStr">
        <is>
          <t>1.3/117</t>
        </is>
      </c>
      <c r="B147" s="276" t="inlineStr">
        <is>
          <t>Кран шаровой 11с67п Ду 50 Ру 25 цельносварной под приварку</t>
        </is>
      </c>
      <c r="C147" s="276" t="inlineStr">
        <is>
          <t>шт</t>
        </is>
      </c>
      <c r="D147" s="276" t="n">
        <v>44</v>
      </c>
      <c r="E147" s="277" t="inlineStr"/>
      <c r="F147" s="277" t="inlineStr"/>
      <c r="G147" s="277" t="inlineStr"/>
      <c r="H147" s="277" t="n"/>
      <c r="I147" s="276">
        <f>D147*H147</f>
        <v/>
      </c>
    </row>
    <row r="148">
      <c r="A148" s="276" t="inlineStr">
        <is>
          <t>1.3/118</t>
        </is>
      </c>
      <c r="B148" s="276" t="inlineStr">
        <is>
          <t>Кран шаровой 11с67п Ду 80 Ру 25 цельносварной под приварку</t>
        </is>
      </c>
      <c r="C148" s="276" t="inlineStr">
        <is>
          <t>шт</t>
        </is>
      </c>
      <c r="D148" s="276" t="n">
        <v>26</v>
      </c>
      <c r="E148" s="277" t="inlineStr"/>
      <c r="F148" s="277" t="inlineStr"/>
      <c r="G148" s="277" t="inlineStr"/>
      <c r="H148" s="277" t="n"/>
      <c r="I148" s="276">
        <f>D148*H148</f>
        <v/>
      </c>
    </row>
    <row r="149">
      <c r="A149" s="276" t="inlineStr">
        <is>
          <t>1.3/119</t>
        </is>
      </c>
      <c r="B149" s="276" t="inlineStr">
        <is>
          <t>Кран шаровой 11с67п Ду 100 Ру 25 цельносварной под приварку</t>
        </is>
      </c>
      <c r="C149" s="276" t="inlineStr">
        <is>
          <t>шт</t>
        </is>
      </c>
      <c r="D149" s="276" t="n">
        <v>24</v>
      </c>
      <c r="E149" s="277" t="inlineStr"/>
      <c r="F149" s="277" t="inlineStr"/>
      <c r="G149" s="277" t="inlineStr"/>
      <c r="H149" s="277" t="n"/>
      <c r="I149" s="276">
        <f>D149*H149</f>
        <v/>
      </c>
    </row>
    <row r="150">
      <c r="A150" s="276" t="inlineStr">
        <is>
          <t>1.3/120</t>
        </is>
      </c>
      <c r="B150" s="276" t="inlineStr">
        <is>
          <t>Кран шаровой 11с67п Ду 150 Ру 25 цельносварной под приварку</t>
        </is>
      </c>
      <c r="C150" s="276" t="inlineStr">
        <is>
          <t>шт</t>
        </is>
      </c>
      <c r="D150" s="276" t="n">
        <v>22</v>
      </c>
      <c r="E150" s="276" t="inlineStr">
        <is>
          <t>ООО «ЧелябинскСпецГражданСтрой» (ИНН 7451211335)</t>
        </is>
      </c>
      <c r="F150" s="276" t="inlineStr">
        <is>
          <t>Россия</t>
        </is>
      </c>
      <c r="G150" s="276" t="inlineStr">
        <is>
          <t>10655491</t>
        </is>
      </c>
      <c r="H150" s="277" t="n"/>
      <c r="I150" s="276">
        <f>D150*H150</f>
        <v/>
      </c>
    </row>
    <row r="151">
      <c r="A151" s="276" t="inlineStr">
        <is>
          <t>1.3/121</t>
        </is>
      </c>
      <c r="B151" s="276" t="inlineStr">
        <is>
          <t>Кран шаровой 11с67п Ду 200 Ру 25 цельносварной под приварку</t>
        </is>
      </c>
      <c r="C151" s="276" t="inlineStr">
        <is>
          <t>шт</t>
        </is>
      </c>
      <c r="D151" s="276" t="n">
        <v>10</v>
      </c>
      <c r="E151" s="277" t="inlineStr"/>
      <c r="F151" s="277" t="inlineStr"/>
      <c r="G151" s="277" t="inlineStr"/>
      <c r="H151" s="277" t="n"/>
      <c r="I151" s="276">
        <f>D151*H151</f>
        <v/>
      </c>
    </row>
    <row r="152">
      <c r="A152" s="276" t="inlineStr">
        <is>
          <t>1.3/122</t>
        </is>
      </c>
      <c r="B152" s="276" t="inlineStr">
        <is>
          <t>Кран шаровой 11с67п Ду 15 Ру 25 полнопрох. с КОФ (КЗШС41нж)</t>
        </is>
      </c>
      <c r="C152" s="276" t="inlineStr">
        <is>
          <t>шт</t>
        </is>
      </c>
      <c r="D152" s="276" t="n">
        <v>3</v>
      </c>
      <c r="E152" s="276" t="inlineStr">
        <is>
          <t>ООО «ЧелябинскСпецГражданСтрой» (ИНН 7451211335)</t>
        </is>
      </c>
      <c r="F152" s="276" t="inlineStr">
        <is>
          <t>Россия</t>
        </is>
      </c>
      <c r="G152" s="276" t="inlineStr">
        <is>
          <t>10655491</t>
        </is>
      </c>
      <c r="H152" s="277" t="n"/>
      <c r="I152" s="276">
        <f>D152*H152</f>
        <v/>
      </c>
    </row>
    <row r="153">
      <c r="A153" s="276" t="inlineStr">
        <is>
          <t>1.3/123</t>
        </is>
      </c>
      <c r="B153" s="276" t="inlineStr">
        <is>
          <t>Кран шаровой 11с67п Ду 25 Ру 25 полнопрох. с КОФ (КЗШС41нж)</t>
        </is>
      </c>
      <c r="C153" s="276" t="inlineStr">
        <is>
          <t>шт</t>
        </is>
      </c>
      <c r="D153" s="276" t="n">
        <v>6</v>
      </c>
      <c r="E153" s="276" t="inlineStr">
        <is>
          <t>ООО «ЧелябинскСпецГражданСтрой» (ИНН 7451211335)</t>
        </is>
      </c>
      <c r="F153" s="276" t="inlineStr">
        <is>
          <t>Россия</t>
        </is>
      </c>
      <c r="G153" s="276" t="inlineStr">
        <is>
          <t>10655491</t>
        </is>
      </c>
      <c r="H153" s="277" t="n"/>
      <c r="I153" s="276">
        <f>D153*H153</f>
        <v/>
      </c>
    </row>
    <row r="154">
      <c r="A154" s="276" t="inlineStr">
        <is>
          <t>1.3/124</t>
        </is>
      </c>
      <c r="B154" s="276" t="inlineStr">
        <is>
          <t>Кран шаровой 11с67п Ду 32 Ру 25 полнопрох. с КОФ (КЗШС41нж)</t>
        </is>
      </c>
      <c r="C154" s="276" t="inlineStr">
        <is>
          <t>шт</t>
        </is>
      </c>
      <c r="D154" s="276" t="n">
        <v>10</v>
      </c>
      <c r="E154" s="276" t="inlineStr">
        <is>
          <t>ООО «ЧелябинскСпецГражданСтрой» (ИНН 7451211335)</t>
        </is>
      </c>
      <c r="F154" s="276" t="inlineStr">
        <is>
          <t>Россия</t>
        </is>
      </c>
      <c r="G154" s="276" t="inlineStr">
        <is>
          <t>10655491</t>
        </is>
      </c>
      <c r="H154" s="277" t="n"/>
      <c r="I154" s="276">
        <f>D154*H154</f>
        <v/>
      </c>
    </row>
    <row r="155">
      <c r="A155" s="276" t="inlineStr">
        <is>
          <t>1.3/125</t>
        </is>
      </c>
      <c r="B155" s="276" t="inlineStr">
        <is>
          <t>Кран шаровой 11с67п Ду 50 Ру 25 полнопрох. с КОФ (КЗШС41нж)</t>
        </is>
      </c>
      <c r="C155" s="276" t="inlineStr">
        <is>
          <t>шт</t>
        </is>
      </c>
      <c r="D155" s="276" t="n">
        <v>6</v>
      </c>
      <c r="E155" s="276" t="inlineStr">
        <is>
          <t>ООО «ЧелябинскСпецГражданСтрой» (ИНН 7451211335)</t>
        </is>
      </c>
      <c r="F155" s="276" t="inlineStr">
        <is>
          <t>Россия</t>
        </is>
      </c>
      <c r="G155" s="276" t="inlineStr">
        <is>
          <t>10655491</t>
        </is>
      </c>
      <c r="H155" s="277" t="n"/>
      <c r="I155" s="276">
        <f>D155*H155</f>
        <v/>
      </c>
    </row>
    <row r="156">
      <c r="A156" s="276" t="inlineStr">
        <is>
          <t>1.3/126</t>
        </is>
      </c>
      <c r="B156" s="276" t="inlineStr">
        <is>
          <t>Кран шаровой 11с67п Ду 80 Ру 25 полнопрох. с КОФ (КЗШС41нж)</t>
        </is>
      </c>
      <c r="C156" s="276" t="inlineStr">
        <is>
          <t>шт</t>
        </is>
      </c>
      <c r="D156" s="276" t="n">
        <v>4</v>
      </c>
      <c r="E156" s="276" t="inlineStr">
        <is>
          <t>ООО «ЧелябинскСпецГражданСтрой» (ИНН 7451211335)</t>
        </is>
      </c>
      <c r="F156" s="276" t="inlineStr">
        <is>
          <t>Россия</t>
        </is>
      </c>
      <c r="G156" s="276" t="inlineStr">
        <is>
          <t>10655491</t>
        </is>
      </c>
      <c r="H156" s="277" t="n"/>
      <c r="I156" s="276">
        <f>D156*H156</f>
        <v/>
      </c>
    </row>
    <row r="157">
      <c r="A157" s="276" t="inlineStr">
        <is>
          <t>1.3/127</t>
        </is>
      </c>
      <c r="B157" s="276" t="inlineStr">
        <is>
          <t>Кран шаровой 11с67п Ду 100 Ру 16 ЦУФ.001 КШ укороченный полнопроходной фланцевый с рукояткой</t>
        </is>
      </c>
      <c r="C157" s="276" t="inlineStr">
        <is>
          <t>шт</t>
        </is>
      </c>
      <c r="D157" s="276" t="n">
        <v>91</v>
      </c>
      <c r="E157" s="276" t="inlineStr">
        <is>
          <t>ООО «ЧелябинскСпецГражданСтрой» (ИНН 7451211335)</t>
        </is>
      </c>
      <c r="F157" s="276" t="inlineStr">
        <is>
          <t>Россия</t>
        </is>
      </c>
      <c r="G157" s="276" t="inlineStr">
        <is>
          <t>10655491</t>
        </is>
      </c>
      <c r="H157" s="277" t="n"/>
      <c r="I157" s="276">
        <f>D157*H157</f>
        <v/>
      </c>
    </row>
    <row r="158">
      <c r="A158" s="276" t="inlineStr">
        <is>
          <t>1.3/128</t>
        </is>
      </c>
      <c r="B158" s="276" t="inlineStr">
        <is>
          <t>Кран шаровой 11с67п Ду 125 Ру 16 ЦУФ.001 КШ укороченный полнопроходной фланцевый с рукояткой</t>
        </is>
      </c>
      <c r="C158" s="276" t="inlineStr">
        <is>
          <t>шт</t>
        </is>
      </c>
      <c r="D158" s="276" t="n">
        <v>10</v>
      </c>
      <c r="E158" s="276" t="inlineStr">
        <is>
          <t>ООО «ЧелябинскСпецГражданСтрой» (ИНН 7451211335)</t>
        </is>
      </c>
      <c r="F158" s="276" t="inlineStr">
        <is>
          <t>Россия</t>
        </is>
      </c>
      <c r="G158" s="276" t="inlineStr">
        <is>
          <t>10655491</t>
        </is>
      </c>
      <c r="H158" s="277" t="n"/>
      <c r="I158" s="276">
        <f>D158*H158</f>
        <v/>
      </c>
    </row>
    <row r="159">
      <c r="A159" s="276" t="inlineStr">
        <is>
          <t>1.3/129</t>
        </is>
      </c>
      <c r="B159" s="276" t="inlineStr">
        <is>
          <t>Кран шаровой 11с67п Ду 150 Ру 16 ЦУФ.001 КШ укороченный полнопроходной фланцевый с рукояткой</t>
        </is>
      </c>
      <c r="C159" s="276" t="inlineStr">
        <is>
          <t>шт</t>
        </is>
      </c>
      <c r="D159" s="276" t="n">
        <v>59</v>
      </c>
      <c r="E159" s="276" t="inlineStr">
        <is>
          <t>ООО «ЧелябинскСпецГражданСтрой» (ИНН 7451211335)</t>
        </is>
      </c>
      <c r="F159" s="276" t="inlineStr">
        <is>
          <t>Россия</t>
        </is>
      </c>
      <c r="G159" s="276" t="inlineStr">
        <is>
          <t>10655491</t>
        </is>
      </c>
      <c r="H159" s="277" t="n"/>
      <c r="I159" s="276">
        <f>D159*H159</f>
        <v/>
      </c>
    </row>
    <row r="160">
      <c r="A160" s="276" t="inlineStr">
        <is>
          <t>1.3/130</t>
        </is>
      </c>
      <c r="B160" s="276" t="inlineStr">
        <is>
          <t>Кран шаровой 11с67п Ду 200 Ру 16 ЦУФ.001 КШ укороченный полнопроходной фланцевый с рукояткой</t>
        </is>
      </c>
      <c r="C160" s="276" t="inlineStr">
        <is>
          <t>шт</t>
        </is>
      </c>
      <c r="D160" s="276" t="n">
        <v>45</v>
      </c>
      <c r="E160" s="277" t="inlineStr"/>
      <c r="F160" s="277" t="inlineStr"/>
      <c r="G160" s="277" t="inlineStr"/>
      <c r="H160" s="277" t="n"/>
      <c r="I160" s="276">
        <f>D160*H160</f>
        <v/>
      </c>
    </row>
    <row r="161">
      <c r="A161" s="276" t="inlineStr">
        <is>
          <t>1.3/131</t>
        </is>
      </c>
      <c r="B161" s="276" t="inlineStr">
        <is>
          <t>Кран шаровой 11с67п Ду 40 Ру 16 ЦУФ.001 КШ укороченный полнопроходной фланцевый с рукояткой</t>
        </is>
      </c>
      <c r="C161" s="276" t="inlineStr">
        <is>
          <t>шт</t>
        </is>
      </c>
      <c r="D161" s="276" t="n">
        <v>8</v>
      </c>
      <c r="E161" s="276" t="inlineStr">
        <is>
          <t>ООО «ЧелябинскСпецГражданСтрой» (ИНН 7451211335)</t>
        </is>
      </c>
      <c r="F161" s="276" t="inlineStr">
        <is>
          <t>Россия</t>
        </is>
      </c>
      <c r="G161" s="276" t="inlineStr">
        <is>
          <t>10655491</t>
        </is>
      </c>
      <c r="H161" s="277" t="n"/>
      <c r="I161" s="276">
        <f>D161*H161</f>
        <v/>
      </c>
    </row>
    <row r="162">
      <c r="A162" s="276" t="inlineStr">
        <is>
          <t>1.3/132</t>
        </is>
      </c>
      <c r="B162" s="276" t="inlineStr">
        <is>
          <t>Кран шаровой 11с67п Ду 50 Ру 16 ЦУФ.001 КШ укороченный полнопроходной фланцевый с рукояткой</t>
        </is>
      </c>
      <c r="C162" s="276" t="inlineStr">
        <is>
          <t>шт</t>
        </is>
      </c>
      <c r="D162" s="276" t="n">
        <v>80</v>
      </c>
      <c r="E162" s="276" t="inlineStr">
        <is>
          <t>ООО «ЧелябинскСпецГражданСтрой» (ИНН 7451211335)</t>
        </is>
      </c>
      <c r="F162" s="276" t="inlineStr">
        <is>
          <t>Россия</t>
        </is>
      </c>
      <c r="G162" s="276" t="inlineStr">
        <is>
          <t>10655491</t>
        </is>
      </c>
      <c r="H162" s="277" t="n"/>
      <c r="I162" s="276">
        <f>D162*H162</f>
        <v/>
      </c>
    </row>
    <row r="163">
      <c r="A163" s="276" t="inlineStr">
        <is>
          <t>1.3/133</t>
        </is>
      </c>
      <c r="B163" s="276" t="inlineStr">
        <is>
          <t>Кран шаровой 11с67п Ду 65 Ру 16 ЦУФ.001 КШ укороченный полнопроходной фланцевый с рукояткой</t>
        </is>
      </c>
      <c r="C163" s="276" t="inlineStr">
        <is>
          <t>шт</t>
        </is>
      </c>
      <c r="D163" s="276" t="n">
        <v>6</v>
      </c>
      <c r="E163" s="276" t="inlineStr">
        <is>
          <t>ООО «ЧелябинскСпецГражданСтрой» (ИНН 7451211335)</t>
        </is>
      </c>
      <c r="F163" s="276" t="inlineStr">
        <is>
          <t>Россия</t>
        </is>
      </c>
      <c r="G163" s="276" t="inlineStr">
        <is>
          <t>10655491</t>
        </is>
      </c>
      <c r="H163" s="277" t="n"/>
      <c r="I163" s="276">
        <f>D163*H163</f>
        <v/>
      </c>
    </row>
    <row r="164">
      <c r="A164" s="276" t="inlineStr">
        <is>
          <t>1.3/134</t>
        </is>
      </c>
      <c r="B164" s="276" t="inlineStr">
        <is>
          <t>Кран шаровой 11с67п Ду 80 Ру 16 ЦУФ.001 КШ укороченный полнопроходной фланцевый с рукояткой</t>
        </is>
      </c>
      <c r="C164" s="276" t="inlineStr">
        <is>
          <t>шт</t>
        </is>
      </c>
      <c r="D164" s="276" t="n">
        <v>92</v>
      </c>
      <c r="E164" s="276" t="inlineStr">
        <is>
          <t>ООО «ЧелябинскСпецГражданСтрой» (ИНН 7451211335)</t>
        </is>
      </c>
      <c r="F164" s="276" t="inlineStr">
        <is>
          <t>Россия</t>
        </is>
      </c>
      <c r="G164" s="276" t="inlineStr">
        <is>
          <t>10655491</t>
        </is>
      </c>
      <c r="H164" s="277" t="n"/>
      <c r="I164" s="276">
        <f>D164*H164</f>
        <v/>
      </c>
    </row>
    <row r="165">
      <c r="A165" s="276" t="inlineStr">
        <is>
          <t>1.3/135</t>
        </is>
      </c>
      <c r="B165" s="276" t="inlineStr">
        <is>
          <t>Кран шаровой нержавеющий G1/2" муфтовый, полнопроходной, Ду 15 Ру 63</t>
        </is>
      </c>
      <c r="C165" s="276" t="inlineStr">
        <is>
          <t>шт</t>
        </is>
      </c>
      <c r="D165" s="276" t="n">
        <v>19</v>
      </c>
      <c r="E165" s="276" t="inlineStr">
        <is>
          <t>ЗАО «Арматурная Компания «ФОБОС»</t>
        </is>
      </c>
      <c r="F165" s="277" t="inlineStr"/>
      <c r="G165" s="277" t="inlineStr"/>
      <c r="H165" s="277" t="n"/>
      <c r="I165" s="276">
        <f>D165*H165</f>
        <v/>
      </c>
    </row>
    <row r="166">
      <c r="A166" s="276" t="inlineStr">
        <is>
          <t>1.3/136</t>
        </is>
      </c>
      <c r="B166" s="276" t="inlineStr">
        <is>
          <t>Кран шаровый LD неполнопроходной 11с67п КШЦФ Ду 200 Ру 16 с КОФ</t>
        </is>
      </c>
      <c r="C166" s="276" t="inlineStr">
        <is>
          <t>шт</t>
        </is>
      </c>
      <c r="D166" s="276" t="n">
        <v>14</v>
      </c>
      <c r="E166" s="276" t="inlineStr">
        <is>
          <t>ООО «ЧелябинскСпецГражданСтрой» (ИНН 7451211335)</t>
        </is>
      </c>
      <c r="F166" s="276" t="inlineStr">
        <is>
          <t>Россия</t>
        </is>
      </c>
      <c r="G166" s="276" t="inlineStr">
        <is>
          <t>10655491</t>
        </is>
      </c>
      <c r="H166" s="277" t="n"/>
      <c r="I166" s="276">
        <f>D166*H166</f>
        <v/>
      </c>
    </row>
    <row r="167">
      <c r="A167" s="276" t="inlineStr">
        <is>
          <t>1.3/137</t>
        </is>
      </c>
      <c r="B167" s="276" t="inlineStr">
        <is>
          <t>Кран шаровый LD полнопроходной 11с67п КШРФ Ду 100 Ру 16 с КОФ</t>
        </is>
      </c>
      <c r="C167" s="276" t="inlineStr">
        <is>
          <t>шт</t>
        </is>
      </c>
      <c r="D167" s="276" t="n">
        <v>29</v>
      </c>
      <c r="E167" s="276" t="inlineStr">
        <is>
          <t>ООО «ЧелябинскСпецГражданСтрой» (ИНН 7451211335)</t>
        </is>
      </c>
      <c r="F167" s="276" t="inlineStr">
        <is>
          <t>Россия</t>
        </is>
      </c>
      <c r="G167" s="276" t="inlineStr">
        <is>
          <t>10714005</t>
        </is>
      </c>
      <c r="H167" s="277" t="n"/>
      <c r="I167" s="276">
        <f>D167*H167</f>
        <v/>
      </c>
    </row>
    <row r="168">
      <c r="A168" s="276" t="inlineStr">
        <is>
          <t>1.3/138</t>
        </is>
      </c>
      <c r="B168" s="276" t="inlineStr">
        <is>
          <t>Кран шаровый LD полнопроходной 11с67п КШРФ Ду 125 Ру 16 с КОФ</t>
        </is>
      </c>
      <c r="C168" s="276" t="inlineStr">
        <is>
          <t>шт</t>
        </is>
      </c>
      <c r="D168" s="276" t="n">
        <v>6</v>
      </c>
      <c r="E168" s="276" t="inlineStr">
        <is>
          <t>ООО «ЧелябинскСпецГражданСтрой» (ИНН 7451211335)</t>
        </is>
      </c>
      <c r="F168" s="276" t="inlineStr">
        <is>
          <t>Россия</t>
        </is>
      </c>
      <c r="G168" s="276" t="inlineStr">
        <is>
          <t>10714005</t>
        </is>
      </c>
      <c r="H168" s="277" t="n"/>
      <c r="I168" s="276">
        <f>D168*H168</f>
        <v/>
      </c>
    </row>
    <row r="169">
      <c r="A169" s="276" t="inlineStr">
        <is>
          <t>1.3/139</t>
        </is>
      </c>
      <c r="B169" s="276" t="inlineStr">
        <is>
          <t>Кран шаровый LD полнопроходной 11с67п КШРФ Ду 150 Ру 16 с КОФ</t>
        </is>
      </c>
      <c r="C169" s="276" t="inlineStr">
        <is>
          <t>шт</t>
        </is>
      </c>
      <c r="D169" s="276" t="n">
        <v>31</v>
      </c>
      <c r="E169" s="276" t="inlineStr">
        <is>
          <t>ООО «ЧелябинскСпецГражданСтрой» (ИНН 7451211335)</t>
        </is>
      </c>
      <c r="F169" s="276" t="inlineStr">
        <is>
          <t>Россия</t>
        </is>
      </c>
      <c r="G169" s="276" t="inlineStr">
        <is>
          <t>10714005</t>
        </is>
      </c>
      <c r="H169" s="277" t="n"/>
      <c r="I169" s="276">
        <f>D169*H169</f>
        <v/>
      </c>
    </row>
    <row r="170">
      <c r="A170" s="276" t="inlineStr">
        <is>
          <t>1.3/140</t>
        </is>
      </c>
      <c r="B170" s="276" t="inlineStr">
        <is>
          <t>Кран шаровый LD полнопроходной 11с67п КШРФ Ду 25 Ру 16 с КОФ</t>
        </is>
      </c>
      <c r="C170" s="276" t="inlineStr">
        <is>
          <t>шт</t>
        </is>
      </c>
      <c r="D170" s="276" t="n">
        <v>8</v>
      </c>
      <c r="E170" s="276" t="inlineStr">
        <is>
          <t>ООО «ЧелябинскСпецГражданСтрой» (ИНН 7451211335)</t>
        </is>
      </c>
      <c r="F170" s="276" t="inlineStr">
        <is>
          <t>Россия</t>
        </is>
      </c>
      <c r="G170" s="276" t="inlineStr">
        <is>
          <t>10714005</t>
        </is>
      </c>
      <c r="H170" s="277" t="n"/>
      <c r="I170" s="276">
        <f>D170*H170</f>
        <v/>
      </c>
    </row>
    <row r="171">
      <c r="A171" s="276" t="inlineStr">
        <is>
          <t>1.3/141</t>
        </is>
      </c>
      <c r="B171" s="276" t="inlineStr">
        <is>
          <t>Кран шаровый LD полнопроходной 11с67п КШРФ Ду 32 Ру 16 с КОФ</t>
        </is>
      </c>
      <c r="C171" s="276" t="inlineStr">
        <is>
          <t>шт</t>
        </is>
      </c>
      <c r="D171" s="276" t="n">
        <v>8</v>
      </c>
      <c r="E171" s="276" t="inlineStr">
        <is>
          <t>ООО «ЧелябинскСпецГражданСтрой» (ИНН 7451211335)</t>
        </is>
      </c>
      <c r="F171" s="276" t="inlineStr">
        <is>
          <t>Россия</t>
        </is>
      </c>
      <c r="G171" s="276" t="inlineStr">
        <is>
          <t>10714005</t>
        </is>
      </c>
      <c r="H171" s="277" t="n"/>
      <c r="I171" s="276">
        <f>D171*H171</f>
        <v/>
      </c>
    </row>
    <row r="172">
      <c r="A172" s="276" t="inlineStr">
        <is>
          <t>1.3/142</t>
        </is>
      </c>
      <c r="B172" s="276" t="inlineStr">
        <is>
          <t>Кран шаровый LD полнопроходной 11с67п КШРФ Ду 40 Ру 16 с КОФ</t>
        </is>
      </c>
      <c r="C172" s="276" t="inlineStr">
        <is>
          <t>шт</t>
        </is>
      </c>
      <c r="D172" s="276" t="n">
        <v>8</v>
      </c>
      <c r="E172" s="276" t="inlineStr">
        <is>
          <t>ООО «ЧелябинскСпецГражданСтрой» (ИНН 7451211335)</t>
        </is>
      </c>
      <c r="F172" s="276" t="inlineStr">
        <is>
          <t>Россия</t>
        </is>
      </c>
      <c r="G172" s="276" t="inlineStr">
        <is>
          <t>10714005</t>
        </is>
      </c>
      <c r="H172" s="277" t="n"/>
      <c r="I172" s="276">
        <f>D172*H172</f>
        <v/>
      </c>
    </row>
    <row r="173">
      <c r="A173" s="276" t="inlineStr">
        <is>
          <t>1.3/143</t>
        </is>
      </c>
      <c r="B173" s="276" t="inlineStr">
        <is>
          <t>Кран шаровый LD полнопроходной 11с67п КШРФ Ду 50 Ру 16 с КОФ</t>
        </is>
      </c>
      <c r="C173" s="276" t="inlineStr">
        <is>
          <t>шт</t>
        </is>
      </c>
      <c r="D173" s="276" t="n">
        <v>112</v>
      </c>
      <c r="E173" s="276" t="inlineStr">
        <is>
          <t>ООО «ЧелябинскСпецГражданСтрой» (ИНН 7451211335)</t>
        </is>
      </c>
      <c r="F173" s="276" t="inlineStr">
        <is>
          <t>Россия</t>
        </is>
      </c>
      <c r="G173" s="276" t="inlineStr">
        <is>
          <t>10714005</t>
        </is>
      </c>
      <c r="H173" s="277" t="n"/>
      <c r="I173" s="276">
        <f>D173*H173</f>
        <v/>
      </c>
    </row>
    <row r="174">
      <c r="A174" s="276" t="inlineStr">
        <is>
          <t>1.3/144</t>
        </is>
      </c>
      <c r="B174" s="276" t="inlineStr">
        <is>
          <t>Кран шаровый LD полнопроходной 11с67п КШРФ Ду 65 Ру 16 с КОФ</t>
        </is>
      </c>
      <c r="C174" s="276" t="inlineStr">
        <is>
          <t>шт</t>
        </is>
      </c>
      <c r="D174" s="276" t="n">
        <v>6</v>
      </c>
      <c r="E174" s="276" t="inlineStr">
        <is>
          <t>ООО «ЧелябинскСпецГражданСтрой» (ИНН 7451211335)</t>
        </is>
      </c>
      <c r="F174" s="276" t="inlineStr">
        <is>
          <t>Россия</t>
        </is>
      </c>
      <c r="G174" s="276" t="inlineStr">
        <is>
          <t>10714005</t>
        </is>
      </c>
      <c r="H174" s="277" t="n"/>
      <c r="I174" s="276">
        <f>D174*H174</f>
        <v/>
      </c>
    </row>
    <row r="175">
      <c r="A175" s="276" t="inlineStr">
        <is>
          <t>1.3/145</t>
        </is>
      </c>
      <c r="B175" s="276" t="inlineStr">
        <is>
          <t>Кран шаровый LD полнопроходной 11с67п КШРФ Ду 80 Ру 16 МПа с КОФ</t>
        </is>
      </c>
      <c r="C175" s="276" t="inlineStr">
        <is>
          <t>шт</t>
        </is>
      </c>
      <c r="D175" s="276" t="n">
        <v>58</v>
      </c>
      <c r="E175" s="276" t="inlineStr">
        <is>
          <t>ООО «ЧелябинскСпецГражданСтрой» (ИНН 7451211335)</t>
        </is>
      </c>
      <c r="F175" s="276" t="inlineStr">
        <is>
          <t>Россия</t>
        </is>
      </c>
      <c r="G175" s="276" t="inlineStr">
        <is>
          <t>10714005</t>
        </is>
      </c>
      <c r="H175" s="277" t="n"/>
      <c r="I175" s="276">
        <f>D175*H175</f>
        <v/>
      </c>
    </row>
    <row r="176">
      <c r="A176" s="276" t="inlineStr">
        <is>
          <t>1.3/146</t>
        </is>
      </c>
      <c r="B176" s="276" t="inlineStr">
        <is>
          <t>Кран шаровый химический КШХ Ду 50 Ру 16</t>
        </is>
      </c>
      <c r="C176" s="276" t="inlineStr">
        <is>
          <t>шт</t>
        </is>
      </c>
      <c r="D176" s="276" t="n">
        <v>2</v>
      </c>
      <c r="E176" s="277" t="inlineStr"/>
      <c r="F176" s="277" t="inlineStr"/>
      <c r="G176" s="277" t="inlineStr"/>
      <c r="H176" s="277" t="n"/>
      <c r="I176" s="276">
        <f>D176*H176</f>
        <v/>
      </c>
    </row>
    <row r="177">
      <c r="A177" s="276" t="inlineStr">
        <is>
          <t>1.3/147</t>
        </is>
      </c>
      <c r="B177" s="276" t="inlineStr">
        <is>
          <t>Кран шаровый химический КШХ Ду 80 Ру 16</t>
        </is>
      </c>
      <c r="C177" s="276" t="inlineStr">
        <is>
          <t>шт</t>
        </is>
      </c>
      <c r="D177" s="276" t="n">
        <v>4</v>
      </c>
      <c r="E177" s="277" t="inlineStr"/>
      <c r="F177" s="277" t="inlineStr"/>
      <c r="G177" s="277" t="inlineStr"/>
      <c r="H177" s="277" t="n"/>
      <c r="I177" s="276">
        <f>D177*H177</f>
        <v/>
      </c>
    </row>
    <row r="178">
      <c r="A178" s="276" t="inlineStr">
        <is>
          <t>1.3/148</t>
        </is>
      </c>
      <c r="B178" s="276" t="inlineStr">
        <is>
          <t>Кран шаровый разборный полнопроходной 11с67п Ду 250 Ру 16 с КОФ</t>
        </is>
      </c>
      <c r="C178" s="276" t="inlineStr">
        <is>
          <t>шт</t>
        </is>
      </c>
      <c r="D178" s="276" t="n">
        <v>6</v>
      </c>
      <c r="E178" s="277" t="inlineStr"/>
      <c r="F178" s="277" t="inlineStr"/>
      <c r="G178" s="277" t="inlineStr"/>
      <c r="H178" s="277" t="n"/>
      <c r="I178" s="276">
        <f>D178*H178</f>
        <v/>
      </c>
    </row>
    <row r="179">
      <c r="A179" s="276" t="inlineStr">
        <is>
          <t>1.3/149</t>
        </is>
      </c>
      <c r="B179" s="276" t="inlineStr">
        <is>
          <t>Кран шаровый цельносварной неполнопроходной 11с67п Ду 250/200 Ру 16 с КОФ</t>
        </is>
      </c>
      <c r="C179" s="276" t="inlineStr">
        <is>
          <t>шт</t>
        </is>
      </c>
      <c r="D179" s="276" t="n">
        <v>2</v>
      </c>
      <c r="E179" s="277" t="inlineStr"/>
      <c r="F179" s="277" t="inlineStr"/>
      <c r="G179" s="277" t="inlineStr"/>
      <c r="H179" s="277" t="n"/>
      <c r="I179" s="276">
        <f>D179*H179</f>
        <v/>
      </c>
    </row>
    <row r="180">
      <c r="A180" s="276" t="inlineStr">
        <is>
          <t>1.3/150</t>
        </is>
      </c>
      <c r="B180" s="276" t="inlineStr">
        <is>
          <t>Затвор 32нж910р Ду 1000 Ру 10 с эл.приводом</t>
        </is>
      </c>
      <c r="C180" s="276" t="inlineStr">
        <is>
          <t>шт</t>
        </is>
      </c>
      <c r="D180" s="276" t="n">
        <v>1</v>
      </c>
      <c r="E180" s="276" t="inlineStr">
        <is>
          <t>ООО «ПромАрм»</t>
        </is>
      </c>
      <c r="F180" s="276" t="inlineStr">
        <is>
          <t>Россия</t>
        </is>
      </c>
      <c r="G180" s="276" t="inlineStr">
        <is>
          <t>10655456</t>
        </is>
      </c>
      <c r="H180" s="277" t="n"/>
      <c r="I180" s="276">
        <f>D180*H180</f>
        <v/>
      </c>
    </row>
    <row r="181">
      <c r="A181" s="276" t="inlineStr">
        <is>
          <t>1.3/151</t>
        </is>
      </c>
      <c r="B181" s="276" t="inlineStr">
        <is>
          <t>Затвор дисковый поворотный ЗДП-150-6,3-1-М-А-УХЛ1 (не под электропривод) Ду 150 Ру 6,3</t>
        </is>
      </c>
      <c r="C181" s="276" t="inlineStr">
        <is>
          <t>шт</t>
        </is>
      </c>
      <c r="D181" s="276" t="n">
        <v>3</v>
      </c>
      <c r="E181" s="276" t="inlineStr">
        <is>
          <t>ООО «Транс-Энерго» (ИНН 6324029755)</t>
        </is>
      </c>
      <c r="F181" s="276" t="inlineStr">
        <is>
          <t>Россия</t>
        </is>
      </c>
      <c r="G181" s="276" t="inlineStr">
        <is>
          <t>10876723</t>
        </is>
      </c>
      <c r="H181" s="277" t="n"/>
      <c r="I181" s="276">
        <f>D181*H181</f>
        <v/>
      </c>
    </row>
    <row r="182">
      <c r="A182" s="276" t="inlineStr">
        <is>
          <t>1.3/152</t>
        </is>
      </c>
      <c r="B182" s="276" t="inlineStr">
        <is>
          <t>Затвор дисковый поворотный ЗДП-50-6,3-1-М-А-УХЛ1 Ду 50 Ру 6,3</t>
        </is>
      </c>
      <c r="C182" s="276" t="inlineStr">
        <is>
          <t>шт</t>
        </is>
      </c>
      <c r="D182" s="276" t="n">
        <v>10</v>
      </c>
      <c r="E182" s="276" t="inlineStr">
        <is>
          <t>ООО «Транс-Энерго» (ИНН 6324029755)</t>
        </is>
      </c>
      <c r="F182" s="276" t="inlineStr">
        <is>
          <t>Россия</t>
        </is>
      </c>
      <c r="G182" s="276" t="inlineStr">
        <is>
          <t>10876719</t>
        </is>
      </c>
      <c r="H182" s="277" t="n"/>
      <c r="I182" s="276">
        <f>D182*H182</f>
        <v/>
      </c>
    </row>
    <row r="183">
      <c r="A183" s="276" t="inlineStr">
        <is>
          <t>1.3/153</t>
        </is>
      </c>
      <c r="B183" s="276" t="inlineStr">
        <is>
          <t>Затвор дисковый поворотный ЗДП-80-УХЛ1 Ду 80 Ру 6,3</t>
        </is>
      </c>
      <c r="C183" s="276" t="inlineStr">
        <is>
          <t>шт</t>
        </is>
      </c>
      <c r="D183" s="276" t="n">
        <v>3</v>
      </c>
      <c r="E183" s="276" t="inlineStr">
        <is>
          <t>ООО «Транс-Энерго» (ИНН 6324029755)</t>
        </is>
      </c>
      <c r="F183" s="276" t="inlineStr">
        <is>
          <t>Россия</t>
        </is>
      </c>
      <c r="G183" s="276" t="inlineStr">
        <is>
          <t>10876720</t>
        </is>
      </c>
      <c r="H183" s="277" t="n"/>
      <c r="I183" s="276">
        <f>D183*H183</f>
        <v/>
      </c>
    </row>
    <row r="184">
      <c r="A184" s="276" t="inlineStr">
        <is>
          <t>1.3/154</t>
        </is>
      </c>
      <c r="B184" s="276" t="inlineStr">
        <is>
          <t>Затвор дисковый поворотный(ГРЭНВЭЛ) Тип /серия FL(w)-3-MR-E Ду 100, Ру 16</t>
        </is>
      </c>
      <c r="C184" s="276" t="inlineStr">
        <is>
          <t>шт</t>
        </is>
      </c>
      <c r="D184" s="276" t="n">
        <v>4</v>
      </c>
      <c r="E184" s="276" t="inlineStr">
        <is>
          <t>ООО «Торговый Дом АДЛ» (Гранвэл)</t>
        </is>
      </c>
      <c r="F184" s="276" t="inlineStr">
        <is>
          <t>Россия</t>
        </is>
      </c>
      <c r="G184" s="276" t="inlineStr">
        <is>
          <t>10357202</t>
        </is>
      </c>
      <c r="H184" s="277" t="n"/>
      <c r="I184" s="276">
        <f>D184*H184</f>
        <v/>
      </c>
    </row>
    <row r="185">
      <c r="A185" s="276" t="inlineStr">
        <is>
          <t>1.3/155</t>
        </is>
      </c>
      <c r="B185" s="276" t="inlineStr">
        <is>
          <t>Затвор дисковый поворотный(ГРЭНВЭЛ) ЗП ТЛ Ду 100 Ру 16</t>
        </is>
      </c>
      <c r="C185" s="276" t="inlineStr">
        <is>
          <t>шт</t>
        </is>
      </c>
      <c r="D185" s="276" t="n">
        <v>16</v>
      </c>
      <c r="E185" s="276" t="inlineStr">
        <is>
          <t>ООО «Торговый Дом АДЛ» (Гранвэл)</t>
        </is>
      </c>
      <c r="F185" s="276" t="inlineStr">
        <is>
          <t>Россия</t>
        </is>
      </c>
      <c r="G185" s="276" t="inlineStr">
        <is>
          <t>10357202</t>
        </is>
      </c>
      <c r="H185" s="277" t="n"/>
      <c r="I185" s="276">
        <f>D185*H185</f>
        <v/>
      </c>
    </row>
    <row r="186">
      <c r="A186" s="276" t="inlineStr">
        <is>
          <t>1.3/156</t>
        </is>
      </c>
      <c r="B186" s="276" t="inlineStr">
        <is>
          <t>Затвор дисковый поворотный(ГРЭНВЭЛ) ЗП ТЛ Ду 150 Ру 16</t>
        </is>
      </c>
      <c r="C186" s="276" t="inlineStr">
        <is>
          <t>шт</t>
        </is>
      </c>
      <c r="D186" s="276" t="n">
        <v>20</v>
      </c>
      <c r="E186" s="276" t="inlineStr">
        <is>
          <t>ООО «Торговый Дом АДЛ» (Гранвэл)</t>
        </is>
      </c>
      <c r="F186" s="276" t="inlineStr">
        <is>
          <t>Россия</t>
        </is>
      </c>
      <c r="G186" s="276" t="inlineStr">
        <is>
          <t>10837159</t>
        </is>
      </c>
      <c r="H186" s="277" t="n"/>
      <c r="I186" s="276">
        <f>D186*H186</f>
        <v/>
      </c>
    </row>
    <row r="187">
      <c r="A187" s="276" t="inlineStr">
        <is>
          <t>1.3/157</t>
        </is>
      </c>
      <c r="B187" s="276" t="inlineStr">
        <is>
          <t>Затвор дисковый поворотный(ГРЭНВЭЛ) ЗП ТЛ Ду 200 Ру 16</t>
        </is>
      </c>
      <c r="C187" s="276" t="inlineStr">
        <is>
          <t>шт</t>
        </is>
      </c>
      <c r="D187" s="276" t="n">
        <v>16</v>
      </c>
      <c r="E187" s="276" t="inlineStr">
        <is>
          <t>ООО «Торговый Дом АДЛ» (Гранвэл)</t>
        </is>
      </c>
      <c r="F187" s="276" t="inlineStr">
        <is>
          <t>Россия</t>
        </is>
      </c>
      <c r="G187" s="276" t="inlineStr">
        <is>
          <t>10837159</t>
        </is>
      </c>
      <c r="H187" s="277" t="n"/>
      <c r="I187" s="276">
        <f>D187*H187</f>
        <v/>
      </c>
    </row>
    <row r="188">
      <c r="A188" s="276" t="inlineStr">
        <is>
          <t>1.3/158</t>
        </is>
      </c>
      <c r="B188" s="276" t="inlineStr">
        <is>
          <t>Затвор дисковый поворотный(ГРЭНВЭЛ) ЗП ТЛ Ду 80 Ру 16</t>
        </is>
      </c>
      <c r="C188" s="276" t="inlineStr">
        <is>
          <t>шт</t>
        </is>
      </c>
      <c r="D188" s="276" t="n">
        <v>9</v>
      </c>
      <c r="E188" s="276" t="inlineStr">
        <is>
          <t>ООО «Торговый Дом АДЛ» (Гранвэл)</t>
        </is>
      </c>
      <c r="F188" s="276" t="inlineStr">
        <is>
          <t>Россия</t>
        </is>
      </c>
      <c r="G188" s="276" t="inlineStr">
        <is>
          <t>10357205</t>
        </is>
      </c>
      <c r="H188" s="277" t="n"/>
      <c r="I188" s="276">
        <f>D188*H188</f>
        <v/>
      </c>
    </row>
    <row r="189">
      <c r="A189" s="276" t="inlineStr">
        <is>
          <t>1.3/159</t>
        </is>
      </c>
      <c r="B189" s="276" t="inlineStr">
        <is>
          <t>Затвор дисковый поворотный(ГРЭНВЭЛ) Тип /серия FL(w)-3-MR-E Ду 150 Ру 16</t>
        </is>
      </c>
      <c r="C189" s="276" t="inlineStr">
        <is>
          <t>шт</t>
        </is>
      </c>
      <c r="D189" s="276" t="n">
        <v>25</v>
      </c>
      <c r="E189" s="276" t="inlineStr">
        <is>
          <t>ООО «Торговый Дом АДЛ» (Гранвэл)</t>
        </is>
      </c>
      <c r="F189" s="276" t="inlineStr">
        <is>
          <t>Россия</t>
        </is>
      </c>
      <c r="G189" s="276" t="inlineStr">
        <is>
          <t>10837159</t>
        </is>
      </c>
      <c r="H189" s="277" t="n"/>
      <c r="I189" s="276">
        <f>D189*H189</f>
        <v/>
      </c>
    </row>
    <row r="190">
      <c r="A190" s="276" t="inlineStr">
        <is>
          <t>1.3/160</t>
        </is>
      </c>
      <c r="B190" s="276" t="inlineStr">
        <is>
          <t>Затвор дисковый поворотный(ГРЭНВЭЛ) Тип /серия FL(w)-3-MR-E Ду 200 Ру 16</t>
        </is>
      </c>
      <c r="C190" s="276" t="inlineStr">
        <is>
          <t>шт</t>
        </is>
      </c>
      <c r="D190" s="276" t="n">
        <v>6</v>
      </c>
      <c r="E190" s="276" t="inlineStr">
        <is>
          <t>ООО «Торговый Дом АДЛ» (Гранвэл)</t>
        </is>
      </c>
      <c r="F190" s="276" t="inlineStr">
        <is>
          <t>Россия</t>
        </is>
      </c>
      <c r="G190" s="276" t="inlineStr">
        <is>
          <t>10837159</t>
        </is>
      </c>
      <c r="H190" s="277" t="n"/>
      <c r="I190" s="276">
        <f>D190*H190</f>
        <v/>
      </c>
    </row>
    <row r="191">
      <c r="A191" s="276" t="inlineStr">
        <is>
          <t>1.3/161</t>
        </is>
      </c>
      <c r="B191" s="276" t="inlineStr">
        <is>
          <t>Затвор дисковый поворотный(ГРЭНВЭЛ) Тип /серия FL(w)-3-MR-E Ду 80</t>
        </is>
      </c>
      <c r="C191" s="276" t="inlineStr">
        <is>
          <t>шт</t>
        </is>
      </c>
      <c r="D191" s="276" t="n">
        <v>2</v>
      </c>
      <c r="E191" s="276" t="inlineStr">
        <is>
          <t>ООО «Торговый Дом АДЛ» (Гранвэл)</t>
        </is>
      </c>
      <c r="F191" s="276" t="inlineStr">
        <is>
          <t>Россия</t>
        </is>
      </c>
      <c r="G191" s="276" t="inlineStr">
        <is>
          <t>10357205</t>
        </is>
      </c>
      <c r="H191" s="277" t="n"/>
      <c r="I191" s="276">
        <f>D191*H191</f>
        <v/>
      </c>
    </row>
    <row r="192">
      <c r="A192" s="276" t="inlineStr">
        <is>
          <t>1.3/162</t>
        </is>
      </c>
      <c r="B192" s="276" t="inlineStr">
        <is>
          <t>Затвор поворотный дисковый Ду 65 Ру 16  ГРАНВЭЛ тип ЗПВС</t>
        </is>
      </c>
      <c r="C192" s="276" t="inlineStr">
        <is>
          <t>шт</t>
        </is>
      </c>
      <c r="D192" s="276" t="n">
        <v>2</v>
      </c>
      <c r="E192" s="276" t="inlineStr">
        <is>
          <t>ООО «Торговый Дом АДЛ» (Гранвэл)</t>
        </is>
      </c>
      <c r="F192" s="276" t="inlineStr">
        <is>
          <t>Россия</t>
        </is>
      </c>
      <c r="G192" s="276" t="inlineStr">
        <is>
          <t>10357198</t>
        </is>
      </c>
      <c r="H192" s="277" t="n"/>
      <c r="I192" s="276">
        <f>D192*H192</f>
        <v/>
      </c>
    </row>
    <row r="193">
      <c r="A193" s="276" t="inlineStr">
        <is>
          <t>1.3/163</t>
        </is>
      </c>
      <c r="B193" s="276" t="inlineStr">
        <is>
          <t>Электропривод прямоходный Regada SТ0 490.0-00TQV/00</t>
        </is>
      </c>
      <c r="C193" s="276" t="inlineStr">
        <is>
          <t>шт</t>
        </is>
      </c>
      <c r="D193" s="276" t="n">
        <v>1</v>
      </c>
      <c r="E193" s="276" t="inlineStr">
        <is>
          <t>ООО «Арма-Пром»</t>
        </is>
      </c>
      <c r="F193" s="277" t="inlineStr"/>
      <c r="G193" s="277" t="inlineStr"/>
      <c r="H193" s="277" t="n"/>
      <c r="I193" s="276">
        <f>D193*H193</f>
        <v/>
      </c>
    </row>
    <row r="194">
      <c r="A194" s="276" t="inlineStr">
        <is>
          <t>1.4/1</t>
        </is>
      </c>
      <c r="B194" s="276" t="inlineStr">
        <is>
          <t>Рыбозащитное устройство с потокообразователем</t>
        </is>
      </c>
      <c r="C194" s="276" t="inlineStr">
        <is>
          <t>шт</t>
        </is>
      </c>
      <c r="D194" s="276" t="n">
        <v>1</v>
      </c>
      <c r="E194" s="276" t="inlineStr">
        <is>
          <t>ООО «ПКФ «ТЕРМ»</t>
        </is>
      </c>
      <c r="F194" s="277" t="inlineStr"/>
      <c r="G194" s="277" t="inlineStr"/>
      <c r="H194" s="277" t="n"/>
      <c r="I194" s="276">
        <f>D194*H194</f>
        <v/>
      </c>
    </row>
    <row r="195">
      <c r="A195" s="276" t="inlineStr">
        <is>
          <t>1.5/1</t>
        </is>
      </c>
      <c r="B195" s="276" t="inlineStr">
        <is>
          <t>Клапан запорный 15кч18п Ду 25 Ру 16</t>
        </is>
      </c>
      <c r="C195" s="276" t="inlineStr">
        <is>
          <t>шт</t>
        </is>
      </c>
      <c r="D195" s="276" t="n">
        <v>11</v>
      </c>
      <c r="E195" s="277" t="inlineStr"/>
      <c r="F195" s="277" t="inlineStr"/>
      <c r="G195" s="277" t="inlineStr"/>
      <c r="H195" s="277" t="n"/>
      <c r="I195" s="276">
        <f>D195*H195</f>
        <v/>
      </c>
    </row>
    <row r="196">
      <c r="A196" s="276" t="inlineStr">
        <is>
          <t>1.5/2</t>
        </is>
      </c>
      <c r="B196" s="276" t="inlineStr">
        <is>
          <t>Задвижка 30с64нж Ду 50 Ру 25</t>
        </is>
      </c>
      <c r="C196" s="276" t="inlineStr">
        <is>
          <t>шт</t>
        </is>
      </c>
      <c r="D196" s="276" t="n">
        <v>2</v>
      </c>
      <c r="E196" s="276" t="inlineStr">
        <is>
          <t>ООО «Пермский трубопроводный завод» (ИНН 5904173655)</t>
        </is>
      </c>
      <c r="F196" s="276" t="inlineStr">
        <is>
          <t>Россия</t>
        </is>
      </c>
      <c r="G196" s="276" t="inlineStr">
        <is>
          <t>10698940</t>
        </is>
      </c>
      <c r="H196" s="277" t="n"/>
      <c r="I196" s="276">
        <f>D196*H196</f>
        <v/>
      </c>
    </row>
    <row r="197">
      <c r="A197" s="276" t="inlineStr">
        <is>
          <t>1.5/3</t>
        </is>
      </c>
      <c r="B197" s="276" t="inlineStr">
        <is>
          <t>Задвижка 30с64нж Ду 80 Ру 25</t>
        </is>
      </c>
      <c r="C197" s="276" t="inlineStr">
        <is>
          <t>шт</t>
        </is>
      </c>
      <c r="D197" s="276" t="n">
        <v>2</v>
      </c>
      <c r="E197" s="276" t="inlineStr">
        <is>
          <t>ООО «Пермский трубопроводный завод» (ИНН 5904173655)</t>
        </is>
      </c>
      <c r="F197" s="276" t="inlineStr">
        <is>
          <t>Россия</t>
        </is>
      </c>
      <c r="G197" s="276" t="inlineStr">
        <is>
          <t>10698940</t>
        </is>
      </c>
      <c r="H197" s="277" t="n"/>
      <c r="I197" s="276">
        <f>D197*H197</f>
        <v/>
      </c>
    </row>
    <row r="198">
      <c r="A198" s="276" t="inlineStr">
        <is>
          <t>1.5/4</t>
        </is>
      </c>
      <c r="B198" s="276" t="inlineStr">
        <is>
          <t>Кран шаровой 11б27п1 Ду 15 Ру 16</t>
        </is>
      </c>
      <c r="C198" s="276" t="inlineStr">
        <is>
          <t>шт</t>
        </is>
      </c>
      <c r="D198" s="276" t="n">
        <v>28</v>
      </c>
      <c r="E198" s="276" t="inlineStr">
        <is>
          <t>ООО «ЛД Прайд» (ИНН 7449114775)</t>
        </is>
      </c>
      <c r="F198" s="276" t="inlineStr">
        <is>
          <t>Россия</t>
        </is>
      </c>
      <c r="G198" s="276" t="inlineStr">
        <is>
          <t>10826766</t>
        </is>
      </c>
      <c r="H198" s="277" t="n"/>
      <c r="I198" s="276">
        <f>D198*H198</f>
        <v/>
      </c>
    </row>
    <row r="199">
      <c r="A199" s="276" t="inlineStr">
        <is>
          <t>1.5/5</t>
        </is>
      </c>
      <c r="B199" s="276" t="inlineStr">
        <is>
          <t>Кран шаровой 11б27п1 Ду 20 Ру 16</t>
        </is>
      </c>
      <c r="C199" s="276" t="inlineStr">
        <is>
          <t>шт</t>
        </is>
      </c>
      <c r="D199" s="276" t="n">
        <v>16</v>
      </c>
      <c r="E199" s="276" t="inlineStr">
        <is>
          <t>ООО «ЛД Прайд» (ИНН 7449114775)</t>
        </is>
      </c>
      <c r="F199" s="276" t="inlineStr">
        <is>
          <t>Россия</t>
        </is>
      </c>
      <c r="G199" s="276" t="inlineStr">
        <is>
          <t>10826766</t>
        </is>
      </c>
      <c r="H199" s="277" t="n"/>
      <c r="I199" s="276">
        <f>D199*H199</f>
        <v/>
      </c>
    </row>
    <row r="200">
      <c r="A200" s="276" t="inlineStr">
        <is>
          <t>1.5/6</t>
        </is>
      </c>
      <c r="B200" s="276" t="inlineStr">
        <is>
          <t>Кран шаровой 11б27п1 Ду 25 Ру 16</t>
        </is>
      </c>
      <c r="C200" s="276" t="inlineStr">
        <is>
          <t>шт</t>
        </is>
      </c>
      <c r="D200" s="276" t="n">
        <v>16</v>
      </c>
      <c r="E200" s="276" t="inlineStr">
        <is>
          <t>ООО «ЛД Прайд» (ИНН 7449114775)</t>
        </is>
      </c>
      <c r="F200" s="276" t="inlineStr">
        <is>
          <t>Россия</t>
        </is>
      </c>
      <c r="G200" s="276" t="inlineStr">
        <is>
          <t>10826766</t>
        </is>
      </c>
      <c r="H200" s="277" t="n"/>
      <c r="I200" s="276">
        <f>D200*H200</f>
        <v/>
      </c>
    </row>
    <row r="201">
      <c r="A201" s="276" t="inlineStr">
        <is>
          <t>1.5/7</t>
        </is>
      </c>
      <c r="B201" s="276" t="inlineStr">
        <is>
          <t>Кран шаровой 11б27п1 Ду 32 Ру 16</t>
        </is>
      </c>
      <c r="C201" s="276" t="inlineStr">
        <is>
          <t>шт</t>
        </is>
      </c>
      <c r="D201" s="276" t="n">
        <v>6</v>
      </c>
      <c r="E201" s="276" t="inlineStr">
        <is>
          <t>ООО «ЛД Прайд» (ИНН 7449114775)</t>
        </is>
      </c>
      <c r="F201" s="276" t="inlineStr">
        <is>
          <t>Россия</t>
        </is>
      </c>
      <c r="G201" s="276" t="inlineStr">
        <is>
          <t>10826766</t>
        </is>
      </c>
      <c r="H201" s="277" t="n"/>
      <c r="I201" s="276">
        <f>D201*H201</f>
        <v/>
      </c>
    </row>
    <row r="202">
      <c r="A202" s="276" t="inlineStr">
        <is>
          <t>1.5/8</t>
        </is>
      </c>
      <c r="B202" s="276" t="inlineStr">
        <is>
          <t>Кран шаровой 11б27п1 Ду 50 Ру 16</t>
        </is>
      </c>
      <c r="C202" s="276" t="inlineStr">
        <is>
          <t>шт</t>
        </is>
      </c>
      <c r="D202" s="276" t="n">
        <v>6</v>
      </c>
      <c r="E202" s="276" t="inlineStr">
        <is>
          <t>ООО «ЛД Прайд» (ИНН 7449114775)</t>
        </is>
      </c>
      <c r="F202" s="276" t="inlineStr">
        <is>
          <t>Россия</t>
        </is>
      </c>
      <c r="G202" s="276" t="inlineStr">
        <is>
          <t>10826766</t>
        </is>
      </c>
      <c r="H202" s="277" t="n"/>
      <c r="I202" s="276">
        <f>D202*H202</f>
        <v/>
      </c>
    </row>
    <row r="203">
      <c r="A203" s="276" t="inlineStr">
        <is>
          <t>1.5/9</t>
        </is>
      </c>
      <c r="B203" s="276" t="inlineStr">
        <is>
          <t>Кран шаровой 11с22п Ду 50 Ру 16</t>
        </is>
      </c>
      <c r="C203" s="276" t="inlineStr">
        <is>
          <t>шт</t>
        </is>
      </c>
      <c r="D203" s="276" t="n">
        <v>4</v>
      </c>
      <c r="E203" s="276" t="inlineStr">
        <is>
          <t>ООО «ЧелябинскСпецГражданСтрой» (ИНН 7451211335)</t>
        </is>
      </c>
      <c r="F203" s="276" t="inlineStr">
        <is>
          <t>Россия</t>
        </is>
      </c>
      <c r="G203" s="276" t="inlineStr">
        <is>
          <t>10655491</t>
        </is>
      </c>
      <c r="H203" s="277" t="n"/>
      <c r="I203" s="276">
        <f>D203*H203</f>
        <v/>
      </c>
    </row>
    <row r="204">
      <c r="A204" s="276" t="inlineStr">
        <is>
          <t>1.5/10</t>
        </is>
      </c>
      <c r="B204" s="276" t="inlineStr">
        <is>
          <t>Кран шаровой 11с22п Ду 80 Ру 16</t>
        </is>
      </c>
      <c r="C204" s="276" t="inlineStr">
        <is>
          <t>шт</t>
        </is>
      </c>
      <c r="D204" s="276" t="n">
        <v>4</v>
      </c>
      <c r="E204" s="276" t="inlineStr">
        <is>
          <t>ООО «ЧелябинскСпецГражданСтрой» (ИНН 7451211335)</t>
        </is>
      </c>
      <c r="F204" s="276" t="inlineStr">
        <is>
          <t>Россия</t>
        </is>
      </c>
      <c r="G204" s="276" t="inlineStr">
        <is>
          <t>10655491</t>
        </is>
      </c>
      <c r="H204" s="277" t="n"/>
      <c r="I204" s="276">
        <f>D204*H204</f>
        <v/>
      </c>
    </row>
    <row r="205">
      <c r="A205" s="276" t="inlineStr">
        <is>
          <t>1.5/11</t>
        </is>
      </c>
      <c r="B205" s="276" t="inlineStr">
        <is>
          <t>Кран шаровой 11с22п Ду 100 Ру 16</t>
        </is>
      </c>
      <c r="C205" s="276" t="inlineStr">
        <is>
          <t>шт</t>
        </is>
      </c>
      <c r="D205" s="276" t="n">
        <v>2</v>
      </c>
      <c r="E205" s="276" t="inlineStr">
        <is>
          <t>ООО «ЧелябинскСпецГражданСтрой» (ИНН 7451211335)</t>
        </is>
      </c>
      <c r="F205" s="276" t="inlineStr">
        <is>
          <t>Россия</t>
        </is>
      </c>
      <c r="G205" s="276" t="inlineStr">
        <is>
          <t>10655491</t>
        </is>
      </c>
      <c r="H205" s="277" t="n"/>
      <c r="I205" s="276">
        <f>D205*H205</f>
        <v/>
      </c>
    </row>
    <row r="206">
      <c r="A206" s="276" t="inlineStr">
        <is>
          <t>1.5/12</t>
        </is>
      </c>
      <c r="B206" s="276" t="inlineStr">
        <is>
          <t>Кран шаровой 11с67п Ду 15 Ру 25 цельносварной под приварку</t>
        </is>
      </c>
      <c r="C206" s="276" t="inlineStr">
        <is>
          <t>шт</t>
        </is>
      </c>
      <c r="D206" s="276" t="n">
        <v>25</v>
      </c>
      <c r="E206" s="276" t="inlineStr">
        <is>
          <t>ООО «ЧелябинскСпецГражданСтрой» (ИНН 7451211335)</t>
        </is>
      </c>
      <c r="F206" s="276" t="inlineStr">
        <is>
          <t>Россия</t>
        </is>
      </c>
      <c r="G206" s="276" t="inlineStr">
        <is>
          <t>10655491</t>
        </is>
      </c>
      <c r="H206" s="277" t="n"/>
      <c r="I206" s="276">
        <f>D206*H206</f>
        <v/>
      </c>
    </row>
    <row r="207">
      <c r="A207" s="276" t="inlineStr">
        <is>
          <t>1.5/13</t>
        </is>
      </c>
      <c r="B207" s="276" t="inlineStr">
        <is>
          <t>Кран шаровой 11с67п Ду 25 Ру 25 цельносварной под приварку</t>
        </is>
      </c>
      <c r="C207" s="276" t="inlineStr">
        <is>
          <t>шт</t>
        </is>
      </c>
      <c r="D207" s="276" t="n">
        <v>32</v>
      </c>
      <c r="E207" s="276" t="inlineStr">
        <is>
          <t>ООО «ЧелябинскСпецГражданСтрой» (ИНН 7451211335)</t>
        </is>
      </c>
      <c r="F207" s="276" t="inlineStr">
        <is>
          <t>Россия</t>
        </is>
      </c>
      <c r="G207" s="276" t="inlineStr">
        <is>
          <t>10655491</t>
        </is>
      </c>
      <c r="H207" s="277" t="n"/>
      <c r="I207" s="276">
        <f>D207*H207</f>
        <v/>
      </c>
    </row>
    <row r="208">
      <c r="A208" s="276" t="inlineStr">
        <is>
          <t>1.5/14</t>
        </is>
      </c>
      <c r="B208" s="276" t="inlineStr">
        <is>
          <t>Кран шаровой 11с67п Ду 32 Ру 25 цельносварной под приварку</t>
        </is>
      </c>
      <c r="C208" s="276" t="inlineStr">
        <is>
          <t>шт</t>
        </is>
      </c>
      <c r="D208" s="276" t="n">
        <v>15</v>
      </c>
      <c r="E208" s="277" t="inlineStr"/>
      <c r="F208" s="277" t="inlineStr"/>
      <c r="G208" s="277" t="inlineStr"/>
      <c r="H208" s="277" t="n"/>
      <c r="I208" s="276">
        <f>D208*H208</f>
        <v/>
      </c>
    </row>
    <row r="209">
      <c r="A209" s="276" t="inlineStr">
        <is>
          <t>1.5/15</t>
        </is>
      </c>
      <c r="B209" s="276" t="inlineStr">
        <is>
          <t>Кран шаровой 11с67п Ду 40 Ру 25 цельносварной под приварку</t>
        </is>
      </c>
      <c r="C209" s="276" t="inlineStr">
        <is>
          <t>шт</t>
        </is>
      </c>
      <c r="D209" s="276" t="n">
        <v>26</v>
      </c>
      <c r="E209" s="276" t="inlineStr">
        <is>
          <t>ООО «ЧелябинскСпецГражданСтрой» (ИНН 7451211335)</t>
        </is>
      </c>
      <c r="F209" s="276" t="inlineStr">
        <is>
          <t>Россия</t>
        </is>
      </c>
      <c r="G209" s="276" t="inlineStr">
        <is>
          <t>10655491</t>
        </is>
      </c>
      <c r="H209" s="277" t="n"/>
      <c r="I209" s="276">
        <f>D209*H209</f>
        <v/>
      </c>
    </row>
    <row r="210">
      <c r="A210" s="276" t="inlineStr">
        <is>
          <t>1.5/16</t>
        </is>
      </c>
      <c r="B210" s="276" t="inlineStr">
        <is>
          <t>Кран шаровой 11с67п Ду 50 Ру 25 цельносварной под приварку</t>
        </is>
      </c>
      <c r="C210" s="276" t="inlineStr">
        <is>
          <t>шт</t>
        </is>
      </c>
      <c r="D210" s="276" t="n">
        <v>9</v>
      </c>
      <c r="E210" s="277" t="inlineStr"/>
      <c r="F210" s="277" t="inlineStr"/>
      <c r="G210" s="277" t="inlineStr"/>
      <c r="H210" s="277" t="n"/>
      <c r="I210" s="276">
        <f>D210*H210</f>
        <v/>
      </c>
    </row>
    <row r="211">
      <c r="A211" s="276" t="inlineStr">
        <is>
          <t>1.5/17</t>
        </is>
      </c>
      <c r="B211" s="276" t="inlineStr">
        <is>
          <t>Кран шаровой 11с67п Ду 100 Ру 25 цельносварной под приварку</t>
        </is>
      </c>
      <c r="C211" s="276" t="inlineStr">
        <is>
          <t>шт</t>
        </is>
      </c>
      <c r="D211" s="276" t="n">
        <v>4</v>
      </c>
      <c r="E211" s="277" t="inlineStr"/>
      <c r="F211" s="277" t="inlineStr"/>
      <c r="G211" s="277" t="inlineStr"/>
      <c r="H211" s="277" t="n"/>
      <c r="I211" s="276">
        <f>D211*H211</f>
        <v/>
      </c>
    </row>
    <row r="212">
      <c r="A212" s="276" t="inlineStr">
        <is>
          <t>1.5/18</t>
        </is>
      </c>
      <c r="B212" s="276" t="inlineStr">
        <is>
          <t>Кран шаровой 11с67п Ду 150 Ру 25 цельносварной под приварку</t>
        </is>
      </c>
      <c r="C212" s="276" t="inlineStr">
        <is>
          <t>шт</t>
        </is>
      </c>
      <c r="D212" s="276" t="n">
        <v>2</v>
      </c>
      <c r="E212" s="276" t="inlineStr">
        <is>
          <t>ООО «ЧелябинскСпецГражданСтрой» (ИНН 7451211335)</t>
        </is>
      </c>
      <c r="F212" s="276" t="inlineStr">
        <is>
          <t>Россия</t>
        </is>
      </c>
      <c r="G212" s="276" t="inlineStr">
        <is>
          <t>10655491</t>
        </is>
      </c>
      <c r="H212" s="277" t="n"/>
      <c r="I212" s="276">
        <f>D212*H212</f>
        <v/>
      </c>
    </row>
    <row r="213">
      <c r="A213" s="276" t="inlineStr">
        <is>
          <t>1.6/1</t>
        </is>
      </c>
      <c r="B213" s="276" t="inlineStr">
        <is>
          <t>Клапан регулирующий 25с947нж Ду 25 Ру 25 с ЭИМ</t>
        </is>
      </c>
      <c r="C213" s="276" t="inlineStr">
        <is>
          <t>шт</t>
        </is>
      </c>
      <c r="D213" s="276" t="n">
        <v>1</v>
      </c>
      <c r="E213" s="277" t="inlineStr"/>
      <c r="F213" s="277" t="inlineStr"/>
      <c r="G213" s="277" t="inlineStr"/>
      <c r="H213" s="277" t="n"/>
      <c r="I213" s="276">
        <f>D213*H213</f>
        <v/>
      </c>
    </row>
    <row r="214">
      <c r="A214" s="276" t="inlineStr">
        <is>
          <t>1.6/2</t>
        </is>
      </c>
      <c r="B214" s="276" t="inlineStr">
        <is>
          <t>Клапан регулирующий 25с947нж Ду 50 Ру 25 с ЭИМ</t>
        </is>
      </c>
      <c r="C214" s="276" t="inlineStr">
        <is>
          <t>шт</t>
        </is>
      </c>
      <c r="D214" s="276" t="n">
        <v>1</v>
      </c>
      <c r="E214" s="277" t="inlineStr"/>
      <c r="F214" s="277" t="inlineStr"/>
      <c r="G214" s="277" t="inlineStr"/>
      <c r="H214" s="277" t="n"/>
      <c r="I214" s="276">
        <f>D214*H214</f>
        <v/>
      </c>
    </row>
    <row r="215">
      <c r="A215" s="276" t="inlineStr">
        <is>
          <t>1.6/3</t>
        </is>
      </c>
      <c r="B215" s="276" t="inlineStr">
        <is>
          <t>Регулирующий клапан Ридан VFG-2R Ду 80, Kvs 80, Ру 16</t>
        </is>
      </c>
      <c r="C215" s="276" t="inlineStr">
        <is>
          <t>шт</t>
        </is>
      </c>
      <c r="D215" s="276" t="n">
        <v>1</v>
      </c>
      <c r="E215" s="277" t="inlineStr"/>
      <c r="F215" s="277" t="inlineStr"/>
      <c r="G215" s="277" t="inlineStr"/>
      <c r="H215" s="277" t="n"/>
      <c r="I215" s="276">
        <f>D215*H215</f>
        <v/>
      </c>
    </row>
    <row r="216">
      <c r="A216" s="276" t="inlineStr">
        <is>
          <t>1.6/4</t>
        </is>
      </c>
      <c r="B216" s="276" t="inlineStr">
        <is>
          <t>Клапан обратный межфланцевый 19ч21бр Ду 100 Ру 16</t>
        </is>
      </c>
      <c r="C216" s="276" t="inlineStr">
        <is>
          <t>шт</t>
        </is>
      </c>
      <c r="D216" s="276" t="n">
        <v>1</v>
      </c>
      <c r="E216" s="276" t="inlineStr">
        <is>
          <t>АО «Энергия»</t>
        </is>
      </c>
      <c r="F216" s="276" t="inlineStr">
        <is>
          <t>Россия</t>
        </is>
      </c>
      <c r="G216" s="276" t="inlineStr">
        <is>
          <t>10743786</t>
        </is>
      </c>
      <c r="H216" s="277" t="n"/>
      <c r="I216" s="276">
        <f>D216*H216</f>
        <v/>
      </c>
    </row>
    <row r="217">
      <c r="A217" s="276" t="inlineStr">
        <is>
          <t>1.6/5</t>
        </is>
      </c>
      <c r="B217" s="276" t="inlineStr">
        <is>
          <t>Клапан обратный межфланцевый 19ч21бр Ду 50 Ру 16</t>
        </is>
      </c>
      <c r="C217" s="276" t="inlineStr">
        <is>
          <t>шт</t>
        </is>
      </c>
      <c r="D217" s="276" t="n">
        <v>1</v>
      </c>
      <c r="E217" s="276" t="inlineStr">
        <is>
          <t>АО «Энергия»</t>
        </is>
      </c>
      <c r="F217" s="276" t="inlineStr">
        <is>
          <t>Россия</t>
        </is>
      </c>
      <c r="G217" s="276" t="inlineStr">
        <is>
          <t>10743786</t>
        </is>
      </c>
      <c r="H217" s="277" t="n"/>
      <c r="I217" s="276">
        <f>D217*H217</f>
        <v/>
      </c>
    </row>
    <row r="218">
      <c r="A218" s="276" t="inlineStr">
        <is>
          <t>1.6/6</t>
        </is>
      </c>
      <c r="B218" s="276" t="inlineStr">
        <is>
          <t>Клапан обратный межфланцевый 19ч21бр Ду 80 Ру 16</t>
        </is>
      </c>
      <c r="C218" s="276" t="inlineStr">
        <is>
          <t>шт</t>
        </is>
      </c>
      <c r="D218" s="276" t="n">
        <v>2</v>
      </c>
      <c r="E218" s="276" t="inlineStr">
        <is>
          <t>АО «Энергия»</t>
        </is>
      </c>
      <c r="F218" s="276" t="inlineStr">
        <is>
          <t>Россия</t>
        </is>
      </c>
      <c r="G218" s="276" t="inlineStr">
        <is>
          <t>10743786</t>
        </is>
      </c>
      <c r="H218" s="277" t="n"/>
      <c r="I218" s="276">
        <f>D218*H218</f>
        <v/>
      </c>
    </row>
    <row r="219">
      <c r="A219" s="276" t="inlineStr">
        <is>
          <t>1.6/7</t>
        </is>
      </c>
      <c r="B219" s="276" t="inlineStr">
        <is>
          <t>Клапан обратный двухстворчатый DENDOR 010C Ду 100 Ру 16 межфланцевый</t>
        </is>
      </c>
      <c r="C219" s="276" t="inlineStr">
        <is>
          <t>шт</t>
        </is>
      </c>
      <c r="D219" s="276" t="n">
        <v>1</v>
      </c>
      <c r="E219" s="276" t="inlineStr">
        <is>
          <t>АО «Энергия» (ИНН 7805499441)</t>
        </is>
      </c>
      <c r="F219" s="276" t="inlineStr">
        <is>
          <t>Россия</t>
        </is>
      </c>
      <c r="G219" s="276" t="inlineStr">
        <is>
          <t>10743786</t>
        </is>
      </c>
      <c r="H219" s="277" t="n"/>
      <c r="I219" s="276">
        <f>D219*H219</f>
        <v/>
      </c>
    </row>
    <row r="220">
      <c r="A220" s="276" t="inlineStr">
        <is>
          <t>1.6/8</t>
        </is>
      </c>
      <c r="B220" s="276" t="inlineStr">
        <is>
          <t>Клапан обратный двухстворчатый DENDOR 010C Ду 150 Ру 16 межфланцевый</t>
        </is>
      </c>
      <c r="C220" s="276" t="inlineStr">
        <is>
          <t>шт</t>
        </is>
      </c>
      <c r="D220" s="276" t="n">
        <v>1</v>
      </c>
      <c r="E220" s="276" t="inlineStr">
        <is>
          <t>АО «Энергия» (ИНН 7805499441)</t>
        </is>
      </c>
      <c r="F220" s="276" t="inlineStr">
        <is>
          <t>Россия</t>
        </is>
      </c>
      <c r="G220" s="276" t="inlineStr">
        <is>
          <t>10743786</t>
        </is>
      </c>
      <c r="H220" s="277" t="n"/>
      <c r="I220" s="276">
        <f>D220*H220</f>
        <v/>
      </c>
    </row>
    <row r="221">
      <c r="A221" s="276" t="inlineStr">
        <is>
          <t>1.6/9</t>
        </is>
      </c>
      <c r="B221" s="276" t="inlineStr">
        <is>
          <t>Клапан обратный двухстворчатый DENDOR 010C Ду 200 Ру 16 межфланцевый</t>
        </is>
      </c>
      <c r="C221" s="276" t="inlineStr">
        <is>
          <t>шт</t>
        </is>
      </c>
      <c r="D221" s="276" t="n">
        <v>1</v>
      </c>
      <c r="E221" s="276" t="inlineStr">
        <is>
          <t>АО «Энергия» (ИНН 7805499441)</t>
        </is>
      </c>
      <c r="F221" s="276" t="inlineStr">
        <is>
          <t>Россия</t>
        </is>
      </c>
      <c r="G221" s="276" t="inlineStr">
        <is>
          <t>10743786</t>
        </is>
      </c>
      <c r="H221" s="277" t="n"/>
      <c r="I221" s="276">
        <f>D221*H221</f>
        <v/>
      </c>
    </row>
    <row r="222">
      <c r="A222" s="276" t="inlineStr">
        <is>
          <t>1.6/10</t>
        </is>
      </c>
      <c r="B222" s="276" t="inlineStr">
        <is>
          <t>Клапан предохранительный сбросный ПСК 50C/125 Ду 50</t>
        </is>
      </c>
      <c r="C222" s="276" t="inlineStr">
        <is>
          <t>шт</t>
        </is>
      </c>
      <c r="D222" s="276" t="n">
        <v>1</v>
      </c>
      <c r="E222" s="276" t="inlineStr">
        <is>
          <t>ООО ПКФ «Экс-Форма» (ИНН 6455004320)</t>
        </is>
      </c>
      <c r="F222" s="276" t="inlineStr">
        <is>
          <t>Россия</t>
        </is>
      </c>
      <c r="G222" s="276" t="inlineStr">
        <is>
          <t>10538896</t>
        </is>
      </c>
      <c r="H222" s="277" t="n"/>
      <c r="I222" s="276">
        <f>D222*H222</f>
        <v/>
      </c>
    </row>
    <row r="223">
      <c r="A223" s="276" t="inlineStr">
        <is>
          <t>1.6/11</t>
        </is>
      </c>
      <c r="B223" s="276" t="inlineStr">
        <is>
          <t>Клапан предохранительный 17с11нж Ду 25 Ру 16</t>
        </is>
      </c>
      <c r="C223" s="276" t="inlineStr">
        <is>
          <t>шт</t>
        </is>
      </c>
      <c r="D223" s="276" t="n">
        <v>2</v>
      </c>
      <c r="E223" s="276" t="inlineStr">
        <is>
          <t>ООО «Торговый Дом АДЛ»</t>
        </is>
      </c>
      <c r="F223" s="277" t="inlineStr"/>
      <c r="G223" s="277" t="inlineStr"/>
      <c r="H223" s="277" t="n"/>
      <c r="I223" s="276">
        <f>D223*H223</f>
        <v/>
      </c>
    </row>
    <row r="224">
      <c r="A224" s="276" t="inlineStr">
        <is>
          <t>1.6/12</t>
        </is>
      </c>
      <c r="B224" s="276" t="inlineStr">
        <is>
          <t>Клапан предохранительный 17с28нж Ду 50 Ру16 (Рн 10-16)</t>
        </is>
      </c>
      <c r="C224" s="276" t="inlineStr">
        <is>
          <t>шт</t>
        </is>
      </c>
      <c r="D224" s="276" t="n">
        <v>3</v>
      </c>
      <c r="E224" s="276" t="inlineStr">
        <is>
          <t>АО «Благовещенский арматурный завод» (ИНН 0258001489)</t>
        </is>
      </c>
      <c r="F224" s="276" t="inlineStr">
        <is>
          <t>Россия</t>
        </is>
      </c>
      <c r="G224" s="276" t="inlineStr">
        <is>
          <t>10329690</t>
        </is>
      </c>
      <c r="H224" s="277" t="n"/>
      <c r="I224" s="276">
        <f>D224*H224</f>
        <v/>
      </c>
    </row>
    <row r="225">
      <c r="A225" s="276" t="inlineStr">
        <is>
          <t>1.6/13</t>
        </is>
      </c>
      <c r="B225" s="276" t="inlineStr">
        <is>
          <t>Клапан предохранительный 17с6нж Ду 50 Ру 16</t>
        </is>
      </c>
      <c r="C225" s="276" t="inlineStr">
        <is>
          <t>шт</t>
        </is>
      </c>
      <c r="D225" s="276" t="n">
        <v>2</v>
      </c>
      <c r="E225" s="276" t="inlineStr">
        <is>
          <t>АО «Пензенский завод трубопроводной арматуры»</t>
        </is>
      </c>
      <c r="F225" s="276" t="inlineStr">
        <is>
          <t>Россия</t>
        </is>
      </c>
      <c r="G225" s="276" t="inlineStr">
        <is>
          <t>10706186</t>
        </is>
      </c>
      <c r="H225" s="277" t="n"/>
      <c r="I225" s="276">
        <f>D225*H225</f>
        <v/>
      </c>
    </row>
    <row r="226">
      <c r="A226" s="276" t="inlineStr">
        <is>
          <t>1.6/14</t>
        </is>
      </c>
      <c r="B226" s="276" t="inlineStr">
        <is>
          <t>Клапан предохранительный 17с6нж Ду 80 Ру 16</t>
        </is>
      </c>
      <c r="C226" s="276" t="inlineStr">
        <is>
          <t>шт</t>
        </is>
      </c>
      <c r="D226" s="276" t="n">
        <v>1</v>
      </c>
      <c r="E226" s="276" t="inlineStr">
        <is>
          <t>АО «Благовещенский арматурный завод» (ИНН 0258001489)</t>
        </is>
      </c>
      <c r="F226" s="276" t="inlineStr">
        <is>
          <t>Россия</t>
        </is>
      </c>
      <c r="G226" s="276" t="inlineStr">
        <is>
          <t>10329690</t>
        </is>
      </c>
      <c r="H226" s="277" t="n"/>
      <c r="I226" s="276">
        <f>D226*H226</f>
        <v/>
      </c>
    </row>
    <row r="227">
      <c r="A227" s="276" t="inlineStr">
        <is>
          <t>1.6/15</t>
        </is>
      </c>
      <c r="B227" s="276" t="inlineStr">
        <is>
          <t>Клапан 15с18нж Ду 32, Ру 25</t>
        </is>
      </c>
      <c r="C227" s="276" t="inlineStr">
        <is>
          <t>шт</t>
        </is>
      </c>
      <c r="D227" s="276" t="n">
        <v>1</v>
      </c>
      <c r="E227" s="276" t="inlineStr">
        <is>
          <t>ООО «Пермский трубопроводный завод» (ИНН 5904173655)</t>
        </is>
      </c>
      <c r="F227" s="276" t="inlineStr">
        <is>
          <t>Россия</t>
        </is>
      </c>
      <c r="G227" s="276" t="inlineStr">
        <is>
          <t>10698937</t>
        </is>
      </c>
      <c r="H227" s="277" t="n"/>
      <c r="I227" s="276">
        <f>D227*H227</f>
        <v/>
      </c>
    </row>
    <row r="228">
      <c r="A228" s="276" t="inlineStr">
        <is>
          <t>1.6/16</t>
        </is>
      </c>
      <c r="B228" s="276" t="inlineStr">
        <is>
          <t>Кран для манометра трехходовой Ду 15 Ру 16</t>
        </is>
      </c>
      <c r="C228" s="276" t="inlineStr">
        <is>
          <t>шт</t>
        </is>
      </c>
      <c r="D228" s="276" t="n">
        <v>2</v>
      </c>
      <c r="E228" s="277" t="inlineStr"/>
      <c r="F228" s="277" t="inlineStr"/>
      <c r="G228" s="277" t="inlineStr"/>
      <c r="H228" s="277" t="n"/>
      <c r="I228" s="276">
        <f>D228*H228</f>
        <v/>
      </c>
    </row>
    <row r="229">
      <c r="A229" s="276" t="inlineStr">
        <is>
          <t>1.6/17</t>
        </is>
      </c>
      <c r="B229" s="276" t="inlineStr">
        <is>
          <t>Клапан запорный муфтовый 15б1п Ду 15 Ру 16</t>
        </is>
      </c>
      <c r="C229" s="276" t="inlineStr">
        <is>
          <t>шт</t>
        </is>
      </c>
      <c r="D229" s="276" t="n">
        <v>8</v>
      </c>
      <c r="E229" s="276" t="inlineStr">
        <is>
          <t>ООО «Бологовский арматурный завод» (ИНН 6908017634)</t>
        </is>
      </c>
      <c r="F229" s="276" t="inlineStr">
        <is>
          <t>Россия</t>
        </is>
      </c>
      <c r="G229" s="276" t="inlineStr">
        <is>
          <t>10895023</t>
        </is>
      </c>
      <c r="H229" s="277" t="n"/>
      <c r="I229" s="276">
        <f>D229*H229</f>
        <v/>
      </c>
    </row>
    <row r="230">
      <c r="A230" s="276" t="inlineStr">
        <is>
          <t>1.6/18</t>
        </is>
      </c>
      <c r="B230" s="276" t="inlineStr">
        <is>
          <t>Клапан запорный муфтовый 15б1п Ду 20 Ру 16</t>
        </is>
      </c>
      <c r="C230" s="276" t="inlineStr">
        <is>
          <t>шт</t>
        </is>
      </c>
      <c r="D230" s="276" t="n">
        <v>14</v>
      </c>
      <c r="E230" s="276" t="inlineStr">
        <is>
          <t>ООО «Бологовский арматурный завод» (ИНН 6908017634)</t>
        </is>
      </c>
      <c r="F230" s="276" t="inlineStr">
        <is>
          <t>Россия</t>
        </is>
      </c>
      <c r="G230" s="276" t="inlineStr">
        <is>
          <t>10895023</t>
        </is>
      </c>
      <c r="H230" s="277" t="n"/>
      <c r="I230" s="276">
        <f>D230*H230</f>
        <v/>
      </c>
    </row>
    <row r="231">
      <c r="A231" s="276" t="inlineStr">
        <is>
          <t>1.6/19</t>
        </is>
      </c>
      <c r="B231" s="276" t="inlineStr">
        <is>
          <t>Клапан запорный муфтовый 15б1п Ду 25 Ру 16</t>
        </is>
      </c>
      <c r="C231" s="276" t="inlineStr">
        <is>
          <t>шт</t>
        </is>
      </c>
      <c r="D231" s="276" t="n">
        <v>12</v>
      </c>
      <c r="E231" s="276" t="inlineStr">
        <is>
          <t>ООО «Бологовский арматурный завод» (ИНН 6908017634)</t>
        </is>
      </c>
      <c r="F231" s="276" t="inlineStr">
        <is>
          <t>Россия</t>
        </is>
      </c>
      <c r="G231" s="276" t="inlineStr">
        <is>
          <t>10895023</t>
        </is>
      </c>
      <c r="H231" s="277" t="n"/>
      <c r="I231" s="276">
        <f>D231*H231</f>
        <v/>
      </c>
    </row>
    <row r="232">
      <c r="A232" s="276" t="inlineStr">
        <is>
          <t>1.6/20</t>
        </is>
      </c>
      <c r="B232" s="276" t="inlineStr">
        <is>
          <t>Клапан запорный 15кч12пМ Ду 25 Ру 25</t>
        </is>
      </c>
      <c r="C232" s="276" t="inlineStr">
        <is>
          <t>шт</t>
        </is>
      </c>
      <c r="D232" s="276" t="n">
        <v>1</v>
      </c>
      <c r="E232" s="276" t="inlineStr">
        <is>
          <t>АО «Благовещенский арматурный завод»</t>
        </is>
      </c>
      <c r="F232" s="277" t="inlineStr"/>
      <c r="G232" s="277" t="inlineStr"/>
      <c r="H232" s="277" t="n"/>
      <c r="I232" s="276">
        <f>D232*H232</f>
        <v/>
      </c>
    </row>
    <row r="233">
      <c r="A233" s="276" t="inlineStr">
        <is>
          <t>1.6/21</t>
        </is>
      </c>
      <c r="B233" s="276" t="inlineStr">
        <is>
          <t>Клапан запорный 15кч16п1 Ду 32 Ру 25</t>
        </is>
      </c>
      <c r="C233" s="276" t="inlineStr">
        <is>
          <t>шт</t>
        </is>
      </c>
      <c r="D233" s="276" t="n">
        <v>7</v>
      </c>
      <c r="E233" s="277" t="inlineStr"/>
      <c r="F233" s="277" t="inlineStr"/>
      <c r="G233" s="277" t="inlineStr"/>
      <c r="H233" s="277" t="n"/>
      <c r="I233" s="276">
        <f>D233*H233</f>
        <v/>
      </c>
    </row>
    <row r="234">
      <c r="A234" s="276" t="inlineStr">
        <is>
          <t>1.6/22</t>
        </is>
      </c>
      <c r="B234" s="276" t="inlineStr">
        <is>
          <t>Клапан запорный 15кч16п1 Ду 40 Ру 25</t>
        </is>
      </c>
      <c r="C234" s="276" t="inlineStr">
        <is>
          <t>шт</t>
        </is>
      </c>
      <c r="D234" s="276" t="n">
        <v>4</v>
      </c>
      <c r="E234" s="277" t="inlineStr"/>
      <c r="F234" s="277" t="inlineStr"/>
      <c r="G234" s="277" t="inlineStr"/>
      <c r="H234" s="277" t="n"/>
      <c r="I234" s="276">
        <f>D234*H234</f>
        <v/>
      </c>
    </row>
    <row r="235">
      <c r="A235" s="276" t="inlineStr">
        <is>
          <t>1.6/23</t>
        </is>
      </c>
      <c r="B235" s="276" t="inlineStr">
        <is>
          <t>Клапан запорный 15кч16п1 Ду 50 Ру 25</t>
        </is>
      </c>
      <c r="C235" s="276" t="inlineStr">
        <is>
          <t>шт</t>
        </is>
      </c>
      <c r="D235" s="276" t="n">
        <v>5</v>
      </c>
      <c r="E235" s="277" t="inlineStr"/>
      <c r="F235" s="277" t="inlineStr"/>
      <c r="G235" s="277" t="inlineStr"/>
      <c r="H235" s="277" t="n"/>
      <c r="I235" s="276">
        <f>D235*H235</f>
        <v/>
      </c>
    </row>
    <row r="236">
      <c r="A236" s="276" t="inlineStr">
        <is>
          <t>1.6/24</t>
        </is>
      </c>
      <c r="B236" s="276" t="inlineStr">
        <is>
          <t>Клапан запорный 15кч19п Ду 25 Ру 16</t>
        </is>
      </c>
      <c r="C236" s="276" t="inlineStr">
        <is>
          <t>шт</t>
        </is>
      </c>
      <c r="D236" s="276" t="n">
        <v>2</v>
      </c>
      <c r="E236" s="277" t="inlineStr"/>
      <c r="F236" s="277" t="inlineStr"/>
      <c r="G236" s="277" t="inlineStr"/>
      <c r="H236" s="277" t="n"/>
      <c r="I236" s="276">
        <f>D236*H236</f>
        <v/>
      </c>
    </row>
    <row r="237">
      <c r="A237" s="276" t="inlineStr">
        <is>
          <t>1.6/25</t>
        </is>
      </c>
      <c r="B237" s="276" t="inlineStr">
        <is>
          <t>Клапан запорный 15кч19п Ду 50 Ру 16</t>
        </is>
      </c>
      <c r="C237" s="276" t="inlineStr">
        <is>
          <t>шт</t>
        </is>
      </c>
      <c r="D237" s="276" t="n">
        <v>5</v>
      </c>
      <c r="E237" s="277" t="inlineStr"/>
      <c r="F237" s="277" t="inlineStr"/>
      <c r="G237" s="277" t="inlineStr"/>
      <c r="H237" s="277" t="n"/>
      <c r="I237" s="276">
        <f>D237*H237</f>
        <v/>
      </c>
    </row>
    <row r="238">
      <c r="A238" s="276" t="inlineStr">
        <is>
          <t>1.6/26</t>
        </is>
      </c>
      <c r="B238" s="276" t="inlineStr">
        <is>
          <t>Клапан запорный 15нж65нж Ду 80 Ру 16</t>
        </is>
      </c>
      <c r="C238" s="276" t="inlineStr">
        <is>
          <t>шт</t>
        </is>
      </c>
      <c r="D238" s="276" t="n">
        <v>1</v>
      </c>
      <c r="E238" s="276" t="inlineStr">
        <is>
          <t>ООО «Пермский трубопроводный завод» (ИНН 5904173655)</t>
        </is>
      </c>
      <c r="F238" s="276" t="inlineStr">
        <is>
          <t>Россия</t>
        </is>
      </c>
      <c r="G238" s="276" t="inlineStr">
        <is>
          <t>10698937</t>
        </is>
      </c>
      <c r="H238" s="277" t="n"/>
      <c r="I238" s="276">
        <f>D238*H238</f>
        <v/>
      </c>
    </row>
    <row r="239">
      <c r="A239" s="276" t="inlineStr">
        <is>
          <t>1.6/27</t>
        </is>
      </c>
      <c r="B239" s="276" t="inlineStr">
        <is>
          <t>Клапан запорный 15нж65нж Ду 100 Ру 16</t>
        </is>
      </c>
      <c r="C239" s="276" t="inlineStr">
        <is>
          <t>шт</t>
        </is>
      </c>
      <c r="D239" s="276" t="n">
        <v>1</v>
      </c>
      <c r="E239" s="276" t="inlineStr">
        <is>
          <t>ООО «Пермский трубопроводный завод» (ИНН 5904173655)</t>
        </is>
      </c>
      <c r="F239" s="276" t="inlineStr">
        <is>
          <t>Россия</t>
        </is>
      </c>
      <c r="G239" s="276" t="inlineStr">
        <is>
          <t>10698937</t>
        </is>
      </c>
      <c r="H239" s="277" t="n"/>
      <c r="I239" s="276">
        <f>D239*H239</f>
        <v/>
      </c>
    </row>
    <row r="240">
      <c r="A240" s="276" t="inlineStr">
        <is>
          <t>1.6/28</t>
        </is>
      </c>
      <c r="B240" s="276" t="inlineStr">
        <is>
          <t>Клапан запорный 15нж65нж Ду 32 Ру 16</t>
        </is>
      </c>
      <c r="C240" s="276" t="inlineStr">
        <is>
          <t>шт</t>
        </is>
      </c>
      <c r="D240" s="276" t="n">
        <v>1</v>
      </c>
      <c r="E240" s="276" t="inlineStr">
        <is>
          <t>ООО «Пермский трубопроводный завод» (ИНН 5904173655)</t>
        </is>
      </c>
      <c r="F240" s="276" t="inlineStr">
        <is>
          <t>Россия</t>
        </is>
      </c>
      <c r="G240" s="276" t="inlineStr">
        <is>
          <t>10698937</t>
        </is>
      </c>
      <c r="H240" s="277" t="n"/>
      <c r="I240" s="276">
        <f>D240*H240</f>
        <v/>
      </c>
    </row>
    <row r="241">
      <c r="A241" s="276" t="inlineStr">
        <is>
          <t>1.6/29</t>
        </is>
      </c>
      <c r="B241" s="276" t="inlineStr">
        <is>
          <t>Клапан стальной запорный фланцевый 15с18нж Ду 32 Ру 16</t>
        </is>
      </c>
      <c r="C241" s="276" t="inlineStr">
        <is>
          <t>шт</t>
        </is>
      </c>
      <c r="D241" s="276" t="n">
        <v>2</v>
      </c>
      <c r="E241" s="276" t="inlineStr">
        <is>
          <t>ООО «Пермский трубопроводный завод» (ИНН 5904173655)</t>
        </is>
      </c>
      <c r="F241" s="276" t="inlineStr">
        <is>
          <t>Россия</t>
        </is>
      </c>
      <c r="G241" s="276" t="inlineStr">
        <is>
          <t>10698937</t>
        </is>
      </c>
      <c r="H241" s="277" t="n"/>
      <c r="I241" s="276">
        <f>D241*H241</f>
        <v/>
      </c>
    </row>
    <row r="242">
      <c r="A242" s="276" t="inlineStr">
        <is>
          <t>1.6/30</t>
        </is>
      </c>
      <c r="B242" s="276" t="inlineStr">
        <is>
          <t>Клапан запорный 15с18п Ду 80 Ру 25</t>
        </is>
      </c>
      <c r="C242" s="276" t="inlineStr">
        <is>
          <t>шт</t>
        </is>
      </c>
      <c r="D242" s="276" t="n">
        <v>1</v>
      </c>
      <c r="E242" s="276" t="inlineStr">
        <is>
          <t>ООО «Пермский трубопроводный завод» (ИНН 5904173655)</t>
        </is>
      </c>
      <c r="F242" s="276" t="inlineStr">
        <is>
          <t>Россия</t>
        </is>
      </c>
      <c r="G242" s="276" t="inlineStr">
        <is>
          <t>10698937</t>
        </is>
      </c>
      <c r="H242" s="277" t="n"/>
      <c r="I242" s="276">
        <f>D242*H242</f>
        <v/>
      </c>
    </row>
    <row r="243">
      <c r="A243" s="276" t="inlineStr">
        <is>
          <t>1.6/31</t>
        </is>
      </c>
      <c r="B243" s="276" t="inlineStr">
        <is>
          <t>Клапан запорный 15с18п Ду 100 Ру 25</t>
        </is>
      </c>
      <c r="C243" s="276" t="inlineStr">
        <is>
          <t>шт</t>
        </is>
      </c>
      <c r="D243" s="276" t="n">
        <v>1</v>
      </c>
      <c r="E243" s="276" t="inlineStr">
        <is>
          <t>ООО «Пермский трубопроводный завод» (ИНН 5904173655)</t>
        </is>
      </c>
      <c r="F243" s="276" t="inlineStr">
        <is>
          <t>Россия</t>
        </is>
      </c>
      <c r="G243" s="276" t="inlineStr">
        <is>
          <t>10698937</t>
        </is>
      </c>
      <c r="H243" s="277" t="n"/>
      <c r="I243" s="276">
        <f>D243*H243</f>
        <v/>
      </c>
    </row>
    <row r="244">
      <c r="A244" s="276" t="inlineStr">
        <is>
          <t>1.6/32</t>
        </is>
      </c>
      <c r="B244" s="276" t="inlineStr">
        <is>
          <t>Клапан запорный 15с22нж Ду 25 Ру 40</t>
        </is>
      </c>
      <c r="C244" s="276" t="inlineStr">
        <is>
          <t>шт</t>
        </is>
      </c>
      <c r="D244" s="276" t="n">
        <v>1</v>
      </c>
      <c r="E244" s="276" t="inlineStr">
        <is>
          <t>ООО «Восточная арматурная компания»</t>
        </is>
      </c>
      <c r="F244" s="276" t="inlineStr">
        <is>
          <t>Россия</t>
        </is>
      </c>
      <c r="G244" s="276" t="inlineStr">
        <is>
          <t>10811565</t>
        </is>
      </c>
      <c r="H244" s="277" t="n"/>
      <c r="I244" s="276">
        <f>D244*H244</f>
        <v/>
      </c>
    </row>
    <row r="245">
      <c r="A245" s="276" t="inlineStr">
        <is>
          <t>1.6/33</t>
        </is>
      </c>
      <c r="B245" s="276" t="inlineStr">
        <is>
          <t>Клапан запорный 15с22нж Ду 32 Ру 40</t>
        </is>
      </c>
      <c r="C245" s="276" t="inlineStr">
        <is>
          <t>шт</t>
        </is>
      </c>
      <c r="D245" s="276" t="n">
        <v>5</v>
      </c>
      <c r="E245" s="276" t="inlineStr">
        <is>
          <t>ООО «Восточная арматурная компания»</t>
        </is>
      </c>
      <c r="F245" s="276" t="inlineStr">
        <is>
          <t>Россия</t>
        </is>
      </c>
      <c r="G245" s="276" t="inlineStr">
        <is>
          <t>10811565</t>
        </is>
      </c>
      <c r="H245" s="277" t="n"/>
      <c r="I245" s="276">
        <f>D245*H245</f>
        <v/>
      </c>
    </row>
    <row r="246">
      <c r="A246" s="276" t="inlineStr">
        <is>
          <t>1.6/34</t>
        </is>
      </c>
      <c r="B246" s="276" t="inlineStr">
        <is>
          <t>Клапан запорный 15с22нж Ду 40 Ру 40</t>
        </is>
      </c>
      <c r="C246" s="276" t="inlineStr">
        <is>
          <t>шт</t>
        </is>
      </c>
      <c r="D246" s="276" t="n">
        <v>2</v>
      </c>
      <c r="E246" s="276" t="inlineStr">
        <is>
          <t>ООО «Восточная арматурная компания»</t>
        </is>
      </c>
      <c r="F246" s="276" t="inlineStr">
        <is>
          <t>Россия</t>
        </is>
      </c>
      <c r="G246" s="276" t="inlineStr">
        <is>
          <t>10811565</t>
        </is>
      </c>
      <c r="H246" s="277" t="n"/>
      <c r="I246" s="276">
        <f>D246*H246</f>
        <v/>
      </c>
    </row>
    <row r="247">
      <c r="A247" s="276" t="inlineStr">
        <is>
          <t>1.6/35</t>
        </is>
      </c>
      <c r="B247" s="276" t="inlineStr">
        <is>
          <t>Клапан запорный 15с22нж Ду 50 Ру 40</t>
        </is>
      </c>
      <c r="C247" s="276" t="inlineStr">
        <is>
          <t>шт</t>
        </is>
      </c>
      <c r="D247" s="276" t="n">
        <v>4</v>
      </c>
      <c r="E247" s="276" t="inlineStr">
        <is>
          <t>ООО «Восточная арматурная компания»</t>
        </is>
      </c>
      <c r="F247" s="276" t="inlineStr">
        <is>
          <t>Россия</t>
        </is>
      </c>
      <c r="G247" s="276" t="inlineStr">
        <is>
          <t>10811565</t>
        </is>
      </c>
      <c r="H247" s="277" t="n"/>
      <c r="I247" s="276">
        <f>D247*H247</f>
        <v/>
      </c>
    </row>
    <row r="248">
      <c r="A248" s="276" t="inlineStr">
        <is>
          <t>1.6/36</t>
        </is>
      </c>
      <c r="B248" s="276" t="inlineStr">
        <is>
          <t>Клапан запорный 15с22нж Ду 80 Ру 40</t>
        </is>
      </c>
      <c r="C248" s="276" t="inlineStr">
        <is>
          <t>шт</t>
        </is>
      </c>
      <c r="D248" s="276" t="n">
        <v>2</v>
      </c>
      <c r="E248" s="276" t="inlineStr">
        <is>
          <t>ООО «Восточная арматурная компания»</t>
        </is>
      </c>
      <c r="F248" s="276" t="inlineStr">
        <is>
          <t>Россия</t>
        </is>
      </c>
      <c r="G248" s="276" t="inlineStr">
        <is>
          <t>10811565</t>
        </is>
      </c>
      <c r="H248" s="277" t="n"/>
      <c r="I248" s="276">
        <f>D248*H248</f>
        <v/>
      </c>
    </row>
    <row r="249">
      <c r="A249" s="276" t="inlineStr">
        <is>
          <t>1.6/37</t>
        </is>
      </c>
      <c r="B249" s="276" t="inlineStr">
        <is>
          <t>Клапан запорный 15с65нж Ду 100 Ру 16 с КОФ</t>
        </is>
      </c>
      <c r="C249" s="276" t="inlineStr">
        <is>
          <t>шт</t>
        </is>
      </c>
      <c r="D249" s="276" t="n">
        <v>1</v>
      </c>
      <c r="E249" s="276" t="inlineStr">
        <is>
          <t>ООО «Восточная арматурная компания»</t>
        </is>
      </c>
      <c r="F249" s="276" t="inlineStr">
        <is>
          <t>Россия</t>
        </is>
      </c>
      <c r="G249" s="276" t="inlineStr">
        <is>
          <t>10811565</t>
        </is>
      </c>
      <c r="H249" s="277" t="n"/>
      <c r="I249" s="276">
        <f>D249*H249</f>
        <v/>
      </c>
    </row>
    <row r="250">
      <c r="A250" s="276" t="inlineStr">
        <is>
          <t>1.6/38</t>
        </is>
      </c>
      <c r="B250" s="276" t="inlineStr">
        <is>
          <t>Клапан запорный 15с65нж Ду 25 Ру 16 с КОФ</t>
        </is>
      </c>
      <c r="C250" s="276" t="inlineStr">
        <is>
          <t>шт</t>
        </is>
      </c>
      <c r="D250" s="276" t="n">
        <v>1</v>
      </c>
      <c r="E250" s="276" t="inlineStr">
        <is>
          <t>ООО «Восточная арматурная компания»</t>
        </is>
      </c>
      <c r="F250" s="276" t="inlineStr">
        <is>
          <t>Россия</t>
        </is>
      </c>
      <c r="G250" s="276" t="inlineStr">
        <is>
          <t>10811565</t>
        </is>
      </c>
      <c r="H250" s="277" t="n"/>
      <c r="I250" s="276">
        <f>D250*H250</f>
        <v/>
      </c>
    </row>
    <row r="251">
      <c r="A251" s="276" t="inlineStr">
        <is>
          <t>1.6/39</t>
        </is>
      </c>
      <c r="B251" s="276" t="inlineStr">
        <is>
          <t>Клапан запорный 15с65нж Ду 40 Ру 16 с КОФ</t>
        </is>
      </c>
      <c r="C251" s="276" t="inlineStr">
        <is>
          <t>шт</t>
        </is>
      </c>
      <c r="D251" s="276" t="n">
        <v>1</v>
      </c>
      <c r="E251" s="276" t="inlineStr">
        <is>
          <t>ООО «Восточная арматурная компания»</t>
        </is>
      </c>
      <c r="F251" s="276" t="inlineStr">
        <is>
          <t>Россия</t>
        </is>
      </c>
      <c r="G251" s="276" t="inlineStr">
        <is>
          <t>10811565</t>
        </is>
      </c>
      <c r="H251" s="277" t="n"/>
      <c r="I251" s="276">
        <f>D251*H251</f>
        <v/>
      </c>
    </row>
    <row r="252">
      <c r="A252" s="276" t="inlineStr">
        <is>
          <t>1.6/40</t>
        </is>
      </c>
      <c r="B252" s="276" t="inlineStr">
        <is>
          <t>Клапан запорный 15с65нж Ду 50 Ру 16 с КОФ</t>
        </is>
      </c>
      <c r="C252" s="276" t="inlineStr">
        <is>
          <t>шт</t>
        </is>
      </c>
      <c r="D252" s="276" t="n">
        <v>2</v>
      </c>
      <c r="E252" s="276" t="inlineStr">
        <is>
          <t>ООО «Восточная арматурная компания»</t>
        </is>
      </c>
      <c r="F252" s="276" t="inlineStr">
        <is>
          <t>Россия</t>
        </is>
      </c>
      <c r="G252" s="276" t="inlineStr">
        <is>
          <t>10811565</t>
        </is>
      </c>
      <c r="H252" s="277" t="n"/>
      <c r="I252" s="276">
        <f>D252*H252</f>
        <v/>
      </c>
    </row>
    <row r="253">
      <c r="A253" s="276" t="inlineStr">
        <is>
          <t>1.6/41</t>
        </is>
      </c>
      <c r="B253" s="276" t="inlineStr">
        <is>
          <t>Задвижка 30нж41нж Ду 80 Ру 16 1исп. САЗ</t>
        </is>
      </c>
      <c r="C253" s="276" t="inlineStr">
        <is>
          <t>шт</t>
        </is>
      </c>
      <c r="D253" s="276" t="n">
        <v>1</v>
      </c>
      <c r="E253" s="276" t="inlineStr">
        <is>
          <t>ООО «Пермский трубопроводный завод» (ИНН 5904173655)</t>
        </is>
      </c>
      <c r="F253" s="276" t="inlineStr">
        <is>
          <t>Россия</t>
        </is>
      </c>
      <c r="G253" s="276" t="inlineStr">
        <is>
          <t>10698940</t>
        </is>
      </c>
      <c r="H253" s="277" t="n"/>
      <c r="I253" s="276">
        <f>D253*H253</f>
        <v/>
      </c>
    </row>
    <row r="254">
      <c r="A254" s="276" t="inlineStr">
        <is>
          <t>1.6/42</t>
        </is>
      </c>
      <c r="B254" s="276" t="inlineStr">
        <is>
          <t>Задвижка 30с41нж Ду 50 Ру 16</t>
        </is>
      </c>
      <c r="C254" s="276" t="inlineStr">
        <is>
          <t>шт</t>
        </is>
      </c>
      <c r="D254" s="276" t="n">
        <v>14</v>
      </c>
      <c r="E254" s="276" t="inlineStr">
        <is>
          <t>ООО «Пермский трубопроводный завод» (ИНН 5904173655)</t>
        </is>
      </c>
      <c r="F254" s="276" t="inlineStr">
        <is>
          <t>Россия</t>
        </is>
      </c>
      <c r="G254" s="276" t="inlineStr">
        <is>
          <t>10698940</t>
        </is>
      </c>
      <c r="H254" s="277" t="n"/>
      <c r="I254" s="276">
        <f>D254*H254</f>
        <v/>
      </c>
    </row>
    <row r="255">
      <c r="A255" s="276" t="inlineStr">
        <is>
          <t>1.6/43</t>
        </is>
      </c>
      <c r="B255" s="276" t="inlineStr">
        <is>
          <t>Задвижка 30с41нж Ду 80 Ру 16</t>
        </is>
      </c>
      <c r="C255" s="276" t="inlineStr">
        <is>
          <t>шт</t>
        </is>
      </c>
      <c r="D255" s="276" t="n">
        <v>11</v>
      </c>
      <c r="E255" s="276" t="inlineStr">
        <is>
          <t>ООО «Пермский трубопроводный завод» (ИНН 5904173655)</t>
        </is>
      </c>
      <c r="F255" s="276" t="inlineStr">
        <is>
          <t>Россия</t>
        </is>
      </c>
      <c r="G255" s="276" t="inlineStr">
        <is>
          <t>10698940</t>
        </is>
      </c>
      <c r="H255" s="277" t="n"/>
      <c r="I255" s="276">
        <f>D255*H255</f>
        <v/>
      </c>
    </row>
    <row r="256">
      <c r="A256" s="276" t="inlineStr">
        <is>
          <t>1.6/44</t>
        </is>
      </c>
      <c r="B256" s="276" t="inlineStr">
        <is>
          <t>Задвижка 30с41нж Ду 100 Ру 16</t>
        </is>
      </c>
      <c r="C256" s="276" t="inlineStr">
        <is>
          <t>шт</t>
        </is>
      </c>
      <c r="D256" s="276" t="n">
        <v>10</v>
      </c>
      <c r="E256" s="276" t="inlineStr">
        <is>
          <t>ООО «Пермский трубопроводный завод» (ИНН 5904173655)</t>
        </is>
      </c>
      <c r="F256" s="276" t="inlineStr">
        <is>
          <t>Россия</t>
        </is>
      </c>
      <c r="G256" s="276" t="inlineStr">
        <is>
          <t>10698940</t>
        </is>
      </c>
      <c r="H256" s="277" t="n"/>
      <c r="I256" s="276">
        <f>D256*H256</f>
        <v/>
      </c>
    </row>
    <row r="257">
      <c r="A257" s="276" t="inlineStr">
        <is>
          <t>1.6/45</t>
        </is>
      </c>
      <c r="B257" s="276" t="inlineStr">
        <is>
          <t>Задвижка 30с41нж Ду 150 Ру 16</t>
        </is>
      </c>
      <c r="C257" s="276" t="inlineStr">
        <is>
          <t>шт</t>
        </is>
      </c>
      <c r="D257" s="276" t="n">
        <v>7</v>
      </c>
      <c r="E257" s="276" t="inlineStr">
        <is>
          <t>ООО «Пермский трубопроводный завод» (ИНН 5904173655)</t>
        </is>
      </c>
      <c r="F257" s="276" t="inlineStr">
        <is>
          <t>Россия</t>
        </is>
      </c>
      <c r="G257" s="276" t="inlineStr">
        <is>
          <t>10698940</t>
        </is>
      </c>
      <c r="H257" s="277" t="n"/>
      <c r="I257" s="276">
        <f>D257*H257</f>
        <v/>
      </c>
    </row>
    <row r="258">
      <c r="A258" s="276" t="inlineStr">
        <is>
          <t>1.6/46</t>
        </is>
      </c>
      <c r="B258" s="276" t="inlineStr">
        <is>
          <t>Задвижка 30с41нж Ду 200 Ру 16</t>
        </is>
      </c>
      <c r="C258" s="276" t="inlineStr">
        <is>
          <t>шт</t>
        </is>
      </c>
      <c r="D258" s="276" t="n">
        <v>2</v>
      </c>
      <c r="E258" s="276" t="inlineStr">
        <is>
          <t>ООО «Пермский трубопроводный завод» (ИНН 5904173655)</t>
        </is>
      </c>
      <c r="F258" s="276" t="inlineStr">
        <is>
          <t>Россия</t>
        </is>
      </c>
      <c r="G258" s="276" t="inlineStr">
        <is>
          <t>10698940</t>
        </is>
      </c>
      <c r="H258" s="277" t="n"/>
      <c r="I258" s="276">
        <f>D258*H258</f>
        <v/>
      </c>
    </row>
    <row r="259">
      <c r="A259" s="276" t="inlineStr">
        <is>
          <t>1.6/47</t>
        </is>
      </c>
      <c r="B259" s="276" t="inlineStr">
        <is>
          <t>Задвижка 30ч6бр Ду 50 Ру 10</t>
        </is>
      </c>
      <c r="C259" s="276" t="inlineStr">
        <is>
          <t>шт</t>
        </is>
      </c>
      <c r="D259" s="276" t="n">
        <v>9</v>
      </c>
      <c r="E259" s="276" t="inlineStr">
        <is>
          <t>ООО ПИК «АЛГРУПП»</t>
        </is>
      </c>
      <c r="F259" s="276" t="inlineStr">
        <is>
          <t>Россия</t>
        </is>
      </c>
      <c r="G259" s="276" t="inlineStr">
        <is>
          <t>10716626</t>
        </is>
      </c>
      <c r="H259" s="277" t="n"/>
      <c r="I259" s="276">
        <f>D259*H259</f>
        <v/>
      </c>
    </row>
    <row r="260">
      <c r="A260" s="276" t="inlineStr">
        <is>
          <t>1.6/48</t>
        </is>
      </c>
      <c r="B260" s="276" t="inlineStr">
        <is>
          <t>Задвижка 30ч6бр Ду 80 Ру 10</t>
        </is>
      </c>
      <c r="C260" s="276" t="inlineStr">
        <is>
          <t>шт</t>
        </is>
      </c>
      <c r="D260" s="276" t="n">
        <v>3</v>
      </c>
      <c r="E260" s="276" t="inlineStr">
        <is>
          <t>ООО ПИК «АЛГРУПП»</t>
        </is>
      </c>
      <c r="F260" s="276" t="inlineStr">
        <is>
          <t>Россия</t>
        </is>
      </c>
      <c r="G260" s="276" t="inlineStr">
        <is>
          <t>10716626</t>
        </is>
      </c>
      <c r="H260" s="277" t="n"/>
      <c r="I260" s="276">
        <f>D260*H260</f>
        <v/>
      </c>
    </row>
    <row r="261">
      <c r="A261" s="276" t="inlineStr">
        <is>
          <t>1.6/49</t>
        </is>
      </c>
      <c r="B261" s="276" t="inlineStr">
        <is>
          <t>Задвижка 30ч6бр Ду 100 Ру 10</t>
        </is>
      </c>
      <c r="C261" s="276" t="inlineStr">
        <is>
          <t>шт</t>
        </is>
      </c>
      <c r="D261" s="276" t="n">
        <v>3</v>
      </c>
      <c r="E261" s="276" t="inlineStr">
        <is>
          <t>ООО ПИК «АЛГРУПП»</t>
        </is>
      </c>
      <c r="F261" s="276" t="inlineStr">
        <is>
          <t>Россия</t>
        </is>
      </c>
      <c r="G261" s="276" t="inlineStr">
        <is>
          <t>10716626</t>
        </is>
      </c>
      <c r="H261" s="277" t="n"/>
      <c r="I261" s="276">
        <f>D261*H261</f>
        <v/>
      </c>
    </row>
    <row r="262">
      <c r="A262" s="276" t="inlineStr">
        <is>
          <t>1.6/50</t>
        </is>
      </c>
      <c r="B262" s="276" t="inlineStr">
        <is>
          <t>Кран шаровой 11б27п(м) Ду 015 Ру16 3-х ходовой для манометров</t>
        </is>
      </c>
      <c r="C262" s="276" t="inlineStr">
        <is>
          <t>шт</t>
        </is>
      </c>
      <c r="D262" s="276" t="n">
        <v>132</v>
      </c>
      <c r="E262" s="277" t="inlineStr"/>
      <c r="F262" s="277" t="inlineStr"/>
      <c r="G262" s="277" t="inlineStr"/>
      <c r="H262" s="277" t="n"/>
      <c r="I262" s="276">
        <f>D262*H262</f>
        <v/>
      </c>
    </row>
    <row r="263">
      <c r="A263" s="276" t="inlineStr">
        <is>
          <t>1.6/51</t>
        </is>
      </c>
      <c r="B263" s="276" t="inlineStr">
        <is>
          <t>Кран шаровой 11б27п1 Ду 15 Ру 16</t>
        </is>
      </c>
      <c r="C263" s="276" t="inlineStr">
        <is>
          <t>шт</t>
        </is>
      </c>
      <c r="D263" s="276" t="n">
        <v>47</v>
      </c>
      <c r="E263" s="276" t="inlineStr">
        <is>
          <t>ООО «ЛД Прайд» (ИНН 7449114775)</t>
        </is>
      </c>
      <c r="F263" s="276" t="inlineStr">
        <is>
          <t>Россия</t>
        </is>
      </c>
      <c r="G263" s="276" t="inlineStr">
        <is>
          <t>10826766</t>
        </is>
      </c>
      <c r="H263" s="277" t="n"/>
      <c r="I263" s="276">
        <f>D263*H263</f>
        <v/>
      </c>
    </row>
    <row r="264">
      <c r="A264" s="276" t="inlineStr">
        <is>
          <t>1.6/52</t>
        </is>
      </c>
      <c r="B264" s="276" t="inlineStr">
        <is>
          <t>Кран шаровой 11б27п1 Ду 20 Ру 16</t>
        </is>
      </c>
      <c r="C264" s="276" t="inlineStr">
        <is>
          <t>шт</t>
        </is>
      </c>
      <c r="D264" s="276" t="n">
        <v>63</v>
      </c>
      <c r="E264" s="276" t="inlineStr">
        <is>
          <t>ООО «ЛД Прайд» (ИНН 7449114775)</t>
        </is>
      </c>
      <c r="F264" s="276" t="inlineStr">
        <is>
          <t>Россия</t>
        </is>
      </c>
      <c r="G264" s="276" t="inlineStr">
        <is>
          <t>10826766</t>
        </is>
      </c>
      <c r="H264" s="277" t="n"/>
      <c r="I264" s="276">
        <f>D264*H264</f>
        <v/>
      </c>
    </row>
    <row r="265">
      <c r="A265" s="276" t="inlineStr">
        <is>
          <t>1.6/53</t>
        </is>
      </c>
      <c r="B265" s="276" t="inlineStr">
        <is>
          <t>Кран шаровой 11б27п1 Ду 25 Ру 16</t>
        </is>
      </c>
      <c r="C265" s="276" t="inlineStr">
        <is>
          <t>шт</t>
        </is>
      </c>
      <c r="D265" s="276" t="n">
        <v>40</v>
      </c>
      <c r="E265" s="276" t="inlineStr">
        <is>
          <t>ООО «ЛД Прайд» (ИНН 7449114775)</t>
        </is>
      </c>
      <c r="F265" s="276" t="inlineStr">
        <is>
          <t>Россия</t>
        </is>
      </c>
      <c r="G265" s="276" t="inlineStr">
        <is>
          <t>10826766</t>
        </is>
      </c>
      <c r="H265" s="277" t="n"/>
      <c r="I265" s="276">
        <f>D265*H265</f>
        <v/>
      </c>
    </row>
    <row r="266">
      <c r="A266" s="276" t="inlineStr">
        <is>
          <t>1.6/54</t>
        </is>
      </c>
      <c r="B266" s="276" t="inlineStr">
        <is>
          <t>Кран шаровой 11б27п1 Ду 32 Ру 16</t>
        </is>
      </c>
      <c r="C266" s="276" t="inlineStr">
        <is>
          <t>шт</t>
        </is>
      </c>
      <c r="D266" s="276" t="n">
        <v>77</v>
      </c>
      <c r="E266" s="276" t="inlineStr">
        <is>
          <t>ООО «ЛД Прайд» (ИНН 7449114775)</t>
        </is>
      </c>
      <c r="F266" s="276" t="inlineStr">
        <is>
          <t>Россия</t>
        </is>
      </c>
      <c r="G266" s="276" t="inlineStr">
        <is>
          <t>10826766</t>
        </is>
      </c>
      <c r="H266" s="277" t="n"/>
      <c r="I266" s="276">
        <f>D266*H266</f>
        <v/>
      </c>
    </row>
    <row r="267">
      <c r="A267" s="276" t="inlineStr">
        <is>
          <t>1.6/55</t>
        </is>
      </c>
      <c r="B267" s="276" t="inlineStr">
        <is>
          <t>Кран шаровой 11б27п1 Ду 40 Ру 16</t>
        </is>
      </c>
      <c r="C267" s="276" t="inlineStr">
        <is>
          <t>шт</t>
        </is>
      </c>
      <c r="D267" s="276" t="n">
        <v>2</v>
      </c>
      <c r="E267" s="276" t="inlineStr">
        <is>
          <t>ООО «ЛД Прайд» (ИНН 7449114775)</t>
        </is>
      </c>
      <c r="F267" s="276" t="inlineStr">
        <is>
          <t>Россия</t>
        </is>
      </c>
      <c r="G267" s="276" t="inlineStr">
        <is>
          <t>10826766</t>
        </is>
      </c>
      <c r="H267" s="277" t="n"/>
      <c r="I267" s="276">
        <f>D267*H267</f>
        <v/>
      </c>
    </row>
    <row r="268">
      <c r="A268" s="276" t="inlineStr">
        <is>
          <t>1.6/56</t>
        </is>
      </c>
      <c r="B268" s="276" t="inlineStr">
        <is>
          <t>Кран шаровой 11б27п1 Ду 50 Ру 16</t>
        </is>
      </c>
      <c r="C268" s="276" t="inlineStr">
        <is>
          <t>шт</t>
        </is>
      </c>
      <c r="D268" s="276" t="n">
        <v>6</v>
      </c>
      <c r="E268" s="276" t="inlineStr">
        <is>
          <t>ООО «ЛД Прайд» (ИНН 7449114775)</t>
        </is>
      </c>
      <c r="F268" s="276" t="inlineStr">
        <is>
          <t>Россия</t>
        </is>
      </c>
      <c r="G268" s="276" t="inlineStr">
        <is>
          <t>10826766</t>
        </is>
      </c>
      <c r="H268" s="277" t="n"/>
      <c r="I268" s="276">
        <f>D268*H268</f>
        <v/>
      </c>
    </row>
    <row r="269">
      <c r="A269" s="276" t="inlineStr">
        <is>
          <t>1.6/57</t>
        </is>
      </c>
      <c r="B269" s="276" t="inlineStr">
        <is>
          <t>Кран шаровой 11с22п Ду 32 Ру 16</t>
        </is>
      </c>
      <c r="C269" s="276" t="inlineStr">
        <is>
          <t>шт</t>
        </is>
      </c>
      <c r="D269" s="276" t="n">
        <v>55</v>
      </c>
      <c r="E269" s="276" t="inlineStr">
        <is>
          <t>ООО «ЧелябинскСпецГражданСтрой» (ИНН 7451211335)</t>
        </is>
      </c>
      <c r="F269" s="276" t="inlineStr">
        <is>
          <t>Россия</t>
        </is>
      </c>
      <c r="G269" s="276" t="inlineStr">
        <is>
          <t>10655491</t>
        </is>
      </c>
      <c r="H269" s="277" t="n"/>
      <c r="I269" s="276">
        <f>D269*H269</f>
        <v/>
      </c>
    </row>
    <row r="270">
      <c r="A270" s="276" t="inlineStr">
        <is>
          <t>1.6/58</t>
        </is>
      </c>
      <c r="B270" s="276" t="inlineStr">
        <is>
          <t>Кран шаровой 11с22п Ду 50 Ру 16</t>
        </is>
      </c>
      <c r="C270" s="276" t="inlineStr">
        <is>
          <t>шт</t>
        </is>
      </c>
      <c r="D270" s="276" t="n">
        <v>35</v>
      </c>
      <c r="E270" s="276" t="inlineStr">
        <is>
          <t>ООО «ЧелябинскСпецГражданСтрой» (ИНН 7451211335)</t>
        </is>
      </c>
      <c r="F270" s="276" t="inlineStr">
        <is>
          <t>Россия</t>
        </is>
      </c>
      <c r="G270" s="276" t="inlineStr">
        <is>
          <t>10655491</t>
        </is>
      </c>
      <c r="H270" s="277" t="n"/>
      <c r="I270" s="276">
        <f>D270*H270</f>
        <v/>
      </c>
    </row>
    <row r="271">
      <c r="A271" s="276" t="inlineStr">
        <is>
          <t>1.6/59</t>
        </is>
      </c>
      <c r="B271" s="276" t="inlineStr">
        <is>
          <t>Кран шаровой 11с22п Ду 80 Ру 16</t>
        </is>
      </c>
      <c r="C271" s="276" t="inlineStr">
        <is>
          <t>шт</t>
        </is>
      </c>
      <c r="D271" s="276" t="n">
        <v>24</v>
      </c>
      <c r="E271" s="276" t="inlineStr">
        <is>
          <t>ООО «ЧелябинскСпецГражданСтрой» (ИНН 7451211335)</t>
        </is>
      </c>
      <c r="F271" s="276" t="inlineStr">
        <is>
          <t>Россия</t>
        </is>
      </c>
      <c r="G271" s="276" t="inlineStr">
        <is>
          <t>10655491</t>
        </is>
      </c>
      <c r="H271" s="277" t="n"/>
      <c r="I271" s="276">
        <f>D271*H271</f>
        <v/>
      </c>
    </row>
    <row r="272">
      <c r="A272" s="276" t="inlineStr">
        <is>
          <t>1.6/60</t>
        </is>
      </c>
      <c r="B272" s="276" t="inlineStr">
        <is>
          <t>Кран шаровой 11с22п Ду 100 Ру 16</t>
        </is>
      </c>
      <c r="C272" s="276" t="inlineStr">
        <is>
          <t>шт</t>
        </is>
      </c>
      <c r="D272" s="276" t="n">
        <v>27</v>
      </c>
      <c r="E272" s="276" t="inlineStr">
        <is>
          <t>ООО «ЧелябинскСпецГражданСтрой» (ИНН 7451211335)</t>
        </is>
      </c>
      <c r="F272" s="276" t="inlineStr">
        <is>
          <t>Россия</t>
        </is>
      </c>
      <c r="G272" s="276" t="inlineStr">
        <is>
          <t>10655491</t>
        </is>
      </c>
      <c r="H272" s="277" t="n"/>
      <c r="I272" s="276">
        <f>D272*H272</f>
        <v/>
      </c>
    </row>
    <row r="273">
      <c r="A273" s="276" t="inlineStr">
        <is>
          <t>1.6/61</t>
        </is>
      </c>
      <c r="B273" s="276" t="inlineStr">
        <is>
          <t>Кран шаровой 11с22п Ду 150 Ру 16</t>
        </is>
      </c>
      <c r="C273" s="276" t="inlineStr">
        <is>
          <t>шт</t>
        </is>
      </c>
      <c r="D273" s="276" t="n">
        <v>13</v>
      </c>
      <c r="E273" s="276" t="inlineStr">
        <is>
          <t>ООО «ЧелябинскСпецГражданСтрой» (ИНН 7451211335)</t>
        </is>
      </c>
      <c r="F273" s="276" t="inlineStr">
        <is>
          <t>Россия</t>
        </is>
      </c>
      <c r="G273" s="276" t="inlineStr">
        <is>
          <t>10655491</t>
        </is>
      </c>
      <c r="H273" s="277" t="n"/>
      <c r="I273" s="276">
        <f>D273*H273</f>
        <v/>
      </c>
    </row>
    <row r="274">
      <c r="A274" s="276" t="inlineStr">
        <is>
          <t>1.6/62</t>
        </is>
      </c>
      <c r="B274" s="276" t="inlineStr">
        <is>
          <t>Кран шаровой 11с22п Ду 200 Ру 16</t>
        </is>
      </c>
      <c r="C274" s="276" t="inlineStr">
        <is>
          <t>шт</t>
        </is>
      </c>
      <c r="D274" s="276" t="n">
        <v>3</v>
      </c>
      <c r="E274" s="276" t="inlineStr">
        <is>
          <t>ООО «ЧелябинскСпецГражданСтрой» (ИНН 7451211335)</t>
        </is>
      </c>
      <c r="F274" s="276" t="inlineStr">
        <is>
          <t>Россия</t>
        </is>
      </c>
      <c r="G274" s="276" t="inlineStr">
        <is>
          <t>10655491</t>
        </is>
      </c>
      <c r="H274" s="277" t="n"/>
      <c r="I274" s="276">
        <f>D274*H274</f>
        <v/>
      </c>
    </row>
    <row r="275">
      <c r="A275" s="276" t="inlineStr">
        <is>
          <t>1.6/63</t>
        </is>
      </c>
      <c r="B275" s="276" t="inlineStr">
        <is>
          <t>Кран запорный шаровой 11С67П Ду 100 Ру 16</t>
        </is>
      </c>
      <c r="C275" s="276" t="inlineStr">
        <is>
          <t>шт</t>
        </is>
      </c>
      <c r="D275" s="276" t="n">
        <v>25</v>
      </c>
      <c r="E275" s="276" t="inlineStr">
        <is>
          <t>ООО «ЧелябинскСпецГражданСтрой» (ИНН 7451211335)</t>
        </is>
      </c>
      <c r="F275" s="276" t="inlineStr">
        <is>
          <t>Россия</t>
        </is>
      </c>
      <c r="G275" s="276" t="inlineStr">
        <is>
          <t>10655491</t>
        </is>
      </c>
      <c r="H275" s="277" t="n"/>
      <c r="I275" s="276">
        <f>D275*H275</f>
        <v/>
      </c>
    </row>
    <row r="276">
      <c r="A276" s="276" t="inlineStr">
        <is>
          <t>1.6/64</t>
        </is>
      </c>
      <c r="B276" s="276" t="inlineStr">
        <is>
          <t>Кран запорный шаровой 11С67П Ду 150 Ру 16</t>
        </is>
      </c>
      <c r="C276" s="276" t="inlineStr">
        <is>
          <t>шт</t>
        </is>
      </c>
      <c r="D276" s="276" t="n">
        <v>9</v>
      </c>
      <c r="E276" s="276" t="inlineStr">
        <is>
          <t>ООО «ЧелябинскСпецГражданСтрой» (ИНН 7451211335)</t>
        </is>
      </c>
      <c r="F276" s="276" t="inlineStr">
        <is>
          <t>Россия</t>
        </is>
      </c>
      <c r="G276" s="276" t="inlineStr">
        <is>
          <t>10655491</t>
        </is>
      </c>
      <c r="H276" s="277" t="n"/>
      <c r="I276" s="276">
        <f>D276*H276</f>
        <v/>
      </c>
    </row>
    <row r="277">
      <c r="A277" s="276" t="inlineStr">
        <is>
          <t>1.6/65</t>
        </is>
      </c>
      <c r="B277" s="276" t="inlineStr">
        <is>
          <t>Кран запорный шаровой 11С67П Ду 200 Ру 16</t>
        </is>
      </c>
      <c r="C277" s="276" t="inlineStr">
        <is>
          <t>шт</t>
        </is>
      </c>
      <c r="D277" s="276" t="n">
        <v>2</v>
      </c>
      <c r="E277" s="276" t="inlineStr">
        <is>
          <t>ООО «ЧелябинскСпецГражданСтрой» (ИНН 7451211335)</t>
        </is>
      </c>
      <c r="F277" s="276" t="inlineStr">
        <is>
          <t>Россия</t>
        </is>
      </c>
      <c r="G277" s="276" t="inlineStr">
        <is>
          <t>10655491</t>
        </is>
      </c>
      <c r="H277" s="277" t="n"/>
      <c r="I277" s="276">
        <f>D277*H277</f>
        <v/>
      </c>
    </row>
    <row r="278">
      <c r="A278" s="276" t="inlineStr">
        <is>
          <t>1.6/66</t>
        </is>
      </c>
      <c r="B278" s="276" t="inlineStr">
        <is>
          <t>Кран запорный шаровой 11С67П Ду 50 Ру 16</t>
        </is>
      </c>
      <c r="C278" s="276" t="inlineStr">
        <is>
          <t>шт</t>
        </is>
      </c>
      <c r="D278" s="276" t="n">
        <v>25</v>
      </c>
      <c r="E278" s="276" t="inlineStr">
        <is>
          <t>ООО «ЧелябинскСпецГражданСтрой» (ИНН 7451211335)</t>
        </is>
      </c>
      <c r="F278" s="276" t="inlineStr">
        <is>
          <t>Россия</t>
        </is>
      </c>
      <c r="G278" s="276" t="inlineStr">
        <is>
          <t>10655491</t>
        </is>
      </c>
      <c r="H278" s="277" t="n"/>
      <c r="I278" s="276">
        <f>D278*H278</f>
        <v/>
      </c>
    </row>
    <row r="279">
      <c r="A279" s="276" t="inlineStr">
        <is>
          <t>1.6/67</t>
        </is>
      </c>
      <c r="B279" s="276" t="inlineStr">
        <is>
          <t>Кран запорный шаровой 11С67П Ду 80 Ру 16</t>
        </is>
      </c>
      <c r="C279" s="276" t="inlineStr">
        <is>
          <t>шт</t>
        </is>
      </c>
      <c r="D279" s="276" t="n">
        <v>22</v>
      </c>
      <c r="E279" s="276" t="inlineStr">
        <is>
          <t>ООО «ЧелябинскСпецГражданСтрой» (ИНН 7451211335)</t>
        </is>
      </c>
      <c r="F279" s="276" t="inlineStr">
        <is>
          <t>Россия</t>
        </is>
      </c>
      <c r="G279" s="276" t="inlineStr">
        <is>
          <t>10655491</t>
        </is>
      </c>
      <c r="H279" s="277" t="n"/>
      <c r="I279" s="276">
        <f>D279*H279</f>
        <v/>
      </c>
    </row>
    <row r="280">
      <c r="A280" s="276" t="inlineStr">
        <is>
          <t>1.6/68</t>
        </is>
      </c>
      <c r="B280" s="276" t="inlineStr">
        <is>
          <t>Кран шаровой 11с67п Ду 25 Ру 25 цельносварной под приварку</t>
        </is>
      </c>
      <c r="C280" s="276" t="inlineStr">
        <is>
          <t>шт</t>
        </is>
      </c>
      <c r="D280" s="276" t="n">
        <v>36</v>
      </c>
      <c r="E280" s="276" t="inlineStr">
        <is>
          <t>ООО «ЧелябинскСпецГражданСтрой» (ИНН 7451211335)</t>
        </is>
      </c>
      <c r="F280" s="276" t="inlineStr">
        <is>
          <t>Россия</t>
        </is>
      </c>
      <c r="G280" s="276" t="inlineStr">
        <is>
          <t>10655491</t>
        </is>
      </c>
      <c r="H280" s="277" t="n"/>
      <c r="I280" s="276">
        <f>D280*H280</f>
        <v/>
      </c>
    </row>
    <row r="281">
      <c r="A281" s="276" t="inlineStr">
        <is>
          <t>1.6/69</t>
        </is>
      </c>
      <c r="B281" s="276" t="inlineStr">
        <is>
          <t>Кран шаровой 11с67п Ду 32 Ру 25 цельносварной под приварку</t>
        </is>
      </c>
      <c r="C281" s="276" t="inlineStr">
        <is>
          <t>шт</t>
        </is>
      </c>
      <c r="D281" s="276" t="n">
        <v>6</v>
      </c>
      <c r="E281" s="276" t="inlineStr">
        <is>
          <t>ООО «ЧелябинскСпецГражданСтрой» (ИНН 7451211335)</t>
        </is>
      </c>
      <c r="F281" s="276" t="inlineStr">
        <is>
          <t>Россия</t>
        </is>
      </c>
      <c r="G281" s="276" t="inlineStr">
        <is>
          <t>10655491</t>
        </is>
      </c>
      <c r="H281" s="277" t="n"/>
      <c r="I281" s="276">
        <f>D281*H281</f>
        <v/>
      </c>
    </row>
    <row r="282">
      <c r="A282" s="276" t="inlineStr">
        <is>
          <t>1.6/70</t>
        </is>
      </c>
      <c r="B282" s="276" t="inlineStr">
        <is>
          <t>Кран шаровой 11с67п Ду 40 Ру 25 цельносварной под приварку</t>
        </is>
      </c>
      <c r="C282" s="276" t="inlineStr">
        <is>
          <t>шт</t>
        </is>
      </c>
      <c r="D282" s="276" t="n">
        <v>10</v>
      </c>
      <c r="E282" s="276" t="inlineStr">
        <is>
          <t>ООО «ЧелябинскСпецГражданСтрой» (ИНН 7451211335)</t>
        </is>
      </c>
      <c r="F282" s="276" t="inlineStr">
        <is>
          <t>Россия</t>
        </is>
      </c>
      <c r="G282" s="276" t="inlineStr">
        <is>
          <t>10655491</t>
        </is>
      </c>
      <c r="H282" s="277" t="n"/>
      <c r="I282" s="276">
        <f>D282*H282</f>
        <v/>
      </c>
    </row>
    <row r="283">
      <c r="A283" s="276" t="inlineStr">
        <is>
          <t>1.6/71</t>
        </is>
      </c>
      <c r="B283" s="276" t="inlineStr">
        <is>
          <t>Кран шаровой 11с67п Ду 20 Ру 25 полнопрох. с КОФ (КЗШС41нж)</t>
        </is>
      </c>
      <c r="C283" s="276" t="inlineStr">
        <is>
          <t>шт</t>
        </is>
      </c>
      <c r="D283" s="276" t="n">
        <v>2</v>
      </c>
      <c r="E283" s="277" t="inlineStr"/>
      <c r="F283" s="277" t="inlineStr"/>
      <c r="G283" s="277" t="inlineStr"/>
      <c r="H283" s="277" t="n"/>
      <c r="I283" s="276">
        <f>D283*H283</f>
        <v/>
      </c>
    </row>
    <row r="284">
      <c r="A284" s="276" t="inlineStr">
        <is>
          <t>1.6/72</t>
        </is>
      </c>
      <c r="B284" s="276" t="inlineStr">
        <is>
          <t>Кран шаровой 11с67п Ду 25 Ру 25 полнопрох. с КОФ (КЗШС41нж)</t>
        </is>
      </c>
      <c r="C284" s="276" t="inlineStr">
        <is>
          <t>шт</t>
        </is>
      </c>
      <c r="D284" s="276" t="n">
        <v>9</v>
      </c>
      <c r="E284" s="277" t="inlineStr"/>
      <c r="F284" s="277" t="inlineStr"/>
      <c r="G284" s="277" t="inlineStr"/>
      <c r="H284" s="277" t="n"/>
      <c r="I284" s="276">
        <f>D284*H284</f>
        <v/>
      </c>
    </row>
    <row r="285">
      <c r="A285" s="276" t="inlineStr">
        <is>
          <t>1.6/73</t>
        </is>
      </c>
      <c r="B285" s="276" t="inlineStr">
        <is>
          <t>Кран шаровой 11с67п Ду 32 Ру 25 полнопрох. с КОФ (КЗШС41нж)</t>
        </is>
      </c>
      <c r="C285" s="276" t="inlineStr">
        <is>
          <t>шт</t>
        </is>
      </c>
      <c r="D285" s="276" t="n">
        <v>10</v>
      </c>
      <c r="E285" s="277" t="inlineStr"/>
      <c r="F285" s="277" t="inlineStr"/>
      <c r="G285" s="277" t="inlineStr"/>
      <c r="H285" s="277" t="n"/>
      <c r="I285" s="276">
        <f>D285*H285</f>
        <v/>
      </c>
    </row>
    <row r="286">
      <c r="A286" s="276" t="inlineStr">
        <is>
          <t>1.6/74</t>
        </is>
      </c>
      <c r="B286" s="276" t="inlineStr">
        <is>
          <t>Кран шаровой 11с67п Ду 40 Ру 25 полнопрох. с КОФ (КЗШС41нж)</t>
        </is>
      </c>
      <c r="C286" s="276" t="inlineStr">
        <is>
          <t>шт</t>
        </is>
      </c>
      <c r="D286" s="276" t="n">
        <v>2</v>
      </c>
      <c r="E286" s="277" t="inlineStr"/>
      <c r="F286" s="277" t="inlineStr"/>
      <c r="G286" s="277" t="inlineStr"/>
      <c r="H286" s="277" t="n"/>
      <c r="I286" s="276">
        <f>D286*H286</f>
        <v/>
      </c>
    </row>
    <row r="287">
      <c r="A287" s="276" t="inlineStr">
        <is>
          <t>1.6/75</t>
        </is>
      </c>
      <c r="B287" s="276" t="inlineStr">
        <is>
          <t>Кран шаровой 11с67п Ду 50 Ру 25 полнопрох. с КОФ (КЗШС41нж)</t>
        </is>
      </c>
      <c r="C287" s="276" t="inlineStr">
        <is>
          <t>шт</t>
        </is>
      </c>
      <c r="D287" s="276" t="n">
        <v>9</v>
      </c>
      <c r="E287" s="277" t="inlineStr"/>
      <c r="F287" s="277" t="inlineStr"/>
      <c r="G287" s="277" t="inlineStr"/>
      <c r="H287" s="277" t="n"/>
      <c r="I287" s="276">
        <f>D287*H287</f>
        <v/>
      </c>
    </row>
    <row r="288">
      <c r="A288" s="276" t="inlineStr">
        <is>
          <t>1.6/76</t>
        </is>
      </c>
      <c r="B288" s="276" t="inlineStr">
        <is>
          <t>Кран шаровой 11с67п Ду 80 Ру 25 полнопрох. с КОФ (КЗШС41нж)</t>
        </is>
      </c>
      <c r="C288" s="276" t="inlineStr">
        <is>
          <t>шт</t>
        </is>
      </c>
      <c r="D288" s="276" t="n">
        <v>9</v>
      </c>
      <c r="E288" s="277" t="inlineStr"/>
      <c r="F288" s="277" t="inlineStr"/>
      <c r="G288" s="277" t="inlineStr"/>
      <c r="H288" s="277" t="n"/>
      <c r="I288" s="276">
        <f>D288*H288</f>
        <v/>
      </c>
    </row>
    <row r="289">
      <c r="A289" s="276" t="inlineStr">
        <is>
          <t>1.6/77</t>
        </is>
      </c>
      <c r="B289" s="276" t="inlineStr">
        <is>
          <t>Кран шаровой 11с67п Ду 100 Ру 16 ЦУФ.001 КШ укороченный полнопроходной фланцевый с рукояткой</t>
        </is>
      </c>
      <c r="C289" s="276" t="inlineStr">
        <is>
          <t>шт</t>
        </is>
      </c>
      <c r="D289" s="276" t="n">
        <v>4</v>
      </c>
      <c r="E289" s="276" t="inlineStr">
        <is>
          <t>ООО «ЧелябинскСпецГражданСтрой» (ИНН 7451211335)</t>
        </is>
      </c>
      <c r="F289" s="276" t="inlineStr">
        <is>
          <t>Россия</t>
        </is>
      </c>
      <c r="G289" s="276" t="inlineStr">
        <is>
          <t>10655491</t>
        </is>
      </c>
      <c r="H289" s="277" t="n"/>
      <c r="I289" s="276">
        <f>D289*H289</f>
        <v/>
      </c>
    </row>
    <row r="290">
      <c r="A290" s="276" t="inlineStr">
        <is>
          <t>1.6/78</t>
        </is>
      </c>
      <c r="B290" s="276" t="inlineStr">
        <is>
          <t>Кран шаровой 11с67п Ду 32 Ру 16 ЦУФ.001 КШ укороченный полнопроходной фланцевый с рукояткой</t>
        </is>
      </c>
      <c r="C290" s="276" t="inlineStr">
        <is>
          <t>шт</t>
        </is>
      </c>
      <c r="D290" s="276" t="n">
        <v>1</v>
      </c>
      <c r="E290" s="276" t="inlineStr">
        <is>
          <t>ООО «ЧелябинскСпецГражданСтрой» (ИНН 7451211335)</t>
        </is>
      </c>
      <c r="F290" s="276" t="inlineStr">
        <is>
          <t>Россия</t>
        </is>
      </c>
      <c r="G290" s="276" t="inlineStr">
        <is>
          <t>10655491</t>
        </is>
      </c>
      <c r="H290" s="277" t="n"/>
      <c r="I290" s="276">
        <f>D290*H290</f>
        <v/>
      </c>
    </row>
    <row r="291">
      <c r="A291" s="276" t="inlineStr">
        <is>
          <t>1.6/79</t>
        </is>
      </c>
      <c r="B291" s="276" t="inlineStr">
        <is>
          <t>Кран шаровой 11с67п Ду 40 Ру 16 ЦУФ.001 КШ укороченный полнопроходной фланцевый с рукояткой</t>
        </is>
      </c>
      <c r="C291" s="276" t="inlineStr">
        <is>
          <t>шт</t>
        </is>
      </c>
      <c r="D291" s="276" t="n">
        <v>1</v>
      </c>
      <c r="E291" s="276" t="inlineStr">
        <is>
          <t>ООО «ЧелябинскСпецГражданСтрой» (ИНН 7451211335)</t>
        </is>
      </c>
      <c r="F291" s="276" t="inlineStr">
        <is>
          <t>Россия</t>
        </is>
      </c>
      <c r="G291" s="276" t="inlineStr">
        <is>
          <t>10655491</t>
        </is>
      </c>
      <c r="H291" s="277" t="n"/>
      <c r="I291" s="276">
        <f>D291*H291</f>
        <v/>
      </c>
    </row>
    <row r="292">
      <c r="A292" s="276" t="inlineStr">
        <is>
          <t>1.6/80</t>
        </is>
      </c>
      <c r="B292" s="276" t="inlineStr">
        <is>
          <t>Кран шаровой 11с67п Ду 50 Ру 16 ЦУФ.001 КШ укороченный полнопроходной фланцевый с рукояткой</t>
        </is>
      </c>
      <c r="C292" s="276" t="inlineStr">
        <is>
          <t>шт</t>
        </is>
      </c>
      <c r="D292" s="276" t="n">
        <v>3</v>
      </c>
      <c r="E292" s="276" t="inlineStr">
        <is>
          <t>ООО «ЧелябинскСпецГражданСтрой» (ИНН 7451211335)</t>
        </is>
      </c>
      <c r="F292" s="276" t="inlineStr">
        <is>
          <t>Россия</t>
        </is>
      </c>
      <c r="G292" s="276" t="inlineStr">
        <is>
          <t>10655491</t>
        </is>
      </c>
      <c r="H292" s="277" t="n"/>
      <c r="I292" s="276">
        <f>D292*H292</f>
        <v/>
      </c>
    </row>
    <row r="293">
      <c r="A293" s="276" t="inlineStr">
        <is>
          <t>1.6/81</t>
        </is>
      </c>
      <c r="B293" s="276" t="inlineStr">
        <is>
          <t>Кран шаровой 11с67п Ду 80 Ру 16 ЦУФ.001 КШ укороченный полнопроходной фланцевый с рукояткой</t>
        </is>
      </c>
      <c r="C293" s="276" t="inlineStr">
        <is>
          <t>шт</t>
        </is>
      </c>
      <c r="D293" s="276" t="n">
        <v>6</v>
      </c>
      <c r="E293" s="276" t="inlineStr">
        <is>
          <t>ООО «ЧелябинскСпецГражданСтрой» (ИНН 7451211335)</t>
        </is>
      </c>
      <c r="F293" s="276" t="inlineStr">
        <is>
          <t>Россия</t>
        </is>
      </c>
      <c r="G293" s="276" t="inlineStr">
        <is>
          <t>10655491</t>
        </is>
      </c>
      <c r="H293" s="277" t="n"/>
      <c r="I293" s="276">
        <f>D293*H293</f>
        <v/>
      </c>
    </row>
    <row r="294">
      <c r="A294" s="276" t="inlineStr">
        <is>
          <t>1.6/82</t>
        </is>
      </c>
      <c r="B294" s="276" t="inlineStr">
        <is>
          <t>Кран шаровой TEMPER 28020025 муфтовый, Ду 25, Ру 40</t>
        </is>
      </c>
      <c r="C294" s="276" t="inlineStr">
        <is>
          <t>шт</t>
        </is>
      </c>
      <c r="D294" s="276" t="n">
        <v>2</v>
      </c>
      <c r="E294" s="277" t="inlineStr"/>
      <c r="F294" s="277" t="inlineStr"/>
      <c r="G294" s="277" t="inlineStr"/>
      <c r="H294" s="277" t="n"/>
      <c r="I294" s="276">
        <f>D294*H294</f>
        <v/>
      </c>
    </row>
    <row r="295">
      <c r="A295" s="276" t="inlineStr">
        <is>
          <t>1.6/83</t>
        </is>
      </c>
      <c r="B295" s="276" t="inlineStr">
        <is>
          <t>Кран шаровый LD полнопроходной 11с67п КШРФ Ду 100 Ру 16 с КОФ</t>
        </is>
      </c>
      <c r="C295" s="276" t="inlineStr">
        <is>
          <t>шт</t>
        </is>
      </c>
      <c r="D295" s="276" t="n">
        <v>3</v>
      </c>
      <c r="E295" s="276" t="inlineStr">
        <is>
          <t>ООО «ЧелябинскСпецГражданСтрой» (ИНН 7451211335)</t>
        </is>
      </c>
      <c r="F295" s="276" t="inlineStr">
        <is>
          <t>Россия</t>
        </is>
      </c>
      <c r="G295" s="276" t="inlineStr">
        <is>
          <t>10714005</t>
        </is>
      </c>
      <c r="H295" s="277" t="n"/>
      <c r="I295" s="276">
        <f>D295*H295</f>
        <v/>
      </c>
    </row>
    <row r="296">
      <c r="A296" s="276" t="inlineStr">
        <is>
          <t>1.6/84</t>
        </is>
      </c>
      <c r="B296" s="276" t="inlineStr">
        <is>
          <t>Кран шаровый LD полнопроходной 11с67п КШРФ Ду 150 Ру 16 с КОФ</t>
        </is>
      </c>
      <c r="C296" s="276" t="inlineStr">
        <is>
          <t>шт</t>
        </is>
      </c>
      <c r="D296" s="276" t="n">
        <v>1</v>
      </c>
      <c r="E296" s="276" t="inlineStr">
        <is>
          <t>ООО «ЧелябинскСпецГражданСтрой» (ИНН 7451211335)</t>
        </is>
      </c>
      <c r="F296" s="276" t="inlineStr">
        <is>
          <t>Россия</t>
        </is>
      </c>
      <c r="G296" s="276" t="inlineStr">
        <is>
          <t>10714005</t>
        </is>
      </c>
      <c r="H296" s="277" t="n"/>
      <c r="I296" s="276">
        <f>D296*H296</f>
        <v/>
      </c>
    </row>
    <row r="297">
      <c r="A297" s="276" t="inlineStr">
        <is>
          <t>1.6/85</t>
        </is>
      </c>
      <c r="B297" s="276" t="inlineStr">
        <is>
          <t>Кран шаровый LD полнопроходной 11с67п КШРФ Ду 25 Ру 16 с КОФ</t>
        </is>
      </c>
      <c r="C297" s="276" t="inlineStr">
        <is>
          <t>шт</t>
        </is>
      </c>
      <c r="D297" s="276" t="n">
        <v>2</v>
      </c>
      <c r="E297" s="276" t="inlineStr">
        <is>
          <t>ООО «ЧелябинскСпецГражданСтрой» (ИНН 7451211335)</t>
        </is>
      </c>
      <c r="F297" s="276" t="inlineStr">
        <is>
          <t>Россия</t>
        </is>
      </c>
      <c r="G297" s="276" t="inlineStr">
        <is>
          <t>10714005</t>
        </is>
      </c>
      <c r="H297" s="277" t="n"/>
      <c r="I297" s="276">
        <f>D297*H297</f>
        <v/>
      </c>
    </row>
    <row r="298">
      <c r="A298" s="276" t="inlineStr">
        <is>
          <t>1.6/86</t>
        </is>
      </c>
      <c r="B298" s="276" t="inlineStr">
        <is>
          <t>Кран шаровый LD полнопроходной 11с67п КШРФ Ду 40 Ру 16 с КОФ</t>
        </is>
      </c>
      <c r="C298" s="276" t="inlineStr">
        <is>
          <t>шт</t>
        </is>
      </c>
      <c r="D298" s="276" t="n">
        <v>6</v>
      </c>
      <c r="E298" s="276" t="inlineStr">
        <is>
          <t>ООО «ЧелябинскСпецГражданСтрой» (ИНН 7451211335)</t>
        </is>
      </c>
      <c r="F298" s="276" t="inlineStr">
        <is>
          <t>Россия</t>
        </is>
      </c>
      <c r="G298" s="276" t="inlineStr">
        <is>
          <t>10714005</t>
        </is>
      </c>
      <c r="H298" s="277" t="n"/>
      <c r="I298" s="276">
        <f>D298*H298</f>
        <v/>
      </c>
    </row>
    <row r="299">
      <c r="A299" s="276" t="inlineStr">
        <is>
          <t>1.6/87</t>
        </is>
      </c>
      <c r="B299" s="276" t="inlineStr">
        <is>
          <t>Кран шаровый LD полнопроходной 11с67п КШРФ Ду 50 Ру 16 с КОФ</t>
        </is>
      </c>
      <c r="C299" s="276" t="inlineStr">
        <is>
          <t>шт</t>
        </is>
      </c>
      <c r="D299" s="276" t="n">
        <v>5</v>
      </c>
      <c r="E299" s="276" t="inlineStr">
        <is>
          <t>ООО «ЧелябинскСпецГражданСтрой» (ИНН 7451211335)</t>
        </is>
      </c>
      <c r="F299" s="276" t="inlineStr">
        <is>
          <t>Россия</t>
        </is>
      </c>
      <c r="G299" s="276" t="inlineStr">
        <is>
          <t>10714005</t>
        </is>
      </c>
      <c r="H299" s="277" t="n"/>
      <c r="I299" s="276">
        <f>D299*H299</f>
        <v/>
      </c>
    </row>
    <row r="300">
      <c r="A300" s="276" t="inlineStr">
        <is>
          <t>1.6/88</t>
        </is>
      </c>
      <c r="B300" s="276" t="inlineStr">
        <is>
          <t>Кран шаровый LD полнопроходной 11с67п КШРФ Ду 80 Ру 16 с КОФ</t>
        </is>
      </c>
      <c r="C300" s="276" t="inlineStr">
        <is>
          <t>шт</t>
        </is>
      </c>
      <c r="D300" s="276" t="n">
        <v>6</v>
      </c>
      <c r="E300" s="276" t="inlineStr">
        <is>
          <t>ООО «ЧелябинскСпецГражданСтрой» (ИНН 7451211335)</t>
        </is>
      </c>
      <c r="F300" s="276" t="inlineStr">
        <is>
          <t>Россия</t>
        </is>
      </c>
      <c r="G300" s="276" t="inlineStr">
        <is>
          <t>10714005</t>
        </is>
      </c>
      <c r="H300" s="277" t="n"/>
      <c r="I300" s="276">
        <f>D300*H300</f>
        <v/>
      </c>
    </row>
    <row r="301">
      <c r="A301" s="276" t="inlineStr">
        <is>
          <t>1.6/89</t>
        </is>
      </c>
      <c r="B301" s="276" t="inlineStr">
        <is>
          <t>Затвор дисковый поворотный(ГРЭНВЭЛ) ЗП ТЛ Ду 100, Ру 16</t>
        </is>
      </c>
      <c r="C301" s="276" t="inlineStr">
        <is>
          <t>шт</t>
        </is>
      </c>
      <c r="D301" s="276" t="n">
        <v>2</v>
      </c>
      <c r="E301" s="276" t="inlineStr">
        <is>
          <t>ООО «Торговый Дом АДЛ» (Гранвэл)</t>
        </is>
      </c>
      <c r="F301" s="276" t="inlineStr">
        <is>
          <t>Россия</t>
        </is>
      </c>
      <c r="G301" s="276" t="inlineStr">
        <is>
          <t>10357202</t>
        </is>
      </c>
      <c r="H301" s="277" t="n"/>
      <c r="I301" s="276">
        <f>D301*H301</f>
        <v/>
      </c>
    </row>
    <row r="302">
      <c r="A302" s="276" t="inlineStr">
        <is>
          <t>1.6/90</t>
        </is>
      </c>
      <c r="B302" s="276" t="inlineStr">
        <is>
          <t>Затвор дисковый поворотный(ГРЭНВЭЛ) ЗП ТЛ Ду 80 Ру 16</t>
        </is>
      </c>
      <c r="C302" s="276" t="inlineStr">
        <is>
          <t>шт</t>
        </is>
      </c>
      <c r="D302" s="276" t="n">
        <v>1</v>
      </c>
      <c r="E302" s="276" t="inlineStr">
        <is>
          <t>ООО «Торговый Дом АДЛ» (Гранвэл)</t>
        </is>
      </c>
      <c r="F302" s="276" t="inlineStr">
        <is>
          <t>Россия</t>
        </is>
      </c>
      <c r="G302" s="276" t="inlineStr">
        <is>
          <t>10357205</t>
        </is>
      </c>
      <c r="H302" s="277" t="n"/>
      <c r="I302" s="276">
        <f>D302*H302</f>
        <v/>
      </c>
    </row>
    <row r="303">
      <c r="A303" s="276" t="inlineStr">
        <is>
          <t>1.6/91</t>
        </is>
      </c>
      <c r="B303" s="276" t="inlineStr">
        <is>
          <t>Затвор дисковый поворотный(ГРЭНВЭЛ) Тип /серия FL(w)-3-MR-E Ду 80 Ру 16</t>
        </is>
      </c>
      <c r="C303" s="276" t="inlineStr">
        <is>
          <t>шт</t>
        </is>
      </c>
      <c r="D303" s="276" t="n">
        <v>1</v>
      </c>
      <c r="E303" s="276" t="inlineStr">
        <is>
          <t>ООО «Торговый Дом АДЛ» (Гранвэл)</t>
        </is>
      </c>
      <c r="F303" s="276" t="inlineStr">
        <is>
          <t>Россия</t>
        </is>
      </c>
      <c r="G303" s="276" t="inlineStr">
        <is>
          <t>10357205</t>
        </is>
      </c>
      <c r="H303" s="277" t="n"/>
      <c r="I303" s="276">
        <f>D303*H303</f>
        <v/>
      </c>
    </row>
    <row r="304">
      <c r="A304" s="276" t="inlineStr">
        <is>
          <t>1.6/92</t>
        </is>
      </c>
      <c r="B304" s="276" t="inlineStr">
        <is>
          <t>Газовый клапан Dungs LGV 507/5 230 V, 119271</t>
        </is>
      </c>
      <c r="C304" s="276" t="inlineStr">
        <is>
          <t>шт</t>
        </is>
      </c>
      <c r="D304" s="276" t="n">
        <v>2</v>
      </c>
      <c r="E304" s="276" t="inlineStr">
        <is>
          <t>ТЕД Газовые системы</t>
        </is>
      </c>
      <c r="F304" s="277" t="inlineStr"/>
      <c r="G304" s="277" t="inlineStr"/>
      <c r="H304" s="277" t="n"/>
      <c r="I304" s="276">
        <f>D304*H304</f>
        <v/>
      </c>
    </row>
    <row r="305">
      <c r="A305" s="276" t="inlineStr">
        <is>
          <t>1.6/93</t>
        </is>
      </c>
      <c r="B305" s="276" t="inlineStr">
        <is>
          <t>Электропривод Esbe 95 - 12051900</t>
        </is>
      </c>
      <c r="C305" s="276" t="inlineStr">
        <is>
          <t>шт</t>
        </is>
      </c>
      <c r="D305" s="276" t="n">
        <v>1</v>
      </c>
      <c r="E305" s="276" t="inlineStr">
        <is>
          <t>АО «АБС ЗЭиМ Автоматизация»</t>
        </is>
      </c>
      <c r="F305" s="277" t="inlineStr"/>
      <c r="G305" s="277" t="inlineStr"/>
      <c r="H305" s="277" t="n"/>
      <c r="I305" s="276">
        <f>D305*H305</f>
        <v/>
      </c>
    </row>
    <row r="306">
      <c r="A306" s="276" t="inlineStr">
        <is>
          <t>1.7/1</t>
        </is>
      </c>
      <c r="B306" s="276" t="inlineStr">
        <is>
          <t>АРТ-85 Ду 50 Ру 16 "после себя"</t>
        </is>
      </c>
      <c r="C306" s="276" t="inlineStr">
        <is>
          <t>шт</t>
        </is>
      </c>
      <c r="D306" s="276" t="n">
        <v>1</v>
      </c>
      <c r="E306" s="276" t="inlineStr">
        <is>
          <t>ООО «Ридан»</t>
        </is>
      </c>
      <c r="F306" s="277" t="inlineStr"/>
      <c r="G306" s="277" t="inlineStr"/>
      <c r="H306" s="277" t="n"/>
      <c r="I306" s="276">
        <f>D306*H306</f>
        <v/>
      </c>
    </row>
    <row r="307">
      <c r="A307" s="276" t="inlineStr">
        <is>
          <t>1.7/2</t>
        </is>
      </c>
      <c r="B307" s="276" t="inlineStr">
        <is>
          <t>Кран шаровой 11с67п Ду 25 Ру 25 цельносварной под приварку</t>
        </is>
      </c>
      <c r="C307" s="276" t="inlineStr">
        <is>
          <t>шт</t>
        </is>
      </c>
      <c r="D307" s="276" t="n">
        <v>12</v>
      </c>
      <c r="E307" s="276" t="inlineStr">
        <is>
          <t>ООО «ЧелябинскСпецГражданСтрой» (ИНН 7451211335)</t>
        </is>
      </c>
      <c r="F307" s="276" t="inlineStr">
        <is>
          <t>Россия</t>
        </is>
      </c>
      <c r="G307" s="276" t="inlineStr">
        <is>
          <t>10655491</t>
        </is>
      </c>
      <c r="H307" s="277" t="n"/>
      <c r="I307" s="276">
        <f>D307*H307</f>
        <v/>
      </c>
    </row>
    <row r="308">
      <c r="A308" s="276" t="inlineStr">
        <is>
          <t>1.7/3</t>
        </is>
      </c>
      <c r="B308" s="276" t="inlineStr">
        <is>
          <t>Кран шаровой 11с67п Ду 32 Ру 25 цельносварной под приварку</t>
        </is>
      </c>
      <c r="C308" s="276" t="inlineStr">
        <is>
          <t>шт</t>
        </is>
      </c>
      <c r="D308" s="276" t="n">
        <v>12</v>
      </c>
      <c r="E308" s="276" t="inlineStr">
        <is>
          <t>ООО «ЧелябинскСпецГражданСтрой» (ИНН 7451211335)</t>
        </is>
      </c>
      <c r="F308" s="276" t="inlineStr">
        <is>
          <t>Россия</t>
        </is>
      </c>
      <c r="G308" s="276" t="inlineStr">
        <is>
          <t>10655491</t>
        </is>
      </c>
      <c r="H308" s="277" t="n"/>
      <c r="I308" s="276">
        <f>D308*H308</f>
        <v/>
      </c>
    </row>
    <row r="309">
      <c r="A309" s="276" t="inlineStr">
        <is>
          <t>1.7/4</t>
        </is>
      </c>
      <c r="B309" s="276" t="inlineStr">
        <is>
          <t>Кран шаровой 11с67п Ду 40 Ру 25 цельносварной под приварку</t>
        </is>
      </c>
      <c r="C309" s="276" t="inlineStr">
        <is>
          <t>шт</t>
        </is>
      </c>
      <c r="D309" s="276" t="n">
        <v>10</v>
      </c>
      <c r="E309" s="276" t="inlineStr">
        <is>
          <t>ООО «ЧелябинскСпецГражданСтрой» (ИНН 7451211335)</t>
        </is>
      </c>
      <c r="F309" s="276" t="inlineStr">
        <is>
          <t>Россия</t>
        </is>
      </c>
      <c r="G309" s="276" t="inlineStr">
        <is>
          <t>10655491</t>
        </is>
      </c>
      <c r="H309" s="277" t="n"/>
      <c r="I309" s="276">
        <f>D309*H309</f>
        <v/>
      </c>
    </row>
    <row r="310">
      <c r="A310" s="276" t="inlineStr">
        <is>
          <t>1.8/1</t>
        </is>
      </c>
      <c r="B310" s="276" t="inlineStr">
        <is>
          <t>Задвижка 30нж41нж Ду 80 Ру 16 1исп. САЗ</t>
        </is>
      </c>
      <c r="C310" s="276" t="inlineStr">
        <is>
          <t>шт</t>
        </is>
      </c>
      <c r="D310" s="276" t="n">
        <v>1</v>
      </c>
      <c r="E310" s="276" t="inlineStr">
        <is>
          <t>ООО «Пермский трубопроводный завод» (ИНН 5904173655)</t>
        </is>
      </c>
      <c r="F310" s="276" t="inlineStr">
        <is>
          <t>Россия</t>
        </is>
      </c>
      <c r="G310" s="276" t="inlineStr">
        <is>
          <t>10698940</t>
        </is>
      </c>
      <c r="H310" s="277" t="n"/>
      <c r="I310" s="276">
        <f>D310*H310</f>
        <v/>
      </c>
    </row>
    <row r="311">
      <c r="A311" s="276" t="inlineStr">
        <is>
          <t>1.8/2</t>
        </is>
      </c>
      <c r="B311" s="276" t="inlineStr">
        <is>
          <t>Кран шаровой 10нж45фт 2ЦФ Ду 20 Ру 16</t>
        </is>
      </c>
      <c r="C311" s="276" t="inlineStr">
        <is>
          <t>шт</t>
        </is>
      </c>
      <c r="D311" s="276" t="n">
        <v>2</v>
      </c>
      <c r="E311" s="276" t="inlineStr">
        <is>
          <t>ООО «ЧелябинскСпецГражданСтрой» (ИНН 7451211335)</t>
        </is>
      </c>
      <c r="F311" s="276" t="inlineStr">
        <is>
          <t>Россия</t>
        </is>
      </c>
      <c r="G311" s="276" t="inlineStr">
        <is>
          <t>10657717</t>
        </is>
      </c>
      <c r="H311" s="277" t="n"/>
      <c r="I311" s="276">
        <f>D311*H311</f>
        <v/>
      </c>
    </row>
    <row r="312">
      <c r="A312" s="276" t="inlineStr">
        <is>
          <t>1.8/3</t>
        </is>
      </c>
      <c r="B312" s="276" t="inlineStr">
        <is>
          <t>Кран шаровой 10нж45фт 2ЦФ Ду 25 Ру 16</t>
        </is>
      </c>
      <c r="C312" s="276" t="inlineStr">
        <is>
          <t>шт</t>
        </is>
      </c>
      <c r="D312" s="276" t="n">
        <v>2</v>
      </c>
      <c r="E312" s="276" t="inlineStr">
        <is>
          <t>ООО «ЧелябинскСпецГражданСтрой» (ИНН 7451211335)</t>
        </is>
      </c>
      <c r="F312" s="276" t="inlineStr">
        <is>
          <t>Россия</t>
        </is>
      </c>
      <c r="G312" s="276" t="inlineStr">
        <is>
          <t>10657717</t>
        </is>
      </c>
      <c r="H312" s="277" t="n"/>
      <c r="I312" s="276">
        <f>D312*H312</f>
        <v/>
      </c>
    </row>
    <row r="313">
      <c r="A313" s="276" t="inlineStr">
        <is>
          <t>1.8/4</t>
        </is>
      </c>
      <c r="B313" s="276" t="inlineStr">
        <is>
          <t>Кран шаровой 10нж45фт 2ЦФ Ду 32 Ру 16</t>
        </is>
      </c>
      <c r="C313" s="276" t="inlineStr">
        <is>
          <t>шт</t>
        </is>
      </c>
      <c r="D313" s="276" t="n">
        <v>2</v>
      </c>
      <c r="E313" s="276" t="inlineStr">
        <is>
          <t>ООО «ЧелябинскСпецГражданСтрой» (ИНН 7451211335)</t>
        </is>
      </c>
      <c r="F313" s="276" t="inlineStr">
        <is>
          <t>Россия</t>
        </is>
      </c>
      <c r="G313" s="276" t="inlineStr">
        <is>
          <t>10657717</t>
        </is>
      </c>
      <c r="H313" s="277" t="n"/>
      <c r="I313" s="276">
        <f>D313*H313</f>
        <v/>
      </c>
    </row>
    <row r="314">
      <c r="A314" s="276" t="inlineStr">
        <is>
          <t>1.8/5</t>
        </is>
      </c>
      <c r="B314" s="276" t="inlineStr">
        <is>
          <t>Кран шаровой 11с22п Ду 80 Ру 16</t>
        </is>
      </c>
      <c r="C314" s="276" t="inlineStr">
        <is>
          <t>шт</t>
        </is>
      </c>
      <c r="D314" s="276" t="n">
        <v>2</v>
      </c>
      <c r="E314" s="276" t="inlineStr">
        <is>
          <t>ООО «ЧелябинскСпецГражданСтрой» (ИНН 7451211335)</t>
        </is>
      </c>
      <c r="F314" s="276" t="inlineStr">
        <is>
          <t>Россия</t>
        </is>
      </c>
      <c r="G314" s="276" t="inlineStr">
        <is>
          <t>10655491</t>
        </is>
      </c>
      <c r="H314" s="277" t="n"/>
      <c r="I314" s="276">
        <f>D314*H314</f>
        <v/>
      </c>
    </row>
    <row r="315">
      <c r="A315" s="276" t="inlineStr">
        <is>
          <t>1.8/6</t>
        </is>
      </c>
      <c r="B315" s="276" t="inlineStr">
        <is>
          <t>Кран шаровой 11с22п Ду 100 Ру 16</t>
        </is>
      </c>
      <c r="C315" s="276" t="inlineStr">
        <is>
          <t>шт</t>
        </is>
      </c>
      <c r="D315" s="276" t="n">
        <v>1</v>
      </c>
      <c r="E315" s="276" t="inlineStr">
        <is>
          <t>ООО «ЧелябинскСпецГражданСтрой» (ИНН 7451211335)</t>
        </is>
      </c>
      <c r="F315" s="276" t="inlineStr">
        <is>
          <t>Россия</t>
        </is>
      </c>
      <c r="G315" s="276" t="inlineStr">
        <is>
          <t>10655491</t>
        </is>
      </c>
      <c r="H315" s="277" t="n"/>
      <c r="I315" s="276">
        <f>D315*H315</f>
        <v/>
      </c>
    </row>
    <row r="316">
      <c r="A316" s="276" t="inlineStr">
        <is>
          <t>1.8/7</t>
        </is>
      </c>
      <c r="B316" s="276" t="inlineStr">
        <is>
          <t>Кран шаровой 11с67п Ду 50 Ру 25 полнопрох. с КОФ (КЗШС41нж)</t>
        </is>
      </c>
      <c r="C316" s="276" t="inlineStr">
        <is>
          <t>шт</t>
        </is>
      </c>
      <c r="D316" s="276" t="n">
        <v>4</v>
      </c>
      <c r="E316" s="276" t="inlineStr">
        <is>
          <t>ООО «ЧелябинскСпецГражданСтрой» (ИНН 7451211335)</t>
        </is>
      </c>
      <c r="F316" s="276" t="inlineStr">
        <is>
          <t>Россия</t>
        </is>
      </c>
      <c r="G316" s="276" t="inlineStr">
        <is>
          <t>10655491</t>
        </is>
      </c>
      <c r="H316" s="277" t="n"/>
      <c r="I316" s="276">
        <f>D316*H316</f>
        <v/>
      </c>
    </row>
  </sheetData>
  <autoFilter ref="A1:I3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Бартенев Артем Николаевич</dc:creator>
  <dc:language xmlns:dc="http://purl.org/dc/elements/1.1/">en-US</dc:language>
  <dcterms:created xmlns:dcterms="http://purl.org/dc/terms/" xmlns:xsi="http://www.w3.org/2001/XMLSchema-instance" xsi:type="dcterms:W3CDTF">2022-05-26T10:46:38Z</dcterms:created>
  <dcterms:modified xmlns:dcterms="http://purl.org/dc/terms/" xmlns:xsi="http://www.w3.org/2001/XMLSchema-instance" xsi:type="dcterms:W3CDTF">2026-10-30T12:55:25Z</dcterms:modified>
  <cp:lastModifiedBy>Волкова Людмила Леонидовна</cp:lastModifiedBy>
  <cp:revision>61</cp:revision>
</cp:coreProperties>
</file>