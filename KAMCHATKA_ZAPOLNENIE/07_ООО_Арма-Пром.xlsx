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1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1.3/2</t>
        </is>
      </c>
      <c r="C6" s="6" t="inlineStr">
        <is>
          <t>Клапан регулирующий 25ч945п Ду 15 Ру 16 с ЭИМ</t>
        </is>
      </c>
      <c r="D6" s="6" t="inlineStr">
        <is>
          <t>ТУ 3722-011-50987615</t>
        </is>
      </c>
      <c r="E6" s="6" t="inlineStr">
        <is>
          <t>15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-15°С до +150°С</t>
        </is>
      </c>
      <c r="I6" s="6" t="inlineStr">
        <is>
          <t>вода</t>
        </is>
      </c>
      <c r="J6" s="6" t="inlineStr">
        <is>
          <t>чугун СЧ20</t>
        </is>
      </c>
      <c r="K6" s="6" t="inlineStr">
        <is>
          <t>У2</t>
        </is>
      </c>
      <c r="L6" s="6" t="inlineStr">
        <is>
          <t>фланцевое</t>
        </is>
      </c>
      <c r="M6" s="6" t="inlineStr">
        <is>
          <t>автоматический</t>
        </is>
      </c>
      <c r="N6" s="6" t="inlineStr">
        <is>
          <t>электропривод</t>
        </is>
      </c>
      <c r="O6" s="6" t="inlineStr">
        <is>
          <t>горизонтальное ЭИМ вверх</t>
        </is>
      </c>
      <c r="P6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6" t="inlineStr">
        <is>
          <t>строительная длинна 130мм</t>
        </is>
      </c>
      <c r="R6" s="6" t="inlineStr">
        <is>
          <t>Пропускная способность — 4 м3</t>
        </is>
      </c>
      <c r="S6" s="5" t="n">
        <v>2</v>
      </c>
      <c r="T6" s="6" t="inlineStr">
        <is>
          <t>шт</t>
        </is>
      </c>
      <c r="U6" s="7" t="n"/>
      <c r="V6" s="8" t="inlineStr">
        <is>
          <t>ООО «Арма-Пром» (Старооскольский арматурный завод, ГК «Авангард», ТМ САЗ)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1.3/3</t>
        </is>
      </c>
      <c r="C7" s="6" t="inlineStr">
        <is>
          <t>Клапан регулирующий 25ч945п Ду 25 Ру 16 с ЭИМ</t>
        </is>
      </c>
      <c r="D7" s="6" t="inlineStr">
        <is>
          <t>ТУ 3722-011-50987615</t>
        </is>
      </c>
      <c r="E7" s="6" t="inlineStr">
        <is>
          <t>25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-15°С до +150°С</t>
        </is>
      </c>
      <c r="I7" s="6" t="inlineStr">
        <is>
          <t>вода</t>
        </is>
      </c>
      <c r="J7" s="6" t="inlineStr">
        <is>
          <t>чугун СЧ20</t>
        </is>
      </c>
      <c r="K7" s="6" t="inlineStr">
        <is>
          <t>У2</t>
        </is>
      </c>
      <c r="L7" s="6" t="inlineStr">
        <is>
          <t>фланцевое</t>
        </is>
      </c>
      <c r="M7" s="6" t="inlineStr">
        <is>
          <t>автоматический</t>
        </is>
      </c>
      <c r="N7" s="6" t="inlineStr">
        <is>
          <t>электропривод</t>
        </is>
      </c>
      <c r="O7" s="6" t="inlineStr">
        <is>
          <t>горизонтальное ЭИМ вверх</t>
        </is>
      </c>
      <c r="P7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6" t="inlineStr">
        <is>
          <t>строительная длинна 160мм</t>
        </is>
      </c>
      <c r="R7" s="6" t="inlineStr">
        <is>
          <t>Пропускная способность — 4 м3</t>
        </is>
      </c>
      <c r="S7" s="5" t="n">
        <v>1</v>
      </c>
      <c r="T7" s="6" t="inlineStr">
        <is>
          <t>шт</t>
        </is>
      </c>
      <c r="U7" s="7" t="n"/>
      <c r="V7" s="8" t="inlineStr">
        <is>
          <t>ООО «Арма-Пром» (Старооскольский арматурный завод, ГК «Авангард», ТМ САЗ)</t>
        </is>
      </c>
      <c r="W7" s="8" t="inlineStr">
        <is>
          <t>Россия</t>
        </is>
      </c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1.3/4</t>
        </is>
      </c>
      <c r="C8" s="6" t="inlineStr">
        <is>
          <t>Клапан регулирующий 25ч945п Ду 50 Ру 16 KV100 с ЭИМ</t>
        </is>
      </c>
      <c r="D8" s="6" t="inlineStr">
        <is>
          <t>ТУ 3722-011-50987615</t>
        </is>
      </c>
      <c r="E8" s="6" t="inlineStr">
        <is>
          <t>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От -20°С до +150°С</t>
        </is>
      </c>
      <c r="I8" s="6" t="inlineStr">
        <is>
          <t>вода</t>
        </is>
      </c>
      <c r="J8" s="6" t="inlineStr">
        <is>
          <t>чугун СЧ20</t>
        </is>
      </c>
      <c r="K8" s="6" t="inlineStr">
        <is>
          <t>У2</t>
        </is>
      </c>
      <c r="L8" s="6" t="inlineStr">
        <is>
          <t>фланцевое</t>
        </is>
      </c>
      <c r="M8" s="6" t="inlineStr">
        <is>
          <t>автоматический</t>
        </is>
      </c>
      <c r="N8" s="6" t="inlineStr">
        <is>
          <t>электропривод</t>
        </is>
      </c>
      <c r="O8" s="6" t="inlineStr">
        <is>
          <t>горизонтальное ЭИМ вверх</t>
        </is>
      </c>
      <c r="P8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6" t="inlineStr">
        <is>
          <t>строительная длинна 230мм</t>
        </is>
      </c>
      <c r="R8" s="6" t="inlineStr">
        <is>
          <t>Максимальная пропускная способность - 65 м3. Допустима 40 м3</t>
        </is>
      </c>
      <c r="S8" s="5" t="n">
        <v>2</v>
      </c>
      <c r="T8" s="6" t="inlineStr">
        <is>
          <t>шт</t>
        </is>
      </c>
      <c r="U8" s="7" t="n"/>
      <c r="V8" s="8" t="inlineStr">
        <is>
          <t>ООО «Арма-Пром» (Старооскольский арматурный завод, ГК «Авангард», ТМ САЗ)</t>
        </is>
      </c>
      <c r="W8" s="8" t="inlineStr">
        <is>
          <t>Россия</t>
        </is>
      </c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1.3/5</t>
        </is>
      </c>
      <c r="C9" s="6" t="inlineStr">
        <is>
          <t>Клапан регулирующий 25ч945п Ду 80 Ру 16 с ЭИМ</t>
        </is>
      </c>
      <c r="D9" s="6" t="inlineStr">
        <is>
          <t>ТУ 3722-011-50987615</t>
        </is>
      </c>
      <c r="E9" s="6" t="inlineStr">
        <is>
          <t>80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От -15°С до +150°С</t>
        </is>
      </c>
      <c r="I9" s="6" t="inlineStr">
        <is>
          <t>вода</t>
        </is>
      </c>
      <c r="J9" s="6" t="inlineStr">
        <is>
          <t>чугун СЧ20</t>
        </is>
      </c>
      <c r="K9" s="6" t="inlineStr">
        <is>
          <t>У2</t>
        </is>
      </c>
      <c r="L9" s="6" t="inlineStr">
        <is>
          <t>фланцевое</t>
        </is>
      </c>
      <c r="M9" s="6" t="inlineStr">
        <is>
          <t>автоматический</t>
        </is>
      </c>
      <c r="N9" s="6" t="inlineStr">
        <is>
          <t>электропривод</t>
        </is>
      </c>
      <c r="O9" s="6" t="inlineStr">
        <is>
          <t>горизонтальное ЭИМ вверх</t>
        </is>
      </c>
      <c r="P9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9" s="6" t="inlineStr">
        <is>
          <t>строительная длинна 160мм</t>
        </is>
      </c>
      <c r="R9" s="6" t="inlineStr">
        <is>
          <t>Пропускная способность — 4 м3</t>
        </is>
      </c>
      <c r="S9" s="5" t="n">
        <v>8</v>
      </c>
      <c r="T9" s="6" t="inlineStr">
        <is>
          <t>шт</t>
        </is>
      </c>
      <c r="U9" s="7" t="n"/>
      <c r="V9" s="8" t="inlineStr">
        <is>
          <t>ООО «Арма-Пром» (Старооскольский арматурный завод, ГК «Авангард», ТМ САЗ)</t>
        </is>
      </c>
      <c r="W9" s="8" t="inlineStr">
        <is>
          <t>Россия</t>
        </is>
      </c>
      <c r="X9" s="7" t="n"/>
      <c r="Y9" s="7" t="n"/>
      <c r="Z9" s="7" t="n"/>
      <c r="AA9" s="9" t="n"/>
      <c r="AB9" s="10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1.3/163</t>
        </is>
      </c>
      <c r="C10" s="6" t="inlineStr">
        <is>
          <t>Электропривод прямоходный Regada SТ0 490.0-00TQV/00</t>
        </is>
      </c>
      <c r="D10" s="6" t="inlineStr"/>
      <c r="E10" s="6" t="inlineStr"/>
      <c r="F10" s="6" t="inlineStr"/>
      <c r="G10" s="6" t="inlineStr"/>
      <c r="H10" s="6" t="inlineStr">
        <is>
          <t>25°C - +55°C</t>
        </is>
      </c>
      <c r="I10" s="6" t="inlineStr"/>
      <c r="J10" s="6" t="inlineStr"/>
      <c r="K10" s="6" t="inlineStr">
        <is>
          <t>У</t>
        </is>
      </c>
      <c r="L10" s="6" t="inlineStr"/>
      <c r="M10" s="6" t="inlineStr"/>
      <c r="N10" s="6" t="inlineStr"/>
      <c r="O10" s="6" t="inlineStr"/>
      <c r="P10" s="6" t="inlineStr"/>
      <c r="Q10" s="6" t="inlineStr"/>
      <c r="R10" s="6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10" s="5" t="n">
        <v>1</v>
      </c>
      <c r="T10" s="6" t="inlineStr">
        <is>
          <t>шт</t>
        </is>
      </c>
      <c r="U10" s="7" t="n"/>
      <c r="V10" s="8" t="inlineStr">
        <is>
          <t>ООО «Арма-Пром» (Старооскольский арматурный завод, ГК «Авангард», ТМ САЗ)</t>
        </is>
      </c>
      <c r="W10" s="8" t="inlineStr">
        <is>
          <t>Россия</t>
        </is>
      </c>
      <c r="X10" s="7" t="n"/>
      <c r="Y10" s="7" t="n"/>
      <c r="Z10" s="7" t="n"/>
      <c r="AA10" s="9" t="n"/>
      <c r="AB10" s="10">
        <f>AA10*S10</f>
        <v/>
      </c>
      <c r="AC10" s="7" t="n"/>
      <c r="AD10" s="7" t="n"/>
      <c r="AE10" s="7" t="n"/>
    </row>
    <row r="11" ht="60" customHeight="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  <c r="I11" s="11" t="inlineStr"/>
      <c r="J11" s="11" t="inlineStr"/>
      <c r="K11" s="11" t="inlineStr"/>
      <c r="L11" s="11" t="inlineStr"/>
      <c r="M11" s="11" t="inlineStr"/>
      <c r="N11" s="11" t="inlineStr"/>
      <c r="O11" s="11" t="inlineStr"/>
      <c r="P11" s="11" t="inlineStr"/>
      <c r="Q11" s="11" t="inlineStr"/>
      <c r="R11" s="11" t="inlineStr"/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>
        <is>
          <t>ИТОГО</t>
        </is>
      </c>
      <c r="AB11" s="12">
        <f>SUM(AB6:AB10)</f>
        <v/>
      </c>
      <c r="AC11" s="2" t="n"/>
      <c r="AD11" s="2" t="n"/>
      <c r="AE11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