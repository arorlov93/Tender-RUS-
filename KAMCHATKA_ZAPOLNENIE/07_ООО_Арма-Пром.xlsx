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&quot; ₽&quot;"/>
  </numFmts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BF8F0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  <xf numFmtId="164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E11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9" customWidth="1" min="2" max="2"/>
    <col width="34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22" customWidth="1" min="21" max="21"/>
    <col width="24" customWidth="1" min="22" max="22"/>
    <col width="14" customWidth="1" min="23" max="23"/>
    <col width="26" customWidth="1" min="24" max="24"/>
    <col width="13" customWidth="1" min="25" max="25"/>
    <col width="24" customWidth="1" min="26" max="26"/>
    <col width="13" customWidth="1" min="27" max="27"/>
    <col width="14" customWidth="1" min="28" max="28"/>
    <col width="12" customWidth="1" min="29" max="29"/>
    <col width="14" customWidth="1" min="30" max="30"/>
    <col width="20" customWidth="1" min="31" max="31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ООО «Арма-Пром» (Старооскольский арматурный завод, ГК «Авангард», ТМ САЗ)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</row>
    <row r="2" ht="18" customHeight="1">
      <c r="A2" s="2" t="inlineStr">
        <is>
          <t>Просим заполнить жёлтые графы по каждой позиции. Характеристики — дословно из технических требований заказчика; при отличии — указать в графе «Соответствие ТЗ».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</row>
    <row r="3" ht="18" customHeight="1">
      <c r="A3" s="2" t="inlineStr">
        <is>
          <t>Графы марка / производитель / страна / № записи частично ПРЕДЗАПОЛНЕНЫ нами по вашему КП и открытым данным — проверьте и исправьте, если не так.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</row>
    <row r="4" ht="18" customHeight="1">
      <c r="A4" s="2" t="inlineStr">
        <is>
          <t>Нацрежим ПП 1875 (ограничение): обязательны производитель, страна и ДЕЙСТВУЮЩИЙ номер реестровой записи ПП 719 (для ЕАЭС — евразийский реестр). Приложите выписку из ГИСП и сертификаты.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4" t="inlineStr">
        <is>
          <t>Предлагаемая марка / обозначение</t>
        </is>
      </c>
      <c r="V5" s="4" t="inlineStr">
        <is>
          <t>Производитель (завод)</t>
        </is>
      </c>
      <c r="W5" s="4" t="inlineStr">
        <is>
          <t>Страна происхождения</t>
        </is>
      </c>
      <c r="X5" s="4" t="inlineStr">
        <is>
          <t>№ реестровой записи (ПП 719) или евразийского реестра</t>
        </is>
      </c>
      <c r="Y5" s="4" t="inlineStr">
        <is>
          <t>Срок действия записи</t>
        </is>
      </c>
      <c r="Z5" s="4" t="inlineStr">
        <is>
          <t>Соответствие ТЗ: «да» или отличия</t>
        </is>
      </c>
      <c r="AA5" s="4" t="inlineStr">
        <is>
          <t>Цена за ед. с НДС, ₽</t>
        </is>
      </c>
      <c r="AB5" s="4" t="inlineStr">
        <is>
          <t>Сумма с НДС, ₽</t>
        </is>
      </c>
      <c r="AC5" s="4" t="inlineStr">
        <is>
          <t>Срок отгрузки</t>
        </is>
      </c>
      <c r="AD5" s="4" t="inlineStr">
        <is>
          <t>Вес ед., кг / габариты</t>
        </is>
      </c>
      <c r="AE5" s="4" t="inlineStr">
        <is>
          <t>Сертификат / декларация ТР ТС №</t>
        </is>
      </c>
    </row>
    <row r="6" ht="60" customHeight="1">
      <c r="A6" s="5" t="n">
        <v>1</v>
      </c>
      <c r="B6" s="6" t="inlineStr">
        <is>
          <t>1.3/2</t>
        </is>
      </c>
      <c r="C6" s="6" t="inlineStr">
        <is>
          <t>Клапан регулирующий 25ч945п Ду 15 Ру 16 с ЭИМ</t>
        </is>
      </c>
      <c r="D6" s="6" t="inlineStr">
        <is>
          <t>ТУ 3722-011-50987615</t>
        </is>
      </c>
      <c r="E6" s="6" t="inlineStr">
        <is>
          <t>15</t>
        </is>
      </c>
      <c r="F6" s="6" t="inlineStr">
        <is>
          <t>стандарт</t>
        </is>
      </c>
      <c r="G6" s="6" t="inlineStr">
        <is>
          <t>1.6</t>
        </is>
      </c>
      <c r="H6" s="6" t="inlineStr">
        <is>
          <t>От -15°С до +150°С</t>
        </is>
      </c>
      <c r="I6" s="6" t="inlineStr">
        <is>
          <t>вода</t>
        </is>
      </c>
      <c r="J6" s="6" t="inlineStr">
        <is>
          <t>чугун СЧ20</t>
        </is>
      </c>
      <c r="K6" s="6" t="inlineStr">
        <is>
          <t>У2</t>
        </is>
      </c>
      <c r="L6" s="6" t="inlineStr">
        <is>
          <t>фланцевое</t>
        </is>
      </c>
      <c r="M6" s="6" t="inlineStr">
        <is>
          <t>автоматический</t>
        </is>
      </c>
      <c r="N6" s="6" t="inlineStr">
        <is>
          <t>электропривод</t>
        </is>
      </c>
      <c r="O6" s="6" t="inlineStr">
        <is>
          <t>горизонтальное ЭИМ вверх</t>
        </is>
      </c>
      <c r="P6" s="6" t="inlineStr">
        <is>
          <t>Корпус, крышка: СЧ20
Плунжер, седло: Сталь 12Х13
Уплотнение в затворе: Фторопласт-4
Уплотнение сальника:Фторопласт-4</t>
        </is>
      </c>
      <c r="Q6" s="6" t="inlineStr">
        <is>
          <t>строительная длинна 130мм</t>
        </is>
      </c>
      <c r="R6" s="6" t="inlineStr">
        <is>
          <t>Пропускная способность — 4 м3</t>
        </is>
      </c>
      <c r="S6" s="5" t="n">
        <v>2</v>
      </c>
      <c r="T6" s="6" t="inlineStr">
        <is>
          <t>шт</t>
        </is>
      </c>
      <c r="U6" s="7" t="n"/>
      <c r="V6" s="8" t="inlineStr">
        <is>
          <t>ООО «Арма-Пром» (Старооскольский арматурный завод, ГК «Авангард», ТМ САЗ)</t>
        </is>
      </c>
      <c r="W6" s="8" t="inlineStr">
        <is>
          <t>Россия</t>
        </is>
      </c>
      <c r="X6" s="7" t="n"/>
      <c r="Y6" s="7" t="n"/>
      <c r="Z6" s="7" t="n"/>
      <c r="AA6" s="9" t="n"/>
      <c r="AB6" s="10">
        <f>AA6*S6</f>
        <v/>
      </c>
      <c r="AC6" s="7" t="n"/>
      <c r="AD6" s="7" t="n"/>
      <c r="AE6" s="7" t="n"/>
    </row>
    <row r="7" ht="60" customHeight="1">
      <c r="A7" s="5" t="n">
        <v>2</v>
      </c>
      <c r="B7" s="6" t="inlineStr">
        <is>
          <t>1.3/3</t>
        </is>
      </c>
      <c r="C7" s="6" t="inlineStr">
        <is>
          <t>Клапан регулирующий 25ч945п Ду 25 Ру 16 с ЭИМ</t>
        </is>
      </c>
      <c r="D7" s="6" t="inlineStr">
        <is>
          <t>ТУ 3722-011-50987615</t>
        </is>
      </c>
      <c r="E7" s="6" t="inlineStr">
        <is>
          <t>25</t>
        </is>
      </c>
      <c r="F7" s="6" t="inlineStr">
        <is>
          <t>стандарт</t>
        </is>
      </c>
      <c r="G7" s="6" t="inlineStr">
        <is>
          <t>1.6</t>
        </is>
      </c>
      <c r="H7" s="6" t="inlineStr">
        <is>
          <t>От -15°С до +150°С</t>
        </is>
      </c>
      <c r="I7" s="6" t="inlineStr">
        <is>
          <t>вода</t>
        </is>
      </c>
      <c r="J7" s="6" t="inlineStr">
        <is>
          <t>чугун СЧ20</t>
        </is>
      </c>
      <c r="K7" s="6" t="inlineStr">
        <is>
          <t>У2</t>
        </is>
      </c>
      <c r="L7" s="6" t="inlineStr">
        <is>
          <t>фланцевое</t>
        </is>
      </c>
      <c r="M7" s="6" t="inlineStr">
        <is>
          <t>автоматический</t>
        </is>
      </c>
      <c r="N7" s="6" t="inlineStr">
        <is>
          <t>электропривод</t>
        </is>
      </c>
      <c r="O7" s="6" t="inlineStr">
        <is>
          <t>горизонтальное ЭИМ вверх</t>
        </is>
      </c>
      <c r="P7" s="6" t="inlineStr">
        <is>
          <t>Корпус, крышка: СЧ20
Плунжер, седло: Сталь 12Х13
Уплотнение в затворе: Фторопласт-4
Уплотнение сальника:Фторопласт-4</t>
        </is>
      </c>
      <c r="Q7" s="6" t="inlineStr">
        <is>
          <t>строительная длинна 160мм</t>
        </is>
      </c>
      <c r="R7" s="6" t="inlineStr">
        <is>
          <t>Пропускная способность — 4 м3</t>
        </is>
      </c>
      <c r="S7" s="5" t="n">
        <v>1</v>
      </c>
      <c r="T7" s="6" t="inlineStr">
        <is>
          <t>шт</t>
        </is>
      </c>
      <c r="U7" s="7" t="n"/>
      <c r="V7" s="8" t="inlineStr">
        <is>
          <t>ООО «Арма-Пром» (Старооскольский арматурный завод, ГК «Авангард», ТМ САЗ)</t>
        </is>
      </c>
      <c r="W7" s="8" t="inlineStr">
        <is>
          <t>Россия</t>
        </is>
      </c>
      <c r="X7" s="7" t="n"/>
      <c r="Y7" s="7" t="n"/>
      <c r="Z7" s="7" t="n"/>
      <c r="AA7" s="9" t="n"/>
      <c r="AB7" s="10">
        <f>AA7*S7</f>
        <v/>
      </c>
      <c r="AC7" s="7" t="n"/>
      <c r="AD7" s="7" t="n"/>
      <c r="AE7" s="7" t="n"/>
    </row>
    <row r="8" ht="60" customHeight="1">
      <c r="A8" s="5" t="n">
        <v>3</v>
      </c>
      <c r="B8" s="6" t="inlineStr">
        <is>
          <t>1.3/4</t>
        </is>
      </c>
      <c r="C8" s="6" t="inlineStr">
        <is>
          <t>Клапан регулирующий 25ч945п Ду 50 Ру 16 KV100 с ЭИМ</t>
        </is>
      </c>
      <c r="D8" s="6" t="inlineStr">
        <is>
          <t>ТУ 3722-011-50987615</t>
        </is>
      </c>
      <c r="E8" s="6" t="inlineStr">
        <is>
          <t>50</t>
        </is>
      </c>
      <c r="F8" s="6" t="inlineStr">
        <is>
          <t>стандарт</t>
        </is>
      </c>
      <c r="G8" s="6" t="inlineStr">
        <is>
          <t>1.6</t>
        </is>
      </c>
      <c r="H8" s="6" t="inlineStr">
        <is>
          <t>От -20°С до +150°С</t>
        </is>
      </c>
      <c r="I8" s="6" t="inlineStr">
        <is>
          <t>вода</t>
        </is>
      </c>
      <c r="J8" s="6" t="inlineStr">
        <is>
          <t>чугун СЧ20</t>
        </is>
      </c>
      <c r="K8" s="6" t="inlineStr">
        <is>
          <t>У2</t>
        </is>
      </c>
      <c r="L8" s="6" t="inlineStr">
        <is>
          <t>фланцевое</t>
        </is>
      </c>
      <c r="M8" s="6" t="inlineStr">
        <is>
          <t>автоматический</t>
        </is>
      </c>
      <c r="N8" s="6" t="inlineStr">
        <is>
          <t>электропривод</t>
        </is>
      </c>
      <c r="O8" s="6" t="inlineStr">
        <is>
          <t>горизонтальное ЭИМ вверх</t>
        </is>
      </c>
      <c r="P8" s="6" t="inlineStr">
        <is>
          <t>Корпус, крышка: СЧ20
Плунжер, седло: Сталь 12Х13
Уплотнение в затворе: Фторопласт-4
Уплотнение сальника:Фторопласт-4</t>
        </is>
      </c>
      <c r="Q8" s="6" t="inlineStr">
        <is>
          <t>строительная длинна 230мм</t>
        </is>
      </c>
      <c r="R8" s="6" t="inlineStr">
        <is>
          <t>Максимальная пропускная способность - 65 м3. Допустима 40 м3</t>
        </is>
      </c>
      <c r="S8" s="5" t="n">
        <v>2</v>
      </c>
      <c r="T8" s="6" t="inlineStr">
        <is>
          <t>шт</t>
        </is>
      </c>
      <c r="U8" s="7" t="n"/>
      <c r="V8" s="8" t="inlineStr">
        <is>
          <t>ООО «Арма-Пром» (Старооскольский арматурный завод, ГК «Авангард», ТМ САЗ)</t>
        </is>
      </c>
      <c r="W8" s="8" t="inlineStr">
        <is>
          <t>Россия</t>
        </is>
      </c>
      <c r="X8" s="7" t="n"/>
      <c r="Y8" s="7" t="n"/>
      <c r="Z8" s="7" t="n"/>
      <c r="AA8" s="9" t="n"/>
      <c r="AB8" s="10">
        <f>AA8*S8</f>
        <v/>
      </c>
      <c r="AC8" s="7" t="n"/>
      <c r="AD8" s="7" t="n"/>
      <c r="AE8" s="7" t="n"/>
    </row>
    <row r="9" ht="60" customHeight="1">
      <c r="A9" s="5" t="n">
        <v>4</v>
      </c>
      <c r="B9" s="6" t="inlineStr">
        <is>
          <t>1.3/5</t>
        </is>
      </c>
      <c r="C9" s="6" t="inlineStr">
        <is>
          <t>Клапан регулирующий 25ч945п Ду 80 Ру 16 с ЭИМ</t>
        </is>
      </c>
      <c r="D9" s="6" t="inlineStr">
        <is>
          <t>ТУ 3722-011-50987615</t>
        </is>
      </c>
      <c r="E9" s="6" t="inlineStr">
        <is>
          <t>80</t>
        </is>
      </c>
      <c r="F9" s="6" t="inlineStr">
        <is>
          <t>стандарт</t>
        </is>
      </c>
      <c r="G9" s="6" t="inlineStr">
        <is>
          <t>1.6</t>
        </is>
      </c>
      <c r="H9" s="6" t="inlineStr">
        <is>
          <t>От -15°С до +150°С</t>
        </is>
      </c>
      <c r="I9" s="6" t="inlineStr">
        <is>
          <t>вода</t>
        </is>
      </c>
      <c r="J9" s="6" t="inlineStr">
        <is>
          <t>чугун СЧ20</t>
        </is>
      </c>
      <c r="K9" s="6" t="inlineStr">
        <is>
          <t>У2</t>
        </is>
      </c>
      <c r="L9" s="6" t="inlineStr">
        <is>
          <t>фланцевое</t>
        </is>
      </c>
      <c r="M9" s="6" t="inlineStr">
        <is>
          <t>автоматический</t>
        </is>
      </c>
      <c r="N9" s="6" t="inlineStr">
        <is>
          <t>электропривод</t>
        </is>
      </c>
      <c r="O9" s="6" t="inlineStr">
        <is>
          <t>горизонтальное ЭИМ вверх</t>
        </is>
      </c>
      <c r="P9" s="6" t="inlineStr">
        <is>
          <t>Корпус, крышка: СЧ20
Плунжер, седло: Сталь 12Х13
Уплотнение в затворе: Фторопласт-4
Уплотнение сальника:Фторопласт-4</t>
        </is>
      </c>
      <c r="Q9" s="6" t="inlineStr">
        <is>
          <t>строительная длинна 160мм</t>
        </is>
      </c>
      <c r="R9" s="6" t="inlineStr">
        <is>
          <t>Пропускная способность — 4 м3</t>
        </is>
      </c>
      <c r="S9" s="5" t="n">
        <v>8</v>
      </c>
      <c r="T9" s="6" t="inlineStr">
        <is>
          <t>шт</t>
        </is>
      </c>
      <c r="U9" s="7" t="n"/>
      <c r="V9" s="8" t="inlineStr">
        <is>
          <t>ООО «Арма-Пром» (Старооскольский арматурный завод, ГК «Авангард», ТМ САЗ)</t>
        </is>
      </c>
      <c r="W9" s="8" t="inlineStr">
        <is>
          <t>Россия</t>
        </is>
      </c>
      <c r="X9" s="7" t="n"/>
      <c r="Y9" s="7" t="n"/>
      <c r="Z9" s="7" t="n"/>
      <c r="AA9" s="9" t="n"/>
      <c r="AB9" s="10">
        <f>AA9*S9</f>
        <v/>
      </c>
      <c r="AC9" s="7" t="n"/>
      <c r="AD9" s="7" t="n"/>
      <c r="AE9" s="7" t="n"/>
    </row>
    <row r="10" ht="60" customHeight="1">
      <c r="A10" s="5" t="n">
        <v>5</v>
      </c>
      <c r="B10" s="6" t="inlineStr">
        <is>
          <t>1.3/163</t>
        </is>
      </c>
      <c r="C10" s="6" t="inlineStr">
        <is>
          <t>Электропривод прямоходный Regada SТ0 490.0-00TQV/00</t>
        </is>
      </c>
      <c r="D10" s="6" t="inlineStr"/>
      <c r="E10" s="6" t="inlineStr"/>
      <c r="F10" s="6" t="inlineStr"/>
      <c r="G10" s="6" t="inlineStr"/>
      <c r="H10" s="6" t="inlineStr">
        <is>
          <t>25°C - +55°C</t>
        </is>
      </c>
      <c r="I10" s="6" t="inlineStr"/>
      <c r="J10" s="6" t="inlineStr"/>
      <c r="K10" s="6" t="inlineStr">
        <is>
          <t>У</t>
        </is>
      </c>
      <c r="L10" s="6" t="inlineStr"/>
      <c r="M10" s="6" t="inlineStr"/>
      <c r="N10" s="6" t="inlineStr"/>
      <c r="O10" s="6" t="inlineStr"/>
      <c r="P10" s="6" t="inlineStr"/>
      <c r="Q10" s="6" t="inlineStr"/>
      <c r="R10" s="6" t="inlineStr">
        <is>
          <t>Степень защиты IP 54, Питающее напряжение 230 V AC, Схема включения Z20, Выключающая сила 2 900 N, Макс. нагрузочная сила 2 500 N, Скорость управления 4 mm/min,  Электродвигатель 1 W, Выключение злектропривода от нагрузки Двухсиловое (Схема включения Z20 выключатели S1, S2), Рабочий ход с датчиком 25 mm, Датчик положения Электронный с R/I преобразователем с токовым сигналом С источником, Включение 2-проводник, Выход 4 - 20 mA, Схема включения Z269, Механическое присоединение Столбикы, Присоединительная высота 110мм, Прицоедин. резьба тяги M8x1-22, Эскиз P-1185/B, 2 добавочные выключатели положения, Схема включения Z21.</t>
        </is>
      </c>
      <c r="S10" s="5" t="n">
        <v>1</v>
      </c>
      <c r="T10" s="6" t="inlineStr">
        <is>
          <t>шт</t>
        </is>
      </c>
      <c r="U10" s="7" t="n"/>
      <c r="V10" s="8" t="inlineStr">
        <is>
          <t>ООО «Арма-Пром» (Старооскольский арматурный завод, ГК «Авангард», ТМ САЗ)</t>
        </is>
      </c>
      <c r="W10" s="8" t="inlineStr">
        <is>
          <t>Россия</t>
        </is>
      </c>
      <c r="X10" s="7" t="n"/>
      <c r="Y10" s="7" t="n"/>
      <c r="Z10" s="7" t="n"/>
      <c r="AA10" s="9" t="n"/>
      <c r="AB10" s="10">
        <f>AA10*S10</f>
        <v/>
      </c>
      <c r="AC10" s="7" t="n"/>
      <c r="AD10" s="7" t="n"/>
      <c r="AE10" s="7" t="n"/>
    </row>
    <row r="11" ht="60" customHeight="1">
      <c r="A11" s="11" t="inlineStr"/>
      <c r="B11" s="11" t="inlineStr"/>
      <c r="C11" s="11" t="inlineStr"/>
      <c r="D11" s="11" t="inlineStr"/>
      <c r="E11" s="11" t="inlineStr"/>
      <c r="F11" s="11" t="inlineStr"/>
      <c r="G11" s="11" t="inlineStr"/>
      <c r="H11" s="11" t="inlineStr"/>
      <c r="I11" s="11" t="inlineStr"/>
      <c r="J11" s="11" t="inlineStr"/>
      <c r="K11" s="11" t="inlineStr"/>
      <c r="L11" s="11" t="inlineStr"/>
      <c r="M11" s="11" t="inlineStr"/>
      <c r="N11" s="11" t="inlineStr"/>
      <c r="O11" s="11" t="inlineStr"/>
      <c r="P11" s="11" t="inlineStr"/>
      <c r="Q11" s="11" t="inlineStr"/>
      <c r="R11" s="11" t="inlineStr"/>
      <c r="S11" s="11" t="inlineStr"/>
      <c r="T11" s="11" t="inlineStr"/>
      <c r="U11" s="11" t="inlineStr"/>
      <c r="V11" s="11" t="inlineStr"/>
      <c r="W11" s="11" t="inlineStr"/>
      <c r="X11" s="11" t="inlineStr"/>
      <c r="Y11" s="11" t="inlineStr"/>
      <c r="Z11" s="11" t="inlineStr"/>
      <c r="AA11" s="11" t="inlineStr">
        <is>
          <t>ИТОГО</t>
        </is>
      </c>
      <c r="AB11" s="12">
        <f>SUM(AB6:AB10)</f>
        <v/>
      </c>
      <c r="AC11" s="2" t="n"/>
      <c r="AD11" s="2" t="n"/>
      <c r="AE11" s="2" t="n"/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2026-10-27T17:09:33Z</dcterms:created>
  <dcterms:modified xmlns:dcterms="http://purl.org/dc/terms/" xmlns:xsi="http://www.w3.org/2001/XMLSchema-instance" xsi:type="dcterms:W3CDTF">2026-10-27T17:09:33Z</dcterms:modified>
</cp:coreProperties>
</file>