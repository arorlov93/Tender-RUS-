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2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«ЧелябинскСпецГражданСтрой» / ЛД Прайд (Группа компаний «ЛД», ТМ LD, LD Pride); продажи — ООО «ТД «ЛД»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1.1/14</t>
        </is>
      </c>
      <c r="C6" s="6" t="inlineStr">
        <is>
          <t>Кран шаровой 11б27п1 Ду 15 Ру 16</t>
        </is>
      </c>
      <c r="D6" s="6" t="inlineStr">
        <is>
          <t>ГОСТ 9544-2015 ГОСТ 28343 ГОСТ 21345</t>
        </is>
      </c>
      <c r="E6" s="6" t="inlineStr">
        <is>
          <t>15</t>
        </is>
      </c>
      <c r="F6" s="6" t="inlineStr">
        <is>
          <t>полный</t>
        </is>
      </c>
      <c r="G6" s="6" t="inlineStr">
        <is>
          <t>1.6</t>
        </is>
      </c>
      <c r="H6" s="6" t="inlineStr">
        <is>
          <t>От -10 до +90 °С</t>
        </is>
      </c>
      <c r="I6" s="6" t="inlineStr">
        <is>
          <t>вода</t>
        </is>
      </c>
      <c r="J6" s="6" t="inlineStr">
        <is>
          <t>латунь HPb58-2A</t>
        </is>
      </c>
      <c r="K6" s="6" t="inlineStr">
        <is>
          <t>У1</t>
        </is>
      </c>
      <c r="L6" s="6" t="inlineStr">
        <is>
          <t>Муфта-муфта ВР-ВР</t>
        </is>
      </c>
      <c r="M6" s="6" t="inlineStr">
        <is>
          <t>Ручное</t>
        </is>
      </c>
      <c r="N6" s="6" t="inlineStr">
        <is>
          <t>рукоятка</t>
        </is>
      </c>
      <c r="O6" s="6" t="inlineStr">
        <is>
          <t>любое</t>
        </is>
      </c>
      <c r="P6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6" s="6" t="inlineStr"/>
      <c r="R6" s="6" t="inlineStr">
        <is>
          <t>(класс гермитичности "А" по ГОСТ 9544-2015).</t>
        </is>
      </c>
      <c r="S6" s="5" t="n">
        <v>35</v>
      </c>
      <c r="T6" s="6" t="inlineStr">
        <is>
          <t>шт</t>
        </is>
      </c>
      <c r="U6" s="7" t="n"/>
      <c r="V6" s="8" t="inlineStr">
        <is>
          <t>ООО «ЛД Прайд» (ИНН 7449114775)</t>
        </is>
      </c>
      <c r="W6" s="8" t="inlineStr">
        <is>
          <t>Россия</t>
        </is>
      </c>
      <c r="X6" s="8" t="inlineStr">
        <is>
          <t>10826766</t>
        </is>
      </c>
      <c r="Y6" s="8" t="inlineStr">
        <is>
          <t>04.05.2031</t>
        </is>
      </c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1.1/15</t>
        </is>
      </c>
      <c r="C7" s="6" t="inlineStr">
        <is>
          <t>Кран шаровой 11б27п1 Ду 20 Ру 16</t>
        </is>
      </c>
      <c r="D7" s="6" t="inlineStr">
        <is>
          <t>ГОСТ 9544-2015 ГОСТ 28343 ГОСТ 21345</t>
        </is>
      </c>
      <c r="E7" s="6" t="inlineStr">
        <is>
          <t>20</t>
        </is>
      </c>
      <c r="F7" s="6" t="inlineStr">
        <is>
          <t>полный</t>
        </is>
      </c>
      <c r="G7" s="6" t="inlineStr">
        <is>
          <t>1.6</t>
        </is>
      </c>
      <c r="H7" s="6" t="inlineStr">
        <is>
          <t>От -10 до +90 °С</t>
        </is>
      </c>
      <c r="I7" s="6" t="inlineStr">
        <is>
          <t>вода</t>
        </is>
      </c>
      <c r="J7" s="6" t="inlineStr">
        <is>
          <t>латунь HPb58-2A</t>
        </is>
      </c>
      <c r="K7" s="6" t="inlineStr">
        <is>
          <t>У1</t>
        </is>
      </c>
      <c r="L7" s="6" t="inlineStr">
        <is>
          <t>Муфта-муфта ВР-ВР</t>
        </is>
      </c>
      <c r="M7" s="6" t="inlineStr">
        <is>
          <t>Ручное</t>
        </is>
      </c>
      <c r="N7" s="6" t="inlineStr">
        <is>
          <t>рукоятка</t>
        </is>
      </c>
      <c r="O7" s="6" t="inlineStr">
        <is>
          <t>любое</t>
        </is>
      </c>
      <c r="P7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7" s="6" t="inlineStr"/>
      <c r="R7" s="6" t="inlineStr">
        <is>
          <t>(класс гермитичности "А" по ГОСТ 9544-2015).</t>
        </is>
      </c>
      <c r="S7" s="5" t="n">
        <v>35</v>
      </c>
      <c r="T7" s="6" t="inlineStr">
        <is>
          <t>шт</t>
        </is>
      </c>
      <c r="U7" s="7" t="n"/>
      <c r="V7" s="8" t="inlineStr">
        <is>
          <t>ООО «ЛД Прайд» (ИНН 7449114775)</t>
        </is>
      </c>
      <c r="W7" s="8" t="inlineStr">
        <is>
          <t>Россия</t>
        </is>
      </c>
      <c r="X7" s="8" t="inlineStr">
        <is>
          <t>10826766</t>
        </is>
      </c>
      <c r="Y7" s="8" t="inlineStr">
        <is>
          <t>04.05.2031</t>
        </is>
      </c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1.1/16</t>
        </is>
      </c>
      <c r="C8" s="6" t="inlineStr">
        <is>
          <t>Кран шаровой 11б27п1 Ду 25 Ру 16</t>
        </is>
      </c>
      <c r="D8" s="6" t="inlineStr">
        <is>
          <t>ГОСТ 9544-2015 ГОСТ 28343 ГОСТ 21345</t>
        </is>
      </c>
      <c r="E8" s="6" t="inlineStr">
        <is>
          <t>25</t>
        </is>
      </c>
      <c r="F8" s="6" t="inlineStr">
        <is>
          <t>полный</t>
        </is>
      </c>
      <c r="G8" s="6" t="inlineStr">
        <is>
          <t>1.6</t>
        </is>
      </c>
      <c r="H8" s="6" t="inlineStr">
        <is>
          <t>От -10 до +90 °С</t>
        </is>
      </c>
      <c r="I8" s="6" t="inlineStr">
        <is>
          <t>вода</t>
        </is>
      </c>
      <c r="J8" s="6" t="inlineStr">
        <is>
          <t>латунь HPb58-2A</t>
        </is>
      </c>
      <c r="K8" s="6" t="inlineStr">
        <is>
          <t>У1</t>
        </is>
      </c>
      <c r="L8" s="6" t="inlineStr">
        <is>
          <t>Муфта-муфта ВР-ВР</t>
        </is>
      </c>
      <c r="M8" s="6" t="inlineStr">
        <is>
          <t>Ручное</t>
        </is>
      </c>
      <c r="N8" s="6" t="inlineStr">
        <is>
          <t>рукоятка</t>
        </is>
      </c>
      <c r="O8" s="6" t="inlineStr">
        <is>
          <t>любое</t>
        </is>
      </c>
      <c r="P8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8" s="6" t="inlineStr"/>
      <c r="R8" s="6" t="inlineStr"/>
      <c r="S8" s="5" t="n">
        <v>20</v>
      </c>
      <c r="T8" s="6" t="inlineStr">
        <is>
          <t>шт</t>
        </is>
      </c>
      <c r="U8" s="7" t="n"/>
      <c r="V8" s="8" t="inlineStr">
        <is>
          <t>ООО «ЛД Прайд» (ИНН 7449114775)</t>
        </is>
      </c>
      <c r="W8" s="8" t="inlineStr">
        <is>
          <t>Россия</t>
        </is>
      </c>
      <c r="X8" s="8" t="inlineStr">
        <is>
          <t>10826766</t>
        </is>
      </c>
      <c r="Y8" s="8" t="inlineStr">
        <is>
          <t>04.05.2031</t>
        </is>
      </c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1.1/17</t>
        </is>
      </c>
      <c r="C9" s="6" t="inlineStr">
        <is>
          <t>Кран шаровой 11б27п1 Ду 32 Ру 16</t>
        </is>
      </c>
      <c r="D9" s="6" t="inlineStr">
        <is>
          <t>ГОСТ 9544-2015 ГОСТ 28343 ГОСТ 21345</t>
        </is>
      </c>
      <c r="E9" s="6" t="inlineStr">
        <is>
          <t>32</t>
        </is>
      </c>
      <c r="F9" s="6" t="inlineStr">
        <is>
          <t>полный</t>
        </is>
      </c>
      <c r="G9" s="6" t="inlineStr">
        <is>
          <t>1.6</t>
        </is>
      </c>
      <c r="H9" s="6" t="inlineStr">
        <is>
          <t>От -10 до +90 °С</t>
        </is>
      </c>
      <c r="I9" s="6" t="inlineStr">
        <is>
          <t>вода</t>
        </is>
      </c>
      <c r="J9" s="6" t="inlineStr">
        <is>
          <t>латунь HPb58-2A</t>
        </is>
      </c>
      <c r="K9" s="6" t="inlineStr">
        <is>
          <t>У1</t>
        </is>
      </c>
      <c r="L9" s="6" t="inlineStr">
        <is>
          <t>Муфта-муфта ВР-ВР</t>
        </is>
      </c>
      <c r="M9" s="6" t="inlineStr">
        <is>
          <t>Ручное</t>
        </is>
      </c>
      <c r="N9" s="6" t="inlineStr">
        <is>
          <t>рукоятка</t>
        </is>
      </c>
      <c r="O9" s="6" t="inlineStr">
        <is>
          <t>любое</t>
        </is>
      </c>
      <c r="P9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9" s="6" t="inlineStr"/>
      <c r="R9" s="6" t="inlineStr">
        <is>
          <t>(класс гермитичности "А" по ГОСТ 9544-2015).</t>
        </is>
      </c>
      <c r="S9" s="5" t="n">
        <v>25</v>
      </c>
      <c r="T9" s="6" t="inlineStr">
        <is>
          <t>шт</t>
        </is>
      </c>
      <c r="U9" s="7" t="n"/>
      <c r="V9" s="8" t="inlineStr">
        <is>
          <t>ООО «ЛД Прайд» (ИНН 7449114775)</t>
        </is>
      </c>
      <c r="W9" s="8" t="inlineStr">
        <is>
          <t>Россия</t>
        </is>
      </c>
      <c r="X9" s="8" t="inlineStr">
        <is>
          <t>10826766</t>
        </is>
      </c>
      <c r="Y9" s="8" t="inlineStr">
        <is>
          <t>04.05.2031</t>
        </is>
      </c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1.1/18</t>
        </is>
      </c>
      <c r="C10" s="6" t="inlineStr">
        <is>
          <t>Кран шаровой 11б27п1 Ду 40 Ру 16</t>
        </is>
      </c>
      <c r="D10" s="6" t="inlineStr">
        <is>
          <t>ГОСТ 9544-2015 ГОСТ 28343 ГОСТ 21345</t>
        </is>
      </c>
      <c r="E10" s="6" t="inlineStr">
        <is>
          <t>40</t>
        </is>
      </c>
      <c r="F10" s="6" t="inlineStr">
        <is>
          <t>полный</t>
        </is>
      </c>
      <c r="G10" s="6" t="inlineStr">
        <is>
          <t>1.6</t>
        </is>
      </c>
      <c r="H10" s="6" t="inlineStr">
        <is>
          <t>От -10 до +90 °С</t>
        </is>
      </c>
      <c r="I10" s="6" t="inlineStr">
        <is>
          <t>вода</t>
        </is>
      </c>
      <c r="J10" s="6" t="inlineStr">
        <is>
          <t>латунь HPb58-2A</t>
        </is>
      </c>
      <c r="K10" s="6" t="inlineStr">
        <is>
          <t>У1</t>
        </is>
      </c>
      <c r="L10" s="6" t="inlineStr">
        <is>
          <t>Муфта-муфта ВР-ВР</t>
        </is>
      </c>
      <c r="M10" s="6" t="inlineStr">
        <is>
          <t>Ручное</t>
        </is>
      </c>
      <c r="N10" s="6" t="inlineStr">
        <is>
          <t>рукоятка</t>
        </is>
      </c>
      <c r="O10" s="6" t="inlineStr">
        <is>
          <t>любое</t>
        </is>
      </c>
      <c r="P10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0" s="6" t="inlineStr"/>
      <c r="R10" s="6" t="inlineStr"/>
      <c r="S10" s="5" t="n">
        <v>8</v>
      </c>
      <c r="T10" s="6" t="inlineStr">
        <is>
          <t>шт</t>
        </is>
      </c>
      <c r="U10" s="7" t="n"/>
      <c r="V10" s="8" t="inlineStr">
        <is>
          <t>ООО «ЛД Прайд» (ИНН 7449114775)</t>
        </is>
      </c>
      <c r="W10" s="8" t="inlineStr">
        <is>
          <t>Россия</t>
        </is>
      </c>
      <c r="X10" s="8" t="inlineStr">
        <is>
          <t>10826766</t>
        </is>
      </c>
      <c r="Y10" s="8" t="inlineStr">
        <is>
          <t>04.05.2031</t>
        </is>
      </c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5" t="n">
        <v>6</v>
      </c>
      <c r="B11" s="6" t="inlineStr">
        <is>
          <t>1.1/19</t>
        </is>
      </c>
      <c r="C11" s="6" t="inlineStr">
        <is>
          <t>Кран шаровой 11б27п1 Ду 50 Ру 16</t>
        </is>
      </c>
      <c r="D11" s="6" t="inlineStr">
        <is>
          <t>ГОСТ 9544-2015 ГОСТ 28343 ГОСТ 21345</t>
        </is>
      </c>
      <c r="E11" s="6" t="inlineStr">
        <is>
          <t>50</t>
        </is>
      </c>
      <c r="F11" s="6" t="inlineStr">
        <is>
          <t>полный</t>
        </is>
      </c>
      <c r="G11" s="6" t="inlineStr">
        <is>
          <t>1.6</t>
        </is>
      </c>
      <c r="H11" s="6" t="inlineStr">
        <is>
          <t>От -10 до +90 °С</t>
        </is>
      </c>
      <c r="I11" s="6" t="inlineStr">
        <is>
          <t>вода</t>
        </is>
      </c>
      <c r="J11" s="6" t="inlineStr">
        <is>
          <t>латунь HPb58-2A</t>
        </is>
      </c>
      <c r="K11" s="6" t="inlineStr">
        <is>
          <t>У1</t>
        </is>
      </c>
      <c r="L11" s="6" t="inlineStr">
        <is>
          <t>Муфта-муфта ВР-ВР</t>
        </is>
      </c>
      <c r="M11" s="6" t="inlineStr">
        <is>
          <t>Ручное</t>
        </is>
      </c>
      <c r="N11" s="6" t="inlineStr">
        <is>
          <t>рукоятка</t>
        </is>
      </c>
      <c r="O11" s="6" t="inlineStr">
        <is>
          <t>любое</t>
        </is>
      </c>
      <c r="P11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1" s="6" t="inlineStr">
        <is>
          <t>размер b (толщина) согласно ГОСТ 33259-2015: b = 22 мм</t>
        </is>
      </c>
      <c r="R11" s="6" t="inlineStr"/>
      <c r="S11" s="5" t="n">
        <v>8</v>
      </c>
      <c r="T11" s="6" t="inlineStr">
        <is>
          <t>шт</t>
        </is>
      </c>
      <c r="U11" s="7" t="n"/>
      <c r="V11" s="8" t="inlineStr">
        <is>
          <t>ООО «ЛД Прайд» (ИНН 7449114775)</t>
        </is>
      </c>
      <c r="W11" s="8" t="inlineStr">
        <is>
          <t>Россия</t>
        </is>
      </c>
      <c r="X11" s="8" t="inlineStr">
        <is>
          <t>10826766</t>
        </is>
      </c>
      <c r="Y11" s="8" t="inlineStr">
        <is>
          <t>04.05.2031</t>
        </is>
      </c>
      <c r="Z11" s="7" t="n"/>
      <c r="AA11" s="9" t="n"/>
      <c r="AB11" s="10">
        <f>AA11*S11</f>
        <v/>
      </c>
      <c r="AC11" s="7" t="n"/>
      <c r="AD11" s="7" t="n"/>
      <c r="AE11" s="7" t="n"/>
    </row>
    <row r="12" ht="60" customHeight="1">
      <c r="A12" s="5" t="n">
        <v>7</v>
      </c>
      <c r="B12" s="6" t="inlineStr">
        <is>
          <t>1.1/20</t>
        </is>
      </c>
      <c r="C12" s="6" t="inlineStr">
        <is>
          <t>Кран шаровой 11с67п Ду 150 Ру 25 цельносварной под приварку</t>
        </is>
      </c>
      <c r="D12" s="6" t="inlineStr">
        <is>
          <t>ГОСТ 9544-2015 ГОСТ 28343 ГОСТ 21345</t>
        </is>
      </c>
      <c r="E12" s="6" t="inlineStr">
        <is>
          <t>150</t>
        </is>
      </c>
      <c r="F12" s="6" t="inlineStr">
        <is>
          <t>Полнопроходной</t>
        </is>
      </c>
      <c r="G12" s="6" t="inlineStr">
        <is>
          <t>2.5</t>
        </is>
      </c>
      <c r="H12" s="6" t="inlineStr">
        <is>
          <t>от -400С до +2000С</t>
        </is>
      </c>
      <c r="I12" s="6" t="inlineStr">
        <is>
          <t>вода, пар, ГСМ</t>
        </is>
      </c>
      <c r="J12" s="6" t="inlineStr">
        <is>
          <t>Сталь 20</t>
        </is>
      </c>
      <c r="K12" s="6" t="inlineStr">
        <is>
          <t>У1</t>
        </is>
      </c>
      <c r="L12" s="6" t="inlineStr">
        <is>
          <t>Под приварку</t>
        </is>
      </c>
      <c r="M12" s="6" t="inlineStr">
        <is>
          <t>Ручное</t>
        </is>
      </c>
      <c r="N12" s="6" t="inlineStr">
        <is>
          <t>Рычаг</t>
        </is>
      </c>
      <c r="O12" s="6" t="inlineStr">
        <is>
          <t>любое</t>
        </is>
      </c>
      <c r="P12" s="6" t="inlineStr">
        <is>
          <t>Шар — 12Х18Н10Т; шпиндель — 20X13; уплотнение шпинделя , кольцо, седло — фторопласт Ф4ГЗК6, кольцо уплотнительное — резина РТС-002мчп</t>
        </is>
      </c>
      <c r="Q12" s="6" t="inlineStr">
        <is>
          <t>-</t>
        </is>
      </c>
      <c r="R12" s="6" t="inlineStr">
        <is>
          <t>Класс герметичности по ГОСТ 9544-2015 «А»</t>
        </is>
      </c>
      <c r="S12" s="5" t="n">
        <v>2</v>
      </c>
      <c r="T12" s="6" t="inlineStr">
        <is>
          <t>шт</t>
        </is>
      </c>
      <c r="U12" s="7" t="n"/>
      <c r="V12" s="8" t="inlineStr">
        <is>
          <t>ООО «ЧелябинскСпецГражданСтрой» (ИНН 7451211335)</t>
        </is>
      </c>
      <c r="W12" s="8" t="inlineStr">
        <is>
          <t>Россия</t>
        </is>
      </c>
      <c r="X12" s="8" t="inlineStr">
        <is>
          <t>10655491</t>
        </is>
      </c>
      <c r="Y12" s="8" t="inlineStr">
        <is>
          <t>30.06.2028</t>
        </is>
      </c>
      <c r="Z12" s="7" t="n"/>
      <c r="AA12" s="9" t="n"/>
      <c r="AB12" s="10">
        <f>AA12*S12</f>
        <v/>
      </c>
      <c r="AC12" s="7" t="n"/>
      <c r="AD12" s="7" t="n"/>
      <c r="AE12" s="7" t="n"/>
    </row>
    <row r="13" ht="60" customHeight="1">
      <c r="A13" s="5" t="n">
        <v>8</v>
      </c>
      <c r="B13" s="6" t="inlineStr">
        <is>
          <t>1.1/21</t>
        </is>
      </c>
      <c r="C13" s="6" t="inlineStr">
        <is>
          <t>Кран шаровой 11с67п Ду 200 Ру 16 ЦУФ.001 КШ укороченный полнопроходной фланцевый с рукояткой</t>
        </is>
      </c>
      <c r="D13" s="6" t="inlineStr">
        <is>
          <t>ГОСТ 9544-2015 ГОСТ 28343 ГОСТ 21345</t>
        </is>
      </c>
      <c r="E13" s="6" t="inlineStr">
        <is>
          <t>200</t>
        </is>
      </c>
      <c r="F13" s="6" t="inlineStr">
        <is>
          <t>полнопроходной</t>
        </is>
      </c>
      <c r="G13" s="6" t="inlineStr">
        <is>
          <t>1.6</t>
        </is>
      </c>
      <c r="H13" s="6" t="inlineStr">
        <is>
          <t>от –40°С до +200°С</t>
        </is>
      </c>
      <c r="I13" s="6" t="inlineStr">
        <is>
          <t>Вода, газ, нефтепродукты и другие нетоксичные и неагрессивные среды</t>
        </is>
      </c>
      <c r="J13" s="6" t="inlineStr">
        <is>
          <t>Сталь 20</t>
        </is>
      </c>
      <c r="K13" s="6" t="inlineStr">
        <is>
          <t>У1</t>
        </is>
      </c>
      <c r="L13" s="6" t="inlineStr">
        <is>
          <t>Фланец-фланец тип В по ГОСТ 33259</t>
        </is>
      </c>
      <c r="M13" s="6" t="inlineStr">
        <is>
          <t>Ручное</t>
        </is>
      </c>
      <c r="N13" s="6" t="inlineStr">
        <is>
          <t>Рычаг</t>
        </is>
      </c>
      <c r="O13" s="6" t="inlineStr">
        <is>
          <t>любое</t>
        </is>
      </c>
      <c r="P13" s="6" t="inlineStr">
        <is>
          <t>Корпус сталь 20, Шар
сталь 08Х13 (AISI 409)
сталь 08Х18Н10 (AISI 304), Кольцо уплотнительное фторопласт Ф4К20</t>
        </is>
      </c>
      <c r="Q13" s="6" t="inlineStr">
        <is>
          <t>_</t>
        </is>
      </c>
      <c r="R13" s="6" t="inlineStr"/>
      <c r="S13" s="5" t="n">
        <v>2</v>
      </c>
      <c r="T13" s="6" t="inlineStr">
        <is>
          <t>шт</t>
        </is>
      </c>
      <c r="U13" s="7" t="n"/>
      <c r="V13" s="8" t="inlineStr">
        <is>
          <t>ООО «ЧелябинскСпецГражданСтрой» (ИНН 7451211335)</t>
        </is>
      </c>
      <c r="W13" s="8" t="inlineStr">
        <is>
          <t>Россия</t>
        </is>
      </c>
      <c r="X13" s="8" t="inlineStr">
        <is>
          <t>10655491</t>
        </is>
      </c>
      <c r="Y13" s="8" t="inlineStr">
        <is>
          <t>30.06.2028</t>
        </is>
      </c>
      <c r="Z13" s="7" t="n"/>
      <c r="AA13" s="9" t="n"/>
      <c r="AB13" s="10">
        <f>AA13*S13</f>
        <v/>
      </c>
      <c r="AC13" s="7" t="n"/>
      <c r="AD13" s="7" t="n"/>
      <c r="AE13" s="7" t="n"/>
    </row>
    <row r="14" ht="60" customHeight="1">
      <c r="A14" s="5" t="n">
        <v>9</v>
      </c>
      <c r="B14" s="6" t="inlineStr">
        <is>
          <t>1.2/1</t>
        </is>
      </c>
      <c r="C14" s="6" t="inlineStr">
        <is>
          <t>Кран шаровой 11с67п Ду 32 Ру 25 цельносварной под приварку</t>
        </is>
      </c>
      <c r="D14" s="6" t="inlineStr">
        <is>
          <t>ТУ У 04671406-003-1999; ГОСТ 21345-2005</t>
        </is>
      </c>
      <c r="E14" s="6" t="inlineStr">
        <is>
          <t>32</t>
        </is>
      </c>
      <c r="F14" s="6" t="inlineStr">
        <is>
          <t>стандарт</t>
        </is>
      </c>
      <c r="G14" s="6" t="inlineStr">
        <is>
          <t>2.5</t>
        </is>
      </c>
      <c r="H14" s="6" t="inlineStr">
        <is>
          <t>от -30 до +180</t>
        </is>
      </c>
      <c r="I14" s="6" t="inlineStr">
        <is>
          <t>природный газ, вода, нефтепродукты, сжиженный  газ и прочие среды</t>
        </is>
      </c>
      <c r="J14" s="6" t="inlineStr">
        <is>
          <t>сталь 20</t>
        </is>
      </c>
      <c r="K14" s="6" t="inlineStr">
        <is>
          <t>У1</t>
        </is>
      </c>
      <c r="L14" s="6" t="inlineStr">
        <is>
          <t>приварной</t>
        </is>
      </c>
      <c r="M14" s="6" t="inlineStr">
        <is>
          <t>ручной (рукоятка)</t>
        </is>
      </c>
      <c r="N14" s="6" t="inlineStr">
        <is>
          <t>-</t>
        </is>
      </c>
      <c r="O14" s="6" t="inlineStr">
        <is>
          <t>любое</t>
        </is>
      </c>
      <c r="P14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14" s="6" t="inlineStr">
        <is>
          <t>-</t>
        </is>
      </c>
      <c r="R14" s="6" t="inlineStr">
        <is>
          <t>-</t>
        </is>
      </c>
      <c r="S14" s="5" t="n">
        <v>2</v>
      </c>
      <c r="T14" s="6" t="inlineStr">
        <is>
          <t>шт</t>
        </is>
      </c>
      <c r="U14" s="7" t="n"/>
      <c r="V14" s="8" t="inlineStr">
        <is>
          <t>ООО «ЧелябинскСпецГражданСтрой» (ИНН 7451211335)</t>
        </is>
      </c>
      <c r="W14" s="8" t="inlineStr">
        <is>
          <t>Россия</t>
        </is>
      </c>
      <c r="X14" s="8" t="inlineStr">
        <is>
          <t>10655491</t>
        </is>
      </c>
      <c r="Y14" s="8" t="inlineStr">
        <is>
          <t>30.06.2028</t>
        </is>
      </c>
      <c r="Z14" s="7" t="n"/>
      <c r="AA14" s="9" t="n"/>
      <c r="AB14" s="10">
        <f>AA14*S14</f>
        <v/>
      </c>
      <c r="AC14" s="7" t="n"/>
      <c r="AD14" s="7" t="n"/>
      <c r="AE14" s="7" t="n"/>
    </row>
    <row r="15" ht="60" customHeight="1">
      <c r="A15" s="5" t="n">
        <v>10</v>
      </c>
      <c r="B15" s="6" t="inlineStr">
        <is>
          <t>1.2/2</t>
        </is>
      </c>
      <c r="C15" s="6" t="inlineStr">
        <is>
          <t>Кран шаровой 11с67п Ду 100 Ру 25 цельносварной под приварку</t>
        </is>
      </c>
      <c r="D15" s="6" t="inlineStr">
        <is>
          <t>ГОСТ 21345-2005</t>
        </is>
      </c>
      <c r="E15" s="6" t="inlineStr">
        <is>
          <t>100</t>
        </is>
      </c>
      <c r="F15" s="6" t="inlineStr">
        <is>
          <t>полнопроходной</t>
        </is>
      </c>
      <c r="G15" s="6" t="inlineStr">
        <is>
          <t>2.5</t>
        </is>
      </c>
      <c r="H15" s="6" t="inlineStr">
        <is>
          <t>от -40 до +200</t>
        </is>
      </c>
      <c r="I15" s="6" t="inlineStr">
        <is>
          <t>вода</t>
        </is>
      </c>
      <c r="J15" s="6" t="inlineStr">
        <is>
          <t>сталь 20</t>
        </is>
      </c>
      <c r="K15" s="6" t="inlineStr">
        <is>
          <t>У1</t>
        </is>
      </c>
      <c r="L15" s="6" t="inlineStr">
        <is>
          <t>под приварку</t>
        </is>
      </c>
      <c r="M15" s="6" t="inlineStr">
        <is>
          <t>ручное</t>
        </is>
      </c>
      <c r="N15" s="6" t="inlineStr">
        <is>
          <t>рукоятка</t>
        </is>
      </c>
      <c r="O15" s="6" t="inlineStr">
        <is>
          <t>любое</t>
        </is>
      </c>
      <c r="P15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15" s="6" t="inlineStr">
        <is>
          <t>строительная длина 390мм</t>
        </is>
      </c>
      <c r="R15" s="6" t="inlineStr"/>
      <c r="S15" s="5" t="n">
        <v>4</v>
      </c>
      <c r="T15" s="6" t="inlineStr">
        <is>
          <t>шт</t>
        </is>
      </c>
      <c r="U15" s="7" t="n"/>
      <c r="V15" s="8" t="inlineStr">
        <is>
          <t>ООО «ЧелябинскСпецГражданСтрой» (ИНН 7451211335)</t>
        </is>
      </c>
      <c r="W15" s="8" t="inlineStr">
        <is>
          <t>Россия</t>
        </is>
      </c>
      <c r="X15" s="8" t="inlineStr">
        <is>
          <t>10655491</t>
        </is>
      </c>
      <c r="Y15" s="8" t="inlineStr">
        <is>
          <t>30.06.2028</t>
        </is>
      </c>
      <c r="Z15" s="7" t="n"/>
      <c r="AA15" s="9" t="n"/>
      <c r="AB15" s="10">
        <f>AA15*S15</f>
        <v/>
      </c>
      <c r="AC15" s="7" t="n"/>
      <c r="AD15" s="7" t="n"/>
      <c r="AE15" s="7" t="n"/>
    </row>
    <row r="16" ht="60" customHeight="1">
      <c r="A16" s="5" t="n">
        <v>11</v>
      </c>
      <c r="B16" s="6" t="inlineStr">
        <is>
          <t>1.2/3</t>
        </is>
      </c>
      <c r="C16" s="6" t="inlineStr">
        <is>
          <t>Кран шаровой 11с67п Ду 50 Ру 25 полнопрох. с КОФ (КЗШС41нж)</t>
        </is>
      </c>
      <c r="D16" s="6" t="inlineStr">
        <is>
          <t>ТУ У 04671406-003-1999 (ТУ У 04671406-02-96)</t>
        </is>
      </c>
      <c r="E16" s="6" t="inlineStr">
        <is>
          <t>50</t>
        </is>
      </c>
      <c r="F16" s="6" t="inlineStr">
        <is>
          <t>полнопроходной</t>
        </is>
      </c>
      <c r="G16" s="6" t="inlineStr">
        <is>
          <t>2.5</t>
        </is>
      </c>
      <c r="H16" s="6" t="inlineStr">
        <is>
          <t>От -40°С до +200°С</t>
        </is>
      </c>
      <c r="I16" s="6" t="inlineStr">
        <is>
          <t>Вода</t>
        </is>
      </c>
      <c r="J16" s="6" t="inlineStr">
        <is>
          <t>сталь 20</t>
        </is>
      </c>
      <c r="K16" s="6" t="inlineStr">
        <is>
          <t>У1</t>
        </is>
      </c>
      <c r="L16" s="6" t="inlineStr">
        <is>
          <t>фланец-фланец</t>
        </is>
      </c>
      <c r="M16" s="6" t="inlineStr">
        <is>
          <t>Ручное</t>
        </is>
      </c>
      <c r="N16" s="6" t="inlineStr">
        <is>
          <t>Рукоятка</t>
        </is>
      </c>
      <c r="O16" s="6" t="inlineStr">
        <is>
          <t>любое</t>
        </is>
      </c>
      <c r="P16" s="6" t="inlineStr">
        <is>
          <t>Шпиндель:  Сталь 20Х13 Уплотнения горловины: Фторопласт Ф4 Уплотнения седла: Фторопласт Ф4  Горловина:  Сталь 20 Шар: Нержавеющая сталь 12Х18Н10Т</t>
        </is>
      </c>
      <c r="Q16" s="6" t="inlineStr">
        <is>
          <t>180мм</t>
        </is>
      </c>
      <c r="R16" s="6" t="inlineStr"/>
      <c r="S16" s="5" t="n">
        <v>18</v>
      </c>
      <c r="T16" s="6" t="inlineStr">
        <is>
          <t>шт</t>
        </is>
      </c>
      <c r="U16" s="7" t="n"/>
      <c r="V16" s="8" t="inlineStr">
        <is>
          <t>ООО «ЧелябинскСпецГражданСтрой» (ИНН 7451211335)</t>
        </is>
      </c>
      <c r="W16" s="8" t="inlineStr">
        <is>
          <t>Россия</t>
        </is>
      </c>
      <c r="X16" s="8" t="inlineStr">
        <is>
          <t>10655491</t>
        </is>
      </c>
      <c r="Y16" s="8" t="inlineStr">
        <is>
          <t>30.06.2028</t>
        </is>
      </c>
      <c r="Z16" s="7" t="n"/>
      <c r="AA16" s="9" t="n"/>
      <c r="AB16" s="10">
        <f>AA16*S16</f>
        <v/>
      </c>
      <c r="AC16" s="7" t="n"/>
      <c r="AD16" s="7" t="n"/>
      <c r="AE16" s="7" t="n"/>
    </row>
    <row r="17" ht="60" customHeight="1">
      <c r="A17" s="5" t="n">
        <v>12</v>
      </c>
      <c r="B17" s="6" t="inlineStr">
        <is>
          <t>1.2/4</t>
        </is>
      </c>
      <c r="C17" s="6" t="inlineStr">
        <is>
          <t>Кран шаровой 11с67п Ду 80 Ру 25 полнопрох. с КОФ (КЗШС41нж)</t>
        </is>
      </c>
      <c r="D17" s="6" t="inlineStr">
        <is>
          <t>ТУ У 04671406-003-1999; ГОСТ 21345, ГОСТ 28343</t>
        </is>
      </c>
      <c r="E17" s="6" t="inlineStr">
        <is>
          <t>80</t>
        </is>
      </c>
      <c r="F17" s="6" t="inlineStr">
        <is>
          <t>полнопроходной</t>
        </is>
      </c>
      <c r="G17" s="6" t="inlineStr">
        <is>
          <t>2.5</t>
        </is>
      </c>
      <c r="H17" s="6" t="inlineStr">
        <is>
          <t>От -40°С до +200°С</t>
        </is>
      </c>
      <c r="I17" s="6" t="inlineStr">
        <is>
          <t>Вода</t>
        </is>
      </c>
      <c r="J17" s="6" t="inlineStr">
        <is>
          <t>сталь 20</t>
        </is>
      </c>
      <c r="K17" s="6" t="inlineStr">
        <is>
          <t>У1</t>
        </is>
      </c>
      <c r="L17" s="6" t="inlineStr">
        <is>
          <t>фланцевое</t>
        </is>
      </c>
      <c r="M17" s="6" t="inlineStr">
        <is>
          <t>Ручное</t>
        </is>
      </c>
      <c r="N17" s="6" t="inlineStr">
        <is>
          <t>Рукоятка</t>
        </is>
      </c>
      <c r="O17" s="6" t="inlineStr">
        <is>
          <t>любое</t>
        </is>
      </c>
      <c r="P17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17" s="6" t="inlineStr">
        <is>
          <t>строительная длина 210мм</t>
        </is>
      </c>
      <c r="R17" s="6" t="inlineStr"/>
      <c r="S17" s="5" t="n">
        <v>4</v>
      </c>
      <c r="T17" s="6" t="inlineStr">
        <is>
          <t>шт</t>
        </is>
      </c>
      <c r="U17" s="7" t="n"/>
      <c r="V17" s="8" t="inlineStr">
        <is>
          <t>ООО «ЧелябинскСпецГражданСтрой» (ИНН 7451211335)</t>
        </is>
      </c>
      <c r="W17" s="8" t="inlineStr">
        <is>
          <t>Россия</t>
        </is>
      </c>
      <c r="X17" s="8" t="inlineStr">
        <is>
          <t>10655491</t>
        </is>
      </c>
      <c r="Y17" s="8" t="inlineStr">
        <is>
          <t>30.06.2028</t>
        </is>
      </c>
      <c r="Z17" s="7" t="n"/>
      <c r="AA17" s="9" t="n"/>
      <c r="AB17" s="10">
        <f>AA17*S17</f>
        <v/>
      </c>
      <c r="AC17" s="7" t="n"/>
      <c r="AD17" s="7" t="n"/>
      <c r="AE17" s="7" t="n"/>
    </row>
    <row r="18" ht="60" customHeight="1">
      <c r="A18" s="5" t="n">
        <v>13</v>
      </c>
      <c r="B18" s="6" t="inlineStr">
        <is>
          <t>1.2/5</t>
        </is>
      </c>
      <c r="C18" s="6" t="inlineStr">
        <is>
          <t>Кран шаровой 11с67п Ду 100 Ру 16 ЦУФ.001 КШ укороченный полнопроходной фланцевый с рукояткой</t>
        </is>
      </c>
      <c r="D18" s="6" t="inlineStr">
        <is>
          <t>ТУ У 046714006-003-1999</t>
        </is>
      </c>
      <c r="E18" s="6" t="inlineStr">
        <is>
          <t>100</t>
        </is>
      </c>
      <c r="F18" s="6" t="inlineStr">
        <is>
          <t>полнопроходной</t>
        </is>
      </c>
      <c r="G18" s="6" t="inlineStr">
        <is>
          <t>1.6</t>
        </is>
      </c>
      <c r="H18" s="6" t="inlineStr">
        <is>
          <t>от -40 до +200</t>
        </is>
      </c>
      <c r="I18" s="6" t="inlineStr">
        <is>
          <t>вода</t>
        </is>
      </c>
      <c r="J18" s="6" t="inlineStr">
        <is>
          <t>сталь 20</t>
        </is>
      </c>
      <c r="K18" s="6" t="inlineStr">
        <is>
          <t>У1</t>
        </is>
      </c>
      <c r="L18" s="6" t="inlineStr">
        <is>
          <t>фланцевое</t>
        </is>
      </c>
      <c r="M18" s="6" t="inlineStr">
        <is>
          <t>ручное</t>
        </is>
      </c>
      <c r="N18" s="6" t="inlineStr">
        <is>
          <t>рукоятка</t>
        </is>
      </c>
      <c r="O18" s="6" t="inlineStr">
        <is>
          <t>любое</t>
        </is>
      </c>
      <c r="P18" s="6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18" s="6" t="inlineStr">
        <is>
          <t>строительная длина 230 мм</t>
        </is>
      </c>
      <c r="R18" s="6" t="inlineStr"/>
      <c r="S18" s="5" t="n">
        <v>2</v>
      </c>
      <c r="T18" s="6" t="inlineStr">
        <is>
          <t>шт</t>
        </is>
      </c>
      <c r="U18" s="7" t="n"/>
      <c r="V18" s="8" t="inlineStr">
        <is>
          <t>ООО «ЧелябинскСпецГражданСтрой» (ИНН 7451211335)</t>
        </is>
      </c>
      <c r="W18" s="8" t="inlineStr">
        <is>
          <t>Россия</t>
        </is>
      </c>
      <c r="X18" s="8" t="inlineStr">
        <is>
          <t>10655491</t>
        </is>
      </c>
      <c r="Y18" s="8" t="inlineStr">
        <is>
          <t>30.06.2028</t>
        </is>
      </c>
      <c r="Z18" s="7" t="n"/>
      <c r="AA18" s="9" t="n"/>
      <c r="AB18" s="10">
        <f>AA18*S18</f>
        <v/>
      </c>
      <c r="AC18" s="7" t="n"/>
      <c r="AD18" s="7" t="n"/>
      <c r="AE18" s="7" t="n"/>
    </row>
    <row r="19" ht="60" customHeight="1">
      <c r="A19" s="5" t="n">
        <v>14</v>
      </c>
      <c r="B19" s="6" t="inlineStr">
        <is>
          <t>1.3/101</t>
        </is>
      </c>
      <c r="C19" s="6" t="inlineStr">
        <is>
          <t>Кран шаровой 11б27п1 Ду 15 Ру 16</t>
        </is>
      </c>
      <c r="D19" s="6" t="inlineStr">
        <is>
          <t>ГОСТ 9544-2015 ГОСТ 28343 ГОСТ 21345</t>
        </is>
      </c>
      <c r="E19" s="6" t="inlineStr">
        <is>
          <t>15</t>
        </is>
      </c>
      <c r="F19" s="6" t="inlineStr">
        <is>
          <t>полный</t>
        </is>
      </c>
      <c r="G19" s="6" t="inlineStr">
        <is>
          <t>1.6</t>
        </is>
      </c>
      <c r="H19" s="6" t="inlineStr">
        <is>
          <t>От -10 до +90 °С</t>
        </is>
      </c>
      <c r="I19" s="6" t="inlineStr">
        <is>
          <t>вода</t>
        </is>
      </c>
      <c r="J19" s="6" t="inlineStr">
        <is>
          <t>латунь HPb58-2A</t>
        </is>
      </c>
      <c r="K19" s="6" t="inlineStr">
        <is>
          <t>У1</t>
        </is>
      </c>
      <c r="L19" s="6" t="inlineStr">
        <is>
          <t>Муфта-муфта ВР-ВР</t>
        </is>
      </c>
      <c r="M19" s="6" t="inlineStr">
        <is>
          <t>Ручное</t>
        </is>
      </c>
      <c r="N19" s="6" t="inlineStr">
        <is>
          <t>рукоятка</t>
        </is>
      </c>
      <c r="O19" s="6" t="inlineStr">
        <is>
          <t>любое</t>
        </is>
      </c>
      <c r="P19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19" s="6" t="inlineStr"/>
      <c r="R19" s="6" t="inlineStr">
        <is>
          <t>(класс гермитичности "А" по ГОСТ 9544-2015).</t>
        </is>
      </c>
      <c r="S19" s="5" t="n">
        <v>110</v>
      </c>
      <c r="T19" s="6" t="inlineStr">
        <is>
          <t>шт</t>
        </is>
      </c>
      <c r="U19" s="7" t="n"/>
      <c r="V19" s="8" t="inlineStr">
        <is>
          <t>ООО «ЛД Прайд» (ИНН 7449114775)</t>
        </is>
      </c>
      <c r="W19" s="8" t="inlineStr">
        <is>
          <t>Россия</t>
        </is>
      </c>
      <c r="X19" s="8" t="inlineStr">
        <is>
          <t>10826766</t>
        </is>
      </c>
      <c r="Y19" s="8" t="inlineStr">
        <is>
          <t>04.05.2031</t>
        </is>
      </c>
      <c r="Z19" s="7" t="n"/>
      <c r="AA19" s="9" t="n"/>
      <c r="AB19" s="10">
        <f>AA19*S19</f>
        <v/>
      </c>
      <c r="AC19" s="7" t="n"/>
      <c r="AD19" s="7" t="n"/>
      <c r="AE19" s="7" t="n"/>
    </row>
    <row r="20" ht="60" customHeight="1">
      <c r="A20" s="5" t="n">
        <v>15</v>
      </c>
      <c r="B20" s="6" t="inlineStr">
        <is>
          <t>1.3/102</t>
        </is>
      </c>
      <c r="C20" s="6" t="inlineStr">
        <is>
          <t>Кран шаровой 11б27п1 Ду 20 Ру 16</t>
        </is>
      </c>
      <c r="D20" s="6" t="inlineStr">
        <is>
          <t>ГОСТ 9544-2015 ГОСТ 28343 ГОСТ 21345</t>
        </is>
      </c>
      <c r="E20" s="6" t="inlineStr">
        <is>
          <t>20</t>
        </is>
      </c>
      <c r="F20" s="6" t="inlineStr">
        <is>
          <t>полный</t>
        </is>
      </c>
      <c r="G20" s="6" t="inlineStr">
        <is>
          <t>1.6</t>
        </is>
      </c>
      <c r="H20" s="6" t="inlineStr">
        <is>
          <t>От -10 до +90 °С</t>
        </is>
      </c>
      <c r="I20" s="6" t="inlineStr">
        <is>
          <t>вода</t>
        </is>
      </c>
      <c r="J20" s="6" t="inlineStr">
        <is>
          <t>латунь HPb58-2A</t>
        </is>
      </c>
      <c r="K20" s="6" t="inlineStr">
        <is>
          <t>У1</t>
        </is>
      </c>
      <c r="L20" s="6" t="inlineStr">
        <is>
          <t>Муфта-муфта ВР-ВР</t>
        </is>
      </c>
      <c r="M20" s="6" t="inlineStr">
        <is>
          <t>Ручное</t>
        </is>
      </c>
      <c r="N20" s="6" t="inlineStr">
        <is>
          <t>рукоятка</t>
        </is>
      </c>
      <c r="O20" s="6" t="inlineStr">
        <is>
          <t>любое</t>
        </is>
      </c>
      <c r="P20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20" s="6" t="inlineStr"/>
      <c r="R20" s="6" t="inlineStr">
        <is>
          <t>(класс гермитичности "А" по ГОСТ 9544-2015).</t>
        </is>
      </c>
      <c r="S20" s="5" t="n">
        <v>57</v>
      </c>
      <c r="T20" s="6" t="inlineStr">
        <is>
          <t>шт</t>
        </is>
      </c>
      <c r="U20" s="7" t="n"/>
      <c r="V20" s="8" t="inlineStr">
        <is>
          <t>ООО «ЛД Прайд» (ИНН 7449114775)</t>
        </is>
      </c>
      <c r="W20" s="8" t="inlineStr">
        <is>
          <t>Россия</t>
        </is>
      </c>
      <c r="X20" s="8" t="inlineStr">
        <is>
          <t>10826766</t>
        </is>
      </c>
      <c r="Y20" s="8" t="inlineStr">
        <is>
          <t>04.05.2031</t>
        </is>
      </c>
      <c r="Z20" s="7" t="n"/>
      <c r="AA20" s="9" t="n"/>
      <c r="AB20" s="10">
        <f>AA20*S20</f>
        <v/>
      </c>
      <c r="AC20" s="7" t="n"/>
      <c r="AD20" s="7" t="n"/>
      <c r="AE20" s="7" t="n"/>
    </row>
    <row r="21" ht="60" customHeight="1">
      <c r="A21" s="5" t="n">
        <v>16</v>
      </c>
      <c r="B21" s="6" t="inlineStr">
        <is>
          <t>1.3/103</t>
        </is>
      </c>
      <c r="C21" s="6" t="inlineStr">
        <is>
          <t>Кран шаровой 11б27п1 Ду 25 Ру 16</t>
        </is>
      </c>
      <c r="D21" s="6" t="inlineStr">
        <is>
          <t>ГОСТ 9544-2015 ГОСТ 28343 ГОСТ 21345</t>
        </is>
      </c>
      <c r="E21" s="6" t="inlineStr">
        <is>
          <t>25</t>
        </is>
      </c>
      <c r="F21" s="6" t="inlineStr">
        <is>
          <t>полный</t>
        </is>
      </c>
      <c r="G21" s="6" t="inlineStr">
        <is>
          <t>1.6</t>
        </is>
      </c>
      <c r="H21" s="6" t="inlineStr">
        <is>
          <t>От -10 до +90 °С</t>
        </is>
      </c>
      <c r="I21" s="6" t="inlineStr">
        <is>
          <t>вода</t>
        </is>
      </c>
      <c r="J21" s="6" t="inlineStr">
        <is>
          <t>латунь HPb58-2A</t>
        </is>
      </c>
      <c r="K21" s="6" t="inlineStr">
        <is>
          <t>У1</t>
        </is>
      </c>
      <c r="L21" s="6" t="inlineStr">
        <is>
          <t>Муфта-муфта ВР-ВР</t>
        </is>
      </c>
      <c r="M21" s="6" t="inlineStr">
        <is>
          <t>Ручное</t>
        </is>
      </c>
      <c r="N21" s="6" t="inlineStr">
        <is>
          <t>рукоятка</t>
        </is>
      </c>
      <c r="O21" s="6" t="inlineStr">
        <is>
          <t>любое</t>
        </is>
      </c>
      <c r="P21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21" s="6" t="inlineStr"/>
      <c r="R21" s="6" t="inlineStr"/>
      <c r="S21" s="5" t="n">
        <v>29</v>
      </c>
      <c r="T21" s="6" t="inlineStr">
        <is>
          <t>шт</t>
        </is>
      </c>
      <c r="U21" s="7" t="n"/>
      <c r="V21" s="8" t="inlineStr">
        <is>
          <t>ООО «ЛД Прайд» (ИНН 7449114775)</t>
        </is>
      </c>
      <c r="W21" s="8" t="inlineStr">
        <is>
          <t>Россия</t>
        </is>
      </c>
      <c r="X21" s="8" t="inlineStr">
        <is>
          <t>10826766</t>
        </is>
      </c>
      <c r="Y21" s="8" t="inlineStr">
        <is>
          <t>04.05.2031</t>
        </is>
      </c>
      <c r="Z21" s="7" t="n"/>
      <c r="AA21" s="9" t="n"/>
      <c r="AB21" s="10">
        <f>AA21*S21</f>
        <v/>
      </c>
      <c r="AC21" s="7" t="n"/>
      <c r="AD21" s="7" t="n"/>
      <c r="AE21" s="7" t="n"/>
    </row>
    <row r="22" ht="60" customHeight="1">
      <c r="A22" s="5" t="n">
        <v>17</v>
      </c>
      <c r="B22" s="6" t="inlineStr">
        <is>
          <t>1.3/104</t>
        </is>
      </c>
      <c r="C22" s="6" t="inlineStr">
        <is>
          <t>Кран шаровой 11б27п1 Ду 32 Ру 16</t>
        </is>
      </c>
      <c r="D22" s="6" t="inlineStr">
        <is>
          <t>ГОСТ 9544-2015 ГОСТ 28343 ГОСТ 21345</t>
        </is>
      </c>
      <c r="E22" s="6" t="inlineStr">
        <is>
          <t>32</t>
        </is>
      </c>
      <c r="F22" s="6" t="inlineStr">
        <is>
          <t>полный</t>
        </is>
      </c>
      <c r="G22" s="6" t="inlineStr">
        <is>
          <t>1.6</t>
        </is>
      </c>
      <c r="H22" s="6" t="inlineStr">
        <is>
          <t>От -10 до +90 °С</t>
        </is>
      </c>
      <c r="I22" s="6" t="inlineStr">
        <is>
          <t>вода</t>
        </is>
      </c>
      <c r="J22" s="6" t="inlineStr">
        <is>
          <t>латунь HPb58-2A</t>
        </is>
      </c>
      <c r="K22" s="6" t="inlineStr">
        <is>
          <t>У1</t>
        </is>
      </c>
      <c r="L22" s="6" t="inlineStr">
        <is>
          <t>Муфта-муфта ВР-ВР</t>
        </is>
      </c>
      <c r="M22" s="6" t="inlineStr">
        <is>
          <t>Ручное</t>
        </is>
      </c>
      <c r="N22" s="6" t="inlineStr">
        <is>
          <t>рукоятка</t>
        </is>
      </c>
      <c r="O22" s="6" t="inlineStr">
        <is>
          <t>любое</t>
        </is>
      </c>
      <c r="P22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22" s="6" t="inlineStr"/>
      <c r="R22" s="6" t="inlineStr">
        <is>
          <t>(класс гермитичности "А" по ГОСТ 9544-2015).</t>
        </is>
      </c>
      <c r="S22" s="5" t="n">
        <v>47</v>
      </c>
      <c r="T22" s="6" t="inlineStr">
        <is>
          <t>шт</t>
        </is>
      </c>
      <c r="U22" s="7" t="n"/>
      <c r="V22" s="8" t="inlineStr">
        <is>
          <t>ООО «ЛД Прайд» (ИНН 7449114775)</t>
        </is>
      </c>
      <c r="W22" s="8" t="inlineStr">
        <is>
          <t>Россия</t>
        </is>
      </c>
      <c r="X22" s="8" t="inlineStr">
        <is>
          <t>10826766</t>
        </is>
      </c>
      <c r="Y22" s="8" t="inlineStr">
        <is>
          <t>04.05.2031</t>
        </is>
      </c>
      <c r="Z22" s="7" t="n"/>
      <c r="AA22" s="9" t="n"/>
      <c r="AB22" s="10">
        <f>AA22*S22</f>
        <v/>
      </c>
      <c r="AC22" s="7" t="n"/>
      <c r="AD22" s="7" t="n"/>
      <c r="AE22" s="7" t="n"/>
    </row>
    <row r="23" ht="60" customHeight="1">
      <c r="A23" s="5" t="n">
        <v>18</v>
      </c>
      <c r="B23" s="6" t="inlineStr">
        <is>
          <t>1.3/105</t>
        </is>
      </c>
      <c r="C23" s="6" t="inlineStr">
        <is>
          <t>Кран шаровой 11б27п1 Ду 50 Ру 16</t>
        </is>
      </c>
      <c r="D23" s="6" t="inlineStr">
        <is>
          <t>ГОСТ 9544-2015 ГОСТ 28343 ГОСТ 21345</t>
        </is>
      </c>
      <c r="E23" s="6" t="inlineStr">
        <is>
          <t>50</t>
        </is>
      </c>
      <c r="F23" s="6" t="inlineStr">
        <is>
          <t>полный</t>
        </is>
      </c>
      <c r="G23" s="6" t="inlineStr">
        <is>
          <t>1.6</t>
        </is>
      </c>
      <c r="H23" s="6" t="inlineStr">
        <is>
          <t>От -10 до +90 °С</t>
        </is>
      </c>
      <c r="I23" s="6" t="inlineStr">
        <is>
          <t>вода</t>
        </is>
      </c>
      <c r="J23" s="6" t="inlineStr">
        <is>
          <t>латунь HPb58-2A</t>
        </is>
      </c>
      <c r="K23" s="6" t="inlineStr">
        <is>
          <t>У1</t>
        </is>
      </c>
      <c r="L23" s="6" t="inlineStr">
        <is>
          <t>Муфта-муфта ВР-ВР</t>
        </is>
      </c>
      <c r="M23" s="6" t="inlineStr">
        <is>
          <t>Ручное</t>
        </is>
      </c>
      <c r="N23" s="6" t="inlineStr">
        <is>
          <t>рукоятка</t>
        </is>
      </c>
      <c r="O23" s="6" t="inlineStr">
        <is>
          <t>любое</t>
        </is>
      </c>
      <c r="P23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23" s="6" t="inlineStr">
        <is>
          <t>размер b (толщина) согласно ГОСТ 33259-2015: b = 22 мм</t>
        </is>
      </c>
      <c r="R23" s="6" t="inlineStr"/>
      <c r="S23" s="5" t="n">
        <v>24</v>
      </c>
      <c r="T23" s="6" t="inlineStr">
        <is>
          <t>шт</t>
        </is>
      </c>
      <c r="U23" s="7" t="n"/>
      <c r="V23" s="8" t="inlineStr">
        <is>
          <t>ООО «ЛД Прайд» (ИНН 7449114775)</t>
        </is>
      </c>
      <c r="W23" s="8" t="inlineStr">
        <is>
          <t>Россия</t>
        </is>
      </c>
      <c r="X23" s="8" t="inlineStr">
        <is>
          <t>10826766</t>
        </is>
      </c>
      <c r="Y23" s="8" t="inlineStr">
        <is>
          <t>04.05.2031</t>
        </is>
      </c>
      <c r="Z23" s="7" t="n"/>
      <c r="AA23" s="9" t="n"/>
      <c r="AB23" s="10">
        <f>AA23*S23</f>
        <v/>
      </c>
      <c r="AC23" s="7" t="n"/>
      <c r="AD23" s="7" t="n"/>
      <c r="AE23" s="7" t="n"/>
    </row>
    <row r="24" ht="60" customHeight="1">
      <c r="A24" s="5" t="n">
        <v>19</v>
      </c>
      <c r="B24" s="6" t="inlineStr">
        <is>
          <t>1.3/106</t>
        </is>
      </c>
      <c r="C24" s="6" t="inlineStr">
        <is>
          <t>Кран шаровой фланцевый 11с22п Ду 50 Ру 16</t>
        </is>
      </c>
      <c r="D24" s="6" t="inlineStr">
        <is>
          <t>ГОСТ 21345-2005</t>
        </is>
      </c>
      <c r="E24" s="6" t="inlineStr">
        <is>
          <t>50</t>
        </is>
      </c>
      <c r="F24" s="6" t="inlineStr">
        <is>
          <t>стандартный</t>
        </is>
      </c>
      <c r="G24" s="6" t="inlineStr">
        <is>
          <t>1.6</t>
        </is>
      </c>
      <c r="H24" s="6" t="inlineStr">
        <is>
          <t>до +200</t>
        </is>
      </c>
      <c r="I24" s="6" t="inlineStr">
        <is>
          <t>вода, нефтепродукты</t>
        </is>
      </c>
      <c r="J24" s="6" t="inlineStr">
        <is>
          <t>сталь 20</t>
        </is>
      </c>
      <c r="K24" s="6" t="inlineStr">
        <is>
          <t>У1</t>
        </is>
      </c>
      <c r="L24" s="6" t="inlineStr">
        <is>
          <t>фланцевый</t>
        </is>
      </c>
      <c r="M24" s="6" t="inlineStr">
        <is>
          <t>ручной (рукоятка)</t>
        </is>
      </c>
      <c r="N24" s="6" t="inlineStr">
        <is>
          <t>-</t>
        </is>
      </c>
      <c r="O24" s="6" t="inlineStr">
        <is>
          <t>Любое</t>
        </is>
      </c>
      <c r="P24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24" s="6" t="inlineStr">
        <is>
          <t>-</t>
        </is>
      </c>
      <c r="R24" s="6" t="inlineStr">
        <is>
          <t>КРАН  УНИВЕРСАЛЬНОЙ СЕРИИ</t>
        </is>
      </c>
      <c r="S24" s="5" t="n">
        <v>7</v>
      </c>
      <c r="T24" s="6" t="inlineStr">
        <is>
          <t>шт</t>
        </is>
      </c>
      <c r="U24" s="7" t="n"/>
      <c r="V24" s="8" t="inlineStr">
        <is>
          <t>ООО «ЧелябинскСпецГражданСтрой» (ИНН 7451211335)</t>
        </is>
      </c>
      <c r="W24" s="8" t="inlineStr">
        <is>
          <t>Россия</t>
        </is>
      </c>
      <c r="X24" s="8" t="inlineStr">
        <is>
          <t>10655491</t>
        </is>
      </c>
      <c r="Y24" s="8" t="inlineStr">
        <is>
          <t>30.06.2028</t>
        </is>
      </c>
      <c r="Z24" s="7" t="n"/>
      <c r="AA24" s="9" t="n"/>
      <c r="AB24" s="10">
        <f>AA24*S24</f>
        <v/>
      </c>
      <c r="AC24" s="7" t="n"/>
      <c r="AD24" s="7" t="n"/>
      <c r="AE24" s="7" t="n"/>
    </row>
    <row r="25" ht="60" customHeight="1">
      <c r="A25" s="5" t="n">
        <v>20</v>
      </c>
      <c r="B25" s="6" t="inlineStr">
        <is>
          <t>1.3/107</t>
        </is>
      </c>
      <c r="C25" s="6" t="inlineStr">
        <is>
          <t>Кран шаровой фланцевый 11с22п Ду 80 Ру 16</t>
        </is>
      </c>
      <c r="D25" s="6" t="inlineStr">
        <is>
          <t>ГОСТ 21345-2005</t>
        </is>
      </c>
      <c r="E25" s="6" t="inlineStr">
        <is>
          <t>80</t>
        </is>
      </c>
      <c r="F25" s="6" t="inlineStr">
        <is>
          <t>стандартный</t>
        </is>
      </c>
      <c r="G25" s="6" t="inlineStr">
        <is>
          <t>1.6</t>
        </is>
      </c>
      <c r="H25" s="6" t="inlineStr">
        <is>
          <t>до +200</t>
        </is>
      </c>
      <c r="I25" s="6" t="inlineStr">
        <is>
          <t>вода, нефтепродукты</t>
        </is>
      </c>
      <c r="J25" s="6" t="inlineStr">
        <is>
          <t>сталь 20</t>
        </is>
      </c>
      <c r="K25" s="6" t="inlineStr">
        <is>
          <t>У1</t>
        </is>
      </c>
      <c r="L25" s="6" t="inlineStr">
        <is>
          <t>фланцевый</t>
        </is>
      </c>
      <c r="M25" s="6" t="inlineStr">
        <is>
          <t>ручной (рукоятка)</t>
        </is>
      </c>
      <c r="N25" s="6" t="inlineStr">
        <is>
          <t>-</t>
        </is>
      </c>
      <c r="O25" s="6" t="inlineStr">
        <is>
          <t>Любое</t>
        </is>
      </c>
      <c r="P25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25" s="6" t="inlineStr">
        <is>
          <t>-</t>
        </is>
      </c>
      <c r="R25" s="6" t="inlineStr">
        <is>
          <t>КРАН  УНИВЕРСАЛЬНОЙ СЕРИИ</t>
        </is>
      </c>
      <c r="S25" s="5" t="n">
        <v>8</v>
      </c>
      <c r="T25" s="6" t="inlineStr">
        <is>
          <t>шт</t>
        </is>
      </c>
      <c r="U25" s="7" t="n"/>
      <c r="V25" s="8" t="inlineStr">
        <is>
          <t>ООО «ЧелябинскСпецГражданСтрой» (ИНН 7451211335)</t>
        </is>
      </c>
      <c r="W25" s="8" t="inlineStr">
        <is>
          <t>Россия</t>
        </is>
      </c>
      <c r="X25" s="8" t="inlineStr">
        <is>
          <t>10655491</t>
        </is>
      </c>
      <c r="Y25" s="8" t="inlineStr">
        <is>
          <t>30.06.2028</t>
        </is>
      </c>
      <c r="Z25" s="7" t="n"/>
      <c r="AA25" s="9" t="n"/>
      <c r="AB25" s="10">
        <f>AA25*S25</f>
        <v/>
      </c>
      <c r="AC25" s="7" t="n"/>
      <c r="AD25" s="7" t="n"/>
      <c r="AE25" s="7" t="n"/>
    </row>
    <row r="26" ht="60" customHeight="1">
      <c r="A26" s="5" t="n">
        <v>21</v>
      </c>
      <c r="B26" s="6" t="inlineStr">
        <is>
          <t>1.3/108</t>
        </is>
      </c>
      <c r="C26" s="6" t="inlineStr">
        <is>
          <t>Кран шаровой фланцевый 11с22п Ду 100 Ру 16</t>
        </is>
      </c>
      <c r="D26" s="6" t="inlineStr">
        <is>
          <t>ГОСТ 21345-2005</t>
        </is>
      </c>
      <c r="E26" s="6" t="inlineStr">
        <is>
          <t>100</t>
        </is>
      </c>
      <c r="F26" s="6" t="inlineStr">
        <is>
          <t>стандартный</t>
        </is>
      </c>
      <c r="G26" s="6" t="inlineStr">
        <is>
          <t>1.6</t>
        </is>
      </c>
      <c r="H26" s="6" t="inlineStr">
        <is>
          <t>до +200</t>
        </is>
      </c>
      <c r="I26" s="6" t="inlineStr">
        <is>
          <t>вода, нефтепродукты</t>
        </is>
      </c>
      <c r="J26" s="6" t="inlineStr">
        <is>
          <t>сталь 20</t>
        </is>
      </c>
      <c r="K26" s="6" t="inlineStr">
        <is>
          <t>У1</t>
        </is>
      </c>
      <c r="L26" s="6" t="inlineStr">
        <is>
          <t>фланцевый</t>
        </is>
      </c>
      <c r="M26" s="6" t="inlineStr">
        <is>
          <t>ручной (рукоятка)</t>
        </is>
      </c>
      <c r="N26" s="6" t="inlineStr">
        <is>
          <t>-</t>
        </is>
      </c>
      <c r="O26" s="6" t="inlineStr">
        <is>
          <t>Любое</t>
        </is>
      </c>
      <c r="P26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26" s="6" t="inlineStr">
        <is>
          <t>-</t>
        </is>
      </c>
      <c r="R26" s="6" t="inlineStr">
        <is>
          <t>КРАН  УНИВЕРСАЛЬНОЙ СЕРИИ</t>
        </is>
      </c>
      <c r="S26" s="5" t="n">
        <v>8</v>
      </c>
      <c r="T26" s="6" t="inlineStr">
        <is>
          <t>шт</t>
        </is>
      </c>
      <c r="U26" s="7" t="n"/>
      <c r="V26" s="8" t="inlineStr">
        <is>
          <t>ООО «ЧелябинскСпецГражданСтрой» (ИНН 7451211335)</t>
        </is>
      </c>
      <c r="W26" s="8" t="inlineStr">
        <is>
          <t>Россия</t>
        </is>
      </c>
      <c r="X26" s="8" t="inlineStr">
        <is>
          <t>10655491</t>
        </is>
      </c>
      <c r="Y26" s="8" t="inlineStr">
        <is>
          <t>30.06.2028</t>
        </is>
      </c>
      <c r="Z26" s="7" t="n"/>
      <c r="AA26" s="9" t="n"/>
      <c r="AB26" s="10">
        <f>AA26*S26</f>
        <v/>
      </c>
      <c r="AC26" s="7" t="n"/>
      <c r="AD26" s="7" t="n"/>
      <c r="AE26" s="7" t="n"/>
    </row>
    <row r="27" ht="60" customHeight="1">
      <c r="A27" s="5" t="n">
        <v>22</v>
      </c>
      <c r="B27" s="6" t="inlineStr">
        <is>
          <t>1.3/109</t>
        </is>
      </c>
      <c r="C27" s="6" t="inlineStr">
        <is>
          <t>Кран шаровой 11С67П Ду 100 Ру 16</t>
        </is>
      </c>
      <c r="D27" s="6" t="inlineStr">
        <is>
          <t>ГОСТ 21345-2005</t>
        </is>
      </c>
      <c r="E27" s="6" t="inlineStr">
        <is>
          <t>100</t>
        </is>
      </c>
      <c r="F27" s="6" t="inlineStr">
        <is>
          <t>полнопроходной</t>
        </is>
      </c>
      <c r="G27" s="6" t="inlineStr">
        <is>
          <t>1.6</t>
        </is>
      </c>
      <c r="H27" s="6" t="inlineStr">
        <is>
          <t>до +200°С</t>
        </is>
      </c>
      <c r="I27" s="6" t="inlineStr">
        <is>
          <t>вода, пар</t>
        </is>
      </c>
      <c r="J27" s="6" t="inlineStr">
        <is>
          <t>Ст20</t>
        </is>
      </c>
      <c r="K27" s="6" t="inlineStr">
        <is>
          <t>У1</t>
        </is>
      </c>
      <c r="L27" s="6" t="inlineStr">
        <is>
          <t>фланец-фланец</t>
        </is>
      </c>
      <c r="M27" s="6" t="inlineStr">
        <is>
          <t>Ручное</t>
        </is>
      </c>
      <c r="N27" s="6" t="inlineStr">
        <is>
          <t>Ручка-рычаг</t>
        </is>
      </c>
      <c r="O27" s="6" t="inlineStr">
        <is>
          <t>любое</t>
        </is>
      </c>
      <c r="P27" s="6" t="inlineStr">
        <is>
          <t>Уплотнительные кольца - фторопласт.</t>
        </is>
      </c>
      <c r="Q27" s="6" t="inlineStr">
        <is>
          <t>длина — 230мм</t>
        </is>
      </c>
      <c r="R27" s="6" t="inlineStr"/>
      <c r="S27" s="5" t="n">
        <v>2</v>
      </c>
      <c r="T27" s="6" t="inlineStr">
        <is>
          <t>шт</t>
        </is>
      </c>
      <c r="U27" s="7" t="n"/>
      <c r="V27" s="8" t="inlineStr">
        <is>
          <t>ООО «ЧелябинскСпецГражданСтрой» (ИНН 7451211335)</t>
        </is>
      </c>
      <c r="W27" s="8" t="inlineStr">
        <is>
          <t>Россия</t>
        </is>
      </c>
      <c r="X27" s="8" t="inlineStr">
        <is>
          <t>10655491</t>
        </is>
      </c>
      <c r="Y27" s="8" t="inlineStr">
        <is>
          <t>30.06.2028</t>
        </is>
      </c>
      <c r="Z27" s="7" t="n"/>
      <c r="AA27" s="9" t="n"/>
      <c r="AB27" s="10">
        <f>AA27*S27</f>
        <v/>
      </c>
      <c r="AC27" s="7" t="n"/>
      <c r="AD27" s="7" t="n"/>
      <c r="AE27" s="7" t="n"/>
    </row>
    <row r="28" ht="60" customHeight="1">
      <c r="A28" s="5" t="n">
        <v>23</v>
      </c>
      <c r="B28" s="6" t="inlineStr">
        <is>
          <t>1.3/110</t>
        </is>
      </c>
      <c r="C28" s="6" t="inlineStr">
        <is>
          <t>Кран шаровой 11С67П Ду 150 Ру 16</t>
        </is>
      </c>
      <c r="D28" s="6" t="inlineStr">
        <is>
          <t>ГОСТ 21345-2005</t>
        </is>
      </c>
      <c r="E28" s="6" t="inlineStr">
        <is>
          <t>150</t>
        </is>
      </c>
      <c r="F28" s="6" t="inlineStr">
        <is>
          <t>полнопроходной</t>
        </is>
      </c>
      <c r="G28" s="6" t="inlineStr">
        <is>
          <t>1.6</t>
        </is>
      </c>
      <c r="H28" s="6" t="inlineStr">
        <is>
          <t>до +200°С</t>
        </is>
      </c>
      <c r="I28" s="6" t="inlineStr">
        <is>
          <t>вода, пар</t>
        </is>
      </c>
      <c r="J28" s="6" t="inlineStr">
        <is>
          <t>Ст20</t>
        </is>
      </c>
      <c r="K28" s="6" t="inlineStr">
        <is>
          <t>У1</t>
        </is>
      </c>
      <c r="L28" s="6" t="inlineStr">
        <is>
          <t>фланец-фланец</t>
        </is>
      </c>
      <c r="M28" s="6" t="inlineStr">
        <is>
          <t>Ручное</t>
        </is>
      </c>
      <c r="N28" s="6" t="inlineStr">
        <is>
          <t>Ручка-рычаг</t>
        </is>
      </c>
      <c r="O28" s="6" t="inlineStr">
        <is>
          <t>любое</t>
        </is>
      </c>
      <c r="P28" s="6" t="inlineStr">
        <is>
          <t>Уплотнительные кольца - фторопласт.</t>
        </is>
      </c>
      <c r="Q28" s="6" t="inlineStr">
        <is>
          <t>длина — 280мм</t>
        </is>
      </c>
      <c r="R28" s="6" t="inlineStr"/>
      <c r="S28" s="5" t="n">
        <v>2</v>
      </c>
      <c r="T28" s="6" t="inlineStr">
        <is>
          <t>шт</t>
        </is>
      </c>
      <c r="U28" s="7" t="n"/>
      <c r="V28" s="8" t="inlineStr">
        <is>
          <t>ООО «ЧелябинскСпецГражданСтрой» (ИНН 7451211335)</t>
        </is>
      </c>
      <c r="W28" s="8" t="inlineStr">
        <is>
          <t>Россия</t>
        </is>
      </c>
      <c r="X28" s="8" t="inlineStr">
        <is>
          <t>10655491</t>
        </is>
      </c>
      <c r="Y28" s="8" t="inlineStr">
        <is>
          <t>30.06.2028</t>
        </is>
      </c>
      <c r="Z28" s="7" t="n"/>
      <c r="AA28" s="9" t="n"/>
      <c r="AB28" s="10">
        <f>AA28*S28</f>
        <v/>
      </c>
      <c r="AC28" s="7" t="n"/>
      <c r="AD28" s="7" t="n"/>
      <c r="AE28" s="7" t="n"/>
    </row>
    <row r="29" ht="60" customHeight="1">
      <c r="A29" s="5" t="n">
        <v>24</v>
      </c>
      <c r="B29" s="6" t="inlineStr">
        <is>
          <t>1.3/111</t>
        </is>
      </c>
      <c r="C29" s="6" t="inlineStr">
        <is>
          <t>Кран шаровой 11С67П Ду 200 Ру 16</t>
        </is>
      </c>
      <c r="D29" s="6" t="inlineStr">
        <is>
          <t>ГОСТ 21345-2005</t>
        </is>
      </c>
      <c r="E29" s="6" t="inlineStr">
        <is>
          <t>200</t>
        </is>
      </c>
      <c r="F29" s="6" t="inlineStr">
        <is>
          <t>полнопроходной</t>
        </is>
      </c>
      <c r="G29" s="6" t="inlineStr">
        <is>
          <t>1.6</t>
        </is>
      </c>
      <c r="H29" s="6" t="inlineStr">
        <is>
          <t>до +200°С</t>
        </is>
      </c>
      <c r="I29" s="6" t="inlineStr">
        <is>
          <t>вода, пар</t>
        </is>
      </c>
      <c r="J29" s="6" t="inlineStr">
        <is>
          <t>Ст20</t>
        </is>
      </c>
      <c r="K29" s="6" t="inlineStr">
        <is>
          <t>У1</t>
        </is>
      </c>
      <c r="L29" s="6" t="inlineStr">
        <is>
          <t>фланец-фланец</t>
        </is>
      </c>
      <c r="M29" s="6" t="inlineStr">
        <is>
          <t>Ручное</t>
        </is>
      </c>
      <c r="N29" s="6" t="inlineStr">
        <is>
          <t>Ручка-рычаг</t>
        </is>
      </c>
      <c r="O29" s="6" t="inlineStr">
        <is>
          <t>любое</t>
        </is>
      </c>
      <c r="P29" s="6" t="inlineStr">
        <is>
          <t>Уплотнительные кольца - фторопласт.</t>
        </is>
      </c>
      <c r="Q29" s="6" t="inlineStr">
        <is>
          <t>строительная длина — 330 мм</t>
        </is>
      </c>
      <c r="R29" s="6" t="inlineStr"/>
      <c r="S29" s="5" t="n">
        <v>2</v>
      </c>
      <c r="T29" s="6" t="inlineStr">
        <is>
          <t>шт</t>
        </is>
      </c>
      <c r="U29" s="7" t="n"/>
      <c r="V29" s="8" t="inlineStr">
        <is>
          <t>ООО «ЧелябинскСпецГражданСтрой» (ИНН 7451211335)</t>
        </is>
      </c>
      <c r="W29" s="8" t="inlineStr">
        <is>
          <t>Россия</t>
        </is>
      </c>
      <c r="X29" s="8" t="inlineStr">
        <is>
          <t>10655491</t>
        </is>
      </c>
      <c r="Y29" s="8" t="inlineStr">
        <is>
          <t>30.06.2028</t>
        </is>
      </c>
      <c r="Z29" s="7" t="n"/>
      <c r="AA29" s="9" t="n"/>
      <c r="AB29" s="10">
        <f>AA29*S29</f>
        <v/>
      </c>
      <c r="AC29" s="7" t="n"/>
      <c r="AD29" s="7" t="n"/>
      <c r="AE29" s="7" t="n"/>
    </row>
    <row r="30" ht="60" customHeight="1">
      <c r="A30" s="5" t="n">
        <v>25</v>
      </c>
      <c r="B30" s="6" t="inlineStr">
        <is>
          <t>1.3/112</t>
        </is>
      </c>
      <c r="C30" s="6" t="inlineStr">
        <is>
          <t>Кран шаровой 11С67П Ду 80 Ру 16</t>
        </is>
      </c>
      <c r="D30" s="6" t="inlineStr">
        <is>
          <t>ГОСТ 21345-2005</t>
        </is>
      </c>
      <c r="E30" s="6" t="inlineStr">
        <is>
          <t>80</t>
        </is>
      </c>
      <c r="F30" s="6" t="inlineStr">
        <is>
          <t>полнопроходной</t>
        </is>
      </c>
      <c r="G30" s="6" t="inlineStr">
        <is>
          <t>1.6</t>
        </is>
      </c>
      <c r="H30" s="6" t="inlineStr">
        <is>
          <t>до +200°С</t>
        </is>
      </c>
      <c r="I30" s="6" t="inlineStr">
        <is>
          <t>вода, пар</t>
        </is>
      </c>
      <c r="J30" s="6" t="inlineStr">
        <is>
          <t>Ст20</t>
        </is>
      </c>
      <c r="K30" s="6" t="inlineStr">
        <is>
          <t>У1</t>
        </is>
      </c>
      <c r="L30" s="6" t="inlineStr">
        <is>
          <t>фланец-фланец</t>
        </is>
      </c>
      <c r="M30" s="6" t="inlineStr">
        <is>
          <t>Ручное</t>
        </is>
      </c>
      <c r="N30" s="6" t="inlineStr">
        <is>
          <t>Ручка-рычаг</t>
        </is>
      </c>
      <c r="O30" s="6" t="inlineStr">
        <is>
          <t>любое</t>
        </is>
      </c>
      <c r="P30" s="6" t="inlineStr">
        <is>
          <t>Уплотнительные кольца - фторопласт.</t>
        </is>
      </c>
      <c r="Q30" s="6" t="inlineStr">
        <is>
          <t>длина — 210мм</t>
        </is>
      </c>
      <c r="R30" s="6" t="inlineStr"/>
      <c r="S30" s="5" t="n">
        <v>2</v>
      </c>
      <c r="T30" s="6" t="inlineStr">
        <is>
          <t>шт</t>
        </is>
      </c>
      <c r="U30" s="7" t="n"/>
      <c r="V30" s="8" t="inlineStr">
        <is>
          <t>ООО «ЧелябинскСпецГражданСтрой» (ИНН 7451211335)</t>
        </is>
      </c>
      <c r="W30" s="8" t="inlineStr">
        <is>
          <t>Россия</t>
        </is>
      </c>
      <c r="X30" s="8" t="inlineStr">
        <is>
          <t>10655491</t>
        </is>
      </c>
      <c r="Y30" s="8" t="inlineStr">
        <is>
          <t>30.06.2028</t>
        </is>
      </c>
      <c r="Z30" s="7" t="n"/>
      <c r="AA30" s="9" t="n"/>
      <c r="AB30" s="10">
        <f>AA30*S30</f>
        <v/>
      </c>
      <c r="AC30" s="7" t="n"/>
      <c r="AD30" s="7" t="n"/>
      <c r="AE30" s="7" t="n"/>
    </row>
    <row r="31" ht="60" customHeight="1">
      <c r="A31" s="5" t="n">
        <v>26</v>
      </c>
      <c r="B31" s="6" t="inlineStr">
        <is>
          <t>1.3/113</t>
        </is>
      </c>
      <c r="C31" s="6" t="inlineStr">
        <is>
          <t>Кран шаровой 11с67п Ду 15 Ру 25 цельносварной под приварку</t>
        </is>
      </c>
      <c r="D31" s="6" t="inlineStr">
        <is>
          <t>ГОСТ 21345-2005</t>
        </is>
      </c>
      <c r="E31" s="6" t="inlineStr">
        <is>
          <t>15</t>
        </is>
      </c>
      <c r="F31" s="6" t="inlineStr">
        <is>
          <t>полнопроходной</t>
        </is>
      </c>
      <c r="G31" s="6" t="inlineStr">
        <is>
          <t>2.5</t>
        </is>
      </c>
      <c r="H31" s="6" t="inlineStr">
        <is>
          <t>От -40°С до +200°С</t>
        </is>
      </c>
      <c r="I31" s="6" t="inlineStr">
        <is>
          <t>Вода</t>
        </is>
      </c>
      <c r="J31" s="6" t="inlineStr">
        <is>
          <t>сталь 20</t>
        </is>
      </c>
      <c r="K31" s="6" t="inlineStr">
        <is>
          <t>У1</t>
        </is>
      </c>
      <c r="L31" s="6" t="inlineStr">
        <is>
          <t>под приварку</t>
        </is>
      </c>
      <c r="M31" s="6" t="inlineStr">
        <is>
          <t>Ручное</t>
        </is>
      </c>
      <c r="N31" s="6" t="inlineStr">
        <is>
          <t>Рукоятка</t>
        </is>
      </c>
      <c r="O31" s="6" t="inlineStr">
        <is>
          <t>любое</t>
        </is>
      </c>
      <c r="P31" s="6" t="inlineStr">
        <is>
          <t>Шток:  сталь, 20Х13 
Уплотнения штока: фторопласт Ф4Г3К6 
Уплотнения шара: фторопласт Ф4Г3К6       
Шар: нержавеющая сталь</t>
        </is>
      </c>
      <c r="Q31" s="6" t="inlineStr"/>
      <c r="R31" s="6" t="inlineStr"/>
      <c r="S31" s="5" t="n">
        <v>62</v>
      </c>
      <c r="T31" s="6" t="inlineStr">
        <is>
          <t>шт</t>
        </is>
      </c>
      <c r="U31" s="7" t="n"/>
      <c r="V31" s="8" t="inlineStr">
        <is>
          <t>ООО «ЧелябинскСпецГражданСтрой» (ИНН 7451211335)</t>
        </is>
      </c>
      <c r="W31" s="8" t="inlineStr">
        <is>
          <t>Россия</t>
        </is>
      </c>
      <c r="X31" s="8" t="inlineStr">
        <is>
          <t>10655491</t>
        </is>
      </c>
      <c r="Y31" s="8" t="inlineStr">
        <is>
          <t>30.06.2028</t>
        </is>
      </c>
      <c r="Z31" s="7" t="n"/>
      <c r="AA31" s="9" t="n"/>
      <c r="AB31" s="10">
        <f>AA31*S31</f>
        <v/>
      </c>
      <c r="AC31" s="7" t="n"/>
      <c r="AD31" s="7" t="n"/>
      <c r="AE31" s="7" t="n"/>
    </row>
    <row r="32" ht="60" customHeight="1">
      <c r="A32" s="5" t="n">
        <v>27</v>
      </c>
      <c r="B32" s="6" t="inlineStr">
        <is>
          <t>1.3/114</t>
        </is>
      </c>
      <c r="C32" s="6" t="inlineStr">
        <is>
          <t>Кран шаровой 11с67п Ду 25 Ру 25 цельносварной под приварку</t>
        </is>
      </c>
      <c r="D32" s="6" t="inlineStr">
        <is>
          <t>ГОСТ 21345-2005</t>
        </is>
      </c>
      <c r="E32" s="6" t="inlineStr">
        <is>
          <t>25</t>
        </is>
      </c>
      <c r="F32" s="6" t="inlineStr">
        <is>
          <t>полнопроходной</t>
        </is>
      </c>
      <c r="G32" s="6" t="inlineStr">
        <is>
          <t>2.5</t>
        </is>
      </c>
      <c r="H32" s="6" t="inlineStr">
        <is>
          <t>От -40°С до +180°С</t>
        </is>
      </c>
      <c r="I32" s="6" t="inlineStr">
        <is>
          <t>Вода, газ, нефтепродукты и другие нетоксичные и не агрессивные среды, нейтральные к материалам деталей крана.</t>
        </is>
      </c>
      <c r="J32" s="6" t="inlineStr">
        <is>
          <t>сталь 20</t>
        </is>
      </c>
      <c r="K32" s="6" t="inlineStr">
        <is>
          <t>У1</t>
        </is>
      </c>
      <c r="L32" s="6" t="inlineStr">
        <is>
          <t>под приварку</t>
        </is>
      </c>
      <c r="M32" s="6" t="inlineStr">
        <is>
          <t>Ручной</t>
        </is>
      </c>
      <c r="N32" s="6" t="inlineStr">
        <is>
          <t>Рукоятка</t>
        </is>
      </c>
      <c r="O32" s="6" t="inlineStr"/>
      <c r="P32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2" s="6" t="inlineStr"/>
      <c r="R32" s="6" t="inlineStr"/>
      <c r="S32" s="5" t="n">
        <v>48</v>
      </c>
      <c r="T32" s="6" t="inlineStr">
        <is>
          <t>шт</t>
        </is>
      </c>
      <c r="U32" s="7" t="n"/>
      <c r="V32" s="8" t="inlineStr">
        <is>
          <t>ООО «ЧелябинскСпецГражданСтрой» (ИНН 7451211335)</t>
        </is>
      </c>
      <c r="W32" s="8" t="inlineStr">
        <is>
          <t>Россия</t>
        </is>
      </c>
      <c r="X32" s="8" t="inlineStr">
        <is>
          <t>10655491</t>
        </is>
      </c>
      <c r="Y32" s="8" t="inlineStr">
        <is>
          <t>30.06.2028</t>
        </is>
      </c>
      <c r="Z32" s="7" t="n"/>
      <c r="AA32" s="9" t="n"/>
      <c r="AB32" s="10">
        <f>AA32*S32</f>
        <v/>
      </c>
      <c r="AC32" s="7" t="n"/>
      <c r="AD32" s="7" t="n"/>
      <c r="AE32" s="7" t="n"/>
    </row>
    <row r="33" ht="60" customHeight="1">
      <c r="A33" s="5" t="n">
        <v>28</v>
      </c>
      <c r="B33" s="6" t="inlineStr">
        <is>
          <t>1.3/115</t>
        </is>
      </c>
      <c r="C33" s="6" t="inlineStr">
        <is>
          <t>Кран шаровой 11с67п Ду 32 Ру 25 цельносварной под приварку</t>
        </is>
      </c>
      <c r="D33" s="6" t="inlineStr">
        <is>
          <t>ГОСТ 21345-2005</t>
        </is>
      </c>
      <c r="E33" s="6" t="inlineStr">
        <is>
          <t>32</t>
        </is>
      </c>
      <c r="F33" s="6" t="inlineStr">
        <is>
          <t>полнопроходной</t>
        </is>
      </c>
      <c r="G33" s="6" t="inlineStr">
        <is>
          <t>2.5</t>
        </is>
      </c>
      <c r="H33" s="6" t="inlineStr">
        <is>
          <t>От -40°С до +180°С</t>
        </is>
      </c>
      <c r="I33" s="6" t="inlineStr">
        <is>
          <t>Вода, газ, нефтепродукты и другие нетоксичные и не агрессивные среды, нейтральные к материалам деталей крана.</t>
        </is>
      </c>
      <c r="J33" s="6" t="inlineStr">
        <is>
          <t>сталь 20</t>
        </is>
      </c>
      <c r="K33" s="6" t="inlineStr">
        <is>
          <t>У1</t>
        </is>
      </c>
      <c r="L33" s="6" t="inlineStr">
        <is>
          <t>под приварку</t>
        </is>
      </c>
      <c r="M33" s="6" t="inlineStr">
        <is>
          <t>Ручной</t>
        </is>
      </c>
      <c r="N33" s="6" t="inlineStr">
        <is>
          <t>Рукоятка</t>
        </is>
      </c>
      <c r="O33" s="6" t="inlineStr">
        <is>
          <t>любое</t>
        </is>
      </c>
      <c r="P33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3" s="6" t="inlineStr">
        <is>
          <t>строительная длина 260мм</t>
        </is>
      </c>
      <c r="R33" s="6" t="inlineStr"/>
      <c r="S33" s="5" t="n">
        <v>40</v>
      </c>
      <c r="T33" s="6" t="inlineStr">
        <is>
          <t>шт</t>
        </is>
      </c>
      <c r="U33" s="7" t="n"/>
      <c r="V33" s="8" t="inlineStr">
        <is>
          <t>ООО «ЧелябинскСпецГражданСтрой» (ИНН 7451211335)</t>
        </is>
      </c>
      <c r="W33" s="8" t="inlineStr">
        <is>
          <t>Россия</t>
        </is>
      </c>
      <c r="X33" s="8" t="inlineStr">
        <is>
          <t>10655491</t>
        </is>
      </c>
      <c r="Y33" s="8" t="inlineStr">
        <is>
          <t>30.06.2028</t>
        </is>
      </c>
      <c r="Z33" s="7" t="n"/>
      <c r="AA33" s="9" t="n"/>
      <c r="AB33" s="10">
        <f>AA33*S33</f>
        <v/>
      </c>
      <c r="AC33" s="7" t="n"/>
      <c r="AD33" s="7" t="n"/>
      <c r="AE33" s="7" t="n"/>
    </row>
    <row r="34" ht="60" customHeight="1">
      <c r="A34" s="5" t="n">
        <v>29</v>
      </c>
      <c r="B34" s="6" t="inlineStr">
        <is>
          <t>1.3/116</t>
        </is>
      </c>
      <c r="C34" s="6" t="inlineStr">
        <is>
          <t>Кран шаровой 11с67п Ду 40 Ру 25 цельносварной под приварку</t>
        </is>
      </c>
      <c r="D34" s="6" t="inlineStr">
        <is>
          <t>ГОСТ 21345-2005</t>
        </is>
      </c>
      <c r="E34" s="6" t="inlineStr">
        <is>
          <t>40</t>
        </is>
      </c>
      <c r="F34" s="6" t="inlineStr">
        <is>
          <t>полнопроходной</t>
        </is>
      </c>
      <c r="G34" s="6" t="inlineStr">
        <is>
          <t>2.5</t>
        </is>
      </c>
      <c r="H34" s="6" t="inlineStr">
        <is>
          <t>От -40°С до +200°С</t>
        </is>
      </c>
      <c r="I34" s="6" t="inlineStr">
        <is>
          <t>Вода</t>
        </is>
      </c>
      <c r="J34" s="6" t="inlineStr">
        <is>
          <t>сталь 20</t>
        </is>
      </c>
      <c r="K34" s="6" t="inlineStr">
        <is>
          <t>У1</t>
        </is>
      </c>
      <c r="L34" s="6" t="inlineStr">
        <is>
          <t>под приварку</t>
        </is>
      </c>
      <c r="M34" s="6" t="inlineStr">
        <is>
          <t>Ручное</t>
        </is>
      </c>
      <c r="N34" s="6" t="inlineStr">
        <is>
          <t>Рукоятка</t>
        </is>
      </c>
      <c r="O34" s="6" t="inlineStr">
        <is>
          <t>любое</t>
        </is>
      </c>
      <c r="P34" s="6" t="inlineStr">
        <is>
          <t>Шток:  сталь, 20Х13 
Уплотнения штока: фторопласт Ф4Г3К6 
Уплотнения шара: фторопласт Ф4Г3К6
 Шар: нержавеющая сталь</t>
        </is>
      </c>
      <c r="Q34" s="6" t="inlineStr"/>
      <c r="R34" s="6" t="inlineStr"/>
      <c r="S34" s="5" t="n">
        <v>38</v>
      </c>
      <c r="T34" s="6" t="inlineStr">
        <is>
          <t>шт</t>
        </is>
      </c>
      <c r="U34" s="7" t="n"/>
      <c r="V34" s="8" t="inlineStr">
        <is>
          <t>ООО «ЧелябинскСпецГражданСтрой» (ИНН 7451211335)</t>
        </is>
      </c>
      <c r="W34" s="8" t="inlineStr">
        <is>
          <t>Россия</t>
        </is>
      </c>
      <c r="X34" s="8" t="inlineStr">
        <is>
          <t>10655491</t>
        </is>
      </c>
      <c r="Y34" s="8" t="inlineStr">
        <is>
          <t>30.06.2028</t>
        </is>
      </c>
      <c r="Z34" s="7" t="n"/>
      <c r="AA34" s="9" t="n"/>
      <c r="AB34" s="10">
        <f>AA34*S34</f>
        <v/>
      </c>
      <c r="AC34" s="7" t="n"/>
      <c r="AD34" s="7" t="n"/>
      <c r="AE34" s="7" t="n"/>
    </row>
    <row r="35" ht="60" customHeight="1">
      <c r="A35" s="5" t="n">
        <v>30</v>
      </c>
      <c r="B35" s="6" t="inlineStr">
        <is>
          <t>1.3/117</t>
        </is>
      </c>
      <c r="C35" s="6" t="inlineStr">
        <is>
          <t>Кран шаровой 11с67п Ду 50 Ру 25 цельносварной под приварку</t>
        </is>
      </c>
      <c r="D35" s="6" t="inlineStr">
        <is>
          <t>ГОСТ 21345-2005</t>
        </is>
      </c>
      <c r="E35" s="6" t="inlineStr">
        <is>
          <t>50</t>
        </is>
      </c>
      <c r="F35" s="6" t="inlineStr">
        <is>
          <t>полнопроходной</t>
        </is>
      </c>
      <c r="G35" s="6" t="inlineStr">
        <is>
          <t>2.5</t>
        </is>
      </c>
      <c r="H35" s="6" t="inlineStr">
        <is>
          <t>от -40 до +200</t>
        </is>
      </c>
      <c r="I35" s="6" t="inlineStr">
        <is>
          <t>вода</t>
        </is>
      </c>
      <c r="J35" s="6" t="inlineStr">
        <is>
          <t>сталь 20</t>
        </is>
      </c>
      <c r="K35" s="6" t="inlineStr">
        <is>
          <t>У1</t>
        </is>
      </c>
      <c r="L35" s="6" t="inlineStr">
        <is>
          <t>под приварку</t>
        </is>
      </c>
      <c r="M35" s="6" t="inlineStr">
        <is>
          <t>ручное</t>
        </is>
      </c>
      <c r="N35" s="6" t="inlineStr">
        <is>
          <t>рукоятка</t>
        </is>
      </c>
      <c r="O35" s="6" t="inlineStr">
        <is>
          <t>любое</t>
        </is>
      </c>
      <c r="P35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5" s="6" t="inlineStr">
        <is>
          <t>строительная длина 300мм</t>
        </is>
      </c>
      <c r="R35" s="6" t="inlineStr"/>
      <c r="S35" s="5" t="n">
        <v>44</v>
      </c>
      <c r="T35" s="6" t="inlineStr">
        <is>
          <t>шт</t>
        </is>
      </c>
      <c r="U35" s="7" t="n"/>
      <c r="V35" s="8" t="inlineStr">
        <is>
          <t>ООО «ЧелябинскСпецГражданСтрой» (ИНН 7451211335)</t>
        </is>
      </c>
      <c r="W35" s="8" t="inlineStr">
        <is>
          <t>Россия</t>
        </is>
      </c>
      <c r="X35" s="8" t="inlineStr">
        <is>
          <t>10655491</t>
        </is>
      </c>
      <c r="Y35" s="8" t="inlineStr">
        <is>
          <t>30.06.2028</t>
        </is>
      </c>
      <c r="Z35" s="7" t="n"/>
      <c r="AA35" s="9" t="n"/>
      <c r="AB35" s="10">
        <f>AA35*S35</f>
        <v/>
      </c>
      <c r="AC35" s="7" t="n"/>
      <c r="AD35" s="7" t="n"/>
      <c r="AE35" s="7" t="n"/>
    </row>
    <row r="36" ht="60" customHeight="1">
      <c r="A36" s="5" t="n">
        <v>31</v>
      </c>
      <c r="B36" s="6" t="inlineStr">
        <is>
          <t>1.3/118</t>
        </is>
      </c>
      <c r="C36" s="6" t="inlineStr">
        <is>
          <t>Кран шаровой 11с67п Ду 80 Ру 25 цельносварной под приварку</t>
        </is>
      </c>
      <c r="D36" s="6" t="inlineStr">
        <is>
          <t>ГОСТ 21345-2005</t>
        </is>
      </c>
      <c r="E36" s="6" t="inlineStr">
        <is>
          <t>80</t>
        </is>
      </c>
      <c r="F36" s="6" t="inlineStr">
        <is>
          <t>полнопроходной</t>
        </is>
      </c>
      <c r="G36" s="6" t="inlineStr">
        <is>
          <t>2.5</t>
        </is>
      </c>
      <c r="H36" s="6" t="inlineStr">
        <is>
          <t>от -40 до +200</t>
        </is>
      </c>
      <c r="I36" s="6" t="inlineStr">
        <is>
          <t>вода</t>
        </is>
      </c>
      <c r="J36" s="6" t="inlineStr">
        <is>
          <t>сталь 20</t>
        </is>
      </c>
      <c r="K36" s="6" t="inlineStr">
        <is>
          <t>У1</t>
        </is>
      </c>
      <c r="L36" s="6" t="inlineStr">
        <is>
          <t>под приварку</t>
        </is>
      </c>
      <c r="M36" s="6" t="inlineStr">
        <is>
          <t>ручное</t>
        </is>
      </c>
      <c r="N36" s="6" t="inlineStr">
        <is>
          <t>рукоятка</t>
        </is>
      </c>
      <c r="O36" s="6" t="inlineStr">
        <is>
          <t>любое</t>
        </is>
      </c>
      <c r="P36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6" s="6" t="inlineStr">
        <is>
          <t>строительная длина 370мм</t>
        </is>
      </c>
      <c r="R36" s="6" t="inlineStr"/>
      <c r="S36" s="5" t="n">
        <v>26</v>
      </c>
      <c r="T36" s="6" t="inlineStr">
        <is>
          <t>шт</t>
        </is>
      </c>
      <c r="U36" s="7" t="n"/>
      <c r="V36" s="8" t="inlineStr">
        <is>
          <t>ООО «ЧелябинскСпецГражданСтрой» (ИНН 7451211335)</t>
        </is>
      </c>
      <c r="W36" s="8" t="inlineStr">
        <is>
          <t>Россия</t>
        </is>
      </c>
      <c r="X36" s="8" t="inlineStr">
        <is>
          <t>10655491</t>
        </is>
      </c>
      <c r="Y36" s="8" t="inlineStr">
        <is>
          <t>30.06.2028</t>
        </is>
      </c>
      <c r="Z36" s="7" t="n"/>
      <c r="AA36" s="9" t="n"/>
      <c r="AB36" s="10">
        <f>AA36*S36</f>
        <v/>
      </c>
      <c r="AC36" s="7" t="n"/>
      <c r="AD36" s="7" t="n"/>
      <c r="AE36" s="7" t="n"/>
    </row>
    <row r="37" ht="60" customHeight="1">
      <c r="A37" s="5" t="n">
        <v>32</v>
      </c>
      <c r="B37" s="6" t="inlineStr">
        <is>
          <t>1.3/119</t>
        </is>
      </c>
      <c r="C37" s="6" t="inlineStr">
        <is>
          <t>Кран шаровой 11с67п Ду 100 Ру 25 цельносварной под приварку</t>
        </is>
      </c>
      <c r="D37" s="6" t="inlineStr">
        <is>
          <t>ГОСТ 21345-2005</t>
        </is>
      </c>
      <c r="E37" s="6" t="inlineStr">
        <is>
          <t>100</t>
        </is>
      </c>
      <c r="F37" s="6" t="inlineStr">
        <is>
          <t>полнопроходной</t>
        </is>
      </c>
      <c r="G37" s="6" t="inlineStr">
        <is>
          <t>2.5</t>
        </is>
      </c>
      <c r="H37" s="6" t="inlineStr">
        <is>
          <t>от -40 до +200</t>
        </is>
      </c>
      <c r="I37" s="6" t="inlineStr">
        <is>
          <t>вода</t>
        </is>
      </c>
      <c r="J37" s="6" t="inlineStr">
        <is>
          <t>сталь 20</t>
        </is>
      </c>
      <c r="K37" s="6" t="inlineStr">
        <is>
          <t>У1</t>
        </is>
      </c>
      <c r="L37" s="6" t="inlineStr">
        <is>
          <t>под приварку</t>
        </is>
      </c>
      <c r="M37" s="6" t="inlineStr">
        <is>
          <t>ручное</t>
        </is>
      </c>
      <c r="N37" s="6" t="inlineStr">
        <is>
          <t>рукоятка</t>
        </is>
      </c>
      <c r="O37" s="6" t="inlineStr">
        <is>
          <t>любое</t>
        </is>
      </c>
      <c r="P37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7" s="6" t="inlineStr">
        <is>
          <t>строительная длина 390мм</t>
        </is>
      </c>
      <c r="R37" s="6" t="inlineStr"/>
      <c r="S37" s="5" t="n">
        <v>24</v>
      </c>
      <c r="T37" s="6" t="inlineStr">
        <is>
          <t>шт</t>
        </is>
      </c>
      <c r="U37" s="7" t="n"/>
      <c r="V37" s="8" t="inlineStr">
        <is>
          <t>ООО «ЧелябинскСпецГражданСтрой» (ИНН 7451211335)</t>
        </is>
      </c>
      <c r="W37" s="8" t="inlineStr">
        <is>
          <t>Россия</t>
        </is>
      </c>
      <c r="X37" s="8" t="inlineStr">
        <is>
          <t>10655491</t>
        </is>
      </c>
      <c r="Y37" s="8" t="inlineStr">
        <is>
          <t>30.06.2028</t>
        </is>
      </c>
      <c r="Z37" s="7" t="n"/>
      <c r="AA37" s="9" t="n"/>
      <c r="AB37" s="10">
        <f>AA37*S37</f>
        <v/>
      </c>
      <c r="AC37" s="7" t="n"/>
      <c r="AD37" s="7" t="n"/>
      <c r="AE37" s="7" t="n"/>
    </row>
    <row r="38" ht="60" customHeight="1">
      <c r="A38" s="5" t="n">
        <v>33</v>
      </c>
      <c r="B38" s="6" t="inlineStr">
        <is>
          <t>1.3/120</t>
        </is>
      </c>
      <c r="C38" s="6" t="inlineStr">
        <is>
          <t>Кран шаровой 11с67п Ду 150 Ру 25 цельносварной под приварку</t>
        </is>
      </c>
      <c r="D38" s="6" t="inlineStr">
        <is>
          <t>ГОСТ 21345-2005</t>
        </is>
      </c>
      <c r="E38" s="6" t="inlineStr">
        <is>
          <t>150</t>
        </is>
      </c>
      <c r="F38" s="6" t="inlineStr">
        <is>
          <t>полнопроходной</t>
        </is>
      </c>
      <c r="G38" s="6" t="inlineStr">
        <is>
          <t>2.5</t>
        </is>
      </c>
      <c r="H38" s="6" t="inlineStr">
        <is>
          <t>от -40 до +200</t>
        </is>
      </c>
      <c r="I38" s="6" t="inlineStr">
        <is>
          <t>вода</t>
        </is>
      </c>
      <c r="J38" s="6" t="inlineStr">
        <is>
          <t>сталь 20</t>
        </is>
      </c>
      <c r="K38" s="6" t="inlineStr">
        <is>
          <t>У1</t>
        </is>
      </c>
      <c r="L38" s="6" t="inlineStr">
        <is>
          <t>под приварку</t>
        </is>
      </c>
      <c r="M38" s="6" t="inlineStr">
        <is>
          <t>ручное</t>
        </is>
      </c>
      <c r="N38" s="6" t="inlineStr">
        <is>
          <t>рукоятка</t>
        </is>
      </c>
      <c r="O38" s="6" t="inlineStr">
        <is>
          <t>любое</t>
        </is>
      </c>
      <c r="P38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8" s="6" t="inlineStr">
        <is>
          <t>строительная длина 390мм</t>
        </is>
      </c>
      <c r="R38" s="6" t="inlineStr"/>
      <c r="S38" s="5" t="n">
        <v>22</v>
      </c>
      <c r="T38" s="6" t="inlineStr">
        <is>
          <t>шт</t>
        </is>
      </c>
      <c r="U38" s="7" t="n"/>
      <c r="V38" s="8" t="inlineStr">
        <is>
          <t>ООО «ЧелябинскСпецГражданСтрой» (ИНН 7451211335)</t>
        </is>
      </c>
      <c r="W38" s="8" t="inlineStr">
        <is>
          <t>Россия</t>
        </is>
      </c>
      <c r="X38" s="8" t="inlineStr">
        <is>
          <t>10655491</t>
        </is>
      </c>
      <c r="Y38" s="8" t="inlineStr">
        <is>
          <t>30.06.2028</t>
        </is>
      </c>
      <c r="Z38" s="7" t="n"/>
      <c r="AA38" s="9" t="n"/>
      <c r="AB38" s="10">
        <f>AA38*S38</f>
        <v/>
      </c>
      <c r="AC38" s="7" t="n"/>
      <c r="AD38" s="7" t="n"/>
      <c r="AE38" s="7" t="n"/>
    </row>
    <row r="39" ht="60" customHeight="1">
      <c r="A39" s="5" t="n">
        <v>34</v>
      </c>
      <c r="B39" s="6" t="inlineStr">
        <is>
          <t>1.3/121</t>
        </is>
      </c>
      <c r="C39" s="6" t="inlineStr">
        <is>
          <t>Кран шаровой 11с67п Ду 200 Ру 25 цельносварной под приварку</t>
        </is>
      </c>
      <c r="D39" s="6" t="inlineStr">
        <is>
          <t>ГОСТ 21345-2005</t>
        </is>
      </c>
      <c r="E39" s="6" t="inlineStr">
        <is>
          <t>200</t>
        </is>
      </c>
      <c r="F39" s="6" t="inlineStr">
        <is>
          <t>Стандартнопроходной</t>
        </is>
      </c>
      <c r="G39" s="6" t="inlineStr">
        <is>
          <t>2.5</t>
        </is>
      </c>
      <c r="H39" s="6" t="inlineStr">
        <is>
          <t>от -40 до +200</t>
        </is>
      </c>
      <c r="I39" s="6" t="inlineStr">
        <is>
          <t>вода</t>
        </is>
      </c>
      <c r="J39" s="6" t="inlineStr">
        <is>
          <t>сталь 20</t>
        </is>
      </c>
      <c r="K39" s="6" t="inlineStr">
        <is>
          <t>У1</t>
        </is>
      </c>
      <c r="L39" s="6" t="inlineStr">
        <is>
          <t>под приварку</t>
        </is>
      </c>
      <c r="M39" s="6" t="inlineStr">
        <is>
          <t>ручное</t>
        </is>
      </c>
      <c r="N39" s="6" t="inlineStr">
        <is>
          <t>рукоятка</t>
        </is>
      </c>
      <c r="O39" s="6" t="inlineStr">
        <is>
          <t>любое</t>
        </is>
      </c>
      <c r="P39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39" s="6" t="inlineStr">
        <is>
          <t>строительная длина 390мм</t>
        </is>
      </c>
      <c r="R39" s="6" t="inlineStr"/>
      <c r="S39" s="5" t="n">
        <v>10</v>
      </c>
      <c r="T39" s="6" t="inlineStr">
        <is>
          <t>шт</t>
        </is>
      </c>
      <c r="U39" s="7" t="n"/>
      <c r="V39" s="8" t="inlineStr">
        <is>
          <t>ООО «ЧелябинскСпецГражданСтрой» (ИНН 7451211335)</t>
        </is>
      </c>
      <c r="W39" s="8" t="inlineStr">
        <is>
          <t>Россия</t>
        </is>
      </c>
      <c r="X39" s="8" t="inlineStr">
        <is>
          <t>10655491</t>
        </is>
      </c>
      <c r="Y39" s="8" t="inlineStr">
        <is>
          <t>30.06.2028</t>
        </is>
      </c>
      <c r="Z39" s="7" t="n"/>
      <c r="AA39" s="9" t="n"/>
      <c r="AB39" s="10">
        <f>AA39*S39</f>
        <v/>
      </c>
      <c r="AC39" s="7" t="n"/>
      <c r="AD39" s="7" t="n"/>
      <c r="AE39" s="7" t="n"/>
    </row>
    <row r="40" ht="60" customHeight="1">
      <c r="A40" s="5" t="n">
        <v>35</v>
      </c>
      <c r="B40" s="6" t="inlineStr">
        <is>
          <t>1.3/122</t>
        </is>
      </c>
      <c r="C40" s="6" t="inlineStr">
        <is>
          <t>Кран шаровой 11с67п Ду 15 Ру 25 полнопрох. с КОФ (КЗШС41нж)</t>
        </is>
      </c>
      <c r="D40" s="6" t="inlineStr">
        <is>
          <t>ТУ У 04671406-003-1999; ГОСТ 21345, ГОСТ 28343</t>
        </is>
      </c>
      <c r="E40" s="6" t="inlineStr">
        <is>
          <t>15</t>
        </is>
      </c>
      <c r="F40" s="6" t="inlineStr">
        <is>
          <t>полнопроходной</t>
        </is>
      </c>
      <c r="G40" s="6" t="inlineStr">
        <is>
          <t>2.5</t>
        </is>
      </c>
      <c r="H40" s="6" t="inlineStr">
        <is>
          <t>От -40°С до +200°С</t>
        </is>
      </c>
      <c r="I40" s="6" t="inlineStr">
        <is>
          <t>Вода</t>
        </is>
      </c>
      <c r="J40" s="6" t="inlineStr">
        <is>
          <t>сталь 20</t>
        </is>
      </c>
      <c r="K40" s="6" t="inlineStr">
        <is>
          <t>У1</t>
        </is>
      </c>
      <c r="L40" s="6" t="inlineStr">
        <is>
          <t>фланец-фланец по ГОСТ 33259-2015</t>
        </is>
      </c>
      <c r="M40" s="6" t="inlineStr">
        <is>
          <t>Ручное</t>
        </is>
      </c>
      <c r="N40" s="6" t="inlineStr">
        <is>
          <t>Рукоятка</t>
        </is>
      </c>
      <c r="O40" s="6" t="inlineStr">
        <is>
          <t>любое</t>
        </is>
      </c>
      <c r="P40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40" s="6" t="inlineStr">
        <is>
          <t>-</t>
        </is>
      </c>
      <c r="R40" s="6" t="inlineStr"/>
      <c r="S40" s="5" t="n">
        <v>3</v>
      </c>
      <c r="T40" s="6" t="inlineStr">
        <is>
          <t>шт</t>
        </is>
      </c>
      <c r="U40" s="7" t="n"/>
      <c r="V40" s="8" t="inlineStr">
        <is>
          <t>ООО «ЧелябинскСпецГражданСтрой» (ИНН 7451211335)</t>
        </is>
      </c>
      <c r="W40" s="8" t="inlineStr">
        <is>
          <t>Россия</t>
        </is>
      </c>
      <c r="X40" s="8" t="inlineStr">
        <is>
          <t>10655491</t>
        </is>
      </c>
      <c r="Y40" s="8" t="inlineStr">
        <is>
          <t>30.06.2028</t>
        </is>
      </c>
      <c r="Z40" s="7" t="n"/>
      <c r="AA40" s="9" t="n"/>
      <c r="AB40" s="10">
        <f>AA40*S40</f>
        <v/>
      </c>
      <c r="AC40" s="7" t="n"/>
      <c r="AD40" s="7" t="n"/>
      <c r="AE40" s="7" t="n"/>
    </row>
    <row r="41" ht="60" customHeight="1">
      <c r="A41" s="5" t="n">
        <v>36</v>
      </c>
      <c r="B41" s="6" t="inlineStr">
        <is>
          <t>1.3/123</t>
        </is>
      </c>
      <c r="C41" s="6" t="inlineStr">
        <is>
          <t>Кран шаровой 11с67п Ду 25 Ру 25 полнопрох. с КОФ (КЗШС41нж)</t>
        </is>
      </c>
      <c r="D41" s="6" t="inlineStr">
        <is>
          <t>ТУ У 04671406-003-1999; ГОСТ 21345, ГОСТ 28343</t>
        </is>
      </c>
      <c r="E41" s="6" t="inlineStr">
        <is>
          <t>25</t>
        </is>
      </c>
      <c r="F41" s="6" t="inlineStr">
        <is>
          <t>полнопроходной</t>
        </is>
      </c>
      <c r="G41" s="6" t="inlineStr">
        <is>
          <t>2.5</t>
        </is>
      </c>
      <c r="H41" s="6" t="inlineStr">
        <is>
          <t>От -40°С до +180°С</t>
        </is>
      </c>
      <c r="I41" s="6" t="inlineStr">
        <is>
          <t>Вода</t>
        </is>
      </c>
      <c r="J41" s="6" t="inlineStr">
        <is>
          <t>сталь 20</t>
        </is>
      </c>
      <c r="K41" s="6" t="inlineStr">
        <is>
          <t>У1</t>
        </is>
      </c>
      <c r="L41" s="6" t="inlineStr">
        <is>
          <t>фланец-фланец по ГОСТ 33259-2015</t>
        </is>
      </c>
      <c r="M41" s="6" t="inlineStr">
        <is>
          <t>Ручной</t>
        </is>
      </c>
      <c r="N41" s="6" t="inlineStr">
        <is>
          <t>Рукоятка</t>
        </is>
      </c>
      <c r="O41" s="6" t="inlineStr">
        <is>
          <t>любое</t>
        </is>
      </c>
      <c r="P41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41" s="6" t="inlineStr">
        <is>
          <t>-</t>
        </is>
      </c>
      <c r="R41" s="6" t="inlineStr"/>
      <c r="S41" s="5" t="n">
        <v>6</v>
      </c>
      <c r="T41" s="6" t="inlineStr">
        <is>
          <t>шт</t>
        </is>
      </c>
      <c r="U41" s="7" t="n"/>
      <c r="V41" s="8" t="inlineStr">
        <is>
          <t>ООО «ЧелябинскСпецГражданСтрой» (ИНН 7451211335)</t>
        </is>
      </c>
      <c r="W41" s="8" t="inlineStr">
        <is>
          <t>Россия</t>
        </is>
      </c>
      <c r="X41" s="8" t="inlineStr">
        <is>
          <t>10655491</t>
        </is>
      </c>
      <c r="Y41" s="8" t="inlineStr">
        <is>
          <t>30.06.2028</t>
        </is>
      </c>
      <c r="Z41" s="7" t="n"/>
      <c r="AA41" s="9" t="n"/>
      <c r="AB41" s="10">
        <f>AA41*S41</f>
        <v/>
      </c>
      <c r="AC41" s="7" t="n"/>
      <c r="AD41" s="7" t="n"/>
      <c r="AE41" s="7" t="n"/>
    </row>
    <row r="42" ht="60" customHeight="1">
      <c r="A42" s="5" t="n">
        <v>37</v>
      </c>
      <c r="B42" s="6" t="inlineStr">
        <is>
          <t>1.3/124</t>
        </is>
      </c>
      <c r="C42" s="6" t="inlineStr">
        <is>
          <t>Кран шаровой 11с67п Ду 32 Ру 25 полнопрох. с КОФ (КЗШС41нж)</t>
        </is>
      </c>
      <c r="D42" s="6" t="inlineStr">
        <is>
          <t>ТУ У 04671406-003-1999 (ТУ У 04671406-02-96)</t>
        </is>
      </c>
      <c r="E42" s="6" t="inlineStr">
        <is>
          <t>32</t>
        </is>
      </c>
      <c r="F42" s="6" t="inlineStr">
        <is>
          <t>полнопроходной</t>
        </is>
      </c>
      <c r="G42" s="6" t="inlineStr">
        <is>
          <t>2.5</t>
        </is>
      </c>
      <c r="H42" s="6" t="inlineStr">
        <is>
          <t>от -40 до +200</t>
        </is>
      </c>
      <c r="I42" s="6" t="inlineStr">
        <is>
          <t>вода</t>
        </is>
      </c>
      <c r="J42" s="6" t="inlineStr">
        <is>
          <t>сталь 20</t>
        </is>
      </c>
      <c r="K42" s="6" t="inlineStr">
        <is>
          <t>У1</t>
        </is>
      </c>
      <c r="L42" s="6" t="inlineStr">
        <is>
          <t>фланцевое</t>
        </is>
      </c>
      <c r="M42" s="6" t="inlineStr">
        <is>
          <t>ручное</t>
        </is>
      </c>
      <c r="N42" s="6" t="inlineStr">
        <is>
          <t>рукоятка</t>
        </is>
      </c>
      <c r="O42" s="6" t="inlineStr">
        <is>
          <t>любое</t>
        </is>
      </c>
      <c r="P42" s="6" t="inlineStr">
        <is>
          <t>Корпус : углеродистая сталь 20 Шар : нержавеющая сталь 08Х18Н10 Шпиндель : коррозионо-стойкая сталь 20Х13 Седло : фторопласт Ф4Г3К6 Уплотнение шпинделя : фторопласт Ф4Г3К6  Управление:Рукоятка</t>
        </is>
      </c>
      <c r="Q42" s="6" t="inlineStr">
        <is>
          <t>строительная длинна 140мм</t>
        </is>
      </c>
      <c r="R42" s="6" t="inlineStr"/>
      <c r="S42" s="5" t="n">
        <v>10</v>
      </c>
      <c r="T42" s="6" t="inlineStr">
        <is>
          <t>шт</t>
        </is>
      </c>
      <c r="U42" s="7" t="n"/>
      <c r="V42" s="8" t="inlineStr">
        <is>
          <t>ООО «ЧелябинскСпецГражданСтрой» (ИНН 7451211335)</t>
        </is>
      </c>
      <c r="W42" s="8" t="inlineStr">
        <is>
          <t>Россия</t>
        </is>
      </c>
      <c r="X42" s="8" t="inlineStr">
        <is>
          <t>10655491</t>
        </is>
      </c>
      <c r="Y42" s="8" t="inlineStr">
        <is>
          <t>30.06.2028</t>
        </is>
      </c>
      <c r="Z42" s="7" t="n"/>
      <c r="AA42" s="9" t="n"/>
      <c r="AB42" s="10">
        <f>AA42*S42</f>
        <v/>
      </c>
      <c r="AC42" s="7" t="n"/>
      <c r="AD42" s="7" t="n"/>
      <c r="AE42" s="7" t="n"/>
    </row>
    <row r="43" ht="60" customHeight="1">
      <c r="A43" s="5" t="n">
        <v>38</v>
      </c>
      <c r="B43" s="6" t="inlineStr">
        <is>
          <t>1.3/125</t>
        </is>
      </c>
      <c r="C43" s="6" t="inlineStr">
        <is>
          <t>Кран шаровой 11с67п Ду 50 Ру 25 полнопрох. с КОФ (КЗШС41нж)</t>
        </is>
      </c>
      <c r="D43" s="6" t="inlineStr">
        <is>
          <t>ТУ У 04671406-003-1999 (ТУ У 04671406-02-96)</t>
        </is>
      </c>
      <c r="E43" s="6" t="inlineStr">
        <is>
          <t>50</t>
        </is>
      </c>
      <c r="F43" s="6" t="inlineStr">
        <is>
          <t>полнопроходной</t>
        </is>
      </c>
      <c r="G43" s="6" t="inlineStr">
        <is>
          <t>2.5</t>
        </is>
      </c>
      <c r="H43" s="6" t="inlineStr">
        <is>
          <t>От -40°С до +200°С</t>
        </is>
      </c>
      <c r="I43" s="6" t="inlineStr">
        <is>
          <t>Вода</t>
        </is>
      </c>
      <c r="J43" s="6" t="inlineStr">
        <is>
          <t>сталь 20</t>
        </is>
      </c>
      <c r="K43" s="6" t="inlineStr">
        <is>
          <t>У1</t>
        </is>
      </c>
      <c r="L43" s="6" t="inlineStr">
        <is>
          <t>фланец-фланец</t>
        </is>
      </c>
      <c r="M43" s="6" t="inlineStr">
        <is>
          <t>Ручное</t>
        </is>
      </c>
      <c r="N43" s="6" t="inlineStr">
        <is>
          <t>Рукоятка</t>
        </is>
      </c>
      <c r="O43" s="6" t="inlineStr">
        <is>
          <t>любое</t>
        </is>
      </c>
      <c r="P43" s="6" t="inlineStr">
        <is>
          <t>Шпиндель:  Сталь 20Х13 Уплотнения горловины: Фторопласт Ф4 Уплотнения седла: Фторопласт Ф4  Горловина:  Сталь 20 Шар: Нержавеющая сталь 12Х18Н10Т</t>
        </is>
      </c>
      <c r="Q43" s="6" t="inlineStr">
        <is>
          <t>180мм</t>
        </is>
      </c>
      <c r="R43" s="6" t="inlineStr"/>
      <c r="S43" s="5" t="n">
        <v>6</v>
      </c>
      <c r="T43" s="6" t="inlineStr">
        <is>
          <t>шт</t>
        </is>
      </c>
      <c r="U43" s="7" t="n"/>
      <c r="V43" s="8" t="inlineStr">
        <is>
          <t>ООО «ЧелябинскСпецГражданСтрой» (ИНН 7451211335)</t>
        </is>
      </c>
      <c r="W43" s="8" t="inlineStr">
        <is>
          <t>Россия</t>
        </is>
      </c>
      <c r="X43" s="8" t="inlineStr">
        <is>
          <t>10655491</t>
        </is>
      </c>
      <c r="Y43" s="8" t="inlineStr">
        <is>
          <t>30.06.2028</t>
        </is>
      </c>
      <c r="Z43" s="7" t="n"/>
      <c r="AA43" s="9" t="n"/>
      <c r="AB43" s="10">
        <f>AA43*S43</f>
        <v/>
      </c>
      <c r="AC43" s="7" t="n"/>
      <c r="AD43" s="7" t="n"/>
      <c r="AE43" s="7" t="n"/>
    </row>
    <row r="44" ht="60" customHeight="1">
      <c r="A44" s="5" t="n">
        <v>39</v>
      </c>
      <c r="B44" s="6" t="inlineStr">
        <is>
          <t>1.3/126</t>
        </is>
      </c>
      <c r="C44" s="6" t="inlineStr">
        <is>
          <t>Кран шаровой 11с67п Ду 80 Ру 25 полнопрох. с КОФ (КЗШС41нж)</t>
        </is>
      </c>
      <c r="D44" s="6" t="inlineStr">
        <is>
          <t>ТУ У 04671406-003-1999; ГОСТ 21345, ГОСТ 28343</t>
        </is>
      </c>
      <c r="E44" s="6" t="inlineStr">
        <is>
          <t>80</t>
        </is>
      </c>
      <c r="F44" s="6" t="inlineStr">
        <is>
          <t>полнопроходной</t>
        </is>
      </c>
      <c r="G44" s="6" t="inlineStr">
        <is>
          <t>2.5</t>
        </is>
      </c>
      <c r="H44" s="6" t="inlineStr">
        <is>
          <t>От -40°С до +200°С</t>
        </is>
      </c>
      <c r="I44" s="6" t="inlineStr">
        <is>
          <t>Вода</t>
        </is>
      </c>
      <c r="J44" s="6" t="inlineStr">
        <is>
          <t>сталь 20</t>
        </is>
      </c>
      <c r="K44" s="6" t="inlineStr">
        <is>
          <t>У1</t>
        </is>
      </c>
      <c r="L44" s="6" t="inlineStr">
        <is>
          <t>фланцевое</t>
        </is>
      </c>
      <c r="M44" s="6" t="inlineStr">
        <is>
          <t>Ручное</t>
        </is>
      </c>
      <c r="N44" s="6" t="inlineStr">
        <is>
          <t>Рукоятка</t>
        </is>
      </c>
      <c r="O44" s="6" t="inlineStr">
        <is>
          <t>любое</t>
        </is>
      </c>
      <c r="P44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44" s="6" t="inlineStr">
        <is>
          <t>строительная длина 210мм</t>
        </is>
      </c>
      <c r="R44" s="6" t="inlineStr"/>
      <c r="S44" s="5" t="n">
        <v>4</v>
      </c>
      <c r="T44" s="6" t="inlineStr">
        <is>
          <t>шт</t>
        </is>
      </c>
      <c r="U44" s="7" t="n"/>
      <c r="V44" s="8" t="inlineStr">
        <is>
          <t>ООО «ЧелябинскСпецГражданСтрой» (ИНН 7451211335)</t>
        </is>
      </c>
      <c r="W44" s="8" t="inlineStr">
        <is>
          <t>Россия</t>
        </is>
      </c>
      <c r="X44" s="8" t="inlineStr">
        <is>
          <t>10655491</t>
        </is>
      </c>
      <c r="Y44" s="8" t="inlineStr">
        <is>
          <t>30.06.2028</t>
        </is>
      </c>
      <c r="Z44" s="7" t="n"/>
      <c r="AA44" s="9" t="n"/>
      <c r="AB44" s="10">
        <f>AA44*S44</f>
        <v/>
      </c>
      <c r="AC44" s="7" t="n"/>
      <c r="AD44" s="7" t="n"/>
      <c r="AE44" s="7" t="n"/>
    </row>
    <row r="45" ht="60" customHeight="1">
      <c r="A45" s="5" t="n">
        <v>40</v>
      </c>
      <c r="B45" s="6" t="inlineStr">
        <is>
          <t>1.3/127</t>
        </is>
      </c>
      <c r="C45" s="6" t="inlineStr">
        <is>
          <t>Кран шаровой 11с67п Ду 100 Ру 16 ЦУФ.001 КШ укороченный полнопроходной фланцевый с рукояткой</t>
        </is>
      </c>
      <c r="D45" s="6" t="inlineStr">
        <is>
          <t>ТУ У 046714006-003-1999</t>
        </is>
      </c>
      <c r="E45" s="6" t="inlineStr">
        <is>
          <t>100</t>
        </is>
      </c>
      <c r="F45" s="6" t="inlineStr">
        <is>
          <t>полнопроходной</t>
        </is>
      </c>
      <c r="G45" s="6" t="inlineStr">
        <is>
          <t>1.6</t>
        </is>
      </c>
      <c r="H45" s="6" t="inlineStr">
        <is>
          <t>от -40 до +200</t>
        </is>
      </c>
      <c r="I45" s="6" t="inlineStr">
        <is>
          <t>вода</t>
        </is>
      </c>
      <c r="J45" s="6" t="inlineStr">
        <is>
          <t>сталь 20</t>
        </is>
      </c>
      <c r="K45" s="6" t="inlineStr">
        <is>
          <t>У1</t>
        </is>
      </c>
      <c r="L45" s="6" t="inlineStr">
        <is>
          <t>фланцевое</t>
        </is>
      </c>
      <c r="M45" s="6" t="inlineStr">
        <is>
          <t>ручное</t>
        </is>
      </c>
      <c r="N45" s="6" t="inlineStr">
        <is>
          <t>рукоятка</t>
        </is>
      </c>
      <c r="O45" s="6" t="inlineStr">
        <is>
          <t>любое</t>
        </is>
      </c>
      <c r="P45" s="6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45" s="6" t="inlineStr">
        <is>
          <t>строительная длина 230 мм</t>
        </is>
      </c>
      <c r="R45" s="6" t="inlineStr"/>
      <c r="S45" s="5" t="n">
        <v>91</v>
      </c>
      <c r="T45" s="6" t="inlineStr">
        <is>
          <t>шт</t>
        </is>
      </c>
      <c r="U45" s="7" t="n"/>
      <c r="V45" s="8" t="inlineStr">
        <is>
          <t>ООО «ЧелябинскСпецГражданСтрой» (ИНН 7451211335)</t>
        </is>
      </c>
      <c r="W45" s="8" t="inlineStr">
        <is>
          <t>Россия</t>
        </is>
      </c>
      <c r="X45" s="8" t="inlineStr">
        <is>
          <t>10655491</t>
        </is>
      </c>
      <c r="Y45" s="8" t="inlineStr">
        <is>
          <t>30.06.2028</t>
        </is>
      </c>
      <c r="Z45" s="7" t="n"/>
      <c r="AA45" s="9" t="n"/>
      <c r="AB45" s="10">
        <f>AA45*S45</f>
        <v/>
      </c>
      <c r="AC45" s="7" t="n"/>
      <c r="AD45" s="7" t="n"/>
      <c r="AE45" s="7" t="n"/>
    </row>
    <row r="46" ht="60" customHeight="1">
      <c r="A46" s="5" t="n">
        <v>41</v>
      </c>
      <c r="B46" s="6" t="inlineStr">
        <is>
          <t>1.3/128</t>
        </is>
      </c>
      <c r="C46" s="6" t="inlineStr">
        <is>
          <t>Кран шаровой 11с67п Ду 125 Ру 16 ЦУФ.001 КШ укороченный полнопроходной фланцевый с рукояткой</t>
        </is>
      </c>
      <c r="D46" s="6" t="inlineStr">
        <is>
          <t>ТУ У 046714006-003-1999</t>
        </is>
      </c>
      <c r="E46" s="6" t="inlineStr">
        <is>
          <t>125</t>
        </is>
      </c>
      <c r="F46" s="6" t="inlineStr">
        <is>
          <t>полнопроходной</t>
        </is>
      </c>
      <c r="G46" s="6" t="inlineStr">
        <is>
          <t>1.6</t>
        </is>
      </c>
      <c r="H46" s="6" t="inlineStr">
        <is>
          <t>от -40 до +200</t>
        </is>
      </c>
      <c r="I46" s="6" t="inlineStr">
        <is>
          <t>вода</t>
        </is>
      </c>
      <c r="J46" s="6" t="inlineStr">
        <is>
          <t>сталь 20</t>
        </is>
      </c>
      <c r="K46" s="6" t="inlineStr">
        <is>
          <t>У1</t>
        </is>
      </c>
      <c r="L46" s="6" t="inlineStr">
        <is>
          <t>фланцевое</t>
        </is>
      </c>
      <c r="M46" s="6" t="inlineStr">
        <is>
          <t>ручное</t>
        </is>
      </c>
      <c r="N46" s="6" t="inlineStr">
        <is>
          <t>рукоятка</t>
        </is>
      </c>
      <c r="O46" s="6" t="inlineStr">
        <is>
          <t>любое</t>
        </is>
      </c>
      <c r="P46" s="6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46" s="6" t="inlineStr">
        <is>
          <t>строительная длина 255мм</t>
        </is>
      </c>
      <c r="R46" s="6" t="inlineStr"/>
      <c r="S46" s="5" t="n">
        <v>10</v>
      </c>
      <c r="T46" s="6" t="inlineStr">
        <is>
          <t>шт</t>
        </is>
      </c>
      <c r="U46" s="7" t="n"/>
      <c r="V46" s="8" t="inlineStr">
        <is>
          <t>ООО «ЧелябинскСпецГражданСтрой» (ИНН 7451211335)</t>
        </is>
      </c>
      <c r="W46" s="8" t="inlineStr">
        <is>
          <t>Россия</t>
        </is>
      </c>
      <c r="X46" s="8" t="inlineStr">
        <is>
          <t>10655491</t>
        </is>
      </c>
      <c r="Y46" s="8" t="inlineStr">
        <is>
          <t>30.06.2028</t>
        </is>
      </c>
      <c r="Z46" s="7" t="n"/>
      <c r="AA46" s="9" t="n"/>
      <c r="AB46" s="10">
        <f>AA46*S46</f>
        <v/>
      </c>
      <c r="AC46" s="7" t="n"/>
      <c r="AD46" s="7" t="n"/>
      <c r="AE46" s="7" t="n"/>
    </row>
    <row r="47" ht="60" customHeight="1">
      <c r="A47" s="5" t="n">
        <v>42</v>
      </c>
      <c r="B47" s="6" t="inlineStr">
        <is>
          <t>1.3/129</t>
        </is>
      </c>
      <c r="C47" s="6" t="inlineStr">
        <is>
          <t>Кран шаровой 11с67п Ду 150 Ру 16 ЦУФ.001 КШ укороченный полнопроходной фланцевый с рукояткой</t>
        </is>
      </c>
      <c r="D47" s="6" t="inlineStr">
        <is>
          <t>ТУ У 046714006-003-1999</t>
        </is>
      </c>
      <c r="E47" s="6" t="inlineStr">
        <is>
          <t>150</t>
        </is>
      </c>
      <c r="F47" s="6" t="inlineStr">
        <is>
          <t>полнопроходной</t>
        </is>
      </c>
      <c r="G47" s="6" t="inlineStr">
        <is>
          <t>1.6</t>
        </is>
      </c>
      <c r="H47" s="6" t="inlineStr">
        <is>
          <t>от -40 до +200</t>
        </is>
      </c>
      <c r="I47" s="6" t="inlineStr">
        <is>
          <t>вода</t>
        </is>
      </c>
      <c r="J47" s="6" t="inlineStr">
        <is>
          <t>сталь 20</t>
        </is>
      </c>
      <c r="K47" s="6" t="inlineStr">
        <is>
          <t>У1</t>
        </is>
      </c>
      <c r="L47" s="6" t="inlineStr">
        <is>
          <t>фланцевое</t>
        </is>
      </c>
      <c r="M47" s="6" t="inlineStr">
        <is>
          <t>ручное</t>
        </is>
      </c>
      <c r="N47" s="6" t="inlineStr">
        <is>
          <t>рукоятка</t>
        </is>
      </c>
      <c r="O47" s="6" t="inlineStr">
        <is>
          <t>любое</t>
        </is>
      </c>
      <c r="P47" s="6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47" s="6" t="inlineStr">
        <is>
          <t>строительная длина 280мм</t>
        </is>
      </c>
      <c r="R47" s="6" t="inlineStr"/>
      <c r="S47" s="5" t="n">
        <v>59</v>
      </c>
      <c r="T47" s="6" t="inlineStr">
        <is>
          <t>шт</t>
        </is>
      </c>
      <c r="U47" s="7" t="n"/>
      <c r="V47" s="8" t="inlineStr">
        <is>
          <t>ООО «ЧелябинскСпецГражданСтрой» (ИНН 7451211335)</t>
        </is>
      </c>
      <c r="W47" s="8" t="inlineStr">
        <is>
          <t>Россия</t>
        </is>
      </c>
      <c r="X47" s="8" t="inlineStr">
        <is>
          <t>10655491</t>
        </is>
      </c>
      <c r="Y47" s="8" t="inlineStr">
        <is>
          <t>30.06.2028</t>
        </is>
      </c>
      <c r="Z47" s="7" t="n"/>
      <c r="AA47" s="9" t="n"/>
      <c r="AB47" s="10">
        <f>AA47*S47</f>
        <v/>
      </c>
      <c r="AC47" s="7" t="n"/>
      <c r="AD47" s="7" t="n"/>
      <c r="AE47" s="7" t="n"/>
    </row>
    <row r="48" ht="60" customHeight="1">
      <c r="A48" s="5" t="n">
        <v>43</v>
      </c>
      <c r="B48" s="6" t="inlineStr">
        <is>
          <t>1.3/130</t>
        </is>
      </c>
      <c r="C48" s="6" t="inlineStr">
        <is>
          <t>Кран шаровой 11с67п Ду 200 Ру 16 ЦУФ.001 КШ укороченный полнопроходной фланцевый с рукояткой</t>
        </is>
      </c>
      <c r="D48" s="6" t="inlineStr">
        <is>
          <t>ТУ У 046714006-003-1999</t>
        </is>
      </c>
      <c r="E48" s="6" t="inlineStr">
        <is>
          <t>200</t>
        </is>
      </c>
      <c r="F48" s="6" t="inlineStr">
        <is>
          <t>полнопроходной</t>
        </is>
      </c>
      <c r="G48" s="6" t="inlineStr">
        <is>
          <t>1.6</t>
        </is>
      </c>
      <c r="H48" s="6" t="inlineStr">
        <is>
          <t>от -40 до +200</t>
        </is>
      </c>
      <c r="I48" s="6" t="inlineStr">
        <is>
          <t>вода</t>
        </is>
      </c>
      <c r="J48" s="6" t="inlineStr">
        <is>
          <t>сталь 20</t>
        </is>
      </c>
      <c r="K48" s="6" t="inlineStr">
        <is>
          <t>У1</t>
        </is>
      </c>
      <c r="L48" s="6" t="inlineStr">
        <is>
          <t>фланцевое</t>
        </is>
      </c>
      <c r="M48" s="6" t="inlineStr">
        <is>
          <t>ручное</t>
        </is>
      </c>
      <c r="N48" s="6" t="inlineStr">
        <is>
          <t>рукоятка</t>
        </is>
      </c>
      <c r="O48" s="6" t="inlineStr">
        <is>
          <t>любое</t>
        </is>
      </c>
      <c r="P48" s="6" t="inlineStr">
        <is>
          <t>Корпус : углеродистая сталь 20
Шар : нержавеющая сталь 08Х18Н10
Шпиндель : коррозионо-стойкая сталь 20Х13
Седло : фторопласт Ф4Г3К6
Уплотнение шпинделя : фторопласт Ф4Г3К6 
Управление:Рукоятка</t>
        </is>
      </c>
      <c r="Q48" s="6" t="inlineStr">
        <is>
          <t>строительная длина 330мм</t>
        </is>
      </c>
      <c r="R48" s="6" t="inlineStr"/>
      <c r="S48" s="5" t="n">
        <v>45</v>
      </c>
      <c r="T48" s="6" t="inlineStr">
        <is>
          <t>шт</t>
        </is>
      </c>
      <c r="U48" s="7" t="n"/>
      <c r="V48" s="8" t="inlineStr">
        <is>
          <t>ООО «ЧелябинскСпецГражданСтрой» (ИНН 7451211335)</t>
        </is>
      </c>
      <c r="W48" s="8" t="inlineStr">
        <is>
          <t>Россия</t>
        </is>
      </c>
      <c r="X48" s="8" t="inlineStr">
        <is>
          <t>10655491</t>
        </is>
      </c>
      <c r="Y48" s="8" t="inlineStr">
        <is>
          <t>30.06.2028</t>
        </is>
      </c>
      <c r="Z48" s="7" t="n"/>
      <c r="AA48" s="9" t="n"/>
      <c r="AB48" s="10">
        <f>AA48*S48</f>
        <v/>
      </c>
      <c r="AC48" s="7" t="n"/>
      <c r="AD48" s="7" t="n"/>
      <c r="AE48" s="7" t="n"/>
    </row>
    <row r="49" ht="60" customHeight="1">
      <c r="A49" s="5" t="n">
        <v>44</v>
      </c>
      <c r="B49" s="6" t="inlineStr">
        <is>
          <t>1.3/131</t>
        </is>
      </c>
      <c r="C49" s="6" t="inlineStr">
        <is>
          <t>Кран шаровой 11с67п Ду 40 Ру 16 ЦУФ.001 КШ укороченный полнопроходной фланцевый с рукояткой</t>
        </is>
      </c>
      <c r="D49" s="6" t="inlineStr">
        <is>
          <t>ГОСТ 21345 ГОСТ 28343</t>
        </is>
      </c>
      <c r="E49" s="6" t="inlineStr">
        <is>
          <t>40</t>
        </is>
      </c>
      <c r="F49" s="6" t="inlineStr">
        <is>
          <t>полнопроходной</t>
        </is>
      </c>
      <c r="G49" s="6" t="inlineStr">
        <is>
          <t>1.6</t>
        </is>
      </c>
      <c r="H49" s="6" t="inlineStr">
        <is>
          <t>до +200°С</t>
        </is>
      </c>
      <c r="I49" s="6" t="inlineStr">
        <is>
          <t>вода</t>
        </is>
      </c>
      <c r="J49" s="6" t="inlineStr">
        <is>
          <t>сталь 20 ГОСТ 1050</t>
        </is>
      </c>
      <c r="K49" s="6" t="inlineStr">
        <is>
          <t>У1</t>
        </is>
      </c>
      <c r="L49" s="6" t="inlineStr">
        <is>
          <t>фланец-фланец</t>
        </is>
      </c>
      <c r="M49" s="6" t="inlineStr">
        <is>
          <t>Ручное</t>
        </is>
      </c>
      <c r="N49" s="6" t="inlineStr">
        <is>
          <t>Рукоятка</t>
        </is>
      </c>
      <c r="O49" s="6" t="inlineStr">
        <is>
          <t>любое</t>
        </is>
      </c>
      <c r="P49" s="6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49" s="6" t="inlineStr"/>
      <c r="R49" s="6" t="inlineStr"/>
      <c r="S49" s="5" t="n">
        <v>8</v>
      </c>
      <c r="T49" s="6" t="inlineStr">
        <is>
          <t>шт</t>
        </is>
      </c>
      <c r="U49" s="7" t="n"/>
      <c r="V49" s="8" t="inlineStr">
        <is>
          <t>ООО «ЧелябинскСпецГражданСтрой» (ИНН 7451211335)</t>
        </is>
      </c>
      <c r="W49" s="8" t="inlineStr">
        <is>
          <t>Россия</t>
        </is>
      </c>
      <c r="X49" s="8" t="inlineStr">
        <is>
          <t>10655491</t>
        </is>
      </c>
      <c r="Y49" s="8" t="inlineStr">
        <is>
          <t>30.06.2028</t>
        </is>
      </c>
      <c r="Z49" s="7" t="n"/>
      <c r="AA49" s="9" t="n"/>
      <c r="AB49" s="10">
        <f>AA49*S49</f>
        <v/>
      </c>
      <c r="AC49" s="7" t="n"/>
      <c r="AD49" s="7" t="n"/>
      <c r="AE49" s="7" t="n"/>
    </row>
    <row r="50" ht="60" customHeight="1">
      <c r="A50" s="5" t="n">
        <v>45</v>
      </c>
      <c r="B50" s="6" t="inlineStr">
        <is>
          <t>1.3/132</t>
        </is>
      </c>
      <c r="C50" s="6" t="inlineStr">
        <is>
          <t>Кран шаровой 11с67п Ду 50 Ру 16 ЦУФ.001 КШ укороченный полнопроходной фланцевый с рукояткой</t>
        </is>
      </c>
      <c r="D50" s="6" t="inlineStr">
        <is>
          <t>ГОСТ 21345 ГОСТ 28343</t>
        </is>
      </c>
      <c r="E50" s="6" t="inlineStr">
        <is>
          <t>50</t>
        </is>
      </c>
      <c r="F50" s="6" t="inlineStr">
        <is>
          <t>полнопроходной</t>
        </is>
      </c>
      <c r="G50" s="6" t="inlineStr">
        <is>
          <t>1.6</t>
        </is>
      </c>
      <c r="H50" s="6" t="inlineStr">
        <is>
          <t>до +200°С</t>
        </is>
      </c>
      <c r="I50" s="6" t="inlineStr">
        <is>
          <t>вода</t>
        </is>
      </c>
      <c r="J50" s="6" t="inlineStr">
        <is>
          <t>сталь 20 ГОСТ 1050</t>
        </is>
      </c>
      <c r="K50" s="6" t="inlineStr">
        <is>
          <t>У1</t>
        </is>
      </c>
      <c r="L50" s="6" t="inlineStr">
        <is>
          <t>фланец-фланец</t>
        </is>
      </c>
      <c r="M50" s="6" t="inlineStr">
        <is>
          <t>Ручное</t>
        </is>
      </c>
      <c r="N50" s="6" t="inlineStr">
        <is>
          <t>Рукоятка</t>
        </is>
      </c>
      <c r="O50" s="6" t="inlineStr">
        <is>
          <t>любое</t>
        </is>
      </c>
      <c r="P50" s="6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50" s="6" t="inlineStr"/>
      <c r="R50" s="6" t="inlineStr"/>
      <c r="S50" s="5" t="n">
        <v>80</v>
      </c>
      <c r="T50" s="6" t="inlineStr">
        <is>
          <t>шт</t>
        </is>
      </c>
      <c r="U50" s="7" t="n"/>
      <c r="V50" s="8" t="inlineStr">
        <is>
          <t>ООО «ЧелябинскСпецГражданСтрой» (ИНН 7451211335)</t>
        </is>
      </c>
      <c r="W50" s="8" t="inlineStr">
        <is>
          <t>Россия</t>
        </is>
      </c>
      <c r="X50" s="8" t="inlineStr">
        <is>
          <t>10655491</t>
        </is>
      </c>
      <c r="Y50" s="8" t="inlineStr">
        <is>
          <t>30.06.2028</t>
        </is>
      </c>
      <c r="Z50" s="7" t="n"/>
      <c r="AA50" s="9" t="n"/>
      <c r="AB50" s="10">
        <f>AA50*S50</f>
        <v/>
      </c>
      <c r="AC50" s="7" t="n"/>
      <c r="AD50" s="7" t="n"/>
      <c r="AE50" s="7" t="n"/>
    </row>
    <row r="51" ht="60" customHeight="1">
      <c r="A51" s="5" t="n">
        <v>46</v>
      </c>
      <c r="B51" s="6" t="inlineStr">
        <is>
          <t>1.3/133</t>
        </is>
      </c>
      <c r="C51" s="6" t="inlineStr">
        <is>
          <t>Кран шаровой 11с67п Ду 65 Ру 16 ЦУФ.001 КШ укороченный полнопроходной фланцевый с рукояткой</t>
        </is>
      </c>
      <c r="D51" s="6" t="inlineStr">
        <is>
          <t>ГОСТ 21345 ГОСТ 28343</t>
        </is>
      </c>
      <c r="E51" s="6" t="inlineStr">
        <is>
          <t>65</t>
        </is>
      </c>
      <c r="F51" s="6" t="inlineStr">
        <is>
          <t>полнопроходной</t>
        </is>
      </c>
      <c r="G51" s="6" t="inlineStr">
        <is>
          <t>1.6</t>
        </is>
      </c>
      <c r="H51" s="6" t="inlineStr">
        <is>
          <t>до +200°С</t>
        </is>
      </c>
      <c r="I51" s="6" t="inlineStr">
        <is>
          <t>вода</t>
        </is>
      </c>
      <c r="J51" s="6" t="inlineStr">
        <is>
          <t>сталь 20 ГОСТ 1050</t>
        </is>
      </c>
      <c r="K51" s="6" t="inlineStr">
        <is>
          <t>У1</t>
        </is>
      </c>
      <c r="L51" s="6" t="inlineStr">
        <is>
          <t>фланец-фланец</t>
        </is>
      </c>
      <c r="M51" s="6" t="inlineStr">
        <is>
          <t>Ручное</t>
        </is>
      </c>
      <c r="N51" s="6" t="inlineStr">
        <is>
          <t>Рукоятка</t>
        </is>
      </c>
      <c r="O51" s="6" t="inlineStr">
        <is>
          <t>любое</t>
        </is>
      </c>
      <c r="P51" s="6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51" s="6" t="inlineStr"/>
      <c r="R51" s="6" t="inlineStr"/>
      <c r="S51" s="5" t="n">
        <v>6</v>
      </c>
      <c r="T51" s="6" t="inlineStr">
        <is>
          <t>шт</t>
        </is>
      </c>
      <c r="U51" s="7" t="n"/>
      <c r="V51" s="8" t="inlineStr">
        <is>
          <t>ООО «ЧелябинскСпецГражданСтрой» (ИНН 7451211335)</t>
        </is>
      </c>
      <c r="W51" s="8" t="inlineStr">
        <is>
          <t>Россия</t>
        </is>
      </c>
      <c r="X51" s="8" t="inlineStr">
        <is>
          <t>10655491</t>
        </is>
      </c>
      <c r="Y51" s="8" t="inlineStr">
        <is>
          <t>30.06.2028</t>
        </is>
      </c>
      <c r="Z51" s="7" t="n"/>
      <c r="AA51" s="9" t="n"/>
      <c r="AB51" s="10">
        <f>AA51*S51</f>
        <v/>
      </c>
      <c r="AC51" s="7" t="n"/>
      <c r="AD51" s="7" t="n"/>
      <c r="AE51" s="7" t="n"/>
    </row>
    <row r="52" ht="60" customHeight="1">
      <c r="A52" s="5" t="n">
        <v>47</v>
      </c>
      <c r="B52" s="6" t="inlineStr">
        <is>
          <t>1.3/134</t>
        </is>
      </c>
      <c r="C52" s="6" t="inlineStr">
        <is>
          <t>Кран шаровой 11с67п Ду 80 Ру 16 ЦУФ.001 КШ укороченный полнопроходной фланцевый с рукояткой</t>
        </is>
      </c>
      <c r="D52" s="6" t="inlineStr">
        <is>
          <t>ГОСТ 21345 ГОСТ 28343</t>
        </is>
      </c>
      <c r="E52" s="6" t="inlineStr">
        <is>
          <t>80</t>
        </is>
      </c>
      <c r="F52" s="6" t="inlineStr">
        <is>
          <t>полнопроходной</t>
        </is>
      </c>
      <c r="G52" s="6" t="inlineStr">
        <is>
          <t>1.6</t>
        </is>
      </c>
      <c r="H52" s="6" t="inlineStr">
        <is>
          <t>до +200°С</t>
        </is>
      </c>
      <c r="I52" s="6" t="inlineStr">
        <is>
          <t>вода</t>
        </is>
      </c>
      <c r="J52" s="6" t="inlineStr">
        <is>
          <t>сталь 20 ГОСТ 1050</t>
        </is>
      </c>
      <c r="K52" s="6" t="inlineStr">
        <is>
          <t>У1</t>
        </is>
      </c>
      <c r="L52" s="6" t="inlineStr">
        <is>
          <t>фланец-фланец</t>
        </is>
      </c>
      <c r="M52" s="6" t="inlineStr">
        <is>
          <t>Ручное</t>
        </is>
      </c>
      <c r="N52" s="6" t="inlineStr">
        <is>
          <t>Рукоятка</t>
        </is>
      </c>
      <c r="O52" s="6" t="inlineStr">
        <is>
          <t>любое</t>
        </is>
      </c>
      <c r="P52" s="6" t="inlineStr">
        <is>
          <t>Патрубок, стакан используется сталь 20 ГОСТ 1050. Шток используется нержавеющая сталь 20Х13 ГОСТ 5632. В качестве уплотнителя штока используется резина. В качестве уплотнителя шара и прокладки штока используется фторопласт.</t>
        </is>
      </c>
      <c r="Q52" s="6" t="inlineStr"/>
      <c r="R52" s="6" t="inlineStr"/>
      <c r="S52" s="5" t="n">
        <v>92</v>
      </c>
      <c r="T52" s="6" t="inlineStr">
        <is>
          <t>шт</t>
        </is>
      </c>
      <c r="U52" s="7" t="n"/>
      <c r="V52" s="8" t="inlineStr">
        <is>
          <t>ООО «ЧелябинскСпецГражданСтрой» (ИНН 7451211335)</t>
        </is>
      </c>
      <c r="W52" s="8" t="inlineStr">
        <is>
          <t>Россия</t>
        </is>
      </c>
      <c r="X52" s="8" t="inlineStr">
        <is>
          <t>10655491</t>
        </is>
      </c>
      <c r="Y52" s="8" t="inlineStr">
        <is>
          <t>30.06.2028</t>
        </is>
      </c>
      <c r="Z52" s="7" t="n"/>
      <c r="AA52" s="9" t="n"/>
      <c r="AB52" s="10">
        <f>AA52*S52</f>
        <v/>
      </c>
      <c r="AC52" s="7" t="n"/>
      <c r="AD52" s="7" t="n"/>
      <c r="AE52" s="7" t="n"/>
    </row>
    <row r="53" ht="60" customHeight="1">
      <c r="A53" s="5" t="n">
        <v>48</v>
      </c>
      <c r="B53" s="6" t="inlineStr">
        <is>
          <t>1.3/136</t>
        </is>
      </c>
      <c r="C53" s="6" t="inlineStr">
        <is>
          <t>Кран шаровый LD неполнопроходной 11с67п КШЦФ Ду 200 Ру 16 с КОФ</t>
        </is>
      </c>
      <c r="D53" s="6" t="inlineStr">
        <is>
          <t>ТУ 3742-001-45630744-2003</t>
        </is>
      </c>
      <c r="E53" s="6" t="inlineStr">
        <is>
          <t>200</t>
        </is>
      </c>
      <c r="F53" s="6" t="inlineStr">
        <is>
          <t>неполнопроходный</t>
        </is>
      </c>
      <c r="G53" s="6" t="inlineStr">
        <is>
          <t>1.6</t>
        </is>
      </c>
      <c r="H53" s="6" t="inlineStr">
        <is>
          <t>от -40°С до +200°С</t>
        </is>
      </c>
      <c r="I53" s="6" t="inlineStr">
        <is>
          <t>Вода, нефтепродукты и другие нетоксичные и неагрессивные среды</t>
        </is>
      </c>
      <c r="J53" s="6" t="inlineStr">
        <is>
          <t>Сталь 20</t>
        </is>
      </c>
      <c r="K53" s="6" t="inlineStr">
        <is>
          <t>У1</t>
        </is>
      </c>
      <c r="L53" s="6" t="inlineStr">
        <is>
          <t>фланцевое</t>
        </is>
      </c>
      <c r="M53" s="6" t="inlineStr">
        <is>
          <t>рукоятка</t>
        </is>
      </c>
      <c r="N53" s="6" t="inlineStr"/>
      <c r="O53" s="6" t="inlineStr">
        <is>
          <t>любое</t>
        </is>
      </c>
      <c r="P53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3" s="6" t="inlineStr">
        <is>
          <t>строительная длина 330мм</t>
        </is>
      </c>
      <c r="R53" s="6" t="inlineStr"/>
      <c r="S53" s="5" t="n">
        <v>14</v>
      </c>
      <c r="T53" s="6" t="inlineStr">
        <is>
          <t>шт</t>
        </is>
      </c>
      <c r="U53" s="7" t="n"/>
      <c r="V53" s="8" t="inlineStr">
        <is>
          <t>ООО «ЧелябинскСпецГражданСтрой» (ИНН 7451211335)</t>
        </is>
      </c>
      <c r="W53" s="8" t="inlineStr">
        <is>
          <t>Россия</t>
        </is>
      </c>
      <c r="X53" s="8" t="inlineStr">
        <is>
          <t>10655491</t>
        </is>
      </c>
      <c r="Y53" s="8" t="inlineStr">
        <is>
          <t>30.06.2028</t>
        </is>
      </c>
      <c r="Z53" s="7" t="n"/>
      <c r="AA53" s="9" t="n"/>
      <c r="AB53" s="10">
        <f>AA53*S53</f>
        <v/>
      </c>
      <c r="AC53" s="7" t="n"/>
      <c r="AD53" s="7" t="n"/>
      <c r="AE53" s="7" t="n"/>
    </row>
    <row r="54" ht="60" customHeight="1">
      <c r="A54" s="5" t="n">
        <v>49</v>
      </c>
      <c r="B54" s="6" t="inlineStr">
        <is>
          <t>1.3/137</t>
        </is>
      </c>
      <c r="C54" s="6" t="inlineStr">
        <is>
          <t>Кран шаровый LD полнопроходной 11с67п КШРФ Ду 100 Ру 16 с КОФ</t>
        </is>
      </c>
      <c r="D54" s="6" t="inlineStr">
        <is>
          <t>ТУ 3742-005-74212539-2015</t>
        </is>
      </c>
      <c r="E54" s="6" t="inlineStr">
        <is>
          <t>100</t>
        </is>
      </c>
      <c r="F54" s="6" t="inlineStr">
        <is>
          <t>полнопроходный</t>
        </is>
      </c>
      <c r="G54" s="6" t="inlineStr">
        <is>
          <t>1.6</t>
        </is>
      </c>
      <c r="H54" s="6" t="inlineStr">
        <is>
          <t>от -40°С до +200°С</t>
        </is>
      </c>
      <c r="I54" s="6" t="inlineStr">
        <is>
          <t>Вода, нефтепродукты и другие нетоксичные и неагрессивные среды</t>
        </is>
      </c>
      <c r="J54" s="6" t="inlineStr">
        <is>
          <t>Сталь 20</t>
        </is>
      </c>
      <c r="K54" s="6" t="inlineStr">
        <is>
          <t>У1</t>
        </is>
      </c>
      <c r="L54" s="6" t="inlineStr">
        <is>
          <t>фланцевое</t>
        </is>
      </c>
      <c r="M54" s="6" t="inlineStr">
        <is>
          <t>рукоятка</t>
        </is>
      </c>
      <c r="N54" s="6" t="inlineStr"/>
      <c r="O54" s="6" t="inlineStr">
        <is>
          <t>любое</t>
        </is>
      </c>
      <c r="P54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4" s="6" t="inlineStr">
        <is>
          <t>строительная длина 230мм</t>
        </is>
      </c>
      <c r="R54" s="6" t="inlineStr">
        <is>
          <t>-</t>
        </is>
      </c>
      <c r="S54" s="5" t="n">
        <v>29</v>
      </c>
      <c r="T54" s="6" t="inlineStr">
        <is>
          <t>шт</t>
        </is>
      </c>
      <c r="U54" s="7" t="n"/>
      <c r="V54" s="8" t="inlineStr">
        <is>
          <t>ООО «ЧелябинскСпецГражданСтрой» (ИНН 7451211335)</t>
        </is>
      </c>
      <c r="W54" s="8" t="inlineStr">
        <is>
          <t>Россия</t>
        </is>
      </c>
      <c r="X54" s="8" t="inlineStr">
        <is>
          <t>10714005</t>
        </is>
      </c>
      <c r="Y54" s="8" t="inlineStr">
        <is>
          <t>17.09.2028</t>
        </is>
      </c>
      <c r="Z54" s="7" t="n"/>
      <c r="AA54" s="9" t="n"/>
      <c r="AB54" s="10">
        <f>AA54*S54</f>
        <v/>
      </c>
      <c r="AC54" s="7" t="n"/>
      <c r="AD54" s="7" t="n"/>
      <c r="AE54" s="7" t="n"/>
    </row>
    <row r="55" ht="60" customHeight="1">
      <c r="A55" s="5" t="n">
        <v>50</v>
      </c>
      <c r="B55" s="6" t="inlineStr">
        <is>
          <t>1.3/138</t>
        </is>
      </c>
      <c r="C55" s="6" t="inlineStr">
        <is>
          <t>Кран шаровый LD полнопроходной 11с67п КШРФ Ду 125 Ру 16 с КОФ</t>
        </is>
      </c>
      <c r="D55" s="6" t="inlineStr">
        <is>
          <t>ТУ 3742-005-74212539-2015</t>
        </is>
      </c>
      <c r="E55" s="6" t="inlineStr">
        <is>
          <t>125</t>
        </is>
      </c>
      <c r="F55" s="6" t="inlineStr">
        <is>
          <t>полнопроходный</t>
        </is>
      </c>
      <c r="G55" s="6" t="inlineStr">
        <is>
          <t>1.6</t>
        </is>
      </c>
      <c r="H55" s="6" t="inlineStr">
        <is>
          <t>от -40°С до +200°С</t>
        </is>
      </c>
      <c r="I55" s="6" t="inlineStr">
        <is>
          <t>Вода, нефтепродукты и другие нетоксичные и неагрессивные среды</t>
        </is>
      </c>
      <c r="J55" s="6" t="inlineStr">
        <is>
          <t>Сталь 20</t>
        </is>
      </c>
      <c r="K55" s="6" t="inlineStr">
        <is>
          <t>У1</t>
        </is>
      </c>
      <c r="L55" s="6" t="inlineStr">
        <is>
          <t>фланцевое</t>
        </is>
      </c>
      <c r="M55" s="6" t="inlineStr">
        <is>
          <t>рукоятка</t>
        </is>
      </c>
      <c r="N55" s="6" t="inlineStr"/>
      <c r="O55" s="6" t="inlineStr">
        <is>
          <t>любое</t>
        </is>
      </c>
      <c r="P55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5" s="6" t="inlineStr">
        <is>
          <t>строительная длина 255 мм</t>
        </is>
      </c>
      <c r="R55" s="6" t="inlineStr">
        <is>
          <t>-</t>
        </is>
      </c>
      <c r="S55" s="5" t="n">
        <v>6</v>
      </c>
      <c r="T55" s="6" t="inlineStr">
        <is>
          <t>шт</t>
        </is>
      </c>
      <c r="U55" s="7" t="n"/>
      <c r="V55" s="8" t="inlineStr">
        <is>
          <t>ООО «ЧелябинскСпецГражданСтрой» (ИНН 7451211335)</t>
        </is>
      </c>
      <c r="W55" s="8" t="inlineStr">
        <is>
          <t>Россия</t>
        </is>
      </c>
      <c r="X55" s="8" t="inlineStr">
        <is>
          <t>10714005</t>
        </is>
      </c>
      <c r="Y55" s="8" t="inlineStr">
        <is>
          <t>17.09.2028</t>
        </is>
      </c>
      <c r="Z55" s="7" t="n"/>
      <c r="AA55" s="9" t="n"/>
      <c r="AB55" s="10">
        <f>AA55*S55</f>
        <v/>
      </c>
      <c r="AC55" s="7" t="n"/>
      <c r="AD55" s="7" t="n"/>
      <c r="AE55" s="7" t="n"/>
    </row>
    <row r="56" ht="60" customHeight="1">
      <c r="A56" s="5" t="n">
        <v>51</v>
      </c>
      <c r="B56" s="6" t="inlineStr">
        <is>
          <t>1.3/139</t>
        </is>
      </c>
      <c r="C56" s="6" t="inlineStr">
        <is>
          <t>Кран шаровый LD полнопроходной 11с67п КШРФ Ду 150 Ру 16 с КОФ</t>
        </is>
      </c>
      <c r="D56" s="6" t="inlineStr">
        <is>
          <t>ТУ 3742-005-74212539-2015</t>
        </is>
      </c>
      <c r="E56" s="6" t="inlineStr">
        <is>
          <t>150</t>
        </is>
      </c>
      <c r="F56" s="6" t="inlineStr">
        <is>
          <t>полнопроходный</t>
        </is>
      </c>
      <c r="G56" s="6" t="inlineStr">
        <is>
          <t>1.6</t>
        </is>
      </c>
      <c r="H56" s="6" t="inlineStr">
        <is>
          <t>от -40°С до +200°С</t>
        </is>
      </c>
      <c r="I56" s="6" t="inlineStr">
        <is>
          <t>Вода, нефтепродукты и другие нетоксичные и неагрессивные среды</t>
        </is>
      </c>
      <c r="J56" s="6" t="inlineStr">
        <is>
          <t>Сталь 20</t>
        </is>
      </c>
      <c r="K56" s="6" t="inlineStr">
        <is>
          <t>У1</t>
        </is>
      </c>
      <c r="L56" s="6" t="inlineStr">
        <is>
          <t>фланцевое</t>
        </is>
      </c>
      <c r="M56" s="6" t="inlineStr">
        <is>
          <t>рукоятка</t>
        </is>
      </c>
      <c r="N56" s="6" t="inlineStr"/>
      <c r="O56" s="6" t="inlineStr">
        <is>
          <t>любое</t>
        </is>
      </c>
      <c r="P56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6" s="6" t="inlineStr">
        <is>
          <t>строительная длина 280мм</t>
        </is>
      </c>
      <c r="R56" s="6" t="inlineStr">
        <is>
          <t>-</t>
        </is>
      </c>
      <c r="S56" s="5" t="n">
        <v>31</v>
      </c>
      <c r="T56" s="6" t="inlineStr">
        <is>
          <t>шт</t>
        </is>
      </c>
      <c r="U56" s="7" t="n"/>
      <c r="V56" s="8" t="inlineStr">
        <is>
          <t>ООО «ЧелябинскСпецГражданСтрой» (ИНН 7451211335)</t>
        </is>
      </c>
      <c r="W56" s="8" t="inlineStr">
        <is>
          <t>Россия</t>
        </is>
      </c>
      <c r="X56" s="8" t="inlineStr">
        <is>
          <t>10714005</t>
        </is>
      </c>
      <c r="Y56" s="8" t="inlineStr">
        <is>
          <t>17.09.2028</t>
        </is>
      </c>
      <c r="Z56" s="7" t="n"/>
      <c r="AA56" s="9" t="n"/>
      <c r="AB56" s="10">
        <f>AA56*S56</f>
        <v/>
      </c>
      <c r="AC56" s="7" t="n"/>
      <c r="AD56" s="7" t="n"/>
      <c r="AE56" s="7" t="n"/>
    </row>
    <row r="57" ht="60" customHeight="1">
      <c r="A57" s="5" t="n">
        <v>52</v>
      </c>
      <c r="B57" s="6" t="inlineStr">
        <is>
          <t>1.3/140</t>
        </is>
      </c>
      <c r="C57" s="6" t="inlineStr">
        <is>
          <t>Кран шаровый LD полнопроходной 11с67п КШРФ Ду 25 Ру 16 с КОФ</t>
        </is>
      </c>
      <c r="D57" s="6" t="inlineStr">
        <is>
          <t>ТУ 3742-005-74212539-2015</t>
        </is>
      </c>
      <c r="E57" s="6" t="inlineStr">
        <is>
          <t>25</t>
        </is>
      </c>
      <c r="F57" s="6" t="inlineStr">
        <is>
          <t>полнопроходный</t>
        </is>
      </c>
      <c r="G57" s="6" t="inlineStr">
        <is>
          <t>1.6</t>
        </is>
      </c>
      <c r="H57" s="6" t="inlineStr">
        <is>
          <t>от -40°С до +200°С</t>
        </is>
      </c>
      <c r="I57" s="6" t="inlineStr">
        <is>
          <t>Вода, нефтепродукты и другие нетоксичные и неагрессивные среды</t>
        </is>
      </c>
      <c r="J57" s="6" t="inlineStr">
        <is>
          <t>Сталь 20</t>
        </is>
      </c>
      <c r="K57" s="6" t="inlineStr">
        <is>
          <t>У1</t>
        </is>
      </c>
      <c r="L57" s="6" t="inlineStr">
        <is>
          <t>фланцевое</t>
        </is>
      </c>
      <c r="M57" s="6" t="inlineStr">
        <is>
          <t>рукоятка</t>
        </is>
      </c>
      <c r="N57" s="6" t="inlineStr"/>
      <c r="O57" s="6" t="inlineStr">
        <is>
          <t>любое</t>
        </is>
      </c>
      <c r="P57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7" s="6" t="inlineStr">
        <is>
          <t>строительная длина 127мм</t>
        </is>
      </c>
      <c r="R57" s="6" t="inlineStr"/>
      <c r="S57" s="5" t="n">
        <v>8</v>
      </c>
      <c r="T57" s="6" t="inlineStr">
        <is>
          <t>шт</t>
        </is>
      </c>
      <c r="U57" s="7" t="n"/>
      <c r="V57" s="8" t="inlineStr">
        <is>
          <t>ООО «ЧелябинскСпецГражданСтрой» (ИНН 7451211335)</t>
        </is>
      </c>
      <c r="W57" s="8" t="inlineStr">
        <is>
          <t>Россия</t>
        </is>
      </c>
      <c r="X57" s="8" t="inlineStr">
        <is>
          <t>10714005</t>
        </is>
      </c>
      <c r="Y57" s="8" t="inlineStr">
        <is>
          <t>17.09.2028</t>
        </is>
      </c>
      <c r="Z57" s="7" t="n"/>
      <c r="AA57" s="9" t="n"/>
      <c r="AB57" s="10">
        <f>AA57*S57</f>
        <v/>
      </c>
      <c r="AC57" s="7" t="n"/>
      <c r="AD57" s="7" t="n"/>
      <c r="AE57" s="7" t="n"/>
    </row>
    <row r="58" ht="60" customHeight="1">
      <c r="A58" s="5" t="n">
        <v>53</v>
      </c>
      <c r="B58" s="6" t="inlineStr">
        <is>
          <t>1.3/141</t>
        </is>
      </c>
      <c r="C58" s="6" t="inlineStr">
        <is>
          <t>Кран шаровый LD полнопроходной 11с67п КШРФ Ду 32 Ру 16 с КОФ</t>
        </is>
      </c>
      <c r="D58" s="6" t="inlineStr">
        <is>
          <t>ТУ 3742-005-74212539-2015</t>
        </is>
      </c>
      <c r="E58" s="6" t="inlineStr">
        <is>
          <t>32</t>
        </is>
      </c>
      <c r="F58" s="6" t="inlineStr">
        <is>
          <t>полнопроходный</t>
        </is>
      </c>
      <c r="G58" s="6" t="inlineStr">
        <is>
          <t>1.6</t>
        </is>
      </c>
      <c r="H58" s="6" t="inlineStr">
        <is>
          <t>от -40°С до +200°С</t>
        </is>
      </c>
      <c r="I58" s="6" t="inlineStr">
        <is>
          <t>Вода, нефтепродукты и другие нетоксичные и неагрессивные среды</t>
        </is>
      </c>
      <c r="J58" s="6" t="inlineStr">
        <is>
          <t>Сталь 20</t>
        </is>
      </c>
      <c r="K58" s="6" t="inlineStr">
        <is>
          <t>У1</t>
        </is>
      </c>
      <c r="L58" s="6" t="inlineStr">
        <is>
          <t>фланцевое</t>
        </is>
      </c>
      <c r="M58" s="6" t="inlineStr">
        <is>
          <t>рукоятка</t>
        </is>
      </c>
      <c r="N58" s="6" t="inlineStr"/>
      <c r="O58" s="6" t="inlineStr">
        <is>
          <t>любое</t>
        </is>
      </c>
      <c r="P58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8" s="6" t="inlineStr">
        <is>
          <t>строительная длина 140мм</t>
        </is>
      </c>
      <c r="R58" s="6" t="inlineStr"/>
      <c r="S58" s="5" t="n">
        <v>8</v>
      </c>
      <c r="T58" s="6" t="inlineStr">
        <is>
          <t>шт</t>
        </is>
      </c>
      <c r="U58" s="7" t="n"/>
      <c r="V58" s="8" t="inlineStr">
        <is>
          <t>ООО «ЧелябинскСпецГражданСтрой» (ИНН 7451211335)</t>
        </is>
      </c>
      <c r="W58" s="8" t="inlineStr">
        <is>
          <t>Россия</t>
        </is>
      </c>
      <c r="X58" s="8" t="inlineStr">
        <is>
          <t>10714005</t>
        </is>
      </c>
      <c r="Y58" s="8" t="inlineStr">
        <is>
          <t>17.09.2028</t>
        </is>
      </c>
      <c r="Z58" s="7" t="n"/>
      <c r="AA58" s="9" t="n"/>
      <c r="AB58" s="10">
        <f>AA58*S58</f>
        <v/>
      </c>
      <c r="AC58" s="7" t="n"/>
      <c r="AD58" s="7" t="n"/>
      <c r="AE58" s="7" t="n"/>
    </row>
    <row r="59" ht="60" customHeight="1">
      <c r="A59" s="5" t="n">
        <v>54</v>
      </c>
      <c r="B59" s="6" t="inlineStr">
        <is>
          <t>1.3/142</t>
        </is>
      </c>
      <c r="C59" s="6" t="inlineStr">
        <is>
          <t>Кран шаровый LD полнопроходной 11с67п КШРФ Ду 40 Ру 16 с КОФ</t>
        </is>
      </c>
      <c r="D59" s="6" t="inlineStr">
        <is>
          <t>ТУ 3742-005-74212539-2015</t>
        </is>
      </c>
      <c r="E59" s="6" t="inlineStr">
        <is>
          <t>40</t>
        </is>
      </c>
      <c r="F59" s="6" t="inlineStr">
        <is>
          <t>полнопроходный</t>
        </is>
      </c>
      <c r="G59" s="6" t="inlineStr">
        <is>
          <t>1.6</t>
        </is>
      </c>
      <c r="H59" s="6" t="inlineStr">
        <is>
          <t>от -40°С до +200°С</t>
        </is>
      </c>
      <c r="I59" s="6" t="inlineStr">
        <is>
          <t>Вода, нефтепродукты и другие нетоксичные и неагрессивные среды</t>
        </is>
      </c>
      <c r="J59" s="6" t="inlineStr">
        <is>
          <t>Сталь 20</t>
        </is>
      </c>
      <c r="K59" s="6" t="inlineStr">
        <is>
          <t>У1</t>
        </is>
      </c>
      <c r="L59" s="6" t="inlineStr">
        <is>
          <t>фланцевое</t>
        </is>
      </c>
      <c r="M59" s="6" t="inlineStr">
        <is>
          <t>рукоятка</t>
        </is>
      </c>
      <c r="N59" s="6" t="inlineStr"/>
      <c r="O59" s="6" t="inlineStr">
        <is>
          <t>любое</t>
        </is>
      </c>
      <c r="P59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59" s="6" t="inlineStr">
        <is>
          <t>строительная длина 165мм</t>
        </is>
      </c>
      <c r="R59" s="6" t="inlineStr"/>
      <c r="S59" s="5" t="n">
        <v>8</v>
      </c>
      <c r="T59" s="6" t="inlineStr">
        <is>
          <t>шт</t>
        </is>
      </c>
      <c r="U59" s="7" t="n"/>
      <c r="V59" s="8" t="inlineStr">
        <is>
          <t>ООО «ЧелябинскСпецГражданСтрой» (ИНН 7451211335)</t>
        </is>
      </c>
      <c r="W59" s="8" t="inlineStr">
        <is>
          <t>Россия</t>
        </is>
      </c>
      <c r="X59" s="8" t="inlineStr">
        <is>
          <t>10714005</t>
        </is>
      </c>
      <c r="Y59" s="8" t="inlineStr">
        <is>
          <t>17.09.2028</t>
        </is>
      </c>
      <c r="Z59" s="7" t="n"/>
      <c r="AA59" s="9" t="n"/>
      <c r="AB59" s="10">
        <f>AA59*S59</f>
        <v/>
      </c>
      <c r="AC59" s="7" t="n"/>
      <c r="AD59" s="7" t="n"/>
      <c r="AE59" s="7" t="n"/>
    </row>
    <row r="60" ht="60" customHeight="1">
      <c r="A60" s="5" t="n">
        <v>55</v>
      </c>
      <c r="B60" s="6" t="inlineStr">
        <is>
          <t>1.3/143</t>
        </is>
      </c>
      <c r="C60" s="6" t="inlineStr">
        <is>
          <t>Кран шаровый LD полнопроходной 11с67п КШРФ Ду 50 Ру 16 с КОФ</t>
        </is>
      </c>
      <c r="D60" s="6" t="inlineStr">
        <is>
          <t>ТУ 3742-005-74212539-2015</t>
        </is>
      </c>
      <c r="E60" s="6" t="inlineStr">
        <is>
          <t>50</t>
        </is>
      </c>
      <c r="F60" s="6" t="inlineStr">
        <is>
          <t>полнопроходный</t>
        </is>
      </c>
      <c r="G60" s="6" t="inlineStr">
        <is>
          <t>1.6</t>
        </is>
      </c>
      <c r="H60" s="6" t="inlineStr">
        <is>
          <t>от -40°С до +200°С</t>
        </is>
      </c>
      <c r="I60" s="6" t="inlineStr">
        <is>
          <t>Вода, нефтепродукты и другие нетоксичные и неагрессивные среды</t>
        </is>
      </c>
      <c r="J60" s="6" t="inlineStr">
        <is>
          <t>Сталь 20</t>
        </is>
      </c>
      <c r="K60" s="6" t="inlineStr">
        <is>
          <t>У1</t>
        </is>
      </c>
      <c r="L60" s="6" t="inlineStr">
        <is>
          <t>фланцевое</t>
        </is>
      </c>
      <c r="M60" s="6" t="inlineStr">
        <is>
          <t>рукоятка</t>
        </is>
      </c>
      <c r="N60" s="6" t="inlineStr"/>
      <c r="O60" s="6" t="inlineStr">
        <is>
          <t>любое</t>
        </is>
      </c>
      <c r="P60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60" s="6" t="inlineStr">
        <is>
          <t>строительная длина 180мм</t>
        </is>
      </c>
      <c r="R60" s="6" t="inlineStr"/>
      <c r="S60" s="5" t="n">
        <v>112</v>
      </c>
      <c r="T60" s="6" t="inlineStr">
        <is>
          <t>шт</t>
        </is>
      </c>
      <c r="U60" s="7" t="n"/>
      <c r="V60" s="8" t="inlineStr">
        <is>
          <t>ООО «ЧелябинскСпецГражданСтрой» (ИНН 7451211335)</t>
        </is>
      </c>
      <c r="W60" s="8" t="inlineStr">
        <is>
          <t>Россия</t>
        </is>
      </c>
      <c r="X60" s="8" t="inlineStr">
        <is>
          <t>10714005</t>
        </is>
      </c>
      <c r="Y60" s="8" t="inlineStr">
        <is>
          <t>17.09.2028</t>
        </is>
      </c>
      <c r="Z60" s="7" t="n"/>
      <c r="AA60" s="9" t="n"/>
      <c r="AB60" s="10">
        <f>AA60*S60</f>
        <v/>
      </c>
      <c r="AC60" s="7" t="n"/>
      <c r="AD60" s="7" t="n"/>
      <c r="AE60" s="7" t="n"/>
    </row>
    <row r="61" ht="60" customHeight="1">
      <c r="A61" s="5" t="n">
        <v>56</v>
      </c>
      <c r="B61" s="6" t="inlineStr">
        <is>
          <t>1.3/144</t>
        </is>
      </c>
      <c r="C61" s="6" t="inlineStr">
        <is>
          <t>Кран шаровый LD полнопроходной 11с67п КШРФ Ду 65 Ру 16 с КОФ</t>
        </is>
      </c>
      <c r="D61" s="6" t="inlineStr">
        <is>
          <t>ТУ 3742-005-74212539-2015</t>
        </is>
      </c>
      <c r="E61" s="6" t="inlineStr">
        <is>
          <t>65</t>
        </is>
      </c>
      <c r="F61" s="6" t="inlineStr">
        <is>
          <t>полнопроходный</t>
        </is>
      </c>
      <c r="G61" s="6" t="inlineStr">
        <is>
          <t>1.6</t>
        </is>
      </c>
      <c r="H61" s="6" t="inlineStr">
        <is>
          <t>от -40°С до +200°С</t>
        </is>
      </c>
      <c r="I61" s="6" t="inlineStr">
        <is>
          <t>Вода, нефтепродукты и другие нетоксичные и неагрессивные среды</t>
        </is>
      </c>
      <c r="J61" s="6" t="inlineStr">
        <is>
          <t>Сталь 20</t>
        </is>
      </c>
      <c r="K61" s="6" t="inlineStr">
        <is>
          <t>У1</t>
        </is>
      </c>
      <c r="L61" s="6" t="inlineStr">
        <is>
          <t>фланцевое</t>
        </is>
      </c>
      <c r="M61" s="6" t="inlineStr">
        <is>
          <t>рукоятка</t>
        </is>
      </c>
      <c r="N61" s="6" t="inlineStr"/>
      <c r="O61" s="6" t="inlineStr">
        <is>
          <t>любое</t>
        </is>
      </c>
      <c r="P61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61" s="6" t="inlineStr">
        <is>
          <t>строительная длина 200мм</t>
        </is>
      </c>
      <c r="R61" s="6" t="inlineStr"/>
      <c r="S61" s="5" t="n">
        <v>6</v>
      </c>
      <c r="T61" s="6" t="inlineStr">
        <is>
          <t>шт</t>
        </is>
      </c>
      <c r="U61" s="7" t="n"/>
      <c r="V61" s="8" t="inlineStr">
        <is>
          <t>ООО «ЧелябинскСпецГражданСтрой» (ИНН 7451211335)</t>
        </is>
      </c>
      <c r="W61" s="8" t="inlineStr">
        <is>
          <t>Россия</t>
        </is>
      </c>
      <c r="X61" s="8" t="inlineStr">
        <is>
          <t>10714005</t>
        </is>
      </c>
      <c r="Y61" s="8" t="inlineStr">
        <is>
          <t>17.09.2028</t>
        </is>
      </c>
      <c r="Z61" s="7" t="n"/>
      <c r="AA61" s="9" t="n"/>
      <c r="AB61" s="10">
        <f>AA61*S61</f>
        <v/>
      </c>
      <c r="AC61" s="7" t="n"/>
      <c r="AD61" s="7" t="n"/>
      <c r="AE61" s="7" t="n"/>
    </row>
    <row r="62" ht="60" customHeight="1">
      <c r="A62" s="5" t="n">
        <v>57</v>
      </c>
      <c r="B62" s="6" t="inlineStr">
        <is>
          <t>1.3/145</t>
        </is>
      </c>
      <c r="C62" s="6" t="inlineStr">
        <is>
          <t>Кран шаровый LD полнопроходной 11с67п КШРФ Ду 80 Ру 16 МПа с КОФ</t>
        </is>
      </c>
      <c r="D62" s="6" t="inlineStr">
        <is>
          <t>ТУ 3742-005-74212539-2015</t>
        </is>
      </c>
      <c r="E62" s="6" t="inlineStr">
        <is>
          <t>80</t>
        </is>
      </c>
      <c r="F62" s="6" t="inlineStr">
        <is>
          <t>полнопроходный</t>
        </is>
      </c>
      <c r="G62" s="6" t="inlineStr">
        <is>
          <t>1.6</t>
        </is>
      </c>
      <c r="H62" s="6" t="inlineStr">
        <is>
          <t>от -40°С до +200°С</t>
        </is>
      </c>
      <c r="I62" s="6" t="inlineStr">
        <is>
          <t>Вода, нефтепродукты и другие нетоксичные и неагрессивные среды</t>
        </is>
      </c>
      <c r="J62" s="6" t="inlineStr">
        <is>
          <t>Сталь 20</t>
        </is>
      </c>
      <c r="K62" s="6" t="inlineStr">
        <is>
          <t>У1</t>
        </is>
      </c>
      <c r="L62" s="6" t="inlineStr">
        <is>
          <t>фланцевое</t>
        </is>
      </c>
      <c r="M62" s="6" t="inlineStr">
        <is>
          <t>рукоятка</t>
        </is>
      </c>
      <c r="N62" s="6" t="inlineStr"/>
      <c r="O62" s="6" t="inlineStr">
        <is>
          <t>любое</t>
        </is>
      </c>
      <c r="P62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62" s="6" t="inlineStr">
        <is>
          <t>строительная длина 210мм</t>
        </is>
      </c>
      <c r="R62" s="6" t="inlineStr"/>
      <c r="S62" s="5" t="n">
        <v>58</v>
      </c>
      <c r="T62" s="6" t="inlineStr">
        <is>
          <t>шт</t>
        </is>
      </c>
      <c r="U62" s="7" t="n"/>
      <c r="V62" s="8" t="inlineStr">
        <is>
          <t>ООО «ЧелябинскСпецГражданСтрой» (ИНН 7451211335)</t>
        </is>
      </c>
      <c r="W62" s="8" t="inlineStr">
        <is>
          <t>Россия</t>
        </is>
      </c>
      <c r="X62" s="8" t="inlineStr">
        <is>
          <t>10714005</t>
        </is>
      </c>
      <c r="Y62" s="8" t="inlineStr">
        <is>
          <t>17.09.2028</t>
        </is>
      </c>
      <c r="Z62" s="7" t="n"/>
      <c r="AA62" s="9" t="n"/>
      <c r="AB62" s="10">
        <f>AA62*S62</f>
        <v/>
      </c>
      <c r="AC62" s="7" t="n"/>
      <c r="AD62" s="7" t="n"/>
      <c r="AE62" s="7" t="n"/>
    </row>
    <row r="63" ht="60" customHeight="1">
      <c r="A63" s="5" t="n">
        <v>58</v>
      </c>
      <c r="B63" s="6" t="inlineStr">
        <is>
          <t>1.3/146</t>
        </is>
      </c>
      <c r="C63" s="6" t="inlineStr">
        <is>
          <t>Кран шаровый химический КШХ Ду 50 Ру 16</t>
        </is>
      </c>
      <c r="D63" s="6" t="inlineStr">
        <is>
          <t>ТУ У 29.1-23392043-001</t>
        </is>
      </c>
      <c r="E63" s="6" t="inlineStr">
        <is>
          <t>50</t>
        </is>
      </c>
      <c r="F63" s="6" t="inlineStr">
        <is>
          <t>стандарт</t>
        </is>
      </c>
      <c r="G63" s="6" t="inlineStr">
        <is>
          <t>1.6</t>
        </is>
      </c>
      <c r="H63" s="6" t="inlineStr">
        <is>
          <t>От -30 до +150°С</t>
        </is>
      </c>
      <c r="I63" s="6" t="inlineStr">
        <is>
          <t>Любые жидкие реагенты и химические среды</t>
        </is>
      </c>
      <c r="J63" s="6" t="inlineStr">
        <is>
          <t>углеродистая сталь</t>
        </is>
      </c>
      <c r="K63" s="6" t="inlineStr">
        <is>
          <t>У1</t>
        </is>
      </c>
      <c r="L63" s="6" t="inlineStr">
        <is>
          <t>фланцевое</t>
        </is>
      </c>
      <c r="M63" s="6" t="inlineStr">
        <is>
          <t>ручное</t>
        </is>
      </c>
      <c r="N63" s="6" t="inlineStr">
        <is>
          <t>Рукоятка</t>
        </is>
      </c>
      <c r="O63" s="6" t="inlineStr">
        <is>
          <t>любое, кроме положения маховиком вниз</t>
        </is>
      </c>
      <c r="P63" s="6" t="inlineStr">
        <is>
          <t>Материал футерованной проточной части FEP.</t>
        </is>
      </c>
      <c r="Q63" s="6" t="inlineStr">
        <is>
          <t>строительная длина 200 мм.</t>
        </is>
      </c>
      <c r="R63" s="6" t="inlineStr"/>
      <c r="S63" s="5" t="n">
        <v>2</v>
      </c>
      <c r="T63" s="6" t="inlineStr">
        <is>
          <t>шт</t>
        </is>
      </c>
      <c r="U63" s="7" t="n"/>
      <c r="V63" s="8" t="inlineStr">
        <is>
          <t>ООО «ЧелябинскСпецГражданСтрой» / ЛД Прайд (Группа компаний «ЛД», ТМ LD, LD Pride); продажи — ООО «ТД «ЛД»</t>
        </is>
      </c>
      <c r="W63" s="8" t="inlineStr">
        <is>
          <t>Россия</t>
        </is>
      </c>
      <c r="X63" s="7" t="n"/>
      <c r="Y63" s="7" t="n"/>
      <c r="Z63" s="7" t="n"/>
      <c r="AA63" s="9" t="n"/>
      <c r="AB63" s="10">
        <f>AA63*S63</f>
        <v/>
      </c>
      <c r="AC63" s="7" t="n"/>
      <c r="AD63" s="7" t="n"/>
      <c r="AE63" s="7" t="n"/>
    </row>
    <row r="64" ht="60" customHeight="1">
      <c r="A64" s="5" t="n">
        <v>59</v>
      </c>
      <c r="B64" s="6" t="inlineStr">
        <is>
          <t>1.3/147</t>
        </is>
      </c>
      <c r="C64" s="6" t="inlineStr">
        <is>
          <t>Кран шаровый химический КШХ Ду 80 Ру 16</t>
        </is>
      </c>
      <c r="D64" s="6" t="inlineStr">
        <is>
          <t>ТУ У 29.1-23392043-001</t>
        </is>
      </c>
      <c r="E64" s="6" t="inlineStr">
        <is>
          <t>80</t>
        </is>
      </c>
      <c r="F64" s="6" t="inlineStr">
        <is>
          <t>полный</t>
        </is>
      </c>
      <c r="G64" s="6" t="inlineStr">
        <is>
          <t>1.6</t>
        </is>
      </c>
      <c r="H64" s="6" t="inlineStr">
        <is>
          <t>От -30 до + 150 С</t>
        </is>
      </c>
      <c r="I64" s="6" t="inlineStr">
        <is>
          <t>Коррозионная</t>
        </is>
      </c>
      <c r="J64" s="6" t="inlineStr">
        <is>
          <t>сталь 25Л</t>
        </is>
      </c>
      <c r="K64" s="6" t="inlineStr">
        <is>
          <t>У1</t>
        </is>
      </c>
      <c r="L64" s="6" t="inlineStr">
        <is>
          <t>фланцевое</t>
        </is>
      </c>
      <c r="M64" s="6" t="inlineStr">
        <is>
          <t>рычаг</t>
        </is>
      </c>
      <c r="N64" s="6" t="inlineStr">
        <is>
          <t>ручное</t>
        </is>
      </c>
      <c r="O64" s="6" t="inlineStr">
        <is>
          <t>любое</t>
        </is>
      </c>
      <c r="P64" s="6" t="inlineStr">
        <is>
          <t>материал корпуса и шара — сталь 25Л, материал футеровки — фторопласт FEP</t>
        </is>
      </c>
      <c r="Q64" s="6" t="inlineStr">
        <is>
          <t>Длина 230 мм</t>
        </is>
      </c>
      <c r="R64" s="6" t="inlineStr"/>
      <c r="S64" s="5" t="n">
        <v>4</v>
      </c>
      <c r="T64" s="6" t="inlineStr">
        <is>
          <t>шт</t>
        </is>
      </c>
      <c r="U64" s="7" t="n"/>
      <c r="V64" s="8" t="inlineStr">
        <is>
          <t>ООО «ЧелябинскСпецГражданСтрой» / ЛД Прайд (Группа компаний «ЛД», ТМ LD, LD Pride); продажи — ООО «ТД «ЛД»</t>
        </is>
      </c>
      <c r="W64" s="8" t="inlineStr">
        <is>
          <t>Россия</t>
        </is>
      </c>
      <c r="X64" s="7" t="n"/>
      <c r="Y64" s="7" t="n"/>
      <c r="Z64" s="7" t="n"/>
      <c r="AA64" s="9" t="n"/>
      <c r="AB64" s="10">
        <f>AA64*S64</f>
        <v/>
      </c>
      <c r="AC64" s="7" t="n"/>
      <c r="AD64" s="7" t="n"/>
      <c r="AE64" s="7" t="n"/>
    </row>
    <row r="65" ht="60" customHeight="1">
      <c r="A65" s="5" t="n">
        <v>60</v>
      </c>
      <c r="B65" s="6" t="inlineStr">
        <is>
          <t>1.3/149</t>
        </is>
      </c>
      <c r="C65" s="6" t="inlineStr">
        <is>
          <t>Кран шаровый цельносварной неполнопроходной 11с67п Ду 250/200 Ру 16 с КОФ</t>
        </is>
      </c>
      <c r="D65" s="6" t="inlineStr">
        <is>
          <t>ТУ 3742-005-74212539-2015</t>
        </is>
      </c>
      <c r="E65" s="6" t="inlineStr">
        <is>
          <t>250</t>
        </is>
      </c>
      <c r="F65" s="6" t="inlineStr">
        <is>
          <t>200</t>
        </is>
      </c>
      <c r="G65" s="6" t="inlineStr">
        <is>
          <t>1.6</t>
        </is>
      </c>
      <c r="H65" s="6" t="inlineStr">
        <is>
          <t>от -40°С до +200°С</t>
        </is>
      </c>
      <c r="I65" s="6" t="inlineStr">
        <is>
          <t>Вода, нефтепродукты и другие нетоксичные и неагрессивные среды</t>
        </is>
      </c>
      <c r="J65" s="6" t="inlineStr">
        <is>
          <t>Сталь 20</t>
        </is>
      </c>
      <c r="K65" s="6" t="inlineStr"/>
      <c r="L65" s="6" t="inlineStr">
        <is>
          <t>фланцевое</t>
        </is>
      </c>
      <c r="M65" s="6" t="inlineStr">
        <is>
          <t>рукоятка</t>
        </is>
      </c>
      <c r="N65" s="6" t="inlineStr"/>
      <c r="O65" s="6" t="inlineStr">
        <is>
          <t>любое</t>
        </is>
      </c>
      <c r="P65" s="6" t="inlineStr">
        <is>
          <t>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Ф-4К20, Ф-4 Материал пружинного блока Сталь 65Г оцинкованная Материал рукоятки Сталь 3 Материал седла Фторопласт Ф-4К20 Материал уплотнения горловины Фторсилоксановый эластомер,EPDM Материал уплотнения седла EPDM Материал фланца Сталь 20 Материал шаровой пробки Нержавеющая сталь Материал шпинделя Сталь 20X13</t>
        </is>
      </c>
      <c r="Q65" s="6" t="inlineStr">
        <is>
          <t>строительная длина 450мм</t>
        </is>
      </c>
      <c r="R65" s="6" t="inlineStr"/>
      <c r="S65" s="5" t="n">
        <v>2</v>
      </c>
      <c r="T65" s="6" t="inlineStr">
        <is>
          <t>шт</t>
        </is>
      </c>
      <c r="U65" s="7" t="n"/>
      <c r="V65" s="8" t="inlineStr">
        <is>
          <t>ООО «ЧелябинскСпецГражданСтрой» (ИНН 7451211335)</t>
        </is>
      </c>
      <c r="W65" s="8" t="inlineStr">
        <is>
          <t>Россия</t>
        </is>
      </c>
      <c r="X65" s="8" t="inlineStr">
        <is>
          <t>10655491</t>
        </is>
      </c>
      <c r="Y65" s="8" t="inlineStr">
        <is>
          <t>30.06.2028</t>
        </is>
      </c>
      <c r="Z65" s="7" t="n"/>
      <c r="AA65" s="9" t="n"/>
      <c r="AB65" s="10">
        <f>AA65*S65</f>
        <v/>
      </c>
      <c r="AC65" s="7" t="n"/>
      <c r="AD65" s="7" t="n"/>
      <c r="AE65" s="7" t="n"/>
    </row>
    <row r="66" ht="60" customHeight="1">
      <c r="A66" s="5" t="n">
        <v>61</v>
      </c>
      <c r="B66" s="6" t="inlineStr">
        <is>
          <t>1.5/4</t>
        </is>
      </c>
      <c r="C66" s="6" t="inlineStr">
        <is>
          <t>Кран шаровой 11б27п1 Ду 15 Ру 16</t>
        </is>
      </c>
      <c r="D66" s="6" t="inlineStr">
        <is>
          <t>ГОСТ 9544-2015 ГОСТ 28343 ГОСТ 21345</t>
        </is>
      </c>
      <c r="E66" s="6" t="inlineStr">
        <is>
          <t>15</t>
        </is>
      </c>
      <c r="F66" s="6" t="inlineStr">
        <is>
          <t>полный</t>
        </is>
      </c>
      <c r="G66" s="6" t="inlineStr">
        <is>
          <t>1.6</t>
        </is>
      </c>
      <c r="H66" s="6" t="inlineStr">
        <is>
          <t>От -10 до +90 °С</t>
        </is>
      </c>
      <c r="I66" s="6" t="inlineStr">
        <is>
          <t>вода</t>
        </is>
      </c>
      <c r="J66" s="6" t="inlineStr">
        <is>
          <t>латунь HPb58-2A</t>
        </is>
      </c>
      <c r="K66" s="6" t="inlineStr">
        <is>
          <t>У1</t>
        </is>
      </c>
      <c r="L66" s="6" t="inlineStr">
        <is>
          <t>Муфта-муфта ВР-ВР</t>
        </is>
      </c>
      <c r="M66" s="6" t="inlineStr">
        <is>
          <t>Ручное</t>
        </is>
      </c>
      <c r="N66" s="6" t="inlineStr">
        <is>
          <t>рукоятка</t>
        </is>
      </c>
      <c r="O66" s="6" t="inlineStr">
        <is>
          <t>любое</t>
        </is>
      </c>
      <c r="P66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66" s="6" t="inlineStr"/>
      <c r="R66" s="6" t="inlineStr">
        <is>
          <t>(класс гермитичности "А" по ГОСТ 9544-2015).</t>
        </is>
      </c>
      <c r="S66" s="5" t="n">
        <v>28</v>
      </c>
      <c r="T66" s="6" t="inlineStr">
        <is>
          <t>шт</t>
        </is>
      </c>
      <c r="U66" s="7" t="n"/>
      <c r="V66" s="8" t="inlineStr">
        <is>
          <t>ООО «ЛД Прайд» (ИНН 7449114775)</t>
        </is>
      </c>
      <c r="W66" s="8" t="inlineStr">
        <is>
          <t>Россия</t>
        </is>
      </c>
      <c r="X66" s="8" t="inlineStr">
        <is>
          <t>10826766</t>
        </is>
      </c>
      <c r="Y66" s="8" t="inlineStr">
        <is>
          <t>04.05.2031</t>
        </is>
      </c>
      <c r="Z66" s="7" t="n"/>
      <c r="AA66" s="9" t="n"/>
      <c r="AB66" s="10">
        <f>AA66*S66</f>
        <v/>
      </c>
      <c r="AC66" s="7" t="n"/>
      <c r="AD66" s="7" t="n"/>
      <c r="AE66" s="7" t="n"/>
    </row>
    <row r="67" ht="60" customHeight="1">
      <c r="A67" s="5" t="n">
        <v>62</v>
      </c>
      <c r="B67" s="6" t="inlineStr">
        <is>
          <t>1.5/5</t>
        </is>
      </c>
      <c r="C67" s="6" t="inlineStr">
        <is>
          <t>Кран шаровой 11б27п1 Ду 20 Ру 16</t>
        </is>
      </c>
      <c r="D67" s="6" t="inlineStr">
        <is>
          <t>ГОСТ 9544-2015 ГОСТ 28343 ГОСТ 21345</t>
        </is>
      </c>
      <c r="E67" s="6" t="inlineStr">
        <is>
          <t>20</t>
        </is>
      </c>
      <c r="F67" s="6" t="inlineStr">
        <is>
          <t>стандарт</t>
        </is>
      </c>
      <c r="G67" s="6" t="inlineStr">
        <is>
          <t>1.6</t>
        </is>
      </c>
      <c r="H67" s="6" t="inlineStr">
        <is>
          <t>до +150</t>
        </is>
      </c>
      <c r="I67" s="6" t="inlineStr">
        <is>
          <t>вода, пар</t>
        </is>
      </c>
      <c r="J67" s="6" t="inlineStr">
        <is>
          <t>латунь ЛЦ40Сд</t>
        </is>
      </c>
      <c r="K67" s="6" t="inlineStr">
        <is>
          <t>УХЛ4</t>
        </is>
      </c>
      <c r="L67" s="6" t="inlineStr">
        <is>
          <t>муфтовый</t>
        </is>
      </c>
      <c r="M67" s="6" t="inlineStr">
        <is>
          <t>ручной (рукоятка)</t>
        </is>
      </c>
      <c r="N67" s="6" t="inlineStr">
        <is>
          <t>-</t>
        </is>
      </c>
      <c r="O67" s="6" t="inlineStr">
        <is>
          <t>любое</t>
        </is>
      </c>
      <c r="P67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67" s="6" t="inlineStr">
        <is>
          <t>-</t>
        </is>
      </c>
      <c r="R67" s="6" t="inlineStr">
        <is>
          <t>-</t>
        </is>
      </c>
      <c r="S67" s="5" t="n">
        <v>16</v>
      </c>
      <c r="T67" s="6" t="inlineStr">
        <is>
          <t>шт</t>
        </is>
      </c>
      <c r="U67" s="7" t="n"/>
      <c r="V67" s="8" t="inlineStr">
        <is>
          <t>ООО «ЛД Прайд» (ИНН 7449114775)</t>
        </is>
      </c>
      <c r="W67" s="8" t="inlineStr">
        <is>
          <t>Россия</t>
        </is>
      </c>
      <c r="X67" s="8" t="inlineStr">
        <is>
          <t>10826766</t>
        </is>
      </c>
      <c r="Y67" s="8" t="inlineStr">
        <is>
          <t>04.05.2031</t>
        </is>
      </c>
      <c r="Z67" s="7" t="n"/>
      <c r="AA67" s="9" t="n"/>
      <c r="AB67" s="10">
        <f>AA67*S67</f>
        <v/>
      </c>
      <c r="AC67" s="7" t="n"/>
      <c r="AD67" s="7" t="n"/>
      <c r="AE67" s="7" t="n"/>
    </row>
    <row r="68" ht="60" customHeight="1">
      <c r="A68" s="5" t="n">
        <v>63</v>
      </c>
      <c r="B68" s="6" t="inlineStr">
        <is>
          <t>1.5/6</t>
        </is>
      </c>
      <c r="C68" s="6" t="inlineStr">
        <is>
          <t>Кран шаровой 11б27п1 Ду 25 Ру 16</t>
        </is>
      </c>
      <c r="D68" s="6" t="inlineStr">
        <is>
          <t>ГОСТ 9544-2015 ГОСТ 28343 ГОСТ 21345</t>
        </is>
      </c>
      <c r="E68" s="6" t="inlineStr">
        <is>
          <t>25</t>
        </is>
      </c>
      <c r="F68" s="6" t="inlineStr">
        <is>
          <t>полный</t>
        </is>
      </c>
      <c r="G68" s="6" t="inlineStr">
        <is>
          <t>1.6</t>
        </is>
      </c>
      <c r="H68" s="6" t="inlineStr">
        <is>
          <t>От -10 до +90 °С</t>
        </is>
      </c>
      <c r="I68" s="6" t="inlineStr">
        <is>
          <t>вода</t>
        </is>
      </c>
      <c r="J68" s="6" t="inlineStr">
        <is>
          <t>латунь HPb58-2A</t>
        </is>
      </c>
      <c r="K68" s="6" t="inlineStr">
        <is>
          <t>У1</t>
        </is>
      </c>
      <c r="L68" s="6" t="inlineStr">
        <is>
          <t>Муфта-муфта ВР-ВР</t>
        </is>
      </c>
      <c r="M68" s="6" t="inlineStr">
        <is>
          <t>Ручное</t>
        </is>
      </c>
      <c r="N68" s="6" t="inlineStr">
        <is>
          <t>рукоятка</t>
        </is>
      </c>
      <c r="O68" s="6" t="inlineStr">
        <is>
          <t>любое</t>
        </is>
      </c>
      <c r="P68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68" s="6" t="inlineStr"/>
      <c r="R68" s="6" t="inlineStr"/>
      <c r="S68" s="5" t="n">
        <v>16</v>
      </c>
      <c r="T68" s="6" t="inlineStr">
        <is>
          <t>шт</t>
        </is>
      </c>
      <c r="U68" s="7" t="n"/>
      <c r="V68" s="8" t="inlineStr">
        <is>
          <t>ООО «ЛД Прайд» (ИНН 7449114775)</t>
        </is>
      </c>
      <c r="W68" s="8" t="inlineStr">
        <is>
          <t>Россия</t>
        </is>
      </c>
      <c r="X68" s="8" t="inlineStr">
        <is>
          <t>10826766</t>
        </is>
      </c>
      <c r="Y68" s="8" t="inlineStr">
        <is>
          <t>04.05.2031</t>
        </is>
      </c>
      <c r="Z68" s="7" t="n"/>
      <c r="AA68" s="9" t="n"/>
      <c r="AB68" s="10">
        <f>AA68*S68</f>
        <v/>
      </c>
      <c r="AC68" s="7" t="n"/>
      <c r="AD68" s="7" t="n"/>
      <c r="AE68" s="7" t="n"/>
    </row>
    <row r="69" ht="60" customHeight="1">
      <c r="A69" s="5" t="n">
        <v>64</v>
      </c>
      <c r="B69" s="6" t="inlineStr">
        <is>
          <t>1.5/7</t>
        </is>
      </c>
      <c r="C69" s="6" t="inlineStr">
        <is>
          <t>Кран шаровой 11б27п1 Ду 32 Ру 16</t>
        </is>
      </c>
      <c r="D69" s="6" t="inlineStr">
        <is>
          <t>ГОСТ 9544-2015 ГОСТ 28343 ГОСТ 21345</t>
        </is>
      </c>
      <c r="E69" s="6" t="inlineStr">
        <is>
          <t>32</t>
        </is>
      </c>
      <c r="F69" s="6" t="inlineStr">
        <is>
          <t>полный</t>
        </is>
      </c>
      <c r="G69" s="6" t="inlineStr">
        <is>
          <t>1.6</t>
        </is>
      </c>
      <c r="H69" s="6" t="inlineStr">
        <is>
          <t>От -10 до +90 °С</t>
        </is>
      </c>
      <c r="I69" s="6" t="inlineStr">
        <is>
          <t>вода</t>
        </is>
      </c>
      <c r="J69" s="6" t="inlineStr">
        <is>
          <t>латунь HPb58-2A</t>
        </is>
      </c>
      <c r="K69" s="6" t="inlineStr">
        <is>
          <t>У1</t>
        </is>
      </c>
      <c r="L69" s="6" t="inlineStr">
        <is>
          <t>Муфта-муфта ВР-ВР</t>
        </is>
      </c>
      <c r="M69" s="6" t="inlineStr">
        <is>
          <t>Ручное</t>
        </is>
      </c>
      <c r="N69" s="6" t="inlineStr">
        <is>
          <t>рукоятка</t>
        </is>
      </c>
      <c r="O69" s="6" t="inlineStr">
        <is>
          <t>любое</t>
        </is>
      </c>
      <c r="P69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69" s="6" t="inlineStr"/>
      <c r="R69" s="6" t="inlineStr">
        <is>
          <t>(класс гермитичности "А" по ГОСТ 9544-2015).</t>
        </is>
      </c>
      <c r="S69" s="5" t="n">
        <v>6</v>
      </c>
      <c r="T69" s="6" t="inlineStr">
        <is>
          <t>шт</t>
        </is>
      </c>
      <c r="U69" s="7" t="n"/>
      <c r="V69" s="8" t="inlineStr">
        <is>
          <t>ООО «ЛД Прайд» (ИНН 7449114775)</t>
        </is>
      </c>
      <c r="W69" s="8" t="inlineStr">
        <is>
          <t>Россия</t>
        </is>
      </c>
      <c r="X69" s="8" t="inlineStr">
        <is>
          <t>10826766</t>
        </is>
      </c>
      <c r="Y69" s="8" t="inlineStr">
        <is>
          <t>04.05.2031</t>
        </is>
      </c>
      <c r="Z69" s="7" t="n"/>
      <c r="AA69" s="9" t="n"/>
      <c r="AB69" s="10">
        <f>AA69*S69</f>
        <v/>
      </c>
      <c r="AC69" s="7" t="n"/>
      <c r="AD69" s="7" t="n"/>
      <c r="AE69" s="7" t="n"/>
    </row>
    <row r="70" ht="60" customHeight="1">
      <c r="A70" s="5" t="n">
        <v>65</v>
      </c>
      <c r="B70" s="6" t="inlineStr">
        <is>
          <t>1.5/8</t>
        </is>
      </c>
      <c r="C70" s="6" t="inlineStr">
        <is>
          <t>Кран шаровой 11б27п1 Ду 50 Ру 16</t>
        </is>
      </c>
      <c r="D70" s="6" t="inlineStr">
        <is>
          <t>ГОСТ 9544-2015 ГОСТ 28343 ГОСТ 21345</t>
        </is>
      </c>
      <c r="E70" s="6" t="inlineStr">
        <is>
          <t>50</t>
        </is>
      </c>
      <c r="F70" s="6" t="inlineStr">
        <is>
          <t>полный</t>
        </is>
      </c>
      <c r="G70" s="6" t="inlineStr">
        <is>
          <t>1.6</t>
        </is>
      </c>
      <c r="H70" s="6" t="inlineStr">
        <is>
          <t>От -10 до +90 °С</t>
        </is>
      </c>
      <c r="I70" s="6" t="inlineStr">
        <is>
          <t>вода</t>
        </is>
      </c>
      <c r="J70" s="6" t="inlineStr">
        <is>
          <t>латунь HPb58-2A</t>
        </is>
      </c>
      <c r="K70" s="6" t="inlineStr">
        <is>
          <t>У1</t>
        </is>
      </c>
      <c r="L70" s="6" t="inlineStr">
        <is>
          <t>Муфта-муфта ВР-ВР</t>
        </is>
      </c>
      <c r="M70" s="6" t="inlineStr">
        <is>
          <t>Ручное</t>
        </is>
      </c>
      <c r="N70" s="6" t="inlineStr">
        <is>
          <t>рукоятка</t>
        </is>
      </c>
      <c r="O70" s="6" t="inlineStr">
        <is>
          <t>любое</t>
        </is>
      </c>
      <c r="P70" s="6" t="inlineStr">
        <is>
          <t>Материал корпуса: латунь HPb58-2A, материал муфты: латунь HPb58-2A, уплотнение шара PTFE, шар, шток: сталь с антикоррозионным покрытием, уплотнение штока EPDM, винт сталь, ручка алюминиевый сплав</t>
        </is>
      </c>
      <c r="Q70" s="6" t="inlineStr">
        <is>
          <t>размер b (толщина) согласно ГОСТ 33259-2015: b = 22 мм</t>
        </is>
      </c>
      <c r="R70" s="6" t="inlineStr"/>
      <c r="S70" s="5" t="n">
        <v>6</v>
      </c>
      <c r="T70" s="6" t="inlineStr">
        <is>
          <t>шт</t>
        </is>
      </c>
      <c r="U70" s="7" t="n"/>
      <c r="V70" s="8" t="inlineStr">
        <is>
          <t>ООО «ЛД Прайд» (ИНН 7449114775)</t>
        </is>
      </c>
      <c r="W70" s="8" t="inlineStr">
        <is>
          <t>Россия</t>
        </is>
      </c>
      <c r="X70" s="8" t="inlineStr">
        <is>
          <t>10826766</t>
        </is>
      </c>
      <c r="Y70" s="8" t="inlineStr">
        <is>
          <t>04.05.2031</t>
        </is>
      </c>
      <c r="Z70" s="7" t="n"/>
      <c r="AA70" s="9" t="n"/>
      <c r="AB70" s="10">
        <f>AA70*S70</f>
        <v/>
      </c>
      <c r="AC70" s="7" t="n"/>
      <c r="AD70" s="7" t="n"/>
      <c r="AE70" s="7" t="n"/>
    </row>
    <row r="71" ht="60" customHeight="1">
      <c r="A71" s="5" t="n">
        <v>66</v>
      </c>
      <c r="B71" s="6" t="inlineStr">
        <is>
          <t>1.5/9</t>
        </is>
      </c>
      <c r="C71" s="6" t="inlineStr">
        <is>
          <t>Кран шаровой 11с22п Ду 50 Ру 16</t>
        </is>
      </c>
      <c r="D71" s="6" t="inlineStr">
        <is>
          <t>ГОСТ 21345-2005</t>
        </is>
      </c>
      <c r="E71" s="6" t="inlineStr">
        <is>
          <t>50</t>
        </is>
      </c>
      <c r="F71" s="6" t="inlineStr">
        <is>
          <t>стандарт</t>
        </is>
      </c>
      <c r="G71" s="6" t="inlineStr">
        <is>
          <t>1.6</t>
        </is>
      </c>
      <c r="H71" s="6" t="inlineStr">
        <is>
          <t>до +200</t>
        </is>
      </c>
      <c r="I71" s="6" t="inlineStr">
        <is>
          <t>вода, природный газ, нефтепродукты, инертные газы</t>
        </is>
      </c>
      <c r="J71" s="6" t="inlineStr">
        <is>
          <t>сталь 20</t>
        </is>
      </c>
      <c r="K71" s="6" t="inlineStr">
        <is>
          <t>У1</t>
        </is>
      </c>
      <c r="L71" s="6" t="inlineStr">
        <is>
          <t>фланцевый</t>
        </is>
      </c>
      <c r="M71" s="6" t="inlineStr">
        <is>
          <t>ручной (рукоятка)</t>
        </is>
      </c>
      <c r="N71" s="6" t="inlineStr">
        <is>
          <t>-</t>
        </is>
      </c>
      <c r="O71" s="6" t="inlineStr">
        <is>
          <t>любое</t>
        </is>
      </c>
      <c r="P71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1" s="6" t="inlineStr">
        <is>
          <t>-</t>
        </is>
      </c>
      <c r="R71" s="6" t="inlineStr">
        <is>
          <t>-</t>
        </is>
      </c>
      <c r="S71" s="5" t="n">
        <v>4</v>
      </c>
      <c r="T71" s="6" t="inlineStr">
        <is>
          <t>шт</t>
        </is>
      </c>
      <c r="U71" s="7" t="n"/>
      <c r="V71" s="8" t="inlineStr">
        <is>
          <t>ООО «ЧелябинскСпецГражданСтрой» (ИНН 7451211335)</t>
        </is>
      </c>
      <c r="W71" s="8" t="inlineStr">
        <is>
          <t>Россия</t>
        </is>
      </c>
      <c r="X71" s="8" t="inlineStr">
        <is>
          <t>10655491</t>
        </is>
      </c>
      <c r="Y71" s="8" t="inlineStr">
        <is>
          <t>30.06.2028</t>
        </is>
      </c>
      <c r="Z71" s="7" t="n"/>
      <c r="AA71" s="9" t="n"/>
      <c r="AB71" s="10">
        <f>AA71*S71</f>
        <v/>
      </c>
      <c r="AC71" s="7" t="n"/>
      <c r="AD71" s="7" t="n"/>
      <c r="AE71" s="7" t="n"/>
    </row>
    <row r="72" ht="60" customHeight="1">
      <c r="A72" s="5" t="n">
        <v>67</v>
      </c>
      <c r="B72" s="6" t="inlineStr">
        <is>
          <t>1.5/10</t>
        </is>
      </c>
      <c r="C72" s="6" t="inlineStr">
        <is>
          <t>Кран шаровой 11с22п Ду 80 Ру 16</t>
        </is>
      </c>
      <c r="D72" s="6" t="inlineStr">
        <is>
          <t>ГОСТ 21345-2005</t>
        </is>
      </c>
      <c r="E72" s="6" t="inlineStr">
        <is>
          <t>80</t>
        </is>
      </c>
      <c r="F72" s="6" t="inlineStr">
        <is>
          <t>стандарт</t>
        </is>
      </c>
      <c r="G72" s="6" t="inlineStr">
        <is>
          <t>1.6</t>
        </is>
      </c>
      <c r="H72" s="6" t="inlineStr">
        <is>
          <t>до +200</t>
        </is>
      </c>
      <c r="I72" s="6" t="inlineStr">
        <is>
          <t>вода, природный газ, нефтепродукты, инертные газы</t>
        </is>
      </c>
      <c r="J72" s="6" t="inlineStr">
        <is>
          <t>сталь 20</t>
        </is>
      </c>
      <c r="K72" s="6" t="inlineStr">
        <is>
          <t>У1</t>
        </is>
      </c>
      <c r="L72" s="6" t="inlineStr">
        <is>
          <t>фланцевый</t>
        </is>
      </c>
      <c r="M72" s="6" t="inlineStr">
        <is>
          <t>ручной (рукоятка)</t>
        </is>
      </c>
      <c r="N72" s="6" t="inlineStr">
        <is>
          <t>-</t>
        </is>
      </c>
      <c r="O72" s="6" t="inlineStr">
        <is>
          <t>любое</t>
        </is>
      </c>
      <c r="P72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2" s="6" t="inlineStr">
        <is>
          <t>-</t>
        </is>
      </c>
      <c r="R72" s="6" t="inlineStr">
        <is>
          <t>-</t>
        </is>
      </c>
      <c r="S72" s="5" t="n">
        <v>4</v>
      </c>
      <c r="T72" s="6" t="inlineStr">
        <is>
          <t>шт</t>
        </is>
      </c>
      <c r="U72" s="7" t="n"/>
      <c r="V72" s="8" t="inlineStr">
        <is>
          <t>ООО «ЧелябинскСпецГражданСтрой» (ИНН 7451211335)</t>
        </is>
      </c>
      <c r="W72" s="8" t="inlineStr">
        <is>
          <t>Россия</t>
        </is>
      </c>
      <c r="X72" s="8" t="inlineStr">
        <is>
          <t>10655491</t>
        </is>
      </c>
      <c r="Y72" s="8" t="inlineStr">
        <is>
          <t>30.06.2028</t>
        </is>
      </c>
      <c r="Z72" s="7" t="n"/>
      <c r="AA72" s="9" t="n"/>
      <c r="AB72" s="10">
        <f>AA72*S72</f>
        <v/>
      </c>
      <c r="AC72" s="7" t="n"/>
      <c r="AD72" s="7" t="n"/>
      <c r="AE72" s="7" t="n"/>
    </row>
    <row r="73" ht="60" customHeight="1">
      <c r="A73" s="5" t="n">
        <v>68</v>
      </c>
      <c r="B73" s="6" t="inlineStr">
        <is>
          <t>1.5/11</t>
        </is>
      </c>
      <c r="C73" s="6" t="inlineStr">
        <is>
          <t>Кран шаровой 11с22п Ду 100 Ру 16</t>
        </is>
      </c>
      <c r="D73" s="6" t="inlineStr">
        <is>
          <t>ГОСТ 21345-2005</t>
        </is>
      </c>
      <c r="E73" s="6" t="inlineStr">
        <is>
          <t>100</t>
        </is>
      </c>
      <c r="F73" s="6" t="inlineStr">
        <is>
          <t>стандарт</t>
        </is>
      </c>
      <c r="G73" s="6" t="inlineStr">
        <is>
          <t>1.6</t>
        </is>
      </c>
      <c r="H73" s="6" t="inlineStr">
        <is>
          <t>до +200</t>
        </is>
      </c>
      <c r="I73" s="6" t="inlineStr">
        <is>
          <t>вода, природный газ, нефтепродукты, инертные газы</t>
        </is>
      </c>
      <c r="J73" s="6" t="inlineStr">
        <is>
          <t>сталь 20</t>
        </is>
      </c>
      <c r="K73" s="6" t="inlineStr">
        <is>
          <t>У1</t>
        </is>
      </c>
      <c r="L73" s="6" t="inlineStr">
        <is>
          <t>фланцевый</t>
        </is>
      </c>
      <c r="M73" s="6" t="inlineStr">
        <is>
          <t>ручной (рукоятка)</t>
        </is>
      </c>
      <c r="N73" s="6" t="inlineStr">
        <is>
          <t>-</t>
        </is>
      </c>
      <c r="O73" s="6" t="inlineStr">
        <is>
          <t>любое</t>
        </is>
      </c>
      <c r="P73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73" s="6" t="inlineStr">
        <is>
          <t>-</t>
        </is>
      </c>
      <c r="R73" s="6" t="inlineStr">
        <is>
          <t>-</t>
        </is>
      </c>
      <c r="S73" s="5" t="n">
        <v>2</v>
      </c>
      <c r="T73" s="6" t="inlineStr">
        <is>
          <t>шт</t>
        </is>
      </c>
      <c r="U73" s="7" t="n"/>
      <c r="V73" s="8" t="inlineStr">
        <is>
          <t>ООО «ЧелябинскСпецГражданСтрой» (ИНН 7451211335)</t>
        </is>
      </c>
      <c r="W73" s="8" t="inlineStr">
        <is>
          <t>Россия</t>
        </is>
      </c>
      <c r="X73" s="8" t="inlineStr">
        <is>
          <t>10655491</t>
        </is>
      </c>
      <c r="Y73" s="8" t="inlineStr">
        <is>
          <t>30.06.2028</t>
        </is>
      </c>
      <c r="Z73" s="7" t="n"/>
      <c r="AA73" s="9" t="n"/>
      <c r="AB73" s="10">
        <f>AA73*S73</f>
        <v/>
      </c>
      <c r="AC73" s="7" t="n"/>
      <c r="AD73" s="7" t="n"/>
      <c r="AE73" s="7" t="n"/>
    </row>
    <row r="74" ht="60" customHeight="1">
      <c r="A74" s="5" t="n">
        <v>69</v>
      </c>
      <c r="B74" s="6" t="inlineStr">
        <is>
          <t>1.5/12</t>
        </is>
      </c>
      <c r="C74" s="6" t="inlineStr">
        <is>
          <t>Кран шаровой 11с67п Ду 15 Ру 25 цельносварной под приварку</t>
        </is>
      </c>
      <c r="D74" s="6" t="inlineStr">
        <is>
          <t>ГОСТ 21345-2005</t>
        </is>
      </c>
      <c r="E74" s="6" t="inlineStr">
        <is>
          <t>15</t>
        </is>
      </c>
      <c r="F74" s="6" t="inlineStr">
        <is>
          <t>полнопроходной</t>
        </is>
      </c>
      <c r="G74" s="6" t="inlineStr">
        <is>
          <t>2.5</t>
        </is>
      </c>
      <c r="H74" s="6" t="inlineStr">
        <is>
          <t>От -40°С до +200°С</t>
        </is>
      </c>
      <c r="I74" s="6" t="inlineStr">
        <is>
          <t>Вода</t>
        </is>
      </c>
      <c r="J74" s="6" t="inlineStr">
        <is>
          <t>сталь 20</t>
        </is>
      </c>
      <c r="K74" s="6" t="inlineStr">
        <is>
          <t>У1</t>
        </is>
      </c>
      <c r="L74" s="6" t="inlineStr">
        <is>
          <t>под приварку</t>
        </is>
      </c>
      <c r="M74" s="6" t="inlineStr">
        <is>
          <t>Ручное</t>
        </is>
      </c>
      <c r="N74" s="6" t="inlineStr">
        <is>
          <t>Рукоятка</t>
        </is>
      </c>
      <c r="O74" s="6" t="inlineStr">
        <is>
          <t>любое</t>
        </is>
      </c>
      <c r="P74" s="6" t="inlineStr">
        <is>
          <t>Шток:  сталь, 20Х13 
Уплотнения штока: фторопласт Ф4Г3К6 
Уплотнения шара: фторопласт Ф4Г3К6       
Шар: нержавеющая сталь</t>
        </is>
      </c>
      <c r="Q74" s="6" t="inlineStr"/>
      <c r="R74" s="6" t="inlineStr"/>
      <c r="S74" s="5" t="n">
        <v>25</v>
      </c>
      <c r="T74" s="6" t="inlineStr">
        <is>
          <t>шт</t>
        </is>
      </c>
      <c r="U74" s="7" t="n"/>
      <c r="V74" s="8" t="inlineStr">
        <is>
          <t>ООО «ЧелябинскСпецГражданСтрой» (ИНН 7451211335)</t>
        </is>
      </c>
      <c r="W74" s="8" t="inlineStr">
        <is>
          <t>Россия</t>
        </is>
      </c>
      <c r="X74" s="8" t="inlineStr">
        <is>
          <t>10655491</t>
        </is>
      </c>
      <c r="Y74" s="8" t="inlineStr">
        <is>
          <t>30.06.2028</t>
        </is>
      </c>
      <c r="Z74" s="7" t="n"/>
      <c r="AA74" s="9" t="n"/>
      <c r="AB74" s="10">
        <f>AA74*S74</f>
        <v/>
      </c>
      <c r="AC74" s="7" t="n"/>
      <c r="AD74" s="7" t="n"/>
      <c r="AE74" s="7" t="n"/>
    </row>
    <row r="75" ht="60" customHeight="1">
      <c r="A75" s="5" t="n">
        <v>70</v>
      </c>
      <c r="B75" s="6" t="inlineStr">
        <is>
          <t>1.5/13</t>
        </is>
      </c>
      <c r="C75" s="6" t="inlineStr">
        <is>
          <t>Кран шаровой 11с67п Ду 25 Ру 25 цельносварной под приварку</t>
        </is>
      </c>
      <c r="D75" s="6" t="inlineStr">
        <is>
          <t>ГОСТ 21345-2005</t>
        </is>
      </c>
      <c r="E75" s="6" t="inlineStr">
        <is>
          <t>25</t>
        </is>
      </c>
      <c r="F75" s="6" t="inlineStr">
        <is>
          <t>полнопроходной</t>
        </is>
      </c>
      <c r="G75" s="6" t="inlineStr">
        <is>
          <t>2.5</t>
        </is>
      </c>
      <c r="H75" s="6" t="inlineStr">
        <is>
          <t>От -40°С до +180°С</t>
        </is>
      </c>
      <c r="I75" s="6" t="inlineStr">
        <is>
          <t>Вода, газ, нефтепродукты и другие нетоксичные и не агрессивные среды, нейтральные к материалам деталей крана.</t>
        </is>
      </c>
      <c r="J75" s="6" t="inlineStr">
        <is>
          <t>сталь 20</t>
        </is>
      </c>
      <c r="K75" s="6" t="inlineStr">
        <is>
          <t>У1</t>
        </is>
      </c>
      <c r="L75" s="6" t="inlineStr">
        <is>
          <t>под приварку</t>
        </is>
      </c>
      <c r="M75" s="6" t="inlineStr">
        <is>
          <t>Ручной</t>
        </is>
      </c>
      <c r="N75" s="6" t="inlineStr">
        <is>
          <t>Рукоятка</t>
        </is>
      </c>
      <c r="O75" s="6" t="inlineStr"/>
      <c r="P75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75" s="6" t="inlineStr"/>
      <c r="R75" s="6" t="inlineStr"/>
      <c r="S75" s="5" t="n">
        <v>32</v>
      </c>
      <c r="T75" s="6" t="inlineStr">
        <is>
          <t>шт</t>
        </is>
      </c>
      <c r="U75" s="7" t="n"/>
      <c r="V75" s="8" t="inlineStr">
        <is>
          <t>ООО «ЧелябинскСпецГражданСтрой» (ИНН 7451211335)</t>
        </is>
      </c>
      <c r="W75" s="8" t="inlineStr">
        <is>
          <t>Россия</t>
        </is>
      </c>
      <c r="X75" s="8" t="inlineStr">
        <is>
          <t>10655491</t>
        </is>
      </c>
      <c r="Y75" s="8" t="inlineStr">
        <is>
          <t>30.06.2028</t>
        </is>
      </c>
      <c r="Z75" s="7" t="n"/>
      <c r="AA75" s="9" t="n"/>
      <c r="AB75" s="10">
        <f>AA75*S75</f>
        <v/>
      </c>
      <c r="AC75" s="7" t="n"/>
      <c r="AD75" s="7" t="n"/>
      <c r="AE75" s="7" t="n"/>
    </row>
    <row r="76" ht="60" customHeight="1">
      <c r="A76" s="5" t="n">
        <v>71</v>
      </c>
      <c r="B76" s="6" t="inlineStr">
        <is>
          <t>1.5/14</t>
        </is>
      </c>
      <c r="C76" s="6" t="inlineStr">
        <is>
          <t>Кран шаровой 11с67п Ду 32 Ру 25 цельносварной под приварку</t>
        </is>
      </c>
      <c r="D76" s="6" t="inlineStr">
        <is>
          <t>ГОСТ 21345-2005</t>
        </is>
      </c>
      <c r="E76" s="6" t="inlineStr">
        <is>
          <t>32</t>
        </is>
      </c>
      <c r="F76" s="6" t="inlineStr">
        <is>
          <t>полнопроходной</t>
        </is>
      </c>
      <c r="G76" s="6" t="inlineStr">
        <is>
          <t>2.5</t>
        </is>
      </c>
      <c r="H76" s="6" t="inlineStr">
        <is>
          <t>От -40°С до +180°С</t>
        </is>
      </c>
      <c r="I76" s="6" t="inlineStr">
        <is>
          <t>Вода, газ, нефтепродукты и другие нетоксичные и не агрессивные среды, нейтральные к материалам деталей крана.</t>
        </is>
      </c>
      <c r="J76" s="6" t="inlineStr">
        <is>
          <t>сталь 20</t>
        </is>
      </c>
      <c r="K76" s="6" t="inlineStr">
        <is>
          <t>У1</t>
        </is>
      </c>
      <c r="L76" s="6" t="inlineStr">
        <is>
          <t>под приварку</t>
        </is>
      </c>
      <c r="M76" s="6" t="inlineStr">
        <is>
          <t>Ручной</t>
        </is>
      </c>
      <c r="N76" s="6" t="inlineStr">
        <is>
          <t>Рукоятка</t>
        </is>
      </c>
      <c r="O76" s="6" t="inlineStr">
        <is>
          <t>любое</t>
        </is>
      </c>
      <c r="P76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76" s="6" t="inlineStr">
        <is>
          <t>строительная длина 260мм</t>
        </is>
      </c>
      <c r="R76" s="6" t="inlineStr"/>
      <c r="S76" s="5" t="n">
        <v>15</v>
      </c>
      <c r="T76" s="6" t="inlineStr">
        <is>
          <t>шт</t>
        </is>
      </c>
      <c r="U76" s="7" t="n"/>
      <c r="V76" s="8" t="inlineStr">
        <is>
          <t>ООО «ЧелябинскСпецГражданСтрой» (ИНН 7451211335)</t>
        </is>
      </c>
      <c r="W76" s="8" t="inlineStr">
        <is>
          <t>Россия</t>
        </is>
      </c>
      <c r="X76" s="8" t="inlineStr">
        <is>
          <t>10655491</t>
        </is>
      </c>
      <c r="Y76" s="8" t="inlineStr">
        <is>
          <t>30.06.2028</t>
        </is>
      </c>
      <c r="Z76" s="7" t="n"/>
      <c r="AA76" s="9" t="n"/>
      <c r="AB76" s="10">
        <f>AA76*S76</f>
        <v/>
      </c>
      <c r="AC76" s="7" t="n"/>
      <c r="AD76" s="7" t="n"/>
      <c r="AE76" s="7" t="n"/>
    </row>
    <row r="77" ht="60" customHeight="1">
      <c r="A77" s="5" t="n">
        <v>72</v>
      </c>
      <c r="B77" s="6" t="inlineStr">
        <is>
          <t>1.5/15</t>
        </is>
      </c>
      <c r="C77" s="6" t="inlineStr">
        <is>
          <t>Кран шаровой 11с67п Ду 40 Ру 25 цельносварной под приварку</t>
        </is>
      </c>
      <c r="D77" s="6" t="inlineStr">
        <is>
          <t>ГОСТ 21345-2005</t>
        </is>
      </c>
      <c r="E77" s="6" t="inlineStr">
        <is>
          <t>40</t>
        </is>
      </c>
      <c r="F77" s="6" t="inlineStr">
        <is>
          <t>полнопроходной</t>
        </is>
      </c>
      <c r="G77" s="6" t="inlineStr">
        <is>
          <t>2.5</t>
        </is>
      </c>
      <c r="H77" s="6" t="inlineStr">
        <is>
          <t>От -40°С до +200°С</t>
        </is>
      </c>
      <c r="I77" s="6" t="inlineStr">
        <is>
          <t>Вода</t>
        </is>
      </c>
      <c r="J77" s="6" t="inlineStr">
        <is>
          <t>сталь 20</t>
        </is>
      </c>
      <c r="K77" s="6" t="inlineStr">
        <is>
          <t>У1</t>
        </is>
      </c>
      <c r="L77" s="6" t="inlineStr">
        <is>
          <t>под приварку</t>
        </is>
      </c>
      <c r="M77" s="6" t="inlineStr">
        <is>
          <t>Ручное</t>
        </is>
      </c>
      <c r="N77" s="6" t="inlineStr">
        <is>
          <t>Рукоятка</t>
        </is>
      </c>
      <c r="O77" s="6" t="inlineStr">
        <is>
          <t>любое</t>
        </is>
      </c>
      <c r="P77" s="6" t="inlineStr">
        <is>
          <t>Шток:  сталь, 20Х13 
Уплотнения штока: фторопласт Ф4Г3К6 
Уплотнения шара: фторопласт Ф4Г3К6
 Шар: нержавеющая сталь</t>
        </is>
      </c>
      <c r="Q77" s="6" t="inlineStr"/>
      <c r="R77" s="6" t="inlineStr"/>
      <c r="S77" s="5" t="n">
        <v>26</v>
      </c>
      <c r="T77" s="6" t="inlineStr">
        <is>
          <t>шт</t>
        </is>
      </c>
      <c r="U77" s="7" t="n"/>
      <c r="V77" s="8" t="inlineStr">
        <is>
          <t>ООО «ЧелябинскСпецГражданСтрой» (ИНН 7451211335)</t>
        </is>
      </c>
      <c r="W77" s="8" t="inlineStr">
        <is>
          <t>Россия</t>
        </is>
      </c>
      <c r="X77" s="8" t="inlineStr">
        <is>
          <t>10655491</t>
        </is>
      </c>
      <c r="Y77" s="8" t="inlineStr">
        <is>
          <t>30.06.2028</t>
        </is>
      </c>
      <c r="Z77" s="7" t="n"/>
      <c r="AA77" s="9" t="n"/>
      <c r="AB77" s="10">
        <f>AA77*S77</f>
        <v/>
      </c>
      <c r="AC77" s="7" t="n"/>
      <c r="AD77" s="7" t="n"/>
      <c r="AE77" s="7" t="n"/>
    </row>
    <row r="78" ht="60" customHeight="1">
      <c r="A78" s="5" t="n">
        <v>73</v>
      </c>
      <c r="B78" s="6" t="inlineStr">
        <is>
          <t>1.5/16</t>
        </is>
      </c>
      <c r="C78" s="6" t="inlineStr">
        <is>
          <t>Кран шаровой 11с67п Ду 50 Ру 25 цельносварной под приварку</t>
        </is>
      </c>
      <c r="D78" s="6" t="inlineStr">
        <is>
          <t>ГОСТ 21345-2005</t>
        </is>
      </c>
      <c r="E78" s="6" t="inlineStr">
        <is>
          <t>50</t>
        </is>
      </c>
      <c r="F78" s="6" t="inlineStr">
        <is>
          <t>полнопроходной</t>
        </is>
      </c>
      <c r="G78" s="6" t="inlineStr">
        <is>
          <t>2.5</t>
        </is>
      </c>
      <c r="H78" s="6" t="inlineStr">
        <is>
          <t>от -40 до +200</t>
        </is>
      </c>
      <c r="I78" s="6" t="inlineStr">
        <is>
          <t>вода</t>
        </is>
      </c>
      <c r="J78" s="6" t="inlineStr">
        <is>
          <t>сталь 20</t>
        </is>
      </c>
      <c r="K78" s="6" t="inlineStr">
        <is>
          <t>У1</t>
        </is>
      </c>
      <c r="L78" s="6" t="inlineStr">
        <is>
          <t>под приварку</t>
        </is>
      </c>
      <c r="M78" s="6" t="inlineStr">
        <is>
          <t>ручное</t>
        </is>
      </c>
      <c r="N78" s="6" t="inlineStr">
        <is>
          <t>рукоятка</t>
        </is>
      </c>
      <c r="O78" s="6" t="inlineStr">
        <is>
          <t>любое</t>
        </is>
      </c>
      <c r="P78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78" s="6" t="inlineStr">
        <is>
          <t>строительная длина 300мм</t>
        </is>
      </c>
      <c r="R78" s="6" t="inlineStr"/>
      <c r="S78" s="5" t="n">
        <v>9</v>
      </c>
      <c r="T78" s="6" t="inlineStr">
        <is>
          <t>шт</t>
        </is>
      </c>
      <c r="U78" s="7" t="n"/>
      <c r="V78" s="8" t="inlineStr">
        <is>
          <t>ООО «ЧелябинскСпецГражданСтрой» (ИНН 7451211335)</t>
        </is>
      </c>
      <c r="W78" s="8" t="inlineStr">
        <is>
          <t>Россия</t>
        </is>
      </c>
      <c r="X78" s="8" t="inlineStr">
        <is>
          <t>10655491</t>
        </is>
      </c>
      <c r="Y78" s="8" t="inlineStr">
        <is>
          <t>30.06.2028</t>
        </is>
      </c>
      <c r="Z78" s="7" t="n"/>
      <c r="AA78" s="9" t="n"/>
      <c r="AB78" s="10">
        <f>AA78*S78</f>
        <v/>
      </c>
      <c r="AC78" s="7" t="n"/>
      <c r="AD78" s="7" t="n"/>
      <c r="AE78" s="7" t="n"/>
    </row>
    <row r="79" ht="60" customHeight="1">
      <c r="A79" s="5" t="n">
        <v>74</v>
      </c>
      <c r="B79" s="6" t="inlineStr">
        <is>
          <t>1.5/17</t>
        </is>
      </c>
      <c r="C79" s="6" t="inlineStr">
        <is>
          <t>Кран шаровой 11с67п Ду 100 Ру 25 цельносварной под приварку</t>
        </is>
      </c>
      <c r="D79" s="6" t="inlineStr">
        <is>
          <t>ГОСТ 21345-2005</t>
        </is>
      </c>
      <c r="E79" s="6" t="inlineStr">
        <is>
          <t>100</t>
        </is>
      </c>
      <c r="F79" s="6" t="inlineStr">
        <is>
          <t>полнопроходной</t>
        </is>
      </c>
      <c r="G79" s="6" t="inlineStr">
        <is>
          <t>2.5</t>
        </is>
      </c>
      <c r="H79" s="6" t="inlineStr">
        <is>
          <t>от -40 до +200</t>
        </is>
      </c>
      <c r="I79" s="6" t="inlineStr">
        <is>
          <t>вода</t>
        </is>
      </c>
      <c r="J79" s="6" t="inlineStr">
        <is>
          <t>сталь 20</t>
        </is>
      </c>
      <c r="K79" s="6" t="inlineStr">
        <is>
          <t>У1</t>
        </is>
      </c>
      <c r="L79" s="6" t="inlineStr">
        <is>
          <t>под приварку</t>
        </is>
      </c>
      <c r="M79" s="6" t="inlineStr">
        <is>
          <t>ручное</t>
        </is>
      </c>
      <c r="N79" s="6" t="inlineStr">
        <is>
          <t>рукоятка</t>
        </is>
      </c>
      <c r="O79" s="6" t="inlineStr">
        <is>
          <t>любое</t>
        </is>
      </c>
      <c r="P79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79" s="6" t="inlineStr">
        <is>
          <t>строительная длина 390мм</t>
        </is>
      </c>
      <c r="R79" s="6" t="inlineStr"/>
      <c r="S79" s="5" t="n">
        <v>4</v>
      </c>
      <c r="T79" s="6" t="inlineStr">
        <is>
          <t>шт</t>
        </is>
      </c>
      <c r="U79" s="7" t="n"/>
      <c r="V79" s="8" t="inlineStr">
        <is>
          <t>ООО «ЧелябинскСпецГражданСтрой» (ИНН 7451211335)</t>
        </is>
      </c>
      <c r="W79" s="8" t="inlineStr">
        <is>
          <t>Россия</t>
        </is>
      </c>
      <c r="X79" s="8" t="inlineStr">
        <is>
          <t>10655491</t>
        </is>
      </c>
      <c r="Y79" s="8" t="inlineStr">
        <is>
          <t>30.06.2028</t>
        </is>
      </c>
      <c r="Z79" s="7" t="n"/>
      <c r="AA79" s="9" t="n"/>
      <c r="AB79" s="10">
        <f>AA79*S79</f>
        <v/>
      </c>
      <c r="AC79" s="7" t="n"/>
      <c r="AD79" s="7" t="n"/>
      <c r="AE79" s="7" t="n"/>
    </row>
    <row r="80" ht="60" customHeight="1">
      <c r="A80" s="5" t="n">
        <v>75</v>
      </c>
      <c r="B80" s="6" t="inlineStr">
        <is>
          <t>1.5/18</t>
        </is>
      </c>
      <c r="C80" s="6" t="inlineStr">
        <is>
          <t>Кран шаровой 11с67п Ду 150 Ру 25 цельносварной под приварку</t>
        </is>
      </c>
      <c r="D80" s="6" t="inlineStr">
        <is>
          <t>ГОСТ 21345-2005</t>
        </is>
      </c>
      <c r="E80" s="6" t="inlineStr">
        <is>
          <t>150</t>
        </is>
      </c>
      <c r="F80" s="6" t="inlineStr">
        <is>
          <t>полнопроходной</t>
        </is>
      </c>
      <c r="G80" s="6" t="inlineStr">
        <is>
          <t>2.5</t>
        </is>
      </c>
      <c r="H80" s="6" t="inlineStr">
        <is>
          <t>от -40 до +200</t>
        </is>
      </c>
      <c r="I80" s="6" t="inlineStr">
        <is>
          <t>вода</t>
        </is>
      </c>
      <c r="J80" s="6" t="inlineStr">
        <is>
          <t>сталь 20</t>
        </is>
      </c>
      <c r="K80" s="6" t="inlineStr">
        <is>
          <t>У1</t>
        </is>
      </c>
      <c r="L80" s="6" t="inlineStr">
        <is>
          <t>под приварку</t>
        </is>
      </c>
      <c r="M80" s="6" t="inlineStr">
        <is>
          <t>ручное</t>
        </is>
      </c>
      <c r="N80" s="6" t="inlineStr">
        <is>
          <t>рукоятка</t>
        </is>
      </c>
      <c r="O80" s="6" t="inlineStr">
        <is>
          <t>любое</t>
        </is>
      </c>
      <c r="P80" s="6" t="inlineStr">
        <is>
          <t>Корпус : сталь 20  Шар : нержавеющая сталь 08Х18Н10 Шпиндель : нержавеющая сталь 20Х13 Седло : фторопласт Ф4Г3К6 Уплотнение шпинделя : фторопласт Ф4Г3К6  Управление: Рукоятка</t>
        </is>
      </c>
      <c r="Q80" s="6" t="inlineStr">
        <is>
          <t>строительная длина 390мм</t>
        </is>
      </c>
      <c r="R80" s="6" t="inlineStr"/>
      <c r="S80" s="5" t="n">
        <v>2</v>
      </c>
      <c r="T80" s="6" t="inlineStr">
        <is>
          <t>шт</t>
        </is>
      </c>
      <c r="U80" s="7" t="n"/>
      <c r="V80" s="8" t="inlineStr">
        <is>
          <t>ООО «ЧелябинскСпецГражданСтрой» (ИНН 7451211335)</t>
        </is>
      </c>
      <c r="W80" s="8" t="inlineStr">
        <is>
          <t>Россия</t>
        </is>
      </c>
      <c r="X80" s="8" t="inlineStr">
        <is>
          <t>10655491</t>
        </is>
      </c>
      <c r="Y80" s="8" t="inlineStr">
        <is>
          <t>30.06.2028</t>
        </is>
      </c>
      <c r="Z80" s="7" t="n"/>
      <c r="AA80" s="9" t="n"/>
      <c r="AB80" s="10">
        <f>AA80*S80</f>
        <v/>
      </c>
      <c r="AC80" s="7" t="n"/>
      <c r="AD80" s="7" t="n"/>
      <c r="AE80" s="7" t="n"/>
    </row>
    <row r="81" ht="60" customHeight="1">
      <c r="A81" s="5" t="n">
        <v>76</v>
      </c>
      <c r="B81" s="6" t="inlineStr">
        <is>
          <t>1.6/51</t>
        </is>
      </c>
      <c r="C81" s="6" t="inlineStr">
        <is>
          <t>Кран шаровой 11б27п1 Ду 15 Ру 16</t>
        </is>
      </c>
      <c r="D81" s="6" t="inlineStr">
        <is>
          <t>ТУ 3712-002-04606952-03</t>
        </is>
      </c>
      <c r="E81" s="6" t="inlineStr">
        <is>
          <t>15</t>
        </is>
      </c>
      <c r="F81" s="6" t="inlineStr">
        <is>
          <t>стандарт</t>
        </is>
      </c>
      <c r="G81" s="6" t="inlineStr">
        <is>
          <t>1.6</t>
        </is>
      </c>
      <c r="H81" s="6" t="inlineStr">
        <is>
          <t>до +150</t>
        </is>
      </c>
      <c r="I81" s="6" t="inlineStr">
        <is>
          <t>вода, пар</t>
        </is>
      </c>
      <c r="J81" s="6" t="inlineStr">
        <is>
          <t>латунь ЛЦ40Сд</t>
        </is>
      </c>
      <c r="K81" s="6" t="inlineStr">
        <is>
          <t>УХЛ4</t>
        </is>
      </c>
      <c r="L81" s="6" t="inlineStr">
        <is>
          <t>муфтовый</t>
        </is>
      </c>
      <c r="M81" s="6" t="inlineStr">
        <is>
          <t>ручной (рукоятка)</t>
        </is>
      </c>
      <c r="N81" s="6" t="inlineStr">
        <is>
          <t>-</t>
        </is>
      </c>
      <c r="O81" s="6" t="inlineStr">
        <is>
          <t>любое</t>
        </is>
      </c>
      <c r="P81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81" s="6" t="inlineStr">
        <is>
          <t>-</t>
        </is>
      </c>
      <c r="R81" s="6" t="inlineStr">
        <is>
          <t>-</t>
        </is>
      </c>
      <c r="S81" s="5" t="n">
        <v>47</v>
      </c>
      <c r="T81" s="6" t="inlineStr">
        <is>
          <t>шт</t>
        </is>
      </c>
      <c r="U81" s="7" t="n"/>
      <c r="V81" s="8" t="inlineStr">
        <is>
          <t>ООО «ЛД Прайд» (ИНН 7449114775)</t>
        </is>
      </c>
      <c r="W81" s="8" t="inlineStr">
        <is>
          <t>Россия</t>
        </is>
      </c>
      <c r="X81" s="8" t="inlineStr">
        <is>
          <t>10826766</t>
        </is>
      </c>
      <c r="Y81" s="8" t="inlineStr">
        <is>
          <t>04.05.2031</t>
        </is>
      </c>
      <c r="Z81" s="7" t="n"/>
      <c r="AA81" s="9" t="n"/>
      <c r="AB81" s="10">
        <f>AA81*S81</f>
        <v/>
      </c>
      <c r="AC81" s="7" t="n"/>
      <c r="AD81" s="7" t="n"/>
      <c r="AE81" s="7" t="n"/>
    </row>
    <row r="82" ht="60" customHeight="1">
      <c r="A82" s="5" t="n">
        <v>77</v>
      </c>
      <c r="B82" s="6" t="inlineStr">
        <is>
          <t>1.6/52</t>
        </is>
      </c>
      <c r="C82" s="6" t="inlineStr">
        <is>
          <t>Кран шаровой 11б27п1 Ду 20 Ру 16</t>
        </is>
      </c>
      <c r="D82" s="6" t="inlineStr">
        <is>
          <t>ТУ 3712-002-04606952-03</t>
        </is>
      </c>
      <c r="E82" s="6" t="inlineStr">
        <is>
          <t>20</t>
        </is>
      </c>
      <c r="F82" s="6" t="inlineStr">
        <is>
          <t>стандарт</t>
        </is>
      </c>
      <c r="G82" s="6" t="inlineStr">
        <is>
          <t>1.6</t>
        </is>
      </c>
      <c r="H82" s="6" t="inlineStr">
        <is>
          <t>до +150</t>
        </is>
      </c>
      <c r="I82" s="6" t="inlineStr">
        <is>
          <t>вода, пар</t>
        </is>
      </c>
      <c r="J82" s="6" t="inlineStr">
        <is>
          <t>латунь ЛЦ40Сд</t>
        </is>
      </c>
      <c r="K82" s="6" t="inlineStr">
        <is>
          <t>УХЛ4</t>
        </is>
      </c>
      <c r="L82" s="6" t="inlineStr">
        <is>
          <t>муфтовый</t>
        </is>
      </c>
      <c r="M82" s="6" t="inlineStr">
        <is>
          <t>ручной (рукоятка)</t>
        </is>
      </c>
      <c r="N82" s="6" t="inlineStr">
        <is>
          <t>-</t>
        </is>
      </c>
      <c r="O82" s="6" t="inlineStr">
        <is>
          <t>любое</t>
        </is>
      </c>
      <c r="P82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82" s="6" t="inlineStr">
        <is>
          <t>-</t>
        </is>
      </c>
      <c r="R82" s="6" t="inlineStr">
        <is>
          <t>-</t>
        </is>
      </c>
      <c r="S82" s="5" t="n">
        <v>63</v>
      </c>
      <c r="T82" s="6" t="inlineStr">
        <is>
          <t>шт</t>
        </is>
      </c>
      <c r="U82" s="7" t="n"/>
      <c r="V82" s="8" t="inlineStr">
        <is>
          <t>ООО «ЛД Прайд» (ИНН 7449114775)</t>
        </is>
      </c>
      <c r="W82" s="8" t="inlineStr">
        <is>
          <t>Россия</t>
        </is>
      </c>
      <c r="X82" s="8" t="inlineStr">
        <is>
          <t>10826766</t>
        </is>
      </c>
      <c r="Y82" s="8" t="inlineStr">
        <is>
          <t>04.05.2031</t>
        </is>
      </c>
      <c r="Z82" s="7" t="n"/>
      <c r="AA82" s="9" t="n"/>
      <c r="AB82" s="10">
        <f>AA82*S82</f>
        <v/>
      </c>
      <c r="AC82" s="7" t="n"/>
      <c r="AD82" s="7" t="n"/>
      <c r="AE82" s="7" t="n"/>
    </row>
    <row r="83" ht="60" customHeight="1">
      <c r="A83" s="5" t="n">
        <v>78</v>
      </c>
      <c r="B83" s="6" t="inlineStr">
        <is>
          <t>1.6/53</t>
        </is>
      </c>
      <c r="C83" s="6" t="inlineStr">
        <is>
          <t>Кран шаровой 11б27п1 Ду 25 Ру 16</t>
        </is>
      </c>
      <c r="D83" s="6" t="inlineStr">
        <is>
          <t>ТУ 3712-002-04606952-03</t>
        </is>
      </c>
      <c r="E83" s="6" t="inlineStr">
        <is>
          <t>25</t>
        </is>
      </c>
      <c r="F83" s="6" t="inlineStr">
        <is>
          <t>стандарт</t>
        </is>
      </c>
      <c r="G83" s="6" t="inlineStr">
        <is>
          <t>1.6</t>
        </is>
      </c>
      <c r="H83" s="6" t="inlineStr">
        <is>
          <t>до +150</t>
        </is>
      </c>
      <c r="I83" s="6" t="inlineStr">
        <is>
          <t>вода, пар</t>
        </is>
      </c>
      <c r="J83" s="6" t="inlineStr">
        <is>
          <t>латунь ЛЦ40Сд</t>
        </is>
      </c>
      <c r="K83" s="6" t="inlineStr">
        <is>
          <t>УХЛ4</t>
        </is>
      </c>
      <c r="L83" s="6" t="inlineStr">
        <is>
          <t>муфтовый</t>
        </is>
      </c>
      <c r="M83" s="6" t="inlineStr">
        <is>
          <t>ручной (рукоятка)</t>
        </is>
      </c>
      <c r="N83" s="6" t="inlineStr">
        <is>
          <t>-</t>
        </is>
      </c>
      <c r="O83" s="6" t="inlineStr">
        <is>
          <t>любое</t>
        </is>
      </c>
      <c r="P83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83" s="6" t="inlineStr">
        <is>
          <t>-</t>
        </is>
      </c>
      <c r="R83" s="6" t="inlineStr">
        <is>
          <t>-</t>
        </is>
      </c>
      <c r="S83" s="5" t="n">
        <v>40</v>
      </c>
      <c r="T83" s="6" t="inlineStr">
        <is>
          <t>шт</t>
        </is>
      </c>
      <c r="U83" s="7" t="n"/>
      <c r="V83" s="8" t="inlineStr">
        <is>
          <t>ООО «ЛД Прайд» (ИНН 7449114775)</t>
        </is>
      </c>
      <c r="W83" s="8" t="inlineStr">
        <is>
          <t>Россия</t>
        </is>
      </c>
      <c r="X83" s="8" t="inlineStr">
        <is>
          <t>10826766</t>
        </is>
      </c>
      <c r="Y83" s="8" t="inlineStr">
        <is>
          <t>04.05.2031</t>
        </is>
      </c>
      <c r="Z83" s="7" t="n"/>
      <c r="AA83" s="9" t="n"/>
      <c r="AB83" s="10">
        <f>AA83*S83</f>
        <v/>
      </c>
      <c r="AC83" s="7" t="n"/>
      <c r="AD83" s="7" t="n"/>
      <c r="AE83" s="7" t="n"/>
    </row>
    <row r="84" ht="60" customHeight="1">
      <c r="A84" s="5" t="n">
        <v>79</v>
      </c>
      <c r="B84" s="6" t="inlineStr">
        <is>
          <t>1.6/54</t>
        </is>
      </c>
      <c r="C84" s="6" t="inlineStr">
        <is>
          <t>Кран шаровой 11б27п1 Ду 32 Ру 16</t>
        </is>
      </c>
      <c r="D84" s="6" t="inlineStr">
        <is>
          <t>ТУ 3712-002-04606952-03</t>
        </is>
      </c>
      <c r="E84" s="6" t="inlineStr">
        <is>
          <t>32</t>
        </is>
      </c>
      <c r="F84" s="6" t="inlineStr">
        <is>
          <t>стандарт</t>
        </is>
      </c>
      <c r="G84" s="6" t="inlineStr">
        <is>
          <t>1.6</t>
        </is>
      </c>
      <c r="H84" s="6" t="inlineStr">
        <is>
          <t>до +150</t>
        </is>
      </c>
      <c r="I84" s="6" t="inlineStr">
        <is>
          <t>вода, пар</t>
        </is>
      </c>
      <c r="J84" s="6" t="inlineStr">
        <is>
          <t>латунь ЛЦ40Сд</t>
        </is>
      </c>
      <c r="K84" s="6" t="inlineStr">
        <is>
          <t>УХЛ4</t>
        </is>
      </c>
      <c r="L84" s="6" t="inlineStr">
        <is>
          <t>муфтовый</t>
        </is>
      </c>
      <c r="M84" s="6" t="inlineStr">
        <is>
          <t>ручной (рукоятка)</t>
        </is>
      </c>
      <c r="N84" s="6" t="inlineStr">
        <is>
          <t>-</t>
        </is>
      </c>
      <c r="O84" s="6" t="inlineStr">
        <is>
          <t>любое</t>
        </is>
      </c>
      <c r="P84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84" s="6" t="inlineStr">
        <is>
          <t>-</t>
        </is>
      </c>
      <c r="R84" s="6" t="inlineStr">
        <is>
          <t>-</t>
        </is>
      </c>
      <c r="S84" s="5" t="n">
        <v>77</v>
      </c>
      <c r="T84" s="6" t="inlineStr">
        <is>
          <t>шт</t>
        </is>
      </c>
      <c r="U84" s="7" t="n"/>
      <c r="V84" s="8" t="inlineStr">
        <is>
          <t>ООО «ЛД Прайд» (ИНН 7449114775)</t>
        </is>
      </c>
      <c r="W84" s="8" t="inlineStr">
        <is>
          <t>Россия</t>
        </is>
      </c>
      <c r="X84" s="8" t="inlineStr">
        <is>
          <t>10826766</t>
        </is>
      </c>
      <c r="Y84" s="8" t="inlineStr">
        <is>
          <t>04.05.2031</t>
        </is>
      </c>
      <c r="Z84" s="7" t="n"/>
      <c r="AA84" s="9" t="n"/>
      <c r="AB84" s="10">
        <f>AA84*S84</f>
        <v/>
      </c>
      <c r="AC84" s="7" t="n"/>
      <c r="AD84" s="7" t="n"/>
      <c r="AE84" s="7" t="n"/>
    </row>
    <row r="85" ht="60" customHeight="1">
      <c r="A85" s="5" t="n">
        <v>80</v>
      </c>
      <c r="B85" s="6" t="inlineStr">
        <is>
          <t>1.6/55</t>
        </is>
      </c>
      <c r="C85" s="6" t="inlineStr">
        <is>
          <t>Кран шаровой 11б27п1 Ду 40 Ру 16</t>
        </is>
      </c>
      <c r="D85" s="6" t="inlineStr">
        <is>
          <t>ТУ 3712-002-04606952-03</t>
        </is>
      </c>
      <c r="E85" s="6" t="inlineStr">
        <is>
          <t>40</t>
        </is>
      </c>
      <c r="F85" s="6" t="inlineStr">
        <is>
          <t>стандарт</t>
        </is>
      </c>
      <c r="G85" s="6" t="inlineStr">
        <is>
          <t>1.6</t>
        </is>
      </c>
      <c r="H85" s="6" t="inlineStr">
        <is>
          <t>до +150</t>
        </is>
      </c>
      <c r="I85" s="6" t="inlineStr">
        <is>
          <t>вода, пар</t>
        </is>
      </c>
      <c r="J85" s="6" t="inlineStr">
        <is>
          <t>латунь ЛЦ40Сд</t>
        </is>
      </c>
      <c r="K85" s="6" t="inlineStr">
        <is>
          <t>УХЛ4</t>
        </is>
      </c>
      <c r="L85" s="6" t="inlineStr">
        <is>
          <t>муфтовый</t>
        </is>
      </c>
      <c r="M85" s="6" t="inlineStr">
        <is>
          <t>ручной (рукоятка)</t>
        </is>
      </c>
      <c r="N85" s="6" t="inlineStr">
        <is>
          <t>-</t>
        </is>
      </c>
      <c r="O85" s="6" t="inlineStr">
        <is>
          <t>любое</t>
        </is>
      </c>
      <c r="P85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85" s="6" t="inlineStr">
        <is>
          <t>-</t>
        </is>
      </c>
      <c r="R85" s="6" t="inlineStr">
        <is>
          <t>-</t>
        </is>
      </c>
      <c r="S85" s="5" t="n">
        <v>2</v>
      </c>
      <c r="T85" s="6" t="inlineStr">
        <is>
          <t>шт</t>
        </is>
      </c>
      <c r="U85" s="7" t="n"/>
      <c r="V85" s="8" t="inlineStr">
        <is>
          <t>ООО «ЛД Прайд» (ИНН 7449114775)</t>
        </is>
      </c>
      <c r="W85" s="8" t="inlineStr">
        <is>
          <t>Россия</t>
        </is>
      </c>
      <c r="X85" s="8" t="inlineStr">
        <is>
          <t>10826766</t>
        </is>
      </c>
      <c r="Y85" s="8" t="inlineStr">
        <is>
          <t>04.05.2031</t>
        </is>
      </c>
      <c r="Z85" s="7" t="n"/>
      <c r="AA85" s="9" t="n"/>
      <c r="AB85" s="10">
        <f>AA85*S85</f>
        <v/>
      </c>
      <c r="AC85" s="7" t="n"/>
      <c r="AD85" s="7" t="n"/>
      <c r="AE85" s="7" t="n"/>
    </row>
    <row r="86" ht="60" customHeight="1">
      <c r="A86" s="5" t="n">
        <v>81</v>
      </c>
      <c r="B86" s="6" t="inlineStr">
        <is>
          <t>1.6/56</t>
        </is>
      </c>
      <c r="C86" s="6" t="inlineStr">
        <is>
          <t>Кран шаровой 11б27п1 Ду 50 Ру 16</t>
        </is>
      </c>
      <c r="D86" s="6" t="inlineStr">
        <is>
          <t>ТУ 3712-002-04606952-03</t>
        </is>
      </c>
      <c r="E86" s="6" t="inlineStr">
        <is>
          <t>50</t>
        </is>
      </c>
      <c r="F86" s="6" t="inlineStr">
        <is>
          <t>стандарт</t>
        </is>
      </c>
      <c r="G86" s="6" t="inlineStr">
        <is>
          <t>1.6</t>
        </is>
      </c>
      <c r="H86" s="6" t="inlineStr">
        <is>
          <t>до +150</t>
        </is>
      </c>
      <c r="I86" s="6" t="inlineStr">
        <is>
          <t>вода, пар</t>
        </is>
      </c>
      <c r="J86" s="6" t="inlineStr">
        <is>
          <t>латунь ЛЦ40Сд</t>
        </is>
      </c>
      <c r="K86" s="6" t="inlineStr">
        <is>
          <t>УХЛ4</t>
        </is>
      </c>
      <c r="L86" s="6" t="inlineStr">
        <is>
          <t>муфтовый</t>
        </is>
      </c>
      <c r="M86" s="6" t="inlineStr">
        <is>
          <t>ручной (рукоятка)</t>
        </is>
      </c>
      <c r="N86" s="6" t="inlineStr">
        <is>
          <t>-</t>
        </is>
      </c>
      <c r="O86" s="6" t="inlineStr">
        <is>
          <t>любое</t>
        </is>
      </c>
      <c r="P86" s="6" t="inlineStr">
        <is>
          <t>Запорный элемент - шар из хромированной латуни ЛС 52-2. Уплотнение шара - фторопласт Ф-4, выполненный в виде уплотнительных седел. Уплотнение шпинделя - сальниковое.</t>
        </is>
      </c>
      <c r="Q86" s="6" t="inlineStr">
        <is>
          <t>-</t>
        </is>
      </c>
      <c r="R86" s="6" t="inlineStr">
        <is>
          <t>-</t>
        </is>
      </c>
      <c r="S86" s="5" t="n">
        <v>6</v>
      </c>
      <c r="T86" s="6" t="inlineStr">
        <is>
          <t>шт</t>
        </is>
      </c>
      <c r="U86" s="7" t="n"/>
      <c r="V86" s="8" t="inlineStr">
        <is>
          <t>ООО «ЛД Прайд» (ИНН 7449114775)</t>
        </is>
      </c>
      <c r="W86" s="8" t="inlineStr">
        <is>
          <t>Россия</t>
        </is>
      </c>
      <c r="X86" s="8" t="inlineStr">
        <is>
          <t>10826766</t>
        </is>
      </c>
      <c r="Y86" s="8" t="inlineStr">
        <is>
          <t>04.05.2031</t>
        </is>
      </c>
      <c r="Z86" s="7" t="n"/>
      <c r="AA86" s="9" t="n"/>
      <c r="AB86" s="10">
        <f>AA86*S86</f>
        <v/>
      </c>
      <c r="AC86" s="7" t="n"/>
      <c r="AD86" s="7" t="n"/>
      <c r="AE86" s="7" t="n"/>
    </row>
    <row r="87" ht="60" customHeight="1">
      <c r="A87" s="5" t="n">
        <v>82</v>
      </c>
      <c r="B87" s="6" t="inlineStr">
        <is>
          <t>1.6/57</t>
        </is>
      </c>
      <c r="C87" s="6" t="inlineStr">
        <is>
          <t>Кран шаровой 11с22п Ду 32 Ру 16</t>
        </is>
      </c>
      <c r="D87" s="6" t="inlineStr">
        <is>
          <t>ГОСТ 21345-2005</t>
        </is>
      </c>
      <c r="E87" s="6" t="inlineStr">
        <is>
          <t>32</t>
        </is>
      </c>
      <c r="F87" s="6" t="inlineStr">
        <is>
          <t>стандарт</t>
        </is>
      </c>
      <c r="G87" s="6" t="inlineStr">
        <is>
          <t>1.6</t>
        </is>
      </c>
      <c r="H87" s="6" t="inlineStr">
        <is>
          <t>до +200</t>
        </is>
      </c>
      <c r="I87" s="6" t="inlineStr">
        <is>
          <t>вода, природный газ, нефтепродукты, инертные газы</t>
        </is>
      </c>
      <c r="J87" s="6" t="inlineStr">
        <is>
          <t>сталь 20</t>
        </is>
      </c>
      <c r="K87" s="6" t="inlineStr">
        <is>
          <t>У1</t>
        </is>
      </c>
      <c r="L87" s="6" t="inlineStr">
        <is>
          <t>фланцевый</t>
        </is>
      </c>
      <c r="M87" s="6" t="inlineStr">
        <is>
          <t>ручной (рукоятка)</t>
        </is>
      </c>
      <c r="N87" s="6" t="inlineStr">
        <is>
          <t>-</t>
        </is>
      </c>
      <c r="O87" s="6" t="inlineStr">
        <is>
          <t>любое</t>
        </is>
      </c>
      <c r="P87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87" s="6" t="inlineStr">
        <is>
          <t>-</t>
        </is>
      </c>
      <c r="R87" s="6" t="inlineStr">
        <is>
          <t>-</t>
        </is>
      </c>
      <c r="S87" s="5" t="n">
        <v>55</v>
      </c>
      <c r="T87" s="6" t="inlineStr">
        <is>
          <t>шт</t>
        </is>
      </c>
      <c r="U87" s="7" t="n"/>
      <c r="V87" s="8" t="inlineStr">
        <is>
          <t>ООО «ЧелябинскСпецГражданСтрой» (ИНН 7451211335)</t>
        </is>
      </c>
      <c r="W87" s="8" t="inlineStr">
        <is>
          <t>Россия</t>
        </is>
      </c>
      <c r="X87" s="8" t="inlineStr">
        <is>
          <t>10655491</t>
        </is>
      </c>
      <c r="Y87" s="8" t="inlineStr">
        <is>
          <t>30.06.2028</t>
        </is>
      </c>
      <c r="Z87" s="7" t="n"/>
      <c r="AA87" s="9" t="n"/>
      <c r="AB87" s="10">
        <f>AA87*S87</f>
        <v/>
      </c>
      <c r="AC87" s="7" t="n"/>
      <c r="AD87" s="7" t="n"/>
      <c r="AE87" s="7" t="n"/>
    </row>
    <row r="88" ht="60" customHeight="1">
      <c r="A88" s="5" t="n">
        <v>83</v>
      </c>
      <c r="B88" s="6" t="inlineStr">
        <is>
          <t>1.6/58</t>
        </is>
      </c>
      <c r="C88" s="6" t="inlineStr">
        <is>
          <t>Кран шаровой 11с22п Ду 50 Ру 16</t>
        </is>
      </c>
      <c r="D88" s="6" t="inlineStr">
        <is>
          <t>ГОСТ 21345-2005</t>
        </is>
      </c>
      <c r="E88" s="6" t="inlineStr">
        <is>
          <t>50</t>
        </is>
      </c>
      <c r="F88" s="6" t="inlineStr">
        <is>
          <t>стандарт</t>
        </is>
      </c>
      <c r="G88" s="6" t="inlineStr">
        <is>
          <t>1.6</t>
        </is>
      </c>
      <c r="H88" s="6" t="inlineStr">
        <is>
          <t>до +200</t>
        </is>
      </c>
      <c r="I88" s="6" t="inlineStr">
        <is>
          <t>вода, природный газ, нефтепродукты, инертные газы</t>
        </is>
      </c>
      <c r="J88" s="6" t="inlineStr">
        <is>
          <t>сталь 20</t>
        </is>
      </c>
      <c r="K88" s="6" t="inlineStr">
        <is>
          <t>У1</t>
        </is>
      </c>
      <c r="L88" s="6" t="inlineStr">
        <is>
          <t>фланцевый</t>
        </is>
      </c>
      <c r="M88" s="6" t="inlineStr">
        <is>
          <t>ручной (рукоятка)</t>
        </is>
      </c>
      <c r="N88" s="6" t="inlineStr">
        <is>
          <t>-</t>
        </is>
      </c>
      <c r="O88" s="6" t="inlineStr">
        <is>
          <t>любое</t>
        </is>
      </c>
      <c r="P88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88" s="6" t="inlineStr">
        <is>
          <t>-</t>
        </is>
      </c>
      <c r="R88" s="6" t="inlineStr">
        <is>
          <t>-</t>
        </is>
      </c>
      <c r="S88" s="5" t="n">
        <v>35</v>
      </c>
      <c r="T88" s="6" t="inlineStr">
        <is>
          <t>шт</t>
        </is>
      </c>
      <c r="U88" s="7" t="n"/>
      <c r="V88" s="8" t="inlineStr">
        <is>
          <t>ООО «ЧелябинскСпецГражданСтрой» (ИНН 7451211335)</t>
        </is>
      </c>
      <c r="W88" s="8" t="inlineStr">
        <is>
          <t>Россия</t>
        </is>
      </c>
      <c r="X88" s="8" t="inlineStr">
        <is>
          <t>10655491</t>
        </is>
      </c>
      <c r="Y88" s="8" t="inlineStr">
        <is>
          <t>30.06.2028</t>
        </is>
      </c>
      <c r="Z88" s="7" t="n"/>
      <c r="AA88" s="9" t="n"/>
      <c r="AB88" s="10">
        <f>AA88*S88</f>
        <v/>
      </c>
      <c r="AC88" s="7" t="n"/>
      <c r="AD88" s="7" t="n"/>
      <c r="AE88" s="7" t="n"/>
    </row>
    <row r="89" ht="60" customHeight="1">
      <c r="A89" s="5" t="n">
        <v>84</v>
      </c>
      <c r="B89" s="6" t="inlineStr">
        <is>
          <t>1.6/59</t>
        </is>
      </c>
      <c r="C89" s="6" t="inlineStr">
        <is>
          <t>Кран шаровой 11с22п Ду 80 Ру 16</t>
        </is>
      </c>
      <c r="D89" s="6" t="inlineStr">
        <is>
          <t>ГОСТ 21345-2005</t>
        </is>
      </c>
      <c r="E89" s="6" t="inlineStr">
        <is>
          <t>80</t>
        </is>
      </c>
      <c r="F89" s="6" t="inlineStr">
        <is>
          <t>стандарт</t>
        </is>
      </c>
      <c r="G89" s="6" t="inlineStr">
        <is>
          <t>1.6</t>
        </is>
      </c>
      <c r="H89" s="6" t="inlineStr">
        <is>
          <t>до +200</t>
        </is>
      </c>
      <c r="I89" s="6" t="inlineStr">
        <is>
          <t>вода, природный газ, нефтепродукты, инертные газы</t>
        </is>
      </c>
      <c r="J89" s="6" t="inlineStr">
        <is>
          <t>сталь 20</t>
        </is>
      </c>
      <c r="K89" s="6" t="inlineStr">
        <is>
          <t>У1</t>
        </is>
      </c>
      <c r="L89" s="6" t="inlineStr">
        <is>
          <t>фланцевый</t>
        </is>
      </c>
      <c r="M89" s="6" t="inlineStr">
        <is>
          <t>ручной (рукоятка)</t>
        </is>
      </c>
      <c r="N89" s="6" t="inlineStr">
        <is>
          <t>-</t>
        </is>
      </c>
      <c r="O89" s="6" t="inlineStr">
        <is>
          <t>любое</t>
        </is>
      </c>
      <c r="P89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89" s="6" t="inlineStr">
        <is>
          <t>-</t>
        </is>
      </c>
      <c r="R89" s="6" t="inlineStr">
        <is>
          <t>-</t>
        </is>
      </c>
      <c r="S89" s="5" t="n">
        <v>24</v>
      </c>
      <c r="T89" s="6" t="inlineStr">
        <is>
          <t>шт</t>
        </is>
      </c>
      <c r="U89" s="7" t="n"/>
      <c r="V89" s="8" t="inlineStr">
        <is>
          <t>ООО «ЧелябинскСпецГражданСтрой» (ИНН 7451211335)</t>
        </is>
      </c>
      <c r="W89" s="8" t="inlineStr">
        <is>
          <t>Россия</t>
        </is>
      </c>
      <c r="X89" s="8" t="inlineStr">
        <is>
          <t>10655491</t>
        </is>
      </c>
      <c r="Y89" s="8" t="inlineStr">
        <is>
          <t>30.06.2028</t>
        </is>
      </c>
      <c r="Z89" s="7" t="n"/>
      <c r="AA89" s="9" t="n"/>
      <c r="AB89" s="10">
        <f>AA89*S89</f>
        <v/>
      </c>
      <c r="AC89" s="7" t="n"/>
      <c r="AD89" s="7" t="n"/>
      <c r="AE89" s="7" t="n"/>
    </row>
    <row r="90" ht="60" customHeight="1">
      <c r="A90" s="5" t="n">
        <v>85</v>
      </c>
      <c r="B90" s="6" t="inlineStr">
        <is>
          <t>1.6/60</t>
        </is>
      </c>
      <c r="C90" s="6" t="inlineStr">
        <is>
          <t>Кран шаровой 11с22п Ду 100 Ру 16</t>
        </is>
      </c>
      <c r="D90" s="6" t="inlineStr">
        <is>
          <t>ГОСТ 21345-2005</t>
        </is>
      </c>
      <c r="E90" s="6" t="inlineStr">
        <is>
          <t>100</t>
        </is>
      </c>
      <c r="F90" s="6" t="inlineStr">
        <is>
          <t>стандарт</t>
        </is>
      </c>
      <c r="G90" s="6" t="inlineStr">
        <is>
          <t>1.6</t>
        </is>
      </c>
      <c r="H90" s="6" t="inlineStr">
        <is>
          <t>до +200</t>
        </is>
      </c>
      <c r="I90" s="6" t="inlineStr">
        <is>
          <t>вода, природный газ, нефтепродукты, инертные газы</t>
        </is>
      </c>
      <c r="J90" s="6" t="inlineStr">
        <is>
          <t>сталь 20</t>
        </is>
      </c>
      <c r="K90" s="6" t="inlineStr">
        <is>
          <t>У1</t>
        </is>
      </c>
      <c r="L90" s="6" t="inlineStr">
        <is>
          <t>фланцевый</t>
        </is>
      </c>
      <c r="M90" s="6" t="inlineStr">
        <is>
          <t>ручной (рукоятка)</t>
        </is>
      </c>
      <c r="N90" s="6" t="inlineStr">
        <is>
          <t>-</t>
        </is>
      </c>
      <c r="O90" s="6" t="inlineStr">
        <is>
          <t>любое</t>
        </is>
      </c>
      <c r="P90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90" s="6" t="inlineStr">
        <is>
          <t>-</t>
        </is>
      </c>
      <c r="R90" s="6" t="inlineStr">
        <is>
          <t>-</t>
        </is>
      </c>
      <c r="S90" s="5" t="n">
        <v>27</v>
      </c>
      <c r="T90" s="6" t="inlineStr">
        <is>
          <t>шт</t>
        </is>
      </c>
      <c r="U90" s="7" t="n"/>
      <c r="V90" s="8" t="inlineStr">
        <is>
          <t>ООО «ЧелябинскСпецГражданСтрой» (ИНН 7451211335)</t>
        </is>
      </c>
      <c r="W90" s="8" t="inlineStr">
        <is>
          <t>Россия</t>
        </is>
      </c>
      <c r="X90" s="8" t="inlineStr">
        <is>
          <t>10655491</t>
        </is>
      </c>
      <c r="Y90" s="8" t="inlineStr">
        <is>
          <t>30.06.2028</t>
        </is>
      </c>
      <c r="Z90" s="7" t="n"/>
      <c r="AA90" s="9" t="n"/>
      <c r="AB90" s="10">
        <f>AA90*S90</f>
        <v/>
      </c>
      <c r="AC90" s="7" t="n"/>
      <c r="AD90" s="7" t="n"/>
      <c r="AE90" s="7" t="n"/>
    </row>
    <row r="91" ht="60" customHeight="1">
      <c r="A91" s="5" t="n">
        <v>86</v>
      </c>
      <c r="B91" s="6" t="inlineStr">
        <is>
          <t>1.6/61</t>
        </is>
      </c>
      <c r="C91" s="6" t="inlineStr">
        <is>
          <t>Кран шаровой 11с22п Ду 150 Ру 16</t>
        </is>
      </c>
      <c r="D91" s="6" t="inlineStr">
        <is>
          <t>ГОСТ 21345-2005</t>
        </is>
      </c>
      <c r="E91" s="6" t="inlineStr">
        <is>
          <t>150</t>
        </is>
      </c>
      <c r="F91" s="6" t="inlineStr">
        <is>
          <t>стандарт</t>
        </is>
      </c>
      <c r="G91" s="6" t="inlineStr">
        <is>
          <t>1.6</t>
        </is>
      </c>
      <c r="H91" s="6" t="inlineStr">
        <is>
          <t>до +200</t>
        </is>
      </c>
      <c r="I91" s="6" t="inlineStr">
        <is>
          <t>вода, природный газ, нефтепродукты, инертные газы</t>
        </is>
      </c>
      <c r="J91" s="6" t="inlineStr">
        <is>
          <t>сталь 20</t>
        </is>
      </c>
      <c r="K91" s="6" t="inlineStr">
        <is>
          <t>У1</t>
        </is>
      </c>
      <c r="L91" s="6" t="inlineStr">
        <is>
          <t>фланцевый</t>
        </is>
      </c>
      <c r="M91" s="6" t="inlineStr">
        <is>
          <t>ручной (рукоятка)</t>
        </is>
      </c>
      <c r="N91" s="6" t="inlineStr">
        <is>
          <t>-</t>
        </is>
      </c>
      <c r="O91" s="6" t="inlineStr">
        <is>
          <t>любое</t>
        </is>
      </c>
      <c r="P91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91" s="6" t="inlineStr">
        <is>
          <t>-</t>
        </is>
      </c>
      <c r="R91" s="6" t="inlineStr">
        <is>
          <t>-</t>
        </is>
      </c>
      <c r="S91" s="5" t="n">
        <v>13</v>
      </c>
      <c r="T91" s="6" t="inlineStr">
        <is>
          <t>шт</t>
        </is>
      </c>
      <c r="U91" s="7" t="n"/>
      <c r="V91" s="8" t="inlineStr">
        <is>
          <t>ООО «ЧелябинскСпецГражданСтрой» (ИНН 7451211335)</t>
        </is>
      </c>
      <c r="W91" s="8" t="inlineStr">
        <is>
          <t>Россия</t>
        </is>
      </c>
      <c r="X91" s="8" t="inlineStr">
        <is>
          <t>10655491</t>
        </is>
      </c>
      <c r="Y91" s="8" t="inlineStr">
        <is>
          <t>30.06.2028</t>
        </is>
      </c>
      <c r="Z91" s="7" t="n"/>
      <c r="AA91" s="9" t="n"/>
      <c r="AB91" s="10">
        <f>AA91*S91</f>
        <v/>
      </c>
      <c r="AC91" s="7" t="n"/>
      <c r="AD91" s="7" t="n"/>
      <c r="AE91" s="7" t="n"/>
    </row>
    <row r="92" ht="60" customHeight="1">
      <c r="A92" s="5" t="n">
        <v>87</v>
      </c>
      <c r="B92" s="6" t="inlineStr">
        <is>
          <t>1.6/62</t>
        </is>
      </c>
      <c r="C92" s="6" t="inlineStr">
        <is>
          <t>Кран шаровой 11с22п Ду 200 Ру 16</t>
        </is>
      </c>
      <c r="D92" s="6" t="inlineStr">
        <is>
          <t>ГОСТ 21345-2005</t>
        </is>
      </c>
      <c r="E92" s="6" t="inlineStr">
        <is>
          <t>200</t>
        </is>
      </c>
      <c r="F92" s="6" t="inlineStr">
        <is>
          <t>стандарт</t>
        </is>
      </c>
      <c r="G92" s="6" t="inlineStr">
        <is>
          <t>1.6</t>
        </is>
      </c>
      <c r="H92" s="6" t="inlineStr">
        <is>
          <t>до +200</t>
        </is>
      </c>
      <c r="I92" s="6" t="inlineStr">
        <is>
          <t>вода, природный газ, нефтепродукты, инертные газы</t>
        </is>
      </c>
      <c r="J92" s="6" t="inlineStr">
        <is>
          <t>сталь 20</t>
        </is>
      </c>
      <c r="K92" s="6" t="inlineStr">
        <is>
          <t>У1</t>
        </is>
      </c>
      <c r="L92" s="6" t="inlineStr">
        <is>
          <t>фланцевый</t>
        </is>
      </c>
      <c r="M92" s="6" t="inlineStr">
        <is>
          <t>ручной (рукоятка)</t>
        </is>
      </c>
      <c r="N92" s="6" t="inlineStr">
        <is>
          <t>-</t>
        </is>
      </c>
      <c r="O92" s="6" t="inlineStr">
        <is>
          <t>любое</t>
        </is>
      </c>
      <c r="P92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92" s="6" t="inlineStr">
        <is>
          <t>-</t>
        </is>
      </c>
      <c r="R92" s="6" t="inlineStr">
        <is>
          <t>-</t>
        </is>
      </c>
      <c r="S92" s="5" t="n">
        <v>3</v>
      </c>
      <c r="T92" s="6" t="inlineStr">
        <is>
          <t>шт</t>
        </is>
      </c>
      <c r="U92" s="7" t="n"/>
      <c r="V92" s="8" t="inlineStr">
        <is>
          <t>ООО «ЧелябинскСпецГражданСтрой» (ИНН 7451211335)</t>
        </is>
      </c>
      <c r="W92" s="8" t="inlineStr">
        <is>
          <t>Россия</t>
        </is>
      </c>
      <c r="X92" s="8" t="inlineStr">
        <is>
          <t>10655491</t>
        </is>
      </c>
      <c r="Y92" s="8" t="inlineStr">
        <is>
          <t>30.06.2028</t>
        </is>
      </c>
      <c r="Z92" s="7" t="n"/>
      <c r="AA92" s="9" t="n"/>
      <c r="AB92" s="10">
        <f>AA92*S92</f>
        <v/>
      </c>
      <c r="AC92" s="7" t="n"/>
      <c r="AD92" s="7" t="n"/>
      <c r="AE92" s="7" t="n"/>
    </row>
    <row r="93" ht="60" customHeight="1">
      <c r="A93" s="5" t="n">
        <v>88</v>
      </c>
      <c r="B93" s="6" t="inlineStr">
        <is>
          <t>1.6/63</t>
        </is>
      </c>
      <c r="C93" s="6" t="inlineStr">
        <is>
          <t>Кран запорный шаровой 11С67П Ду 100 Ру 16</t>
        </is>
      </c>
      <c r="D93" s="6" t="inlineStr">
        <is>
          <t>ТУ У 04671406-003-1999</t>
        </is>
      </c>
      <c r="E93" s="6" t="inlineStr">
        <is>
          <t>100</t>
        </is>
      </c>
      <c r="F93" s="6" t="inlineStr">
        <is>
          <t>стандарт</t>
        </is>
      </c>
      <c r="G93" s="6" t="inlineStr">
        <is>
          <t>1.6</t>
        </is>
      </c>
      <c r="H93" s="6" t="inlineStr">
        <is>
          <t>от -30 до +200</t>
        </is>
      </c>
      <c r="I93" s="6" t="inlineStr">
        <is>
          <t>вода, холодная и горячая, газ, нефтепродукты и прочие слабоагрессивные среды</t>
        </is>
      </c>
      <c r="J93" s="6" t="inlineStr">
        <is>
          <t>сталь 20</t>
        </is>
      </c>
      <c r="K93" s="6" t="inlineStr">
        <is>
          <t>У1</t>
        </is>
      </c>
      <c r="L93" s="6" t="inlineStr">
        <is>
          <t>фланцевый</t>
        </is>
      </c>
      <c r="M93" s="6" t="inlineStr">
        <is>
          <t>ручной (рукоятка)</t>
        </is>
      </c>
      <c r="N93" s="6" t="inlineStr">
        <is>
          <t>-</t>
        </is>
      </c>
      <c r="O93" s="6" t="inlineStr">
        <is>
          <t>любое</t>
        </is>
      </c>
      <c r="P93" s="6" t="inlineStr">
        <is>
          <t>уплотнение шпинделя: резина ИРП-1287;
шар: нержавеющая сталь 12Х18Н10Т;
уплотнение затвора: фторопласт-4</t>
        </is>
      </c>
      <c r="Q93" s="6" t="inlineStr">
        <is>
          <t>-</t>
        </is>
      </c>
      <c r="R93" s="6" t="inlineStr">
        <is>
          <t>-</t>
        </is>
      </c>
      <c r="S93" s="5" t="n">
        <v>25</v>
      </c>
      <c r="T93" s="6" t="inlineStr">
        <is>
          <t>шт</t>
        </is>
      </c>
      <c r="U93" s="7" t="n"/>
      <c r="V93" s="8" t="inlineStr">
        <is>
          <t>ООО «ЧелябинскСпецГражданСтрой» (ИНН 7451211335)</t>
        </is>
      </c>
      <c r="W93" s="8" t="inlineStr">
        <is>
          <t>Россия</t>
        </is>
      </c>
      <c r="X93" s="8" t="inlineStr">
        <is>
          <t>10655491</t>
        </is>
      </c>
      <c r="Y93" s="8" t="inlineStr">
        <is>
          <t>30.06.2028</t>
        </is>
      </c>
      <c r="Z93" s="7" t="n"/>
      <c r="AA93" s="9" t="n"/>
      <c r="AB93" s="10">
        <f>AA93*S93</f>
        <v/>
      </c>
      <c r="AC93" s="7" t="n"/>
      <c r="AD93" s="7" t="n"/>
      <c r="AE93" s="7" t="n"/>
    </row>
    <row r="94" ht="60" customHeight="1">
      <c r="A94" s="5" t="n">
        <v>89</v>
      </c>
      <c r="B94" s="6" t="inlineStr">
        <is>
          <t>1.6/64</t>
        </is>
      </c>
      <c r="C94" s="6" t="inlineStr">
        <is>
          <t>Кран запорный шаровой 11С67П Ду 150 Ру 16</t>
        </is>
      </c>
      <c r="D94" s="6" t="inlineStr">
        <is>
          <t>ТУ У 04671406-003-1999</t>
        </is>
      </c>
      <c r="E94" s="6" t="inlineStr">
        <is>
          <t>150</t>
        </is>
      </c>
      <c r="F94" s="6" t="inlineStr">
        <is>
          <t>стандарт</t>
        </is>
      </c>
      <c r="G94" s="6" t="inlineStr">
        <is>
          <t>1.6</t>
        </is>
      </c>
      <c r="H94" s="6" t="inlineStr">
        <is>
          <t>от -30 до +200</t>
        </is>
      </c>
      <c r="I94" s="6" t="inlineStr">
        <is>
          <t>вода, холодная и горячая, газ, нефтепродукты и прочие слабоагрессивные среды</t>
        </is>
      </c>
      <c r="J94" s="6" t="inlineStr">
        <is>
          <t>сталь 20</t>
        </is>
      </c>
      <c r="K94" s="6" t="inlineStr">
        <is>
          <t>У1</t>
        </is>
      </c>
      <c r="L94" s="6" t="inlineStr">
        <is>
          <t>фланцевый</t>
        </is>
      </c>
      <c r="M94" s="6" t="inlineStr">
        <is>
          <t>ручной (рукоятка)</t>
        </is>
      </c>
      <c r="N94" s="6" t="inlineStr">
        <is>
          <t>-</t>
        </is>
      </c>
      <c r="O94" s="6" t="inlineStr">
        <is>
          <t>любое</t>
        </is>
      </c>
      <c r="P94" s="6" t="inlineStr">
        <is>
          <t>уплотнение шпинделя: резина ИРП-1287;
шар: нержавеющая сталь 12Х18Н10Т;
уплотнение затвора: фторопласт-4</t>
        </is>
      </c>
      <c r="Q94" s="6" t="inlineStr">
        <is>
          <t>-</t>
        </is>
      </c>
      <c r="R94" s="6" t="inlineStr">
        <is>
          <t>-</t>
        </is>
      </c>
      <c r="S94" s="5" t="n">
        <v>9</v>
      </c>
      <c r="T94" s="6" t="inlineStr">
        <is>
          <t>шт</t>
        </is>
      </c>
      <c r="U94" s="7" t="n"/>
      <c r="V94" s="8" t="inlineStr">
        <is>
          <t>ООО «ЧелябинскСпецГражданСтрой» (ИНН 7451211335)</t>
        </is>
      </c>
      <c r="W94" s="8" t="inlineStr">
        <is>
          <t>Россия</t>
        </is>
      </c>
      <c r="X94" s="8" t="inlineStr">
        <is>
          <t>10655491</t>
        </is>
      </c>
      <c r="Y94" s="8" t="inlineStr">
        <is>
          <t>30.06.2028</t>
        </is>
      </c>
      <c r="Z94" s="7" t="n"/>
      <c r="AA94" s="9" t="n"/>
      <c r="AB94" s="10">
        <f>AA94*S94</f>
        <v/>
      </c>
      <c r="AC94" s="7" t="n"/>
      <c r="AD94" s="7" t="n"/>
      <c r="AE94" s="7" t="n"/>
    </row>
    <row r="95" ht="60" customHeight="1">
      <c r="A95" s="5" t="n">
        <v>90</v>
      </c>
      <c r="B95" s="6" t="inlineStr">
        <is>
          <t>1.6/65</t>
        </is>
      </c>
      <c r="C95" s="6" t="inlineStr">
        <is>
          <t>Кран запорный шаровой 11С67П Ду 200 Ру 16</t>
        </is>
      </c>
      <c r="D95" s="6" t="inlineStr">
        <is>
          <t>ТУ У 04671406-003-1999</t>
        </is>
      </c>
      <c r="E95" s="6" t="inlineStr">
        <is>
          <t>200</t>
        </is>
      </c>
      <c r="F95" s="6" t="inlineStr">
        <is>
          <t>стандарт</t>
        </is>
      </c>
      <c r="G95" s="6" t="inlineStr">
        <is>
          <t>1.6</t>
        </is>
      </c>
      <c r="H95" s="6" t="inlineStr">
        <is>
          <t>от -30 до +200</t>
        </is>
      </c>
      <c r="I95" s="6" t="inlineStr">
        <is>
          <t>вода, холодная и горячая, газ, нефтепродукты и прочие слабоагрессивные среды</t>
        </is>
      </c>
      <c r="J95" s="6" t="inlineStr">
        <is>
          <t>сталь 20</t>
        </is>
      </c>
      <c r="K95" s="6" t="inlineStr">
        <is>
          <t>У1</t>
        </is>
      </c>
      <c r="L95" s="6" t="inlineStr">
        <is>
          <t>фланцевый</t>
        </is>
      </c>
      <c r="M95" s="6" t="inlineStr">
        <is>
          <t>ручной (рукоятка)</t>
        </is>
      </c>
      <c r="N95" s="6" t="inlineStr">
        <is>
          <t>-</t>
        </is>
      </c>
      <c r="O95" s="6" t="inlineStr">
        <is>
          <t>любое</t>
        </is>
      </c>
      <c r="P95" s="6" t="inlineStr">
        <is>
          <t>уплотнение шпинделя: резина ИРП-1287;
шар: нержавеющая сталь 12Х18Н10Т;
уплотнение затвора: фторопласт-4</t>
        </is>
      </c>
      <c r="Q95" s="6" t="inlineStr">
        <is>
          <t>-</t>
        </is>
      </c>
      <c r="R95" s="6" t="inlineStr">
        <is>
          <t>-</t>
        </is>
      </c>
      <c r="S95" s="5" t="n">
        <v>2</v>
      </c>
      <c r="T95" s="6" t="inlineStr">
        <is>
          <t>шт</t>
        </is>
      </c>
      <c r="U95" s="7" t="n"/>
      <c r="V95" s="8" t="inlineStr">
        <is>
          <t>ООО «ЧелябинскСпецГражданСтрой» (ИНН 7451211335)</t>
        </is>
      </c>
      <c r="W95" s="8" t="inlineStr">
        <is>
          <t>Россия</t>
        </is>
      </c>
      <c r="X95" s="8" t="inlineStr">
        <is>
          <t>10655491</t>
        </is>
      </c>
      <c r="Y95" s="8" t="inlineStr">
        <is>
          <t>30.06.2028</t>
        </is>
      </c>
      <c r="Z95" s="7" t="n"/>
      <c r="AA95" s="9" t="n"/>
      <c r="AB95" s="10">
        <f>AA95*S95</f>
        <v/>
      </c>
      <c r="AC95" s="7" t="n"/>
      <c r="AD95" s="7" t="n"/>
      <c r="AE95" s="7" t="n"/>
    </row>
    <row r="96" ht="60" customHeight="1">
      <c r="A96" s="5" t="n">
        <v>91</v>
      </c>
      <c r="B96" s="6" t="inlineStr">
        <is>
          <t>1.6/66</t>
        </is>
      </c>
      <c r="C96" s="6" t="inlineStr">
        <is>
          <t>Кран запорный шаровой 11С67П Ду 50 Ру 16</t>
        </is>
      </c>
      <c r="D96" s="6" t="inlineStr">
        <is>
          <t>ТУ У 04671406-003-1999</t>
        </is>
      </c>
      <c r="E96" s="6" t="inlineStr">
        <is>
          <t>50</t>
        </is>
      </c>
      <c r="F96" s="6" t="inlineStr">
        <is>
          <t>стандарт</t>
        </is>
      </c>
      <c r="G96" s="6" t="inlineStr">
        <is>
          <t>1.6</t>
        </is>
      </c>
      <c r="H96" s="6" t="inlineStr">
        <is>
          <t>от -30 до +200</t>
        </is>
      </c>
      <c r="I96" s="6" t="inlineStr">
        <is>
          <t>вода, холодная и горячая, газ, нефтепродукты и прочие слабоагрессивные среды</t>
        </is>
      </c>
      <c r="J96" s="6" t="inlineStr">
        <is>
          <t>сталь 20</t>
        </is>
      </c>
      <c r="K96" s="6" t="inlineStr">
        <is>
          <t>У1</t>
        </is>
      </c>
      <c r="L96" s="6" t="inlineStr">
        <is>
          <t>фланцевый</t>
        </is>
      </c>
      <c r="M96" s="6" t="inlineStr">
        <is>
          <t>ручной (рукоятка)</t>
        </is>
      </c>
      <c r="N96" s="6" t="inlineStr">
        <is>
          <t>-</t>
        </is>
      </c>
      <c r="O96" s="6" t="inlineStr">
        <is>
          <t>любое</t>
        </is>
      </c>
      <c r="P96" s="6" t="inlineStr">
        <is>
          <t>уплотнение шпинделя: резина ИРП-1287;
шар: нержавеющая сталь 12Х18Н10Т;
уплотнение затвора: фторопласт-4</t>
        </is>
      </c>
      <c r="Q96" s="6" t="inlineStr">
        <is>
          <t>-</t>
        </is>
      </c>
      <c r="R96" s="6" t="inlineStr">
        <is>
          <t>-</t>
        </is>
      </c>
      <c r="S96" s="5" t="n">
        <v>25</v>
      </c>
      <c r="T96" s="6" t="inlineStr">
        <is>
          <t>шт</t>
        </is>
      </c>
      <c r="U96" s="7" t="n"/>
      <c r="V96" s="8" t="inlineStr">
        <is>
          <t>ООО «ЧелябинскСпецГражданСтрой» (ИНН 7451211335)</t>
        </is>
      </c>
      <c r="W96" s="8" t="inlineStr">
        <is>
          <t>Россия</t>
        </is>
      </c>
      <c r="X96" s="8" t="inlineStr">
        <is>
          <t>10655491</t>
        </is>
      </c>
      <c r="Y96" s="8" t="inlineStr">
        <is>
          <t>30.06.2028</t>
        </is>
      </c>
      <c r="Z96" s="7" t="n"/>
      <c r="AA96" s="9" t="n"/>
      <c r="AB96" s="10">
        <f>AA96*S96</f>
        <v/>
      </c>
      <c r="AC96" s="7" t="n"/>
      <c r="AD96" s="7" t="n"/>
      <c r="AE96" s="7" t="n"/>
    </row>
    <row r="97" ht="60" customHeight="1">
      <c r="A97" s="5" t="n">
        <v>92</v>
      </c>
      <c r="B97" s="6" t="inlineStr">
        <is>
          <t>1.6/67</t>
        </is>
      </c>
      <c r="C97" s="6" t="inlineStr">
        <is>
          <t>Кран запорный шаровой 11С67П Ду 80 Ру 16</t>
        </is>
      </c>
      <c r="D97" s="6" t="inlineStr">
        <is>
          <t>ТУ У 04671406-003-1999</t>
        </is>
      </c>
      <c r="E97" s="6" t="inlineStr">
        <is>
          <t>80</t>
        </is>
      </c>
      <c r="F97" s="6" t="inlineStr">
        <is>
          <t>стандарт</t>
        </is>
      </c>
      <c r="G97" s="6" t="inlineStr">
        <is>
          <t>1.6</t>
        </is>
      </c>
      <c r="H97" s="6" t="inlineStr">
        <is>
          <t>от -30 до +200</t>
        </is>
      </c>
      <c r="I97" s="6" t="inlineStr">
        <is>
          <t>вода, холодная и горячая, газ, нефтепродукты и прочие слабоагрессивные среды</t>
        </is>
      </c>
      <c r="J97" s="6" t="inlineStr">
        <is>
          <t>сталь 20</t>
        </is>
      </c>
      <c r="K97" s="6" t="inlineStr">
        <is>
          <t>У1</t>
        </is>
      </c>
      <c r="L97" s="6" t="inlineStr">
        <is>
          <t>фланцевый</t>
        </is>
      </c>
      <c r="M97" s="6" t="inlineStr">
        <is>
          <t>ручной (рукоятка)</t>
        </is>
      </c>
      <c r="N97" s="6" t="inlineStr">
        <is>
          <t>-</t>
        </is>
      </c>
      <c r="O97" s="6" t="inlineStr">
        <is>
          <t>любое</t>
        </is>
      </c>
      <c r="P97" s="6" t="inlineStr">
        <is>
          <t>уплотнение шпинделя: резина ИРП-1287;
шар: нержавеющая сталь 12Х18Н10Т;
уплотнение затвора: фторопласт-4</t>
        </is>
      </c>
      <c r="Q97" s="6" t="inlineStr">
        <is>
          <t>-</t>
        </is>
      </c>
      <c r="R97" s="6" t="inlineStr">
        <is>
          <t>-</t>
        </is>
      </c>
      <c r="S97" s="5" t="n">
        <v>22</v>
      </c>
      <c r="T97" s="6" t="inlineStr">
        <is>
          <t>шт</t>
        </is>
      </c>
      <c r="U97" s="7" t="n"/>
      <c r="V97" s="8" t="inlineStr">
        <is>
          <t>ООО «ЧелябинскСпецГражданСтрой» (ИНН 7451211335)</t>
        </is>
      </c>
      <c r="W97" s="8" t="inlineStr">
        <is>
          <t>Россия</t>
        </is>
      </c>
      <c r="X97" s="8" t="inlineStr">
        <is>
          <t>10655491</t>
        </is>
      </c>
      <c r="Y97" s="8" t="inlineStr">
        <is>
          <t>30.06.2028</t>
        </is>
      </c>
      <c r="Z97" s="7" t="n"/>
      <c r="AA97" s="9" t="n"/>
      <c r="AB97" s="10">
        <f>AA97*S97</f>
        <v/>
      </c>
      <c r="AC97" s="7" t="n"/>
      <c r="AD97" s="7" t="n"/>
      <c r="AE97" s="7" t="n"/>
    </row>
    <row r="98" ht="60" customHeight="1">
      <c r="A98" s="5" t="n">
        <v>93</v>
      </c>
      <c r="B98" s="6" t="inlineStr">
        <is>
          <t>1.6/68</t>
        </is>
      </c>
      <c r="C98" s="6" t="inlineStr">
        <is>
          <t>Кран шаровой 11с67п Ду 25 Ру 25 цельносварной под приварку</t>
        </is>
      </c>
      <c r="D98" s="6" t="inlineStr">
        <is>
          <t>ТУ У 04671406-003-1999; ГОСТ 21345-2005</t>
        </is>
      </c>
      <c r="E98" s="6" t="inlineStr">
        <is>
          <t>25</t>
        </is>
      </c>
      <c r="F98" s="6" t="inlineStr">
        <is>
          <t>стандарт</t>
        </is>
      </c>
      <c r="G98" s="6" t="inlineStr">
        <is>
          <t>2.5</t>
        </is>
      </c>
      <c r="H98" s="6" t="inlineStr">
        <is>
          <t>от -30 до +180</t>
        </is>
      </c>
      <c r="I98" s="6" t="inlineStr">
        <is>
          <t>природный газ, вода, нефтепродукты, сжиженный  газ и прочие среды</t>
        </is>
      </c>
      <c r="J98" s="6" t="inlineStr">
        <is>
          <t>сталь 20</t>
        </is>
      </c>
      <c r="K98" s="6" t="inlineStr">
        <is>
          <t>У1</t>
        </is>
      </c>
      <c r="L98" s="6" t="inlineStr">
        <is>
          <t>приварной</t>
        </is>
      </c>
      <c r="M98" s="6" t="inlineStr">
        <is>
          <t>ручной (рукоятка)</t>
        </is>
      </c>
      <c r="N98" s="6" t="inlineStr">
        <is>
          <t>-</t>
        </is>
      </c>
      <c r="O98" s="6" t="inlineStr">
        <is>
          <t>любое</t>
        </is>
      </c>
      <c r="P98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98" s="6" t="inlineStr">
        <is>
          <t>-</t>
        </is>
      </c>
      <c r="R98" s="6" t="inlineStr">
        <is>
          <t>-</t>
        </is>
      </c>
      <c r="S98" s="5" t="n">
        <v>36</v>
      </c>
      <c r="T98" s="6" t="inlineStr">
        <is>
          <t>шт</t>
        </is>
      </c>
      <c r="U98" s="7" t="n"/>
      <c r="V98" s="8" t="inlineStr">
        <is>
          <t>ООО «ЧелябинскСпецГражданСтрой» (ИНН 7451211335)</t>
        </is>
      </c>
      <c r="W98" s="8" t="inlineStr">
        <is>
          <t>Россия</t>
        </is>
      </c>
      <c r="X98" s="8" t="inlineStr">
        <is>
          <t>10655491</t>
        </is>
      </c>
      <c r="Y98" s="8" t="inlineStr">
        <is>
          <t>30.06.2028</t>
        </is>
      </c>
      <c r="Z98" s="7" t="n"/>
      <c r="AA98" s="9" t="n"/>
      <c r="AB98" s="10">
        <f>AA98*S98</f>
        <v/>
      </c>
      <c r="AC98" s="7" t="n"/>
      <c r="AD98" s="7" t="n"/>
      <c r="AE98" s="7" t="n"/>
    </row>
    <row r="99" ht="60" customHeight="1">
      <c r="A99" s="5" t="n">
        <v>94</v>
      </c>
      <c r="B99" s="6" t="inlineStr">
        <is>
          <t>1.6/69</t>
        </is>
      </c>
      <c r="C99" s="6" t="inlineStr">
        <is>
          <t>Кран шаровой 11с67п Ду 32 Ру 25 цельносварной под приварку</t>
        </is>
      </c>
      <c r="D99" s="6" t="inlineStr">
        <is>
          <t>ТУ У 04671406-003-1999; ГОСТ 21345-2005</t>
        </is>
      </c>
      <c r="E99" s="6" t="inlineStr">
        <is>
          <t>32</t>
        </is>
      </c>
      <c r="F99" s="6" t="inlineStr">
        <is>
          <t>стандарт</t>
        </is>
      </c>
      <c r="G99" s="6" t="inlineStr">
        <is>
          <t>2.5</t>
        </is>
      </c>
      <c r="H99" s="6" t="inlineStr">
        <is>
          <t>от -30 до +180</t>
        </is>
      </c>
      <c r="I99" s="6" t="inlineStr">
        <is>
          <t>природный газ, вода, нефтепродукты, сжиженный  газ и прочие среды</t>
        </is>
      </c>
      <c r="J99" s="6" t="inlineStr">
        <is>
          <t>сталь 20</t>
        </is>
      </c>
      <c r="K99" s="6" t="inlineStr">
        <is>
          <t>У1</t>
        </is>
      </c>
      <c r="L99" s="6" t="inlineStr">
        <is>
          <t>приварной</t>
        </is>
      </c>
      <c r="M99" s="6" t="inlineStr">
        <is>
          <t>ручной (рукоятка)</t>
        </is>
      </c>
      <c r="N99" s="6" t="inlineStr">
        <is>
          <t>-</t>
        </is>
      </c>
      <c r="O99" s="6" t="inlineStr">
        <is>
          <t>любое</t>
        </is>
      </c>
      <c r="P99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99" s="6" t="inlineStr">
        <is>
          <t>-</t>
        </is>
      </c>
      <c r="R99" s="6" t="inlineStr">
        <is>
          <t>-</t>
        </is>
      </c>
      <c r="S99" s="5" t="n">
        <v>6</v>
      </c>
      <c r="T99" s="6" t="inlineStr">
        <is>
          <t>шт</t>
        </is>
      </c>
      <c r="U99" s="7" t="n"/>
      <c r="V99" s="8" t="inlineStr">
        <is>
          <t>ООО «ЧелябинскСпецГражданСтрой» (ИНН 7451211335)</t>
        </is>
      </c>
      <c r="W99" s="8" t="inlineStr">
        <is>
          <t>Россия</t>
        </is>
      </c>
      <c r="X99" s="8" t="inlineStr">
        <is>
          <t>10655491</t>
        </is>
      </c>
      <c r="Y99" s="8" t="inlineStr">
        <is>
          <t>30.06.2028</t>
        </is>
      </c>
      <c r="Z99" s="7" t="n"/>
      <c r="AA99" s="9" t="n"/>
      <c r="AB99" s="10">
        <f>AA99*S99</f>
        <v/>
      </c>
      <c r="AC99" s="7" t="n"/>
      <c r="AD99" s="7" t="n"/>
      <c r="AE99" s="7" t="n"/>
    </row>
    <row r="100" ht="60" customHeight="1">
      <c r="A100" s="5" t="n">
        <v>95</v>
      </c>
      <c r="B100" s="6" t="inlineStr">
        <is>
          <t>1.6/70</t>
        </is>
      </c>
      <c r="C100" s="6" t="inlineStr">
        <is>
          <t>Кран шаровой 11с67п Ду 40 Ру 25 цельносварной под приварку</t>
        </is>
      </c>
      <c r="D100" s="6" t="inlineStr">
        <is>
          <t>ТУ У 04671406-003-1999; ГОСТ 21345-2005</t>
        </is>
      </c>
      <c r="E100" s="6" t="inlineStr">
        <is>
          <t>40</t>
        </is>
      </c>
      <c r="F100" s="6" t="inlineStr">
        <is>
          <t>стандарт</t>
        </is>
      </c>
      <c r="G100" s="6" t="inlineStr">
        <is>
          <t>2.5</t>
        </is>
      </c>
      <c r="H100" s="6" t="inlineStr">
        <is>
          <t>от -30 до +180</t>
        </is>
      </c>
      <c r="I100" s="6" t="inlineStr">
        <is>
          <t>природный газ, вода, нефтепродукты, сжиженный  газ и прочие среды</t>
        </is>
      </c>
      <c r="J100" s="6" t="inlineStr">
        <is>
          <t>сталь 20</t>
        </is>
      </c>
      <c r="K100" s="6" t="inlineStr">
        <is>
          <t>У1</t>
        </is>
      </c>
      <c r="L100" s="6" t="inlineStr">
        <is>
          <t>приварной</t>
        </is>
      </c>
      <c r="M100" s="6" t="inlineStr">
        <is>
          <t>ручной (рукоятка)</t>
        </is>
      </c>
      <c r="N100" s="6" t="inlineStr">
        <is>
          <t>-</t>
        </is>
      </c>
      <c r="O100" s="6" t="inlineStr">
        <is>
          <t>любое</t>
        </is>
      </c>
      <c r="P100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100" s="6" t="inlineStr">
        <is>
          <t>-</t>
        </is>
      </c>
      <c r="R100" s="6" t="inlineStr">
        <is>
          <t>-</t>
        </is>
      </c>
      <c r="S100" s="5" t="n">
        <v>10</v>
      </c>
      <c r="T100" s="6" t="inlineStr">
        <is>
          <t>шт</t>
        </is>
      </c>
      <c r="U100" s="7" t="n"/>
      <c r="V100" s="8" t="inlineStr">
        <is>
          <t>ООО «ЧелябинскСпецГражданСтрой» (ИНН 7451211335)</t>
        </is>
      </c>
      <c r="W100" s="8" t="inlineStr">
        <is>
          <t>Россия</t>
        </is>
      </c>
      <c r="X100" s="8" t="inlineStr">
        <is>
          <t>10655491</t>
        </is>
      </c>
      <c r="Y100" s="8" t="inlineStr">
        <is>
          <t>30.06.2028</t>
        </is>
      </c>
      <c r="Z100" s="7" t="n"/>
      <c r="AA100" s="9" t="n"/>
      <c r="AB100" s="10">
        <f>AA100*S100</f>
        <v/>
      </c>
      <c r="AC100" s="7" t="n"/>
      <c r="AD100" s="7" t="n"/>
      <c r="AE100" s="7" t="n"/>
    </row>
    <row r="101" ht="60" customHeight="1">
      <c r="A101" s="5" t="n">
        <v>96</v>
      </c>
      <c r="B101" s="6" t="inlineStr">
        <is>
          <t>1.6/71</t>
        </is>
      </c>
      <c r="C101" s="6" t="inlineStr">
        <is>
          <t>Кран шаровой 11с67п Ду 20 Ру 25 полнопрох. с КОФ (КЗШС41нж)</t>
        </is>
      </c>
      <c r="D101" s="6" t="inlineStr">
        <is>
          <t>ТУ У 04671406-003-1999 (ТУ У 04671406-02-96)</t>
        </is>
      </c>
      <c r="E101" s="6" t="inlineStr">
        <is>
          <t>20</t>
        </is>
      </c>
      <c r="F101" s="6" t="inlineStr">
        <is>
          <t>полный</t>
        </is>
      </c>
      <c r="G101" s="6" t="inlineStr">
        <is>
          <t>2.5</t>
        </is>
      </c>
      <c r="H101" s="6" t="inlineStr">
        <is>
          <t>от -40 до +250</t>
        </is>
      </c>
      <c r="I101" s="6" t="inlineStr">
        <is>
          <t>пар, вода, газ, нефтепродукты и другие нетоксичные и неагрессивные среды,</t>
        </is>
      </c>
      <c r="J101" s="6" t="inlineStr">
        <is>
          <t>сталь 20</t>
        </is>
      </c>
      <c r="K101" s="6" t="inlineStr">
        <is>
          <t>У1</t>
        </is>
      </c>
      <c r="L101" s="6" t="inlineStr">
        <is>
          <t>фланцевый</t>
        </is>
      </c>
      <c r="M101" s="6" t="inlineStr">
        <is>
          <t>ручной (рукоятка)</t>
        </is>
      </c>
      <c r="N101" s="6" t="inlineStr">
        <is>
          <t>-</t>
        </is>
      </c>
      <c r="O101" s="6" t="inlineStr">
        <is>
          <t>любое</t>
        </is>
      </c>
      <c r="P101" s="6" t="inlineStr">
        <is>
          <t>Шар — нержавеющая сталь 12Х18Н10Т;
Шпиндель — сталь 20Х13 (14Х17Н2);
Кольцо уплотнительное, уплотнение шпинделя — фторопласт Ф4К20БР20;
Шпилька, гайка — сталь 35;</t>
        </is>
      </c>
      <c r="Q101" s="6" t="inlineStr">
        <is>
          <t>-</t>
        </is>
      </c>
      <c r="R101" s="6" t="inlineStr">
        <is>
          <t>с комплектом ответных фланцев</t>
        </is>
      </c>
      <c r="S101" s="5" t="n">
        <v>2</v>
      </c>
      <c r="T101" s="6" t="inlineStr">
        <is>
          <t>шт</t>
        </is>
      </c>
      <c r="U101" s="7" t="n"/>
      <c r="V101" s="8" t="inlineStr">
        <is>
          <t>ООО «ЧелябинскСпецГражданСтрой» (ИНН 7451211335)</t>
        </is>
      </c>
      <c r="W101" s="8" t="inlineStr">
        <is>
          <t>Россия</t>
        </is>
      </c>
      <c r="X101" s="8" t="inlineStr">
        <is>
          <t>10655491</t>
        </is>
      </c>
      <c r="Y101" s="8" t="inlineStr">
        <is>
          <t>30.06.2028</t>
        </is>
      </c>
      <c r="Z101" s="7" t="n"/>
      <c r="AA101" s="9" t="n"/>
      <c r="AB101" s="10">
        <f>AA101*S101</f>
        <v/>
      </c>
      <c r="AC101" s="7" t="n"/>
      <c r="AD101" s="7" t="n"/>
      <c r="AE101" s="7" t="n"/>
    </row>
    <row r="102" ht="60" customHeight="1">
      <c r="A102" s="5" t="n">
        <v>97</v>
      </c>
      <c r="B102" s="6" t="inlineStr">
        <is>
          <t>1.6/72</t>
        </is>
      </c>
      <c r="C102" s="6" t="inlineStr">
        <is>
          <t>Кран шаровой 11с67п Ду 25 Ру 25 полнопрох. с КОФ (КЗШС41нж)</t>
        </is>
      </c>
      <c r="D102" s="6" t="inlineStr">
        <is>
          <t>ТУ У 04671406-003-1999 (ТУ У 04671406-02-96)</t>
        </is>
      </c>
      <c r="E102" s="6" t="inlineStr">
        <is>
          <t>25</t>
        </is>
      </c>
      <c r="F102" s="6" t="inlineStr">
        <is>
          <t>полный</t>
        </is>
      </c>
      <c r="G102" s="6" t="inlineStr">
        <is>
          <t>2.5</t>
        </is>
      </c>
      <c r="H102" s="6" t="inlineStr">
        <is>
          <t>от -40 до +250</t>
        </is>
      </c>
      <c r="I102" s="6" t="inlineStr">
        <is>
          <t>пар, вода, газ, нефтепродукты и другие нетоксичные и неагрессивные среды,</t>
        </is>
      </c>
      <c r="J102" s="6" t="inlineStr">
        <is>
          <t>сталь 20</t>
        </is>
      </c>
      <c r="K102" s="6" t="inlineStr">
        <is>
          <t>У1</t>
        </is>
      </c>
      <c r="L102" s="6" t="inlineStr">
        <is>
          <t>фланцевый</t>
        </is>
      </c>
      <c r="M102" s="6" t="inlineStr">
        <is>
          <t>ручной (рукоятка)</t>
        </is>
      </c>
      <c r="N102" s="6" t="inlineStr">
        <is>
          <t>-</t>
        </is>
      </c>
      <c r="O102" s="6" t="inlineStr">
        <is>
          <t>любое</t>
        </is>
      </c>
      <c r="P102" s="6" t="inlineStr">
        <is>
          <t>Шар — нержавеющая сталь 12Х18Н10Т;
Шпиндель — сталь 20Х13 (14Х17Н2);
Кольцо уплотнительное, уплотнение шпинделя — фторопласт Ф4К20БР20;
Шпилька, гайка — сталь 35;</t>
        </is>
      </c>
      <c r="Q102" s="6" t="inlineStr">
        <is>
          <t>-</t>
        </is>
      </c>
      <c r="R102" s="6" t="inlineStr">
        <is>
          <t>с комплектом ответных фланцев</t>
        </is>
      </c>
      <c r="S102" s="5" t="n">
        <v>9</v>
      </c>
      <c r="T102" s="6" t="inlineStr">
        <is>
          <t>шт</t>
        </is>
      </c>
      <c r="U102" s="7" t="n"/>
      <c r="V102" s="8" t="inlineStr">
        <is>
          <t>ООО «ЧелябинскСпецГражданСтрой» (ИНН 7451211335)</t>
        </is>
      </c>
      <c r="W102" s="8" t="inlineStr">
        <is>
          <t>Россия</t>
        </is>
      </c>
      <c r="X102" s="8" t="inlineStr">
        <is>
          <t>10655491</t>
        </is>
      </c>
      <c r="Y102" s="8" t="inlineStr">
        <is>
          <t>30.06.2028</t>
        </is>
      </c>
      <c r="Z102" s="7" t="n"/>
      <c r="AA102" s="9" t="n"/>
      <c r="AB102" s="10">
        <f>AA102*S102</f>
        <v/>
      </c>
      <c r="AC102" s="7" t="n"/>
      <c r="AD102" s="7" t="n"/>
      <c r="AE102" s="7" t="n"/>
    </row>
    <row r="103" ht="60" customHeight="1">
      <c r="A103" s="5" t="n">
        <v>98</v>
      </c>
      <c r="B103" s="6" t="inlineStr">
        <is>
          <t>1.6/73</t>
        </is>
      </c>
      <c r="C103" s="6" t="inlineStr">
        <is>
          <t>Кран шаровой 11с67п Ду 32 Ру 25 полнопрох. с КОФ (КЗШС41нж)</t>
        </is>
      </c>
      <c r="D103" s="6" t="inlineStr">
        <is>
          <t>ТУ У 04671406-003-1999 (ТУ У 04671406-02-96)</t>
        </is>
      </c>
      <c r="E103" s="6" t="inlineStr">
        <is>
          <t>32</t>
        </is>
      </c>
      <c r="F103" s="6" t="inlineStr">
        <is>
          <t>полный</t>
        </is>
      </c>
      <c r="G103" s="6" t="inlineStr">
        <is>
          <t>2.5</t>
        </is>
      </c>
      <c r="H103" s="6" t="inlineStr">
        <is>
          <t>от -40 до +250</t>
        </is>
      </c>
      <c r="I103" s="6" t="inlineStr">
        <is>
          <t>пар, вода, газ, нефтепродукты и другие нетоксичные и неагрессивные среды,</t>
        </is>
      </c>
      <c r="J103" s="6" t="inlineStr">
        <is>
          <t>сталь 20</t>
        </is>
      </c>
      <c r="K103" s="6" t="inlineStr">
        <is>
          <t>У1</t>
        </is>
      </c>
      <c r="L103" s="6" t="inlineStr">
        <is>
          <t>фланцевый</t>
        </is>
      </c>
      <c r="M103" s="6" t="inlineStr">
        <is>
          <t>ручной (рукоятка)</t>
        </is>
      </c>
      <c r="N103" s="6" t="inlineStr">
        <is>
          <t>-</t>
        </is>
      </c>
      <c r="O103" s="6" t="inlineStr">
        <is>
          <t>любое</t>
        </is>
      </c>
      <c r="P103" s="6" t="inlineStr">
        <is>
          <t>Шар — нержавеющая сталь 12Х18Н10Т;
Шпиндель — сталь 20Х13 (14Х17Н2);
Кольцо уплотнительное, уплотнение шпинделя — фторопласт Ф4К20БР20;
Шпилька, гайка — сталь 35;</t>
        </is>
      </c>
      <c r="Q103" s="6" t="inlineStr">
        <is>
          <t>-</t>
        </is>
      </c>
      <c r="R103" s="6" t="inlineStr">
        <is>
          <t>с комплектом ответных фланцев</t>
        </is>
      </c>
      <c r="S103" s="5" t="n">
        <v>10</v>
      </c>
      <c r="T103" s="6" t="inlineStr">
        <is>
          <t>шт</t>
        </is>
      </c>
      <c r="U103" s="7" t="n"/>
      <c r="V103" s="8" t="inlineStr">
        <is>
          <t>ООО «ЧелябинскСпецГражданСтрой» (ИНН 7451211335)</t>
        </is>
      </c>
      <c r="W103" s="8" t="inlineStr">
        <is>
          <t>Россия</t>
        </is>
      </c>
      <c r="X103" s="8" t="inlineStr">
        <is>
          <t>10655491</t>
        </is>
      </c>
      <c r="Y103" s="8" t="inlineStr">
        <is>
          <t>30.06.2028</t>
        </is>
      </c>
      <c r="Z103" s="7" t="n"/>
      <c r="AA103" s="9" t="n"/>
      <c r="AB103" s="10">
        <f>AA103*S103</f>
        <v/>
      </c>
      <c r="AC103" s="7" t="n"/>
      <c r="AD103" s="7" t="n"/>
      <c r="AE103" s="7" t="n"/>
    </row>
    <row r="104" ht="60" customHeight="1">
      <c r="A104" s="5" t="n">
        <v>99</v>
      </c>
      <c r="B104" s="6" t="inlineStr">
        <is>
          <t>1.6/74</t>
        </is>
      </c>
      <c r="C104" s="6" t="inlineStr">
        <is>
          <t>Кран шаровой 11с67п Ду 40 Ру 25 полнопрох. с КОФ (КЗШС41нж)</t>
        </is>
      </c>
      <c r="D104" s="6" t="inlineStr">
        <is>
          <t>ТУ У 04671406-003-1999 (ТУ У 04671406-02-96)</t>
        </is>
      </c>
      <c r="E104" s="6" t="inlineStr">
        <is>
          <t>40</t>
        </is>
      </c>
      <c r="F104" s="6" t="inlineStr">
        <is>
          <t>полный</t>
        </is>
      </c>
      <c r="G104" s="6" t="inlineStr">
        <is>
          <t>2.5</t>
        </is>
      </c>
      <c r="H104" s="6" t="inlineStr">
        <is>
          <t>от -40 до +250</t>
        </is>
      </c>
      <c r="I104" s="6" t="inlineStr">
        <is>
          <t>пар, вода, газ, нефтепродукты и другие нетоксичные и неагрессивные среды,</t>
        </is>
      </c>
      <c r="J104" s="6" t="inlineStr">
        <is>
          <t>сталь 20</t>
        </is>
      </c>
      <c r="K104" s="6" t="inlineStr">
        <is>
          <t>У1</t>
        </is>
      </c>
      <c r="L104" s="6" t="inlineStr">
        <is>
          <t>фланцевый</t>
        </is>
      </c>
      <c r="M104" s="6" t="inlineStr">
        <is>
          <t>ручной (рукоятка)</t>
        </is>
      </c>
      <c r="N104" s="6" t="inlineStr">
        <is>
          <t>-</t>
        </is>
      </c>
      <c r="O104" s="6" t="inlineStr">
        <is>
          <t>любое</t>
        </is>
      </c>
      <c r="P104" s="6" t="inlineStr">
        <is>
          <t>Шар — нержавеющая сталь 12Х18Н10Т;
Шпиндель — сталь 20Х13 (14Х17Н2);
Кольцо уплотнительное, уплотнение шпинделя — фторопласт Ф4К20БР20;
Шпилька, гайка — сталь 35;</t>
        </is>
      </c>
      <c r="Q104" s="6" t="inlineStr">
        <is>
          <t>-</t>
        </is>
      </c>
      <c r="R104" s="6" t="inlineStr">
        <is>
          <t>с комплектом ответных фланцев</t>
        </is>
      </c>
      <c r="S104" s="5" t="n">
        <v>2</v>
      </c>
      <c r="T104" s="6" t="inlineStr">
        <is>
          <t>шт</t>
        </is>
      </c>
      <c r="U104" s="7" t="n"/>
      <c r="V104" s="8" t="inlineStr">
        <is>
          <t>ООО «ЧелябинскСпецГражданСтрой» (ИНН 7451211335)</t>
        </is>
      </c>
      <c r="W104" s="8" t="inlineStr">
        <is>
          <t>Россия</t>
        </is>
      </c>
      <c r="X104" s="8" t="inlineStr">
        <is>
          <t>10655491</t>
        </is>
      </c>
      <c r="Y104" s="8" t="inlineStr">
        <is>
          <t>30.06.2028</t>
        </is>
      </c>
      <c r="Z104" s="7" t="n"/>
      <c r="AA104" s="9" t="n"/>
      <c r="AB104" s="10">
        <f>AA104*S104</f>
        <v/>
      </c>
      <c r="AC104" s="7" t="n"/>
      <c r="AD104" s="7" t="n"/>
      <c r="AE104" s="7" t="n"/>
    </row>
    <row r="105" ht="60" customHeight="1">
      <c r="A105" s="5" t="n">
        <v>100</v>
      </c>
      <c r="B105" s="6" t="inlineStr">
        <is>
          <t>1.6/75</t>
        </is>
      </c>
      <c r="C105" s="6" t="inlineStr">
        <is>
          <t>Кран шаровой 11с67п Ду 50 Ру 25 полнопрох. с КОФ (КЗШС41нж)</t>
        </is>
      </c>
      <c r="D105" s="6" t="inlineStr">
        <is>
          <t>ТУ У 04671406-003-1999 (ТУ У 04671406-02-96)</t>
        </is>
      </c>
      <c r="E105" s="6" t="inlineStr">
        <is>
          <t>50</t>
        </is>
      </c>
      <c r="F105" s="6" t="inlineStr">
        <is>
          <t>полный</t>
        </is>
      </c>
      <c r="G105" s="6" t="inlineStr">
        <is>
          <t>2.5</t>
        </is>
      </c>
      <c r="H105" s="6" t="inlineStr">
        <is>
          <t>от -40 до +250</t>
        </is>
      </c>
      <c r="I105" s="6" t="inlineStr">
        <is>
          <t>пар, вода, газ, нефтепродукты и другие нетоксичные и неагрессивные среды,</t>
        </is>
      </c>
      <c r="J105" s="6" t="inlineStr">
        <is>
          <t>сталь 20</t>
        </is>
      </c>
      <c r="K105" s="6" t="inlineStr">
        <is>
          <t>У1</t>
        </is>
      </c>
      <c r="L105" s="6" t="inlineStr">
        <is>
          <t>фланцевый</t>
        </is>
      </c>
      <c r="M105" s="6" t="inlineStr">
        <is>
          <t>ручной (рукоятка)</t>
        </is>
      </c>
      <c r="N105" s="6" t="inlineStr">
        <is>
          <t>-</t>
        </is>
      </c>
      <c r="O105" s="6" t="inlineStr">
        <is>
          <t>любое</t>
        </is>
      </c>
      <c r="P105" s="6" t="inlineStr">
        <is>
          <t>Шар — нержавеющая сталь 12Х18Н10Т;
Шпиндель — сталь 20Х13 (14Х17Н2);
Кольцо уплотнительное, уплотнение шпинделя — фторопласт Ф4К20БР20;
Шпилька, гайка — сталь 35;</t>
        </is>
      </c>
      <c r="Q105" s="6" t="inlineStr">
        <is>
          <t>-</t>
        </is>
      </c>
      <c r="R105" s="6" t="inlineStr">
        <is>
          <t>с комплектом ответных фланцев</t>
        </is>
      </c>
      <c r="S105" s="5" t="n">
        <v>9</v>
      </c>
      <c r="T105" s="6" t="inlineStr">
        <is>
          <t>шт</t>
        </is>
      </c>
      <c r="U105" s="7" t="n"/>
      <c r="V105" s="8" t="inlineStr">
        <is>
          <t>ООО «ЧелябинскСпецГражданСтрой» (ИНН 7451211335)</t>
        </is>
      </c>
      <c r="W105" s="8" t="inlineStr">
        <is>
          <t>Россия</t>
        </is>
      </c>
      <c r="X105" s="8" t="inlineStr">
        <is>
          <t>10655491</t>
        </is>
      </c>
      <c r="Y105" s="8" t="inlineStr">
        <is>
          <t>30.06.2028</t>
        </is>
      </c>
      <c r="Z105" s="7" t="n"/>
      <c r="AA105" s="9" t="n"/>
      <c r="AB105" s="10">
        <f>AA105*S105</f>
        <v/>
      </c>
      <c r="AC105" s="7" t="n"/>
      <c r="AD105" s="7" t="n"/>
      <c r="AE105" s="7" t="n"/>
    </row>
    <row r="106" ht="60" customHeight="1">
      <c r="A106" s="5" t="n">
        <v>101</v>
      </c>
      <c r="B106" s="6" t="inlineStr">
        <is>
          <t>1.6/76</t>
        </is>
      </c>
      <c r="C106" s="6" t="inlineStr">
        <is>
          <t>Кран шаровой 11с67п Ду 80 Ру 25 полнопрох. с КОФ (КЗШС41нж)</t>
        </is>
      </c>
      <c r="D106" s="6" t="inlineStr">
        <is>
          <t>ТУ У 04671406-003-1999 (ТУ У 04671406-02-96)</t>
        </is>
      </c>
      <c r="E106" s="6" t="inlineStr">
        <is>
          <t>80</t>
        </is>
      </c>
      <c r="F106" s="6" t="inlineStr">
        <is>
          <t>полный</t>
        </is>
      </c>
      <c r="G106" s="6" t="inlineStr">
        <is>
          <t>2.5</t>
        </is>
      </c>
      <c r="H106" s="6" t="inlineStr">
        <is>
          <t>от -40 до +250</t>
        </is>
      </c>
      <c r="I106" s="6" t="inlineStr">
        <is>
          <t>пар, вода, газ, нефтепродукты и другие нетоксичные и неагрессивные среды,</t>
        </is>
      </c>
      <c r="J106" s="6" t="inlineStr">
        <is>
          <t>сталь 20</t>
        </is>
      </c>
      <c r="K106" s="6" t="inlineStr">
        <is>
          <t>У1</t>
        </is>
      </c>
      <c r="L106" s="6" t="inlineStr">
        <is>
          <t>фланцевый</t>
        </is>
      </c>
      <c r="M106" s="6" t="inlineStr">
        <is>
          <t>ручной (рукоятка)</t>
        </is>
      </c>
      <c r="N106" s="6" t="inlineStr">
        <is>
          <t>-</t>
        </is>
      </c>
      <c r="O106" s="6" t="inlineStr">
        <is>
          <t>любое</t>
        </is>
      </c>
      <c r="P106" s="6" t="inlineStr">
        <is>
          <t>Шар — нержавеющая сталь 12Х18Н10Т;
Шпиндель — сталь 20Х13 (14Х17Н2);
Кольцо уплотнительное, уплотнение шпинделя — фторопласт Ф4К20БР20;
Шпилька, гайка — сталь 35;</t>
        </is>
      </c>
      <c r="Q106" s="6" t="inlineStr">
        <is>
          <t>-</t>
        </is>
      </c>
      <c r="R106" s="6" t="inlineStr">
        <is>
          <t>с комплектом ответных фланцев</t>
        </is>
      </c>
      <c r="S106" s="5" t="n">
        <v>9</v>
      </c>
      <c r="T106" s="6" t="inlineStr">
        <is>
          <t>шт</t>
        </is>
      </c>
      <c r="U106" s="7" t="n"/>
      <c r="V106" s="8" t="inlineStr">
        <is>
          <t>ООО «ЧелябинскСпецГражданСтрой» (ИНН 7451211335)</t>
        </is>
      </c>
      <c r="W106" s="8" t="inlineStr">
        <is>
          <t>Россия</t>
        </is>
      </c>
      <c r="X106" s="8" t="inlineStr">
        <is>
          <t>10655491</t>
        </is>
      </c>
      <c r="Y106" s="8" t="inlineStr">
        <is>
          <t>30.06.2028</t>
        </is>
      </c>
      <c r="Z106" s="7" t="n"/>
      <c r="AA106" s="9" t="n"/>
      <c r="AB106" s="10">
        <f>AA106*S106</f>
        <v/>
      </c>
      <c r="AC106" s="7" t="n"/>
      <c r="AD106" s="7" t="n"/>
      <c r="AE106" s="7" t="n"/>
    </row>
    <row r="107" ht="60" customHeight="1">
      <c r="A107" s="5" t="n">
        <v>102</v>
      </c>
      <c r="B107" s="6" t="inlineStr">
        <is>
          <t>1.6/77</t>
        </is>
      </c>
      <c r="C107" s="6" t="inlineStr">
        <is>
          <t>Кран шаровой 11с67п Ду 100 Ру 16 ЦУФ.001 КШ укороченный полнопроходной фланцевый с рукояткой</t>
        </is>
      </c>
      <c r="D107" s="6" t="inlineStr">
        <is>
          <t>ГОСТ 28343</t>
        </is>
      </c>
      <c r="E107" s="6" t="inlineStr">
        <is>
          <t>100</t>
        </is>
      </c>
      <c r="F107" s="6" t="inlineStr">
        <is>
          <t>полный</t>
        </is>
      </c>
      <c r="G107" s="6" t="inlineStr">
        <is>
          <t>1.6</t>
        </is>
      </c>
      <c r="H107" s="6" t="inlineStr">
        <is>
          <t>от -40 до +200</t>
        </is>
      </c>
      <c r="I107" s="6" t="inlineStr">
        <is>
          <t>вода техническая, неагрессивная среда, нефтепродукты, сжиженный газ</t>
        </is>
      </c>
      <c r="J107" s="6" t="inlineStr">
        <is>
          <t>сталь</t>
        </is>
      </c>
      <c r="K107" s="6" t="inlineStr">
        <is>
          <t>У1, ХЛ1</t>
        </is>
      </c>
      <c r="L107" s="6" t="inlineStr">
        <is>
          <t>фланцевый</t>
        </is>
      </c>
      <c r="M107" s="6" t="inlineStr">
        <is>
          <t>Ручка-рычаг</t>
        </is>
      </c>
      <c r="N107" s="6" t="inlineStr">
        <is>
          <t>-</t>
        </is>
      </c>
      <c r="O107" s="6" t="inlineStr">
        <is>
          <t>любое</t>
        </is>
      </c>
      <c r="P107" s="6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107" s="6" t="inlineStr">
        <is>
          <t>-</t>
        </is>
      </c>
      <c r="R107" s="6" t="inlineStr">
        <is>
          <t>-</t>
        </is>
      </c>
      <c r="S107" s="5" t="n">
        <v>4</v>
      </c>
      <c r="T107" s="6" t="inlineStr">
        <is>
          <t>шт</t>
        </is>
      </c>
      <c r="U107" s="7" t="n"/>
      <c r="V107" s="8" t="inlineStr">
        <is>
          <t>ООО «ЧелябинскСпецГражданСтрой» (ИНН 7451211335)</t>
        </is>
      </c>
      <c r="W107" s="8" t="inlineStr">
        <is>
          <t>Россия</t>
        </is>
      </c>
      <c r="X107" s="8" t="inlineStr">
        <is>
          <t>10655491</t>
        </is>
      </c>
      <c r="Y107" s="8" t="inlineStr">
        <is>
          <t>30.06.2028</t>
        </is>
      </c>
      <c r="Z107" s="7" t="n"/>
      <c r="AA107" s="9" t="n"/>
      <c r="AB107" s="10">
        <f>AA107*S107</f>
        <v/>
      </c>
      <c r="AC107" s="7" t="n"/>
      <c r="AD107" s="7" t="n"/>
      <c r="AE107" s="7" t="n"/>
    </row>
    <row r="108" ht="60" customHeight="1">
      <c r="A108" s="5" t="n">
        <v>103</v>
      </c>
      <c r="B108" s="6" t="inlineStr">
        <is>
          <t>1.6/78</t>
        </is>
      </c>
      <c r="C108" s="6" t="inlineStr">
        <is>
          <t>Кран шаровой 11с67п Ду 32 Ру 16 ЦУФ.001 КШ укороченный полнопроходной фланцевый с рукояткой</t>
        </is>
      </c>
      <c r="D108" s="6" t="inlineStr">
        <is>
          <t>ГОСТ 28343</t>
        </is>
      </c>
      <c r="E108" s="6" t="inlineStr">
        <is>
          <t>32</t>
        </is>
      </c>
      <c r="F108" s="6" t="inlineStr">
        <is>
          <t>полный</t>
        </is>
      </c>
      <c r="G108" s="6" t="inlineStr">
        <is>
          <t>1.6</t>
        </is>
      </c>
      <c r="H108" s="6" t="inlineStr">
        <is>
          <t>от -40 до +200</t>
        </is>
      </c>
      <c r="I108" s="6" t="inlineStr">
        <is>
          <t>вода техническая, неагрессивная среда, нефтепродукты, сжиженный газ</t>
        </is>
      </c>
      <c r="J108" s="6" t="inlineStr">
        <is>
          <t>сталь</t>
        </is>
      </c>
      <c r="K108" s="6" t="inlineStr">
        <is>
          <t>У1, ХЛ1</t>
        </is>
      </c>
      <c r="L108" s="6" t="inlineStr">
        <is>
          <t>фланцевый</t>
        </is>
      </c>
      <c r="M108" s="6" t="inlineStr">
        <is>
          <t>Ручка-рычаг</t>
        </is>
      </c>
      <c r="N108" s="6" t="inlineStr">
        <is>
          <t>-</t>
        </is>
      </c>
      <c r="O108" s="6" t="inlineStr">
        <is>
          <t>любое</t>
        </is>
      </c>
      <c r="P108" s="6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108" s="6" t="inlineStr">
        <is>
          <t>-</t>
        </is>
      </c>
      <c r="R108" s="6" t="inlineStr">
        <is>
          <t>-</t>
        </is>
      </c>
      <c r="S108" s="5" t="n">
        <v>1</v>
      </c>
      <c r="T108" s="6" t="inlineStr">
        <is>
          <t>шт</t>
        </is>
      </c>
      <c r="U108" s="7" t="n"/>
      <c r="V108" s="8" t="inlineStr">
        <is>
          <t>ООО «ЧелябинскСпецГражданСтрой» (ИНН 7451211335)</t>
        </is>
      </c>
      <c r="W108" s="8" t="inlineStr">
        <is>
          <t>Россия</t>
        </is>
      </c>
      <c r="X108" s="8" t="inlineStr">
        <is>
          <t>10655491</t>
        </is>
      </c>
      <c r="Y108" s="8" t="inlineStr">
        <is>
          <t>30.06.2028</t>
        </is>
      </c>
      <c r="Z108" s="7" t="n"/>
      <c r="AA108" s="9" t="n"/>
      <c r="AB108" s="10">
        <f>AA108*S108</f>
        <v/>
      </c>
      <c r="AC108" s="7" t="n"/>
      <c r="AD108" s="7" t="n"/>
      <c r="AE108" s="7" t="n"/>
    </row>
    <row r="109" ht="60" customHeight="1">
      <c r="A109" s="5" t="n">
        <v>104</v>
      </c>
      <c r="B109" s="6" t="inlineStr">
        <is>
          <t>1.6/79</t>
        </is>
      </c>
      <c r="C109" s="6" t="inlineStr">
        <is>
          <t>Кран шаровой 11с67п Ду 40 Ру 16 ЦУФ.001 КШ укороченный полнопроходной фланцевый с рукояткой</t>
        </is>
      </c>
      <c r="D109" s="6" t="inlineStr">
        <is>
          <t>ГОСТ 28343</t>
        </is>
      </c>
      <c r="E109" s="6" t="inlineStr">
        <is>
          <t>40</t>
        </is>
      </c>
      <c r="F109" s="6" t="inlineStr">
        <is>
          <t>полный</t>
        </is>
      </c>
      <c r="G109" s="6" t="inlineStr">
        <is>
          <t>1.6</t>
        </is>
      </c>
      <c r="H109" s="6" t="inlineStr">
        <is>
          <t>от -40 до +200</t>
        </is>
      </c>
      <c r="I109" s="6" t="inlineStr">
        <is>
          <t>вода техническая, неагрессивная среда, нефтепродукты, сжиженный газ</t>
        </is>
      </c>
      <c r="J109" s="6" t="inlineStr">
        <is>
          <t>сталь</t>
        </is>
      </c>
      <c r="K109" s="6" t="inlineStr">
        <is>
          <t>У1, ХЛ1</t>
        </is>
      </c>
      <c r="L109" s="6" t="inlineStr">
        <is>
          <t>фланцевый</t>
        </is>
      </c>
      <c r="M109" s="6" t="inlineStr">
        <is>
          <t>Ручка-рычаг</t>
        </is>
      </c>
      <c r="N109" s="6" t="inlineStr">
        <is>
          <t>-</t>
        </is>
      </c>
      <c r="O109" s="6" t="inlineStr">
        <is>
          <t>любое</t>
        </is>
      </c>
      <c r="P109" s="6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109" s="6" t="inlineStr">
        <is>
          <t>-</t>
        </is>
      </c>
      <c r="R109" s="6" t="inlineStr">
        <is>
          <t>-</t>
        </is>
      </c>
      <c r="S109" s="5" t="n">
        <v>1</v>
      </c>
      <c r="T109" s="6" t="inlineStr">
        <is>
          <t>шт</t>
        </is>
      </c>
      <c r="U109" s="7" t="n"/>
      <c r="V109" s="8" t="inlineStr">
        <is>
          <t>ООО «ЧелябинскСпецГражданСтрой» (ИНН 7451211335)</t>
        </is>
      </c>
      <c r="W109" s="8" t="inlineStr">
        <is>
          <t>Россия</t>
        </is>
      </c>
      <c r="X109" s="8" t="inlineStr">
        <is>
          <t>10655491</t>
        </is>
      </c>
      <c r="Y109" s="8" t="inlineStr">
        <is>
          <t>30.06.2028</t>
        </is>
      </c>
      <c r="Z109" s="7" t="n"/>
      <c r="AA109" s="9" t="n"/>
      <c r="AB109" s="10">
        <f>AA109*S109</f>
        <v/>
      </c>
      <c r="AC109" s="7" t="n"/>
      <c r="AD109" s="7" t="n"/>
      <c r="AE109" s="7" t="n"/>
    </row>
    <row r="110" ht="60" customHeight="1">
      <c r="A110" s="5" t="n">
        <v>105</v>
      </c>
      <c r="B110" s="6" t="inlineStr">
        <is>
          <t>1.6/80</t>
        </is>
      </c>
      <c r="C110" s="6" t="inlineStr">
        <is>
          <t>Кран шаровой 11с67п Ду 50 Ру 16 ЦУФ.001 КШ укороченный полнопроходной фланцевый с рукояткой</t>
        </is>
      </c>
      <c r="D110" s="6" t="inlineStr">
        <is>
          <t>ГОСТ 28343</t>
        </is>
      </c>
      <c r="E110" s="6" t="inlineStr">
        <is>
          <t>50</t>
        </is>
      </c>
      <c r="F110" s="6" t="inlineStr">
        <is>
          <t>полный</t>
        </is>
      </c>
      <c r="G110" s="6" t="inlineStr">
        <is>
          <t>1.6</t>
        </is>
      </c>
      <c r="H110" s="6" t="inlineStr">
        <is>
          <t>от -40 до +200</t>
        </is>
      </c>
      <c r="I110" s="6" t="inlineStr">
        <is>
          <t>вода техническая, неагрессивная среда, нефтепродукты, сжиженный газ</t>
        </is>
      </c>
      <c r="J110" s="6" t="inlineStr">
        <is>
          <t>сталь</t>
        </is>
      </c>
      <c r="K110" s="6" t="inlineStr">
        <is>
          <t>У1, ХЛ1</t>
        </is>
      </c>
      <c r="L110" s="6" t="inlineStr">
        <is>
          <t>фланцевый</t>
        </is>
      </c>
      <c r="M110" s="6" t="inlineStr">
        <is>
          <t>Ручка-рычаг</t>
        </is>
      </c>
      <c r="N110" s="6" t="inlineStr">
        <is>
          <t>-</t>
        </is>
      </c>
      <c r="O110" s="6" t="inlineStr">
        <is>
          <t>любое</t>
        </is>
      </c>
      <c r="P110" s="6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110" s="6" t="inlineStr">
        <is>
          <t>-</t>
        </is>
      </c>
      <c r="R110" s="6" t="inlineStr">
        <is>
          <t>-</t>
        </is>
      </c>
      <c r="S110" s="5" t="n">
        <v>3</v>
      </c>
      <c r="T110" s="6" t="inlineStr">
        <is>
          <t>шт</t>
        </is>
      </c>
      <c r="U110" s="7" t="n"/>
      <c r="V110" s="8" t="inlineStr">
        <is>
          <t>ООО «ЧелябинскСпецГражданСтрой» (ИНН 7451211335)</t>
        </is>
      </c>
      <c r="W110" s="8" t="inlineStr">
        <is>
          <t>Россия</t>
        </is>
      </c>
      <c r="X110" s="8" t="inlineStr">
        <is>
          <t>10655491</t>
        </is>
      </c>
      <c r="Y110" s="8" t="inlineStr">
        <is>
          <t>30.06.2028</t>
        </is>
      </c>
      <c r="Z110" s="7" t="n"/>
      <c r="AA110" s="9" t="n"/>
      <c r="AB110" s="10">
        <f>AA110*S110</f>
        <v/>
      </c>
      <c r="AC110" s="7" t="n"/>
      <c r="AD110" s="7" t="n"/>
      <c r="AE110" s="7" t="n"/>
    </row>
    <row r="111" ht="60" customHeight="1">
      <c r="A111" s="5" t="n">
        <v>106</v>
      </c>
      <c r="B111" s="6" t="inlineStr">
        <is>
          <t>1.6/81</t>
        </is>
      </c>
      <c r="C111" s="6" t="inlineStr">
        <is>
          <t>Кран шаровой 11с67п Ду 80 Ру 16 ЦУФ.001 КШ укороченный полнопроходной фланцевый с рукояткой</t>
        </is>
      </c>
      <c r="D111" s="6" t="inlineStr">
        <is>
          <t>ГОСТ 28343</t>
        </is>
      </c>
      <c r="E111" s="6" t="inlineStr">
        <is>
          <t>80</t>
        </is>
      </c>
      <c r="F111" s="6" t="inlineStr">
        <is>
          <t>полный</t>
        </is>
      </c>
      <c r="G111" s="6" t="inlineStr">
        <is>
          <t>1.6</t>
        </is>
      </c>
      <c r="H111" s="6" t="inlineStr">
        <is>
          <t>от -40 до +200</t>
        </is>
      </c>
      <c r="I111" s="6" t="inlineStr">
        <is>
          <t>вода техническая, неагрессивная среда, нефтепродукты, сжиженный газ</t>
        </is>
      </c>
      <c r="J111" s="6" t="inlineStr">
        <is>
          <t>сталь</t>
        </is>
      </c>
      <c r="K111" s="6" t="inlineStr">
        <is>
          <t>У1, ХЛ1</t>
        </is>
      </c>
      <c r="L111" s="6" t="inlineStr">
        <is>
          <t>фланцевый</t>
        </is>
      </c>
      <c r="M111" s="6" t="inlineStr">
        <is>
          <t>Ручка-рычаг</t>
        </is>
      </c>
      <c r="N111" s="6" t="inlineStr">
        <is>
          <t>-</t>
        </is>
      </c>
      <c r="O111" s="6" t="inlineStr">
        <is>
          <t>любое</t>
        </is>
      </c>
      <c r="P111" s="6" t="inlineStr">
        <is>
          <t>Корпус - сталь 20
Шар - сталь 08Х13 (AISI 409)
сталь 08Х18Н10 (AISI 304)
Шпиндель - сталь 20Х13
Кольцо уплотнительное - фторопласт Ф4Г3К6
Уплотнение шпинделя - фторопласт Ф4Г3К6
Втулка нажимная - сталь 20
Пружина тарельчатая - сталь 60С2А</t>
        </is>
      </c>
      <c r="Q111" s="6" t="inlineStr"/>
      <c r="R111" s="6" t="inlineStr"/>
      <c r="S111" s="5" t="n">
        <v>6</v>
      </c>
      <c r="T111" s="6" t="inlineStr">
        <is>
          <t>шт</t>
        </is>
      </c>
      <c r="U111" s="7" t="n"/>
      <c r="V111" s="8" t="inlineStr">
        <is>
          <t>ООО «ЧелябинскСпецГражданСтрой» (ИНН 7451211335)</t>
        </is>
      </c>
      <c r="W111" s="8" t="inlineStr">
        <is>
          <t>Россия</t>
        </is>
      </c>
      <c r="X111" s="8" t="inlineStr">
        <is>
          <t>10655491</t>
        </is>
      </c>
      <c r="Y111" s="8" t="inlineStr">
        <is>
          <t>30.06.2028</t>
        </is>
      </c>
      <c r="Z111" s="7" t="n"/>
      <c r="AA111" s="9" t="n"/>
      <c r="AB111" s="10">
        <f>AA111*S111</f>
        <v/>
      </c>
      <c r="AC111" s="7" t="n"/>
      <c r="AD111" s="7" t="n"/>
      <c r="AE111" s="7" t="n"/>
    </row>
    <row r="112" ht="60" customHeight="1">
      <c r="A112" s="5" t="n">
        <v>107</v>
      </c>
      <c r="B112" s="6" t="inlineStr">
        <is>
          <t>1.6/82</t>
        </is>
      </c>
      <c r="C112" s="6" t="inlineStr">
        <is>
          <t>Кран шаровой TEMPER 28020025 муфтовый, Ду 25, Ру 40</t>
        </is>
      </c>
      <c r="D112" s="6" t="inlineStr">
        <is>
          <t>ГОСТ Р54808-2011</t>
        </is>
      </c>
      <c r="E112" s="6" t="inlineStr">
        <is>
          <t>25</t>
        </is>
      </c>
      <c r="F112" s="6" t="inlineStr">
        <is>
          <t>полный</t>
        </is>
      </c>
      <c r="G112" s="6" t="inlineStr">
        <is>
          <t>4</t>
        </is>
      </c>
      <c r="H112" s="6" t="inlineStr">
        <is>
          <t>от - 40 °С до + 200 °С</t>
        </is>
      </c>
      <c r="I112" s="6" t="inlineStr">
        <is>
          <t>вода, нейтральные среды, нефтепродукты</t>
        </is>
      </c>
      <c r="J112" s="6" t="inlineStr">
        <is>
          <t>сталь</t>
        </is>
      </c>
      <c r="K112" s="6" t="inlineStr">
        <is>
          <t>-</t>
        </is>
      </c>
      <c r="L112" s="6" t="inlineStr">
        <is>
          <t>внутренняя резьба</t>
        </is>
      </c>
      <c r="M112" s="6" t="inlineStr">
        <is>
          <t>ручной (рукоятка)</t>
        </is>
      </c>
      <c r="N112" s="6" t="inlineStr">
        <is>
          <t>-</t>
        </is>
      </c>
      <c r="O112" s="6" t="inlineStr">
        <is>
          <t>-</t>
        </is>
      </c>
      <c r="P112" s="6" t="inlineStr">
        <is>
          <t>Мах.температура (Т) град.: до +200 -  Мт.температура (Т) град.: до -40 -  Материал корпуса: Ст.20 -  Герметичность: Класс «А» ГОСТ Р54808-2011 - Ресурс: Не менее 10 000 циклов*- Полный срок службы: Не менее 25 лет*- Гарантийный срок: 3 года</t>
        </is>
      </c>
      <c r="Q112" s="6" t="inlineStr"/>
      <c r="R112" s="6" t="inlineStr"/>
      <c r="S112" s="5" t="n">
        <v>2</v>
      </c>
      <c r="T112" s="6" t="inlineStr">
        <is>
          <t>шт</t>
        </is>
      </c>
      <c r="U112" s="7" t="n"/>
      <c r="V112" s="8" t="inlineStr">
        <is>
          <t>ООО «ЧелябинскСпецГражданСтрой» / ЛД Прайд (Группа компаний «ЛД», ТМ LD, LD Pride); продажи — ООО «ТД «ЛД»</t>
        </is>
      </c>
      <c r="W112" s="8" t="inlineStr">
        <is>
          <t>Россия</t>
        </is>
      </c>
      <c r="X112" s="7" t="n"/>
      <c r="Y112" s="7" t="n"/>
      <c r="Z112" s="7" t="n"/>
      <c r="AA112" s="9" t="n"/>
      <c r="AB112" s="10">
        <f>AA112*S112</f>
        <v/>
      </c>
      <c r="AC112" s="7" t="n"/>
      <c r="AD112" s="7" t="n"/>
      <c r="AE112" s="7" t="n"/>
    </row>
    <row r="113" ht="60" customHeight="1">
      <c r="A113" s="5" t="n">
        <v>108</v>
      </c>
      <c r="B113" s="6" t="inlineStr">
        <is>
          <t>1.6/83</t>
        </is>
      </c>
      <c r="C113" s="6" t="inlineStr">
        <is>
          <t>Кран шаровый LD полнопроходной 11с67п КШРФ Ду 100 Ру 16 с КОФ</t>
        </is>
      </c>
      <c r="D113" s="6" t="inlineStr">
        <is>
          <t>ТУ 374-00145630744-2003</t>
        </is>
      </c>
      <c r="E113" s="6" t="inlineStr">
        <is>
          <t>100</t>
        </is>
      </c>
      <c r="F113" s="6" t="inlineStr">
        <is>
          <t>полный</t>
        </is>
      </c>
      <c r="G113" s="6" t="inlineStr">
        <is>
          <t>1.6</t>
        </is>
      </c>
      <c r="H113" s="6" t="inlineStr">
        <is>
          <t>от -40 до +200</t>
        </is>
      </c>
      <c r="I113" s="6" t="inlineStr">
        <is>
          <t>вода, газ, нефтепродукты и другие не
  токсичные и неагрессивные среды</t>
        </is>
      </c>
      <c r="J113" s="6" t="inlineStr">
        <is>
          <t>сталь</t>
        </is>
      </c>
      <c r="K113" s="6" t="inlineStr">
        <is>
          <t>У1</t>
        </is>
      </c>
      <c r="L113" s="6" t="inlineStr">
        <is>
          <t>фланцевый</t>
        </is>
      </c>
      <c r="M113" s="6" t="inlineStr">
        <is>
          <t>-</t>
        </is>
      </c>
      <c r="N113" s="6" t="inlineStr">
        <is>
          <t>-</t>
        </is>
      </c>
      <c r="O113" s="6" t="inlineStr">
        <is>
          <t>любое</t>
        </is>
      </c>
      <c r="P113" s="6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113" s="6" t="inlineStr"/>
      <c r="R113" s="6" t="inlineStr"/>
      <c r="S113" s="5" t="n">
        <v>3</v>
      </c>
      <c r="T113" s="6" t="inlineStr">
        <is>
          <t>шт</t>
        </is>
      </c>
      <c r="U113" s="7" t="n"/>
      <c r="V113" s="8" t="inlineStr">
        <is>
          <t>ООО «ЧелябинскСпецГражданСтрой» (ИНН 7451211335)</t>
        </is>
      </c>
      <c r="W113" s="8" t="inlineStr">
        <is>
          <t>Россия</t>
        </is>
      </c>
      <c r="X113" s="8" t="inlineStr">
        <is>
          <t>10714005</t>
        </is>
      </c>
      <c r="Y113" s="8" t="inlineStr">
        <is>
          <t>17.09.2028</t>
        </is>
      </c>
      <c r="Z113" s="7" t="n"/>
      <c r="AA113" s="9" t="n"/>
      <c r="AB113" s="10">
        <f>AA113*S113</f>
        <v/>
      </c>
      <c r="AC113" s="7" t="n"/>
      <c r="AD113" s="7" t="n"/>
      <c r="AE113" s="7" t="n"/>
    </row>
    <row r="114" ht="60" customHeight="1">
      <c r="A114" s="5" t="n">
        <v>109</v>
      </c>
      <c r="B114" s="6" t="inlineStr">
        <is>
          <t>1.6/84</t>
        </is>
      </c>
      <c r="C114" s="6" t="inlineStr">
        <is>
          <t>Кран шаровый LD полнопроходной 11с67п КШРФ Ду 150 Ру 16 с КОФ</t>
        </is>
      </c>
      <c r="D114" s="6" t="inlineStr">
        <is>
          <t>ТУ 374-00145630744-2003</t>
        </is>
      </c>
      <c r="E114" s="6" t="inlineStr">
        <is>
          <t>150</t>
        </is>
      </c>
      <c r="F114" s="6" t="inlineStr">
        <is>
          <t>полный</t>
        </is>
      </c>
      <c r="G114" s="6" t="inlineStr">
        <is>
          <t>1.6</t>
        </is>
      </c>
      <c r="H114" s="6" t="inlineStr">
        <is>
          <t>от -40 до +200</t>
        </is>
      </c>
      <c r="I114" s="6" t="inlineStr">
        <is>
          <t>вода, газ, нефтепродукты и другие не
  токсичные и неагрессивные среды</t>
        </is>
      </c>
      <c r="J114" s="6" t="inlineStr">
        <is>
          <t>сталь</t>
        </is>
      </c>
      <c r="K114" s="6" t="inlineStr">
        <is>
          <t>У1</t>
        </is>
      </c>
      <c r="L114" s="6" t="inlineStr">
        <is>
          <t>фланцевый</t>
        </is>
      </c>
      <c r="M114" s="6" t="inlineStr">
        <is>
          <t>-</t>
        </is>
      </c>
      <c r="N114" s="6" t="inlineStr">
        <is>
          <t>-</t>
        </is>
      </c>
      <c r="O114" s="6" t="inlineStr">
        <is>
          <t>любое</t>
        </is>
      </c>
      <c r="P114" s="6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114" s="6" t="inlineStr"/>
      <c r="R114" s="6" t="inlineStr"/>
      <c r="S114" s="5" t="n">
        <v>1</v>
      </c>
      <c r="T114" s="6" t="inlineStr">
        <is>
          <t>шт</t>
        </is>
      </c>
      <c r="U114" s="7" t="n"/>
      <c r="V114" s="8" t="inlineStr">
        <is>
          <t>ООО «ЧелябинскСпецГражданСтрой» (ИНН 7451211335)</t>
        </is>
      </c>
      <c r="W114" s="8" t="inlineStr">
        <is>
          <t>Россия</t>
        </is>
      </c>
      <c r="X114" s="8" t="inlineStr">
        <is>
          <t>10714005</t>
        </is>
      </c>
      <c r="Y114" s="8" t="inlineStr">
        <is>
          <t>17.09.2028</t>
        </is>
      </c>
      <c r="Z114" s="7" t="n"/>
      <c r="AA114" s="9" t="n"/>
      <c r="AB114" s="10">
        <f>AA114*S114</f>
        <v/>
      </c>
      <c r="AC114" s="7" t="n"/>
      <c r="AD114" s="7" t="n"/>
      <c r="AE114" s="7" t="n"/>
    </row>
    <row r="115" ht="60" customHeight="1">
      <c r="A115" s="5" t="n">
        <v>110</v>
      </c>
      <c r="B115" s="6" t="inlineStr">
        <is>
          <t>1.6/85</t>
        </is>
      </c>
      <c r="C115" s="6" t="inlineStr">
        <is>
          <t>Кран шаровый LD полнопроходной 11с67п КШРФ Ду 25 Ру 16 с КОФ</t>
        </is>
      </c>
      <c r="D115" s="6" t="inlineStr">
        <is>
          <t>ТУ 374-00145630744-2003</t>
        </is>
      </c>
      <c r="E115" s="6" t="inlineStr">
        <is>
          <t>25</t>
        </is>
      </c>
      <c r="F115" s="6" t="inlineStr">
        <is>
          <t>полный</t>
        </is>
      </c>
      <c r="G115" s="6" t="inlineStr">
        <is>
          <t>1.6</t>
        </is>
      </c>
      <c r="H115" s="6" t="inlineStr">
        <is>
          <t>от -40 до +200</t>
        </is>
      </c>
      <c r="I115" s="6" t="inlineStr">
        <is>
          <t>вода, газ, нефтепродукты и другие не
  токсичные и неагрессивные среды</t>
        </is>
      </c>
      <c r="J115" s="6" t="inlineStr">
        <is>
          <t>сталь</t>
        </is>
      </c>
      <c r="K115" s="6" t="inlineStr">
        <is>
          <t>У1</t>
        </is>
      </c>
      <c r="L115" s="6" t="inlineStr">
        <is>
          <t>фланцевый</t>
        </is>
      </c>
      <c r="M115" s="6" t="inlineStr">
        <is>
          <t>-</t>
        </is>
      </c>
      <c r="N115" s="6" t="inlineStr">
        <is>
          <t>-</t>
        </is>
      </c>
      <c r="O115" s="6" t="inlineStr">
        <is>
          <t>любое</t>
        </is>
      </c>
      <c r="P115" s="6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115" s="6" t="inlineStr"/>
      <c r="R115" s="6" t="inlineStr"/>
      <c r="S115" s="5" t="n">
        <v>2</v>
      </c>
      <c r="T115" s="6" t="inlineStr">
        <is>
          <t>шт</t>
        </is>
      </c>
      <c r="U115" s="7" t="n"/>
      <c r="V115" s="8" t="inlineStr">
        <is>
          <t>ООО «ЧелябинскСпецГражданСтрой» (ИНН 7451211335)</t>
        </is>
      </c>
      <c r="W115" s="8" t="inlineStr">
        <is>
          <t>Россия</t>
        </is>
      </c>
      <c r="X115" s="8" t="inlineStr">
        <is>
          <t>10714005</t>
        </is>
      </c>
      <c r="Y115" s="8" t="inlineStr">
        <is>
          <t>17.09.2028</t>
        </is>
      </c>
      <c r="Z115" s="7" t="n"/>
      <c r="AA115" s="9" t="n"/>
      <c r="AB115" s="10">
        <f>AA115*S115</f>
        <v/>
      </c>
      <c r="AC115" s="7" t="n"/>
      <c r="AD115" s="7" t="n"/>
      <c r="AE115" s="7" t="n"/>
    </row>
    <row r="116" ht="60" customHeight="1">
      <c r="A116" s="5" t="n">
        <v>111</v>
      </c>
      <c r="B116" s="6" t="inlineStr">
        <is>
          <t>1.6/86</t>
        </is>
      </c>
      <c r="C116" s="6" t="inlineStr">
        <is>
          <t>Кран шаровый LD полнопроходной 11с67п КШРФ Ду 40 Ру 16 с КОФ</t>
        </is>
      </c>
      <c r="D116" s="6" t="inlineStr">
        <is>
          <t>ТУ 374-00145630744-2003</t>
        </is>
      </c>
      <c r="E116" s="6" t="inlineStr">
        <is>
          <t>40</t>
        </is>
      </c>
      <c r="F116" s="6" t="inlineStr">
        <is>
          <t>полный</t>
        </is>
      </c>
      <c r="G116" s="6" t="inlineStr">
        <is>
          <t>1.6</t>
        </is>
      </c>
      <c r="H116" s="6" t="inlineStr">
        <is>
          <t>от -40 до +200</t>
        </is>
      </c>
      <c r="I116" s="6" t="inlineStr">
        <is>
          <t>вода, газ, нефтепродукты и другие не
  токсичные и неагрессивные среды</t>
        </is>
      </c>
      <c r="J116" s="6" t="inlineStr">
        <is>
          <t>сталь</t>
        </is>
      </c>
      <c r="K116" s="6" t="inlineStr">
        <is>
          <t>У1</t>
        </is>
      </c>
      <c r="L116" s="6" t="inlineStr">
        <is>
          <t>фланцевый</t>
        </is>
      </c>
      <c r="M116" s="6" t="inlineStr">
        <is>
          <t>-</t>
        </is>
      </c>
      <c r="N116" s="6" t="inlineStr">
        <is>
          <t>-</t>
        </is>
      </c>
      <c r="O116" s="6" t="inlineStr">
        <is>
          <t>любое</t>
        </is>
      </c>
      <c r="P116" s="6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116" s="6" t="inlineStr"/>
      <c r="R116" s="6" t="inlineStr"/>
      <c r="S116" s="5" t="n">
        <v>6</v>
      </c>
      <c r="T116" s="6" t="inlineStr">
        <is>
          <t>шт</t>
        </is>
      </c>
      <c r="U116" s="7" t="n"/>
      <c r="V116" s="8" t="inlineStr">
        <is>
          <t>ООО «ЧелябинскСпецГражданСтрой» (ИНН 7451211335)</t>
        </is>
      </c>
      <c r="W116" s="8" t="inlineStr">
        <is>
          <t>Россия</t>
        </is>
      </c>
      <c r="X116" s="8" t="inlineStr">
        <is>
          <t>10714005</t>
        </is>
      </c>
      <c r="Y116" s="8" t="inlineStr">
        <is>
          <t>17.09.2028</t>
        </is>
      </c>
      <c r="Z116" s="7" t="n"/>
      <c r="AA116" s="9" t="n"/>
      <c r="AB116" s="10">
        <f>AA116*S116</f>
        <v/>
      </c>
      <c r="AC116" s="7" t="n"/>
      <c r="AD116" s="7" t="n"/>
      <c r="AE116" s="7" t="n"/>
    </row>
    <row r="117" ht="60" customHeight="1">
      <c r="A117" s="5" t="n">
        <v>112</v>
      </c>
      <c r="B117" s="6" t="inlineStr">
        <is>
          <t>1.6/87</t>
        </is>
      </c>
      <c r="C117" s="6" t="inlineStr">
        <is>
          <t>Кран шаровый LD полнопроходной 11с67п КШРФ Ду 50 Ру 16 с КОФ</t>
        </is>
      </c>
      <c r="D117" s="6" t="inlineStr">
        <is>
          <t>ТУ 374-00145630744-2003</t>
        </is>
      </c>
      <c r="E117" s="6" t="inlineStr">
        <is>
          <t>50</t>
        </is>
      </c>
      <c r="F117" s="6" t="inlineStr">
        <is>
          <t>полный</t>
        </is>
      </c>
      <c r="G117" s="6" t="inlineStr">
        <is>
          <t>1.6</t>
        </is>
      </c>
      <c r="H117" s="6" t="inlineStr">
        <is>
          <t>от -40 до +200</t>
        </is>
      </c>
      <c r="I117" s="6" t="inlineStr">
        <is>
          <t>вода, газ, нефтепродукты и другие не
  токсичные и неагрессивные среды</t>
        </is>
      </c>
      <c r="J117" s="6" t="inlineStr">
        <is>
          <t>сталь</t>
        </is>
      </c>
      <c r="K117" s="6" t="inlineStr">
        <is>
          <t>У1</t>
        </is>
      </c>
      <c r="L117" s="6" t="inlineStr">
        <is>
          <t>фланцевый</t>
        </is>
      </c>
      <c r="M117" s="6" t="inlineStr">
        <is>
          <t>-</t>
        </is>
      </c>
      <c r="N117" s="6" t="inlineStr">
        <is>
          <t>-</t>
        </is>
      </c>
      <c r="O117" s="6" t="inlineStr">
        <is>
          <t>любое</t>
        </is>
      </c>
      <c r="P117" s="6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117" s="6" t="inlineStr"/>
      <c r="R117" s="6" t="inlineStr"/>
      <c r="S117" s="5" t="n">
        <v>5</v>
      </c>
      <c r="T117" s="6" t="inlineStr">
        <is>
          <t>шт</t>
        </is>
      </c>
      <c r="U117" s="7" t="n"/>
      <c r="V117" s="8" t="inlineStr">
        <is>
          <t>ООО «ЧелябинскСпецГражданСтрой» (ИНН 7451211335)</t>
        </is>
      </c>
      <c r="W117" s="8" t="inlineStr">
        <is>
          <t>Россия</t>
        </is>
      </c>
      <c r="X117" s="8" t="inlineStr">
        <is>
          <t>10714005</t>
        </is>
      </c>
      <c r="Y117" s="8" t="inlineStr">
        <is>
          <t>17.09.2028</t>
        </is>
      </c>
      <c r="Z117" s="7" t="n"/>
      <c r="AA117" s="9" t="n"/>
      <c r="AB117" s="10">
        <f>AA117*S117</f>
        <v/>
      </c>
      <c r="AC117" s="7" t="n"/>
      <c r="AD117" s="7" t="n"/>
      <c r="AE117" s="7" t="n"/>
    </row>
    <row r="118" ht="60" customHeight="1">
      <c r="A118" s="5" t="n">
        <v>113</v>
      </c>
      <c r="B118" s="6" t="inlineStr">
        <is>
          <t>1.6/88</t>
        </is>
      </c>
      <c r="C118" s="6" t="inlineStr">
        <is>
          <t>Кран шаровый LD полнопроходной 11с67п КШРФ Ду 80 Ру 16 с КОФ</t>
        </is>
      </c>
      <c r="D118" s="6" t="inlineStr">
        <is>
          <t>ТУ 374-00145630744-2003</t>
        </is>
      </c>
      <c r="E118" s="6" t="inlineStr">
        <is>
          <t>80</t>
        </is>
      </c>
      <c r="F118" s="6" t="inlineStr">
        <is>
          <t>полный</t>
        </is>
      </c>
      <c r="G118" s="6" t="inlineStr">
        <is>
          <t>1.6</t>
        </is>
      </c>
      <c r="H118" s="6" t="inlineStr">
        <is>
          <t>от -40 до +200</t>
        </is>
      </c>
      <c r="I118" s="6" t="inlineStr">
        <is>
          <t>вода, газ, нефтепродукты и другие не
  токсичные и неагрессивные среды</t>
        </is>
      </c>
      <c r="J118" s="6" t="inlineStr">
        <is>
          <t>сталь</t>
        </is>
      </c>
      <c r="K118" s="6" t="inlineStr">
        <is>
          <t>У1</t>
        </is>
      </c>
      <c r="L118" s="6" t="inlineStr">
        <is>
          <t>фланцевый</t>
        </is>
      </c>
      <c r="M118" s="6" t="inlineStr">
        <is>
          <t>-</t>
        </is>
      </c>
      <c r="N118" s="6" t="inlineStr">
        <is>
          <t>-</t>
        </is>
      </c>
      <c r="O118" s="6" t="inlineStr">
        <is>
          <t>любое</t>
        </is>
      </c>
      <c r="P118" s="6" t="inlineStr">
        <is>
          <t>Корпус - Ст.20
Патрубок для фланцевых кранов - Ст.20; Горловина - Ст.20;
Шток - 20Х13; Шайба ограничительная - Ст.20; Шаровая пробка - 20Х13, AISI 409, AISI 304; Седло - Ф-4К20; Кольцо опорное - Ст.20; Пружина тарельчатая - 65Г; Уплотнение узла горловины - Фторсилоксановый эластомер; Уплотнительное кольцо - Ф-4К20</t>
        </is>
      </c>
      <c r="Q118" s="6" t="inlineStr"/>
      <c r="R118" s="6" t="inlineStr"/>
      <c r="S118" s="5" t="n">
        <v>6</v>
      </c>
      <c r="T118" s="6" t="inlineStr">
        <is>
          <t>шт</t>
        </is>
      </c>
      <c r="U118" s="7" t="n"/>
      <c r="V118" s="8" t="inlineStr">
        <is>
          <t>ООО «ЧелябинскСпецГражданСтрой» (ИНН 7451211335)</t>
        </is>
      </c>
      <c r="W118" s="8" t="inlineStr">
        <is>
          <t>Россия</t>
        </is>
      </c>
      <c r="X118" s="8" t="inlineStr">
        <is>
          <t>10714005</t>
        </is>
      </c>
      <c r="Y118" s="8" t="inlineStr">
        <is>
          <t>17.09.2028</t>
        </is>
      </c>
      <c r="Z118" s="7" t="n"/>
      <c r="AA118" s="9" t="n"/>
      <c r="AB118" s="10">
        <f>AA118*S118</f>
        <v/>
      </c>
      <c r="AC118" s="7" t="n"/>
      <c r="AD118" s="7" t="n"/>
      <c r="AE118" s="7" t="n"/>
    </row>
    <row r="119" ht="60" customHeight="1">
      <c r="A119" s="5" t="n">
        <v>114</v>
      </c>
      <c r="B119" s="6" t="inlineStr">
        <is>
          <t>1.7/2</t>
        </is>
      </c>
      <c r="C119" s="6" t="inlineStr">
        <is>
          <t>Кран шаровой 11с67п Ду 25 Ру 25 цельносварной под приварку</t>
        </is>
      </c>
      <c r="D119" s="6" t="inlineStr">
        <is>
          <t>ТУ У 04671406-003-1999; ГОСТ 21345-2005</t>
        </is>
      </c>
      <c r="E119" s="6" t="inlineStr">
        <is>
          <t>25</t>
        </is>
      </c>
      <c r="F119" s="6" t="inlineStr">
        <is>
          <t>стандарт</t>
        </is>
      </c>
      <c r="G119" s="6" t="inlineStr">
        <is>
          <t>2.5</t>
        </is>
      </c>
      <c r="H119" s="6" t="inlineStr">
        <is>
          <t>от -30 до +180</t>
        </is>
      </c>
      <c r="I119" s="6" t="inlineStr">
        <is>
          <t>природный газ, вода, нефтепродукты, сжиженный  газ и прочие среды</t>
        </is>
      </c>
      <c r="J119" s="6" t="inlineStr">
        <is>
          <t>сталь 20</t>
        </is>
      </c>
      <c r="K119" s="6" t="inlineStr">
        <is>
          <t>У1</t>
        </is>
      </c>
      <c r="L119" s="6" t="inlineStr">
        <is>
          <t>приварной</t>
        </is>
      </c>
      <c r="M119" s="6" t="inlineStr">
        <is>
          <t>ручной (рукоятка)</t>
        </is>
      </c>
      <c r="N119" s="6" t="inlineStr">
        <is>
          <t>-</t>
        </is>
      </c>
      <c r="O119" s="6" t="inlineStr">
        <is>
          <t>любое</t>
        </is>
      </c>
      <c r="P119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119" s="6" t="inlineStr">
        <is>
          <t>-</t>
        </is>
      </c>
      <c r="R119" s="6" t="inlineStr">
        <is>
          <t>-</t>
        </is>
      </c>
      <c r="S119" s="5" t="n">
        <v>12</v>
      </c>
      <c r="T119" s="6" t="inlineStr">
        <is>
          <t>шт</t>
        </is>
      </c>
      <c r="U119" s="7" t="n"/>
      <c r="V119" s="8" t="inlineStr">
        <is>
          <t>ООО «ЧелябинскСпецГражданСтрой» (ИНН 7451211335)</t>
        </is>
      </c>
      <c r="W119" s="8" t="inlineStr">
        <is>
          <t>Россия</t>
        </is>
      </c>
      <c r="X119" s="8" t="inlineStr">
        <is>
          <t>10655491</t>
        </is>
      </c>
      <c r="Y119" s="8" t="inlineStr">
        <is>
          <t>30.06.2028</t>
        </is>
      </c>
      <c r="Z119" s="7" t="n"/>
      <c r="AA119" s="9" t="n"/>
      <c r="AB119" s="10">
        <f>AA119*S119</f>
        <v/>
      </c>
      <c r="AC119" s="7" t="n"/>
      <c r="AD119" s="7" t="n"/>
      <c r="AE119" s="7" t="n"/>
    </row>
    <row r="120" ht="60" customHeight="1">
      <c r="A120" s="5" t="n">
        <v>115</v>
      </c>
      <c r="B120" s="6" t="inlineStr">
        <is>
          <t>1.7/3</t>
        </is>
      </c>
      <c r="C120" s="6" t="inlineStr">
        <is>
          <t>Кран шаровой 11с67п Ду 32 Ру 25 цельносварной под приварку</t>
        </is>
      </c>
      <c r="D120" s="6" t="inlineStr">
        <is>
          <t>ТУ У 04671406-003-1999; ГОСТ 21345-2005</t>
        </is>
      </c>
      <c r="E120" s="6" t="inlineStr">
        <is>
          <t>32</t>
        </is>
      </c>
      <c r="F120" s="6" t="inlineStr">
        <is>
          <t>стандарт</t>
        </is>
      </c>
      <c r="G120" s="6" t="inlineStr">
        <is>
          <t>2.5</t>
        </is>
      </c>
      <c r="H120" s="6" t="inlineStr">
        <is>
          <t>от -30 до +180</t>
        </is>
      </c>
      <c r="I120" s="6" t="inlineStr">
        <is>
          <t>природный газ, вода, нефтепродукты, сжиженный  газ и прочие среды</t>
        </is>
      </c>
      <c r="J120" s="6" t="inlineStr">
        <is>
          <t>сталь 20</t>
        </is>
      </c>
      <c r="K120" s="6" t="inlineStr">
        <is>
          <t>У1</t>
        </is>
      </c>
      <c r="L120" s="6" t="inlineStr">
        <is>
          <t>приварной</t>
        </is>
      </c>
      <c r="M120" s="6" t="inlineStr">
        <is>
          <t>ручной (рукоятка)</t>
        </is>
      </c>
      <c r="N120" s="6" t="inlineStr">
        <is>
          <t>-</t>
        </is>
      </c>
      <c r="O120" s="6" t="inlineStr">
        <is>
          <t>любое</t>
        </is>
      </c>
      <c r="P120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120" s="6" t="inlineStr">
        <is>
          <t>-</t>
        </is>
      </c>
      <c r="R120" s="6" t="inlineStr">
        <is>
          <t>-</t>
        </is>
      </c>
      <c r="S120" s="5" t="n">
        <v>12</v>
      </c>
      <c r="T120" s="6" t="inlineStr">
        <is>
          <t>шт</t>
        </is>
      </c>
      <c r="U120" s="7" t="n"/>
      <c r="V120" s="8" t="inlineStr">
        <is>
          <t>ООО «ЧелябинскСпецГражданСтрой» (ИНН 7451211335)</t>
        </is>
      </c>
      <c r="W120" s="8" t="inlineStr">
        <is>
          <t>Россия</t>
        </is>
      </c>
      <c r="X120" s="8" t="inlineStr">
        <is>
          <t>10655491</t>
        </is>
      </c>
      <c r="Y120" s="8" t="inlineStr">
        <is>
          <t>30.06.2028</t>
        </is>
      </c>
      <c r="Z120" s="7" t="n"/>
      <c r="AA120" s="9" t="n"/>
      <c r="AB120" s="10">
        <f>AA120*S120</f>
        <v/>
      </c>
      <c r="AC120" s="7" t="n"/>
      <c r="AD120" s="7" t="n"/>
      <c r="AE120" s="7" t="n"/>
    </row>
    <row r="121" ht="60" customHeight="1">
      <c r="A121" s="5" t="n">
        <v>116</v>
      </c>
      <c r="B121" s="6" t="inlineStr">
        <is>
          <t>1.7/4</t>
        </is>
      </c>
      <c r="C121" s="6" t="inlineStr">
        <is>
          <t>Кран шаровой 11с67п Ду 40 Ру 25 цельносварной под приварку</t>
        </is>
      </c>
      <c r="D121" s="6" t="inlineStr">
        <is>
          <t>ТУ У 04671406-003-1999; ГОСТ 21345-2005</t>
        </is>
      </c>
      <c r="E121" s="6" t="inlineStr">
        <is>
          <t>40</t>
        </is>
      </c>
      <c r="F121" s="6" t="inlineStr">
        <is>
          <t>стандарт</t>
        </is>
      </c>
      <c r="G121" s="6" t="inlineStr">
        <is>
          <t>2.5</t>
        </is>
      </c>
      <c r="H121" s="6" t="inlineStr">
        <is>
          <t>от -30 до +180</t>
        </is>
      </c>
      <c r="I121" s="6" t="inlineStr">
        <is>
          <t>природный газ, вода, нефтепродукты, сжиженный  газ и прочие среды</t>
        </is>
      </c>
      <c r="J121" s="6" t="inlineStr">
        <is>
          <t>сталь 20</t>
        </is>
      </c>
      <c r="K121" s="6" t="inlineStr">
        <is>
          <t>У1</t>
        </is>
      </c>
      <c r="L121" s="6" t="inlineStr">
        <is>
          <t>приварной</t>
        </is>
      </c>
      <c r="M121" s="6" t="inlineStr">
        <is>
          <t>ручной (рукоятка)</t>
        </is>
      </c>
      <c r="N121" s="6" t="inlineStr">
        <is>
          <t>-</t>
        </is>
      </c>
      <c r="O121" s="6" t="inlineStr">
        <is>
          <t>любое</t>
        </is>
      </c>
      <c r="P121" s="6" t="inlineStr">
        <is>
          <t>рукоятка - В Ст3сп2, корпус, патрубок, втулка нажимная - сталь 20, шар - сталь 12Х18Н10Т; шток - сталь 20X13; кольца уплотнительные и прокладка - фторопласт; кольцо уплотнительное  – резина ИРП-1287; пружина тарельчатая - сталь 60С2А</t>
        </is>
      </c>
      <c r="Q121" s="6" t="inlineStr">
        <is>
          <t>-</t>
        </is>
      </c>
      <c r="R121" s="6" t="inlineStr">
        <is>
          <t>-</t>
        </is>
      </c>
      <c r="S121" s="5" t="n">
        <v>10</v>
      </c>
      <c r="T121" s="6" t="inlineStr">
        <is>
          <t>шт</t>
        </is>
      </c>
      <c r="U121" s="7" t="n"/>
      <c r="V121" s="8" t="inlineStr">
        <is>
          <t>ООО «ЧелябинскСпецГражданСтрой» (ИНН 7451211335)</t>
        </is>
      </c>
      <c r="W121" s="8" t="inlineStr">
        <is>
          <t>Россия</t>
        </is>
      </c>
      <c r="X121" s="8" t="inlineStr">
        <is>
          <t>10655491</t>
        </is>
      </c>
      <c r="Y121" s="8" t="inlineStr">
        <is>
          <t>30.06.2028</t>
        </is>
      </c>
      <c r="Z121" s="7" t="n"/>
      <c r="AA121" s="9" t="n"/>
      <c r="AB121" s="10">
        <f>AA121*S121</f>
        <v/>
      </c>
      <c r="AC121" s="7" t="n"/>
      <c r="AD121" s="7" t="n"/>
      <c r="AE121" s="7" t="n"/>
    </row>
    <row r="122" ht="60" customHeight="1">
      <c r="A122" s="5" t="n">
        <v>117</v>
      </c>
      <c r="B122" s="6" t="inlineStr">
        <is>
          <t>1.8/2</t>
        </is>
      </c>
      <c r="C122" s="6" t="inlineStr">
        <is>
          <t>Кран шаровой 10нж45фт 2ЦФ Ду 20 Ру 16</t>
        </is>
      </c>
      <c r="D122" s="6" t="inlineStr">
        <is>
          <t>ТУ У 29.1-04671406-005:2008 ГОСТ 28343 (ИСО7121)</t>
        </is>
      </c>
      <c r="E122" s="6" t="inlineStr">
        <is>
          <t>20</t>
        </is>
      </c>
      <c r="F122" s="6" t="inlineStr">
        <is>
          <t>стандарт</t>
        </is>
      </c>
      <c r="G122" s="6" t="inlineStr">
        <is>
          <t>1.6</t>
        </is>
      </c>
      <c r="H122" s="6" t="inlineStr">
        <is>
          <t>от -60 до +200</t>
        </is>
      </c>
      <c r="I122" s="6" t="inlineStr">
        <is>
          <t>Вода, пар, трансформаторное масло</t>
        </is>
      </c>
      <c r="J122" s="6" t="inlineStr">
        <is>
          <t>нержавеющая сталь 12Х18Н10Т</t>
        </is>
      </c>
      <c r="K122" s="6" t="inlineStr">
        <is>
          <t>УХЛ1</t>
        </is>
      </c>
      <c r="L122" s="6" t="inlineStr">
        <is>
          <t>фланец-фланец</t>
        </is>
      </c>
      <c r="M122" s="6" t="inlineStr">
        <is>
          <t>Ручное</t>
        </is>
      </c>
      <c r="N122" s="6" t="inlineStr">
        <is>
          <t>рукоятка</t>
        </is>
      </c>
      <c r="O122" s="6" t="inlineStr">
        <is>
          <t>любое</t>
        </is>
      </c>
      <c r="P122" s="6" t="inlineStr">
        <is>
          <t>Шар — Сталь 08Х18Н10; Шпиндель — Сталь 12Х18Н10Т; Втулка нажимная — Сталь 12Х18Н10Т; Уплотнение шпинделя — Фторопласт Ф4Г3К6; Седло — Фторопласт Ф4Г3К6; Кольцо уплотнительное — Резина РТС-002 мчп; Кольцо опорное — Сталь 12Х18Н10Т; Пружина тарельчатая — Сталь AISI 301 EN10151; Прокладка — Фторопласт Ф4Г3К6; Шпилька — Сталь 12Х18Н10Т; Рукоятка — Сталь СтЗ;</t>
        </is>
      </c>
      <c r="Q122" s="6" t="inlineStr"/>
      <c r="R122" s="6" t="inlineStr"/>
      <c r="S122" s="5" t="n">
        <v>2</v>
      </c>
      <c r="T122" s="6" t="inlineStr">
        <is>
          <t>шт</t>
        </is>
      </c>
      <c r="U122" s="7" t="n"/>
      <c r="V122" s="8" t="inlineStr">
        <is>
          <t>ООО «ЧелябинскСпецГражданСтрой» (ИНН 7451211335)</t>
        </is>
      </c>
      <c r="W122" s="8" t="inlineStr">
        <is>
          <t>Россия</t>
        </is>
      </c>
      <c r="X122" s="8" t="inlineStr">
        <is>
          <t>10657717</t>
        </is>
      </c>
      <c r="Y122" s="8" t="inlineStr">
        <is>
          <t>30.06.2028</t>
        </is>
      </c>
      <c r="Z122" s="7" t="n"/>
      <c r="AA122" s="9" t="n"/>
      <c r="AB122" s="10">
        <f>AA122*S122</f>
        <v/>
      </c>
      <c r="AC122" s="7" t="n"/>
      <c r="AD122" s="7" t="n"/>
      <c r="AE122" s="7" t="n"/>
    </row>
    <row r="123" ht="60" customHeight="1">
      <c r="A123" s="5" t="n">
        <v>118</v>
      </c>
      <c r="B123" s="6" t="inlineStr">
        <is>
          <t>1.8/3</t>
        </is>
      </c>
      <c r="C123" s="6" t="inlineStr">
        <is>
          <t>Кран шаровой 10нж45фт 2ЦФ Ду 25 Ру 16</t>
        </is>
      </c>
      <c r="D123" s="6" t="inlineStr">
        <is>
          <t>ТУ У 29.1-04671406-005:2008 ГОСТ 28343 (ИСО7121)</t>
        </is>
      </c>
      <c r="E123" s="6" t="inlineStr">
        <is>
          <t>25</t>
        </is>
      </c>
      <c r="F123" s="6" t="inlineStr">
        <is>
          <t>стандарт</t>
        </is>
      </c>
      <c r="G123" s="6" t="inlineStr">
        <is>
          <t>1.6</t>
        </is>
      </c>
      <c r="H123" s="6" t="inlineStr">
        <is>
          <t>от -60 до +200</t>
        </is>
      </c>
      <c r="I123" s="6" t="inlineStr">
        <is>
          <t>Вода, пар, трансформаторное масло</t>
        </is>
      </c>
      <c r="J123" s="6" t="inlineStr">
        <is>
          <t>нержавеющая сталь 12Х18Н10Т</t>
        </is>
      </c>
      <c r="K123" s="6" t="inlineStr">
        <is>
          <t>УХЛ1</t>
        </is>
      </c>
      <c r="L123" s="6" t="inlineStr">
        <is>
          <t>фланец-фланец</t>
        </is>
      </c>
      <c r="M123" s="6" t="inlineStr">
        <is>
          <t>Ручное</t>
        </is>
      </c>
      <c r="N123" s="6" t="inlineStr">
        <is>
          <t>рукоятка</t>
        </is>
      </c>
      <c r="O123" s="6" t="inlineStr">
        <is>
          <t>любое</t>
        </is>
      </c>
      <c r="P123" s="6" t="inlineStr">
        <is>
          <t>Шар — Сталь 08Х18Н10; Шпиндель — Сталь 12Х18Н10Т; Втулка нажимная — Сталь 12Х18Н10Т; Уплотнение шпинделя — Фторопласт Ф4Г3К6; Седло — Фторопласт Ф4Г3К6; Кольцо уплотнительное — Резина РТС-002 мчп; Кольцо опорное — Сталь 12Х18Н10Т; Пружина тарельчатая — Сталь AISI 301 EN10151; Прокладка — Фторопласт Ф4Г3К6; Шпилька — Сталь 12Х18Н10Т; Рукоятка — Сталь СтЗ;</t>
        </is>
      </c>
      <c r="Q123" s="6" t="inlineStr"/>
      <c r="R123" s="6" t="inlineStr"/>
      <c r="S123" s="5" t="n">
        <v>2</v>
      </c>
      <c r="T123" s="6" t="inlineStr">
        <is>
          <t>шт</t>
        </is>
      </c>
      <c r="U123" s="7" t="n"/>
      <c r="V123" s="8" t="inlineStr">
        <is>
          <t>ООО «ЧелябинскСпецГражданСтрой» (ИНН 7451211335)</t>
        </is>
      </c>
      <c r="W123" s="8" t="inlineStr">
        <is>
          <t>Россия</t>
        </is>
      </c>
      <c r="X123" s="8" t="inlineStr">
        <is>
          <t>10657717</t>
        </is>
      </c>
      <c r="Y123" s="8" t="inlineStr">
        <is>
          <t>30.06.2028</t>
        </is>
      </c>
      <c r="Z123" s="7" t="n"/>
      <c r="AA123" s="9" t="n"/>
      <c r="AB123" s="10">
        <f>AA123*S123</f>
        <v/>
      </c>
      <c r="AC123" s="7" t="n"/>
      <c r="AD123" s="7" t="n"/>
      <c r="AE123" s="7" t="n"/>
    </row>
    <row r="124" ht="60" customHeight="1">
      <c r="A124" s="5" t="n">
        <v>119</v>
      </c>
      <c r="B124" s="6" t="inlineStr">
        <is>
          <t>1.8/4</t>
        </is>
      </c>
      <c r="C124" s="6" t="inlineStr">
        <is>
          <t>Кран шаровой 10нж45фт 2ЦФ Ду 32 Ру 16</t>
        </is>
      </c>
      <c r="D124" s="6" t="inlineStr">
        <is>
          <t>ТУ У 29.1-04671406-005:2008 ГОСТ 28343 (ИСО7121)</t>
        </is>
      </c>
      <c r="E124" s="6" t="inlineStr">
        <is>
          <t>32</t>
        </is>
      </c>
      <c r="F124" s="6" t="inlineStr">
        <is>
          <t>стандарт</t>
        </is>
      </c>
      <c r="G124" s="6" t="inlineStr">
        <is>
          <t>1.6</t>
        </is>
      </c>
      <c r="H124" s="6" t="inlineStr">
        <is>
          <t>от -60 до +200</t>
        </is>
      </c>
      <c r="I124" s="6" t="inlineStr">
        <is>
          <t>Вода, пар, трансформаторное масло</t>
        </is>
      </c>
      <c r="J124" s="6" t="inlineStr">
        <is>
          <t>нержавеющая сталь 12Х18Н10Т</t>
        </is>
      </c>
      <c r="K124" s="6" t="inlineStr">
        <is>
          <t>УХЛ1</t>
        </is>
      </c>
      <c r="L124" s="6" t="inlineStr">
        <is>
          <t>фланец-фланец</t>
        </is>
      </c>
      <c r="M124" s="6" t="inlineStr">
        <is>
          <t>Ручное</t>
        </is>
      </c>
      <c r="N124" s="6" t="inlineStr">
        <is>
          <t>рукоятка</t>
        </is>
      </c>
      <c r="O124" s="6" t="inlineStr">
        <is>
          <t>любое</t>
        </is>
      </c>
      <c r="P124" s="6" t="inlineStr">
        <is>
          <t>Шар — Сталь 08Х18Н10; Шпиндель — Сталь 12Х18Н10Т; Втулка нажимная — Сталь 12Х18Н10Т; Уплотнение шпинделя — Фторопласт Ф4Г3К6; Седло — Фторопласт Ф4Г3К6; Кольцо уплотнительное — Резина РТС-002 мчп; Кольцо опорное — Сталь 12Х18Н10Т; Пружина тарельчатая — Сталь AISI 301 EN10151; Прокладка — Фторопласт Ф4Г3К6; Шпилька — Сталь 12Х18Н10Т; Рукоятка — Сталь СтЗ;</t>
        </is>
      </c>
      <c r="Q124" s="6" t="inlineStr"/>
      <c r="R124" s="6" t="inlineStr"/>
      <c r="S124" s="5" t="n">
        <v>2</v>
      </c>
      <c r="T124" s="6" t="inlineStr">
        <is>
          <t>шт</t>
        </is>
      </c>
      <c r="U124" s="7" t="n"/>
      <c r="V124" s="8" t="inlineStr">
        <is>
          <t>ООО «ЧелябинскСпецГражданСтрой» (ИНН 7451211335)</t>
        </is>
      </c>
      <c r="W124" s="8" t="inlineStr">
        <is>
          <t>Россия</t>
        </is>
      </c>
      <c r="X124" s="8" t="inlineStr">
        <is>
          <t>10657717</t>
        </is>
      </c>
      <c r="Y124" s="8" t="inlineStr">
        <is>
          <t>30.06.2028</t>
        </is>
      </c>
      <c r="Z124" s="7" t="n"/>
      <c r="AA124" s="9" t="n"/>
      <c r="AB124" s="10">
        <f>AA124*S124</f>
        <v/>
      </c>
      <c r="AC124" s="7" t="n"/>
      <c r="AD124" s="7" t="n"/>
      <c r="AE124" s="7" t="n"/>
    </row>
    <row r="125" ht="60" customHeight="1">
      <c r="A125" s="5" t="n">
        <v>120</v>
      </c>
      <c r="B125" s="6" t="inlineStr">
        <is>
          <t>1.8/5</t>
        </is>
      </c>
      <c r="C125" s="6" t="inlineStr">
        <is>
          <t>Кран шаровой 11с22п Ду 80 Ру 16</t>
        </is>
      </c>
      <c r="D125" s="6" t="inlineStr">
        <is>
          <t>ГОСТ 21345-2005</t>
        </is>
      </c>
      <c r="E125" s="6" t="inlineStr">
        <is>
          <t>80</t>
        </is>
      </c>
      <c r="F125" s="6" t="inlineStr">
        <is>
          <t>стандартный</t>
        </is>
      </c>
      <c r="G125" s="6" t="inlineStr">
        <is>
          <t>1.6</t>
        </is>
      </c>
      <c r="H125" s="6" t="inlineStr">
        <is>
          <t>до +200</t>
        </is>
      </c>
      <c r="I125" s="6" t="inlineStr">
        <is>
          <t>Вода, пар</t>
        </is>
      </c>
      <c r="J125" s="6" t="inlineStr">
        <is>
          <t>сталь 20</t>
        </is>
      </c>
      <c r="K125" s="6" t="inlineStr">
        <is>
          <t>У1</t>
        </is>
      </c>
      <c r="L125" s="6" t="inlineStr">
        <is>
          <t>фланцевое</t>
        </is>
      </c>
      <c r="M125" s="6" t="inlineStr">
        <is>
          <t>ручной (рукоятка)</t>
        </is>
      </c>
      <c r="N125" s="6" t="inlineStr">
        <is>
          <t>-</t>
        </is>
      </c>
      <c r="O125" s="6" t="inlineStr">
        <is>
          <t>Любое</t>
        </is>
      </c>
      <c r="P125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125" s="6" t="inlineStr"/>
      <c r="R125" s="6" t="inlineStr"/>
      <c r="S125" s="5" t="n">
        <v>2</v>
      </c>
      <c r="T125" s="6" t="inlineStr">
        <is>
          <t>шт</t>
        </is>
      </c>
      <c r="U125" s="7" t="n"/>
      <c r="V125" s="8" t="inlineStr">
        <is>
          <t>ООО «ЧелябинскСпецГражданСтрой» (ИНН 7451211335)</t>
        </is>
      </c>
      <c r="W125" s="8" t="inlineStr">
        <is>
          <t>Россия</t>
        </is>
      </c>
      <c r="X125" s="8" t="inlineStr">
        <is>
          <t>10655491</t>
        </is>
      </c>
      <c r="Y125" s="8" t="inlineStr">
        <is>
          <t>30.06.2028</t>
        </is>
      </c>
      <c r="Z125" s="7" t="n"/>
      <c r="AA125" s="9" t="n"/>
      <c r="AB125" s="10">
        <f>AA125*S125</f>
        <v/>
      </c>
      <c r="AC125" s="7" t="n"/>
      <c r="AD125" s="7" t="n"/>
      <c r="AE125" s="7" t="n"/>
    </row>
    <row r="126" ht="60" customHeight="1">
      <c r="A126" s="5" t="n">
        <v>121</v>
      </c>
      <c r="B126" s="6" t="inlineStr">
        <is>
          <t>1.8/6</t>
        </is>
      </c>
      <c r="C126" s="6" t="inlineStr">
        <is>
          <t>Кран шаровой 11с22п Ду 100 Ру 16</t>
        </is>
      </c>
      <c r="D126" s="6" t="inlineStr">
        <is>
          <t>ГОСТ 21345-2005</t>
        </is>
      </c>
      <c r="E126" s="6" t="inlineStr">
        <is>
          <t>100</t>
        </is>
      </c>
      <c r="F126" s="6" t="inlineStr">
        <is>
          <t>стандартный</t>
        </is>
      </c>
      <c r="G126" s="6" t="inlineStr">
        <is>
          <t>1.6</t>
        </is>
      </c>
      <c r="H126" s="6" t="inlineStr">
        <is>
          <t>до +200</t>
        </is>
      </c>
      <c r="I126" s="6" t="inlineStr">
        <is>
          <t>Вода, пар</t>
        </is>
      </c>
      <c r="J126" s="6" t="inlineStr">
        <is>
          <t>сталь 20</t>
        </is>
      </c>
      <c r="K126" s="6" t="inlineStr">
        <is>
          <t>У1</t>
        </is>
      </c>
      <c r="L126" s="6" t="inlineStr">
        <is>
          <t>фланцевое</t>
        </is>
      </c>
      <c r="M126" s="6" t="inlineStr">
        <is>
          <t>ручной (рукоятка)</t>
        </is>
      </c>
      <c r="N126" s="6" t="inlineStr">
        <is>
          <t>-</t>
        </is>
      </c>
      <c r="O126" s="6" t="inlineStr">
        <is>
          <t>Любое</t>
        </is>
      </c>
      <c r="P126" s="6" t="inlineStr">
        <is>
          <t>Пробка шаровая - Сталь 08Х17; Шток - Сталь 20Х13; Патрубок - Сталь 20; Кольцо уплотнительное шара- Фторопласт-Ф4К20; Втулка крепежная - Сталь 08Х13; Пружина тарельчатая - Сталь 65Г; Шайба упорная - Сталь 3; Прокладка штока - Фторопласт-Ф4; Кольцо уплотнительное штока - Фторсилоксан; Штифт - Сталь 45Х; Фланец - Сталь 3сп; Рукоятка - Сталь 3;</t>
        </is>
      </c>
      <c r="Q126" s="6" t="inlineStr"/>
      <c r="R126" s="6" t="inlineStr"/>
      <c r="S126" s="5" t="n">
        <v>1</v>
      </c>
      <c r="T126" s="6" t="inlineStr">
        <is>
          <t>шт</t>
        </is>
      </c>
      <c r="U126" s="7" t="n"/>
      <c r="V126" s="8" t="inlineStr">
        <is>
          <t>ООО «ЧелябинскСпецГражданСтрой» (ИНН 7451211335)</t>
        </is>
      </c>
      <c r="W126" s="8" t="inlineStr">
        <is>
          <t>Россия</t>
        </is>
      </c>
      <c r="X126" s="8" t="inlineStr">
        <is>
          <t>10655491</t>
        </is>
      </c>
      <c r="Y126" s="8" t="inlineStr">
        <is>
          <t>30.06.2028</t>
        </is>
      </c>
      <c r="Z126" s="7" t="n"/>
      <c r="AA126" s="9" t="n"/>
      <c r="AB126" s="10">
        <f>AA126*S126</f>
        <v/>
      </c>
      <c r="AC126" s="7" t="n"/>
      <c r="AD126" s="7" t="n"/>
      <c r="AE126" s="7" t="n"/>
    </row>
    <row r="127" ht="60" customHeight="1">
      <c r="A127" s="5" t="n">
        <v>122</v>
      </c>
      <c r="B127" s="6" t="inlineStr">
        <is>
          <t>1.8/7</t>
        </is>
      </c>
      <c r="C127" s="6" t="inlineStr">
        <is>
          <t>Кран шаровой 11с67п Ду 50 Ру 25 полнопрох. с КОФ (КЗШС41нж)</t>
        </is>
      </c>
      <c r="D127" s="6" t="inlineStr">
        <is>
          <t>ГОСТ 9544-2015 ГОСТ 28343 ГОСТ 21345</t>
        </is>
      </c>
      <c r="E127" s="6" t="inlineStr">
        <is>
          <t>20</t>
        </is>
      </c>
      <c r="F127" s="6" t="inlineStr">
        <is>
          <t>полный</t>
        </is>
      </c>
      <c r="G127" s="6" t="inlineStr">
        <is>
          <t>2.5</t>
        </is>
      </c>
      <c r="H127" s="6" t="inlineStr">
        <is>
          <t>до +200°С</t>
        </is>
      </c>
      <c r="I127" s="6" t="inlineStr">
        <is>
          <t>Вода, пар</t>
        </is>
      </c>
      <c r="J127" s="6" t="inlineStr">
        <is>
          <t>Сталь 20</t>
        </is>
      </c>
      <c r="K127" s="6" t="inlineStr">
        <is>
          <t>У1</t>
        </is>
      </c>
      <c r="L127" s="6" t="inlineStr">
        <is>
          <t>фланцевое</t>
        </is>
      </c>
      <c r="M127" s="6" t="inlineStr">
        <is>
          <t>Ручное</t>
        </is>
      </c>
      <c r="N127" s="6" t="inlineStr">
        <is>
          <t>Ручка-рычаг</t>
        </is>
      </c>
      <c r="O127" s="6" t="inlineStr">
        <is>
          <t>любое</t>
        </is>
      </c>
      <c r="P127" s="6" t="inlineStr">
        <is>
          <t>материал корпуса: сталь 20, ручка сталь 3, гайка оцинкованная сталь, кольцо уплотнительное силикон, EPDM70, кольцо PTFE + 20% C, шток 20Х13, шар 20Х13, патрубок сталь 20, пружина сталь 65Г, кольцо опорное сталь 08ПС, седко PTFE +20%C</t>
        </is>
      </c>
      <c r="Q127" s="6" t="inlineStr"/>
      <c r="R127" s="6" t="inlineStr"/>
      <c r="S127" s="5" t="n">
        <v>4</v>
      </c>
      <c r="T127" s="6" t="inlineStr">
        <is>
          <t>шт</t>
        </is>
      </c>
      <c r="U127" s="7" t="n"/>
      <c r="V127" s="8" t="inlineStr">
        <is>
          <t>ООО «ЧелябинскСпецГражданСтрой» (ИНН 7451211335)</t>
        </is>
      </c>
      <c r="W127" s="8" t="inlineStr">
        <is>
          <t>Россия</t>
        </is>
      </c>
      <c r="X127" s="8" t="inlineStr">
        <is>
          <t>10655491</t>
        </is>
      </c>
      <c r="Y127" s="8" t="inlineStr">
        <is>
          <t>30.06.2028</t>
        </is>
      </c>
      <c r="Z127" s="7" t="n"/>
      <c r="AA127" s="9" t="n"/>
      <c r="AB127" s="10">
        <f>AA127*S127</f>
        <v/>
      </c>
      <c r="AC127" s="7" t="n"/>
      <c r="AD127" s="7" t="n"/>
      <c r="AE127" s="7" t="n"/>
    </row>
    <row r="128" ht="60" customHeight="1">
      <c r="A128" s="11" t="inlineStr"/>
      <c r="B128" s="11" t="inlineStr"/>
      <c r="C128" s="11" t="inlineStr"/>
      <c r="D128" s="11" t="inlineStr"/>
      <c r="E128" s="11" t="inlineStr"/>
      <c r="F128" s="11" t="inlineStr"/>
      <c r="G128" s="11" t="inlineStr"/>
      <c r="H128" s="11" t="inlineStr"/>
      <c r="I128" s="11" t="inlineStr"/>
      <c r="J128" s="11" t="inlineStr"/>
      <c r="K128" s="11" t="inlineStr"/>
      <c r="L128" s="11" t="inlineStr"/>
      <c r="M128" s="11" t="inlineStr"/>
      <c r="N128" s="11" t="inlineStr"/>
      <c r="O128" s="11" t="inlineStr"/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11" t="inlineStr"/>
      <c r="X128" s="11" t="inlineStr"/>
      <c r="Y128" s="11" t="inlineStr"/>
      <c r="Z128" s="11" t="inlineStr"/>
      <c r="AA128" s="11" t="inlineStr">
        <is>
          <t>ИТОГО</t>
        </is>
      </c>
      <c r="AB128" s="12">
        <f>SUM(AB6:AB127)</f>
        <v/>
      </c>
      <c r="AC128" s="2" t="n"/>
      <c r="AD128" s="2" t="n"/>
      <c r="AE12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2026-10-27T17:09:33Z</dcterms:created>
  <dcterms:modified xmlns:dcterms="http://purl.org/dc/terms/" xmlns:xsi="http://www.w3.org/2001/XMLSchema-instance" xsi:type="dcterms:W3CDTF">2026-10-27T17:09:33Z</dcterms:modified>
</cp:coreProperties>
</file>