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ЗАО «Арматурная Компания «ФОБОС»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66" customHeight="1">
      <c r="A4" s="3" t="inlineStr">
        <is>
          <t>№</t>
        </is>
      </c>
      <c r="B4" s="3" t="inlineStr">
        <is>
          <t>Табл./№ ТЗ</t>
        </is>
      </c>
      <c r="C4" s="3" t="inlineStr">
        <is>
          <t>Наименование</t>
        </is>
      </c>
      <c r="D4" s="3" t="inlineStr">
        <is>
          <t>ГОСТ/ТУ</t>
        </is>
      </c>
      <c r="E4" s="3" t="inlineStr">
        <is>
          <t>Ду, мм</t>
        </is>
      </c>
      <c r="F4" s="3" t="inlineStr">
        <is>
          <t>Проход</t>
        </is>
      </c>
      <c r="G4" s="3" t="inlineStr">
        <is>
          <t>Давление, МПа</t>
        </is>
      </c>
      <c r="H4" s="3" t="inlineStr">
        <is>
          <t>Температура, °С</t>
        </is>
      </c>
      <c r="I4" s="3" t="inlineStr">
        <is>
          <t>Среда</t>
        </is>
      </c>
      <c r="J4" s="3" t="inlineStr">
        <is>
          <t>Материал корпуса</t>
        </is>
      </c>
      <c r="K4" s="3" t="inlineStr">
        <is>
          <t>Климатическое исполнение</t>
        </is>
      </c>
      <c r="L4" s="3" t="inlineStr">
        <is>
          <t>Присоединение</t>
        </is>
      </c>
      <c r="M4" s="3" t="inlineStr">
        <is>
          <t>Приводное устройство: наименование</t>
        </is>
      </c>
      <c r="N4" s="3" t="inlineStr">
        <is>
          <t>Приводное устройство: технические характеристики</t>
        </is>
      </c>
      <c r="O4" s="3" t="inlineStr">
        <is>
          <t>Установочное положение</t>
        </is>
      </c>
      <c r="P4" s="3" t="inlineStr">
        <is>
          <t>Материал штока, шара, уплотнений</t>
        </is>
      </c>
      <c r="Q4" s="3" t="inlineStr">
        <is>
          <t>Габариты</t>
        </is>
      </c>
      <c r="R4" s="3" t="inlineStr">
        <is>
          <t>Примечание</t>
        </is>
      </c>
      <c r="S4" s="3" t="inlineStr">
        <is>
          <t>Кол-во</t>
        </is>
      </c>
      <c r="T4" s="3" t="inlineStr">
        <is>
          <t>Ед.</t>
        </is>
      </c>
      <c r="U4" s="4" t="inlineStr">
        <is>
          <t>Предлагаемая марка / обозначение</t>
        </is>
      </c>
      <c r="V4" s="4" t="inlineStr">
        <is>
          <t>Производитель (завод)</t>
        </is>
      </c>
      <c r="W4" s="4" t="inlineStr">
        <is>
          <t>Страна происхождения</t>
        </is>
      </c>
      <c r="X4" s="4" t="inlineStr">
        <is>
          <t>№ реестровой записи (ПП 719) или евразийского реестра</t>
        </is>
      </c>
      <c r="Y4" s="4" t="inlineStr">
        <is>
          <t>Срок действия записи</t>
        </is>
      </c>
      <c r="Z4" s="4" t="inlineStr">
        <is>
          <t>Соответствие ТЗ: «да» или отличия</t>
        </is>
      </c>
      <c r="AA4" s="4" t="inlineStr">
        <is>
          <t>Цена за ед. с НДС, ₽</t>
        </is>
      </c>
      <c r="AB4" s="4" t="inlineStr">
        <is>
          <t>Сумма с НДС, ₽</t>
        </is>
      </c>
      <c r="AC4" s="4" t="inlineStr">
        <is>
          <t>Срок отгрузки</t>
        </is>
      </c>
      <c r="AD4" s="4" t="inlineStr">
        <is>
          <t>Вес ед., кг / габариты</t>
        </is>
      </c>
      <c r="AE4" s="4" t="inlineStr">
        <is>
          <t>Сертификат / декларация ТР ТС №</t>
        </is>
      </c>
    </row>
    <row r="5" ht="60" customHeight="1">
      <c r="A5" s="5" t="n">
        <v>1</v>
      </c>
      <c r="B5" s="6" t="inlineStr">
        <is>
          <t>1.3/135</t>
        </is>
      </c>
      <c r="C5" s="6" t="inlineStr">
        <is>
          <t>Кран шаровой нержавеющий G1/2" муфтовый, полнопроходной, Ду 15 Ру 63</t>
        </is>
      </c>
      <c r="D5" s="6" t="inlineStr"/>
      <c r="E5" s="6" t="inlineStr">
        <is>
          <t>15</t>
        </is>
      </c>
      <c r="F5" s="6" t="inlineStr">
        <is>
          <t>полный</t>
        </is>
      </c>
      <c r="G5" s="6" t="inlineStr">
        <is>
          <t>6.3</t>
        </is>
      </c>
      <c r="H5" s="6" t="inlineStr">
        <is>
          <t>от -20 до +180 oC</t>
        </is>
      </c>
      <c r="I5" s="6" t="inlineStr">
        <is>
          <t>Коррозионная</t>
        </is>
      </c>
      <c r="J5" s="6" t="inlineStr">
        <is>
          <t>Нержавеющая сталь AISI/SS 316/08Х17Н13М2</t>
        </is>
      </c>
      <c r="K5" s="6" t="inlineStr">
        <is>
          <t>у1</t>
        </is>
      </c>
      <c r="L5" s="6" t="inlineStr">
        <is>
          <t>резьбовое</t>
        </is>
      </c>
      <c r="M5" s="6" t="inlineStr">
        <is>
          <t>рычаг</t>
        </is>
      </c>
      <c r="N5" s="6" t="inlineStr">
        <is>
          <t>ручное</t>
        </is>
      </c>
      <c r="O5" s="6" t="inlineStr">
        <is>
          <t>любое</t>
        </is>
      </c>
      <c r="P5" s="6" t="inlineStr">
        <is>
          <t>шар Нержавеющая сталь AISI/SS 316/08Х17Н13М2. Уплотнение шара: PTFE</t>
        </is>
      </c>
      <c r="Q5" s="6" t="inlineStr">
        <is>
          <t>Длина 52 мм</t>
        </is>
      </c>
      <c r="R5" s="6" t="inlineStr"/>
      <c r="S5" s="5" t="n">
        <v>19</v>
      </c>
      <c r="T5" s="6" t="inlineStr">
        <is>
          <t>шт</t>
        </is>
      </c>
      <c r="U5" s="7" t="n"/>
      <c r="V5" s="7" t="n"/>
      <c r="W5" s="7" t="n"/>
      <c r="X5" s="7" t="n"/>
      <c r="Y5" s="7" t="n"/>
      <c r="Z5" s="7" t="n"/>
      <c r="AA5" s="8" t="n"/>
      <c r="AB5" s="9">
        <f>AA5*S5</f>
        <v/>
      </c>
      <c r="AC5" s="7" t="n"/>
      <c r="AD5" s="7" t="n"/>
      <c r="AE5" s="7" t="n"/>
    </row>
    <row r="6" ht="60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>
        <is>
          <t>ИТОГО</t>
        </is>
      </c>
      <c r="AB6" s="11">
        <f>SUM(AB5:AB5)</f>
        <v/>
      </c>
      <c r="AC6" s="2" t="n"/>
      <c r="AD6" s="2" t="n"/>
      <c r="AE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2026-10-27T16:27:36Z</dcterms:created>
  <dcterms:modified xmlns:dcterms="http://purl.org/dc/terms/" xmlns:xsi="http://www.w3.org/2001/XMLSchema-instance" xsi:type="dcterms:W3CDTF">2026-10-27T16:27:36Z</dcterms:modified>
</cp:coreProperties>
</file>