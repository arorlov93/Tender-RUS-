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1.3/154</t>
        </is>
      </c>
      <c r="C6" s="6" t="inlineStr">
        <is>
          <t>Затвор дисковый поворотный(ГРЭНВЭЛ) Тип /серия FL(w)-3-MR-E Ду 100, Ру 16</t>
        </is>
      </c>
      <c r="D6" s="6" t="inlineStr">
        <is>
          <t>ТУ 3700-001-81673229-2007</t>
        </is>
      </c>
      <c r="E6" s="6" t="inlineStr">
        <is>
          <t>100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-20…+110</t>
        </is>
      </c>
      <c r="I6" s="6" t="inlineStr">
        <is>
          <t>вода</t>
        </is>
      </c>
      <c r="J6" s="6" t="inlineStr">
        <is>
          <t>Серый чугун EN-GJL-250</t>
        </is>
      </c>
      <c r="K6" s="6" t="inlineStr">
        <is>
          <t>Класс герметичности: А</t>
        </is>
      </c>
      <c r="L6" s="6" t="inlineStr">
        <is>
          <t>межфланцевый</t>
        </is>
      </c>
      <c r="M6" s="6" t="inlineStr">
        <is>
          <t>Ручной</t>
        </is>
      </c>
      <c r="N6" s="6" t="inlineStr">
        <is>
          <t>Ручка с фиксацией произвольного положения</t>
        </is>
      </c>
      <c r="O6" s="6" t="inlineStr">
        <is>
          <t>-</t>
        </is>
      </c>
      <c r="P6" s="6" t="inlineStr">
        <is>
          <t>Корпус: Серый чугун GG25 Седло: EPDM Диск: Нержавеющая сталь CF8M</t>
        </is>
      </c>
      <c r="Q6" s="6" t="inlineStr">
        <is>
          <t>-</t>
        </is>
      </c>
      <c r="R6" s="6" t="inlineStr">
        <is>
          <t>-</t>
        </is>
      </c>
      <c r="S6" s="5" t="n">
        <v>4</v>
      </c>
      <c r="T6" s="6" t="inlineStr">
        <is>
          <t>шт</t>
        </is>
      </c>
      <c r="U6" s="7" t="inlineStr">
        <is>
          <t>ГРАНВЭЛ ЗПВС FL(w)-3-100-MR-E Ду100 — Россия, ЗПВС в реестре МПТ</t>
        </is>
      </c>
      <c r="V6" s="7" t="inlineStr">
        <is>
          <t>ООО «ТД АДЛ» (Гранвэл/Гранлок, производство Лыткарино)</t>
        </is>
      </c>
      <c r="W6" s="7" t="inlineStr">
        <is>
          <t>Россия</t>
        </is>
      </c>
      <c r="X6" s="8" t="n"/>
      <c r="Y6" s="8" t="n"/>
      <c r="Z6" s="8" t="n"/>
      <c r="AA6" s="9" t="n"/>
      <c r="AB6" s="10">
        <f>AA6*S6</f>
        <v/>
      </c>
      <c r="AC6" s="8" t="n"/>
      <c r="AD6" s="8" t="n"/>
      <c r="AE6" s="8" t="n"/>
    </row>
    <row r="7" ht="60" customHeight="1">
      <c r="A7" s="5" t="n">
        <v>2</v>
      </c>
      <c r="B7" s="6" t="inlineStr">
        <is>
          <t>1.3/155</t>
        </is>
      </c>
      <c r="C7" s="6" t="inlineStr">
        <is>
          <t>Затвор дисковый поворотный(ГРЭНВЭЛ) ЗП ТЛ Ду 100 Ру 16</t>
        </is>
      </c>
      <c r="D7" s="6" t="inlineStr">
        <is>
          <t>ТУ 3700-001-81673229-2007</t>
        </is>
      </c>
      <c r="E7" s="6" t="inlineStr">
        <is>
          <t>100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до +115°C (кратковременно до +130°C)</t>
        </is>
      </c>
      <c r="I7" s="6" t="inlineStr">
        <is>
          <t>вода (в том числе питьевая), растворы гликоля до 45%, горячий воздух, прочие нейтральные среды</t>
        </is>
      </c>
      <c r="J7" s="6" t="inlineStr">
        <is>
          <t>Корпус: - Серый чугун GG25 • Высокопрочный чугун GGG40</t>
        </is>
      </c>
      <c r="K7" s="6" t="inlineStr"/>
      <c r="L7" s="6" t="inlineStr">
        <is>
          <t>межфланцевое</t>
        </is>
      </c>
      <c r="M7" s="6" t="inlineStr">
        <is>
          <t>ручной (рукоятка)</t>
        </is>
      </c>
      <c r="N7" s="6" t="inlineStr"/>
      <c r="O7" s="6" t="inlineStr"/>
      <c r="P7" s="6" t="inlineStr">
        <is>
          <t>Седло- EPDM HT; Диск - Нержавеющая сталь CF8M</t>
        </is>
      </c>
      <c r="Q7" s="6" t="inlineStr"/>
      <c r="R7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7" s="5" t="n">
        <v>16</v>
      </c>
      <c r="T7" s="6" t="inlineStr">
        <is>
          <t>шт</t>
        </is>
      </c>
      <c r="U7" s="7" t="inlineStr">
        <is>
          <t>ГРАНВЭЛ ЗПТЛ FLN(w)-5-100-MR-HT Ду100 — Россия, ЗПВС в реестре МПТ</t>
        </is>
      </c>
      <c r="V7" s="7" t="inlineStr">
        <is>
          <t>ООО «ТД АДЛ» (Гранвэл/Гранлок, производство Лыткарино)</t>
        </is>
      </c>
      <c r="W7" s="7" t="inlineStr">
        <is>
          <t>Россия</t>
        </is>
      </c>
      <c r="X7" s="8" t="n"/>
      <c r="Y7" s="8" t="n"/>
      <c r="Z7" s="8" t="n"/>
      <c r="AA7" s="9" t="n"/>
      <c r="AB7" s="10">
        <f>AA7*S7</f>
        <v/>
      </c>
      <c r="AC7" s="8" t="n"/>
      <c r="AD7" s="8" t="n"/>
      <c r="AE7" s="8" t="n"/>
    </row>
    <row r="8" ht="60" customHeight="1">
      <c r="A8" s="5" t="n">
        <v>3</v>
      </c>
      <c r="B8" s="6" t="inlineStr">
        <is>
          <t>1.3/156</t>
        </is>
      </c>
      <c r="C8" s="6" t="inlineStr">
        <is>
          <t>Затвор дисковый поворотный(ГРЭНВЭЛ) ЗП ТЛ Ду 150 Ру 16</t>
        </is>
      </c>
      <c r="D8" s="6" t="inlineStr">
        <is>
          <t>ТУ 3700-001-81673229-2007</t>
        </is>
      </c>
      <c r="E8" s="6" t="inlineStr">
        <is>
          <t>150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+115°C (кратковременно до +130°C)</t>
        </is>
      </c>
      <c r="I8" s="6" t="inlineStr">
        <is>
          <t>вода (в том числе питьевая), растворы гликоля до 45%, горячий воздух, прочие нейтральные среды</t>
        </is>
      </c>
      <c r="J8" s="6" t="inlineStr">
        <is>
          <t>Корпус: - Серый чугун GG25 • Высокопрочный чугун GGG40</t>
        </is>
      </c>
      <c r="K8" s="6" t="inlineStr"/>
      <c r="L8" s="6" t="inlineStr">
        <is>
          <t>межфланцевое</t>
        </is>
      </c>
      <c r="M8" s="6" t="inlineStr">
        <is>
          <t>ручной (рукоятка)</t>
        </is>
      </c>
      <c r="N8" s="6" t="inlineStr"/>
      <c r="O8" s="6" t="inlineStr"/>
      <c r="P8" s="6" t="inlineStr">
        <is>
          <t>Седло- EPDM HT; Диск - Нержавеющая сталь CF8M</t>
        </is>
      </c>
      <c r="Q8" s="6" t="inlineStr"/>
      <c r="R8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8" s="5" t="n">
        <v>20</v>
      </c>
      <c r="T8" s="6" t="inlineStr">
        <is>
          <t>шт</t>
        </is>
      </c>
      <c r="U8" s="7" t="inlineStr">
        <is>
          <t>ГРАНВЭЛ ЗПТЛ FLN(w)-5-150-MR-HT Ду150 — Россия, ЗПВС в реестре МПТ</t>
        </is>
      </c>
      <c r="V8" s="7" t="inlineStr">
        <is>
          <t>ООО «ТД АДЛ» (Гранвэл/Гранлок, производство Лыткарино)</t>
        </is>
      </c>
      <c r="W8" s="7" t="inlineStr">
        <is>
          <t>Россия</t>
        </is>
      </c>
      <c r="X8" s="8" t="n"/>
      <c r="Y8" s="8" t="n"/>
      <c r="Z8" s="8" t="n"/>
      <c r="AA8" s="9" t="n"/>
      <c r="AB8" s="10">
        <f>AA8*S8</f>
        <v/>
      </c>
      <c r="AC8" s="8" t="n"/>
      <c r="AD8" s="8" t="n"/>
      <c r="AE8" s="8" t="n"/>
    </row>
    <row r="9" ht="60" customHeight="1">
      <c r="A9" s="5" t="n">
        <v>4</v>
      </c>
      <c r="B9" s="6" t="inlineStr">
        <is>
          <t>1.3/157</t>
        </is>
      </c>
      <c r="C9" s="6" t="inlineStr">
        <is>
          <t>Затвор дисковый поворотный(ГРЭНВЭЛ) ЗП ТЛ Ду 200 Ру 16</t>
        </is>
      </c>
      <c r="D9" s="6" t="inlineStr">
        <is>
          <t>ТУ 3700-001-81673229-2007</t>
        </is>
      </c>
      <c r="E9" s="6" t="inlineStr">
        <is>
          <t>200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+115°C (кратковременно до +130°C)</t>
        </is>
      </c>
      <c r="I9" s="6" t="inlineStr">
        <is>
          <t>вода (в том числе питьевая), растворы гликоля до 45%, горячий воздух, прочие нейтральные среды</t>
        </is>
      </c>
      <c r="J9" s="6" t="inlineStr">
        <is>
          <t>Корпус: - Серый чугун GG25 • Высокопрочный чугун GGG40</t>
        </is>
      </c>
      <c r="K9" s="6" t="inlineStr"/>
      <c r="L9" s="6" t="inlineStr">
        <is>
          <t>межфланцевое</t>
        </is>
      </c>
      <c r="M9" s="6" t="inlineStr">
        <is>
          <t>ручной (рукоятка)</t>
        </is>
      </c>
      <c r="N9" s="6" t="inlineStr"/>
      <c r="O9" s="6" t="inlineStr"/>
      <c r="P9" s="6" t="inlineStr">
        <is>
          <t>Седло- EPDM HT; Диск - Нержавеющая сталь CF8M</t>
        </is>
      </c>
      <c r="Q9" s="6" t="inlineStr"/>
      <c r="R9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9" s="5" t="n">
        <v>16</v>
      </c>
      <c r="T9" s="6" t="inlineStr">
        <is>
          <t>шт</t>
        </is>
      </c>
      <c r="U9" s="7" t="inlineStr">
        <is>
          <t>ГРАНВЭЛ ЗПТЛ FLN(w)-5-200-MR-HT Ду200 — Россия, ЗПВС в реестре МПТ</t>
        </is>
      </c>
      <c r="V9" s="7" t="inlineStr">
        <is>
          <t>ООО «ТД АДЛ» (Гранвэл/Гранлок, производство Лыткарино)</t>
        </is>
      </c>
      <c r="W9" s="7" t="inlineStr">
        <is>
          <t>Россия</t>
        </is>
      </c>
      <c r="X9" s="8" t="n"/>
      <c r="Y9" s="8" t="n"/>
      <c r="Z9" s="8" t="n"/>
      <c r="AA9" s="9" t="n"/>
      <c r="AB9" s="10">
        <f>AA9*S9</f>
        <v/>
      </c>
      <c r="AC9" s="8" t="n"/>
      <c r="AD9" s="8" t="n"/>
      <c r="AE9" s="8" t="n"/>
    </row>
    <row r="10" ht="60" customHeight="1">
      <c r="A10" s="5" t="n">
        <v>5</v>
      </c>
      <c r="B10" s="6" t="inlineStr">
        <is>
          <t>1.3/158</t>
        </is>
      </c>
      <c r="C10" s="6" t="inlineStr">
        <is>
          <t>Затвор дисковый поворотный(ГРЭНВЭЛ) ЗП ТЛ Ду 80 Ру 16</t>
        </is>
      </c>
      <c r="D10" s="6" t="inlineStr">
        <is>
          <t>ТУ 3700-001-81673229-2007</t>
        </is>
      </c>
      <c r="E10" s="6" t="inlineStr">
        <is>
          <t>80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до +115°C (кратковременно до +130°C)</t>
        </is>
      </c>
      <c r="I10" s="6" t="inlineStr">
        <is>
          <t>вода (в том числе питьевая), растворы гликоля до 45%, горячий воздух, прочие нейтральные среды</t>
        </is>
      </c>
      <c r="J10" s="6" t="inlineStr">
        <is>
          <t>Корпус: - Серый чугун GG25 • Высокопрочный чугун GGG40</t>
        </is>
      </c>
      <c r="K10" s="6" t="inlineStr"/>
      <c r="L10" s="6" t="inlineStr">
        <is>
          <t>межфланцевое</t>
        </is>
      </c>
      <c r="M10" s="6" t="inlineStr">
        <is>
          <t>ручной (рукоятка)</t>
        </is>
      </c>
      <c r="N10" s="6" t="inlineStr"/>
      <c r="O10" s="6" t="inlineStr"/>
      <c r="P10" s="6" t="inlineStr">
        <is>
          <t>Седло- EPDM HT; Диск - Нержавеющая сталь CF8M</t>
        </is>
      </c>
      <c r="Q10" s="6" t="inlineStr"/>
      <c r="R10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BD01M38936</t>
        </is>
      </c>
      <c r="S10" s="5" t="n">
        <v>9</v>
      </c>
      <c r="T10" s="6" t="inlineStr">
        <is>
          <t>шт</t>
        </is>
      </c>
      <c r="U10" s="7" t="inlineStr">
        <is>
          <t>ГРАНВЭЛ ЗПТЛ FLN(w)-5-080-MR-HT Ду80 — Россия, ЗПВС в реестре МПТ</t>
        </is>
      </c>
      <c r="V10" s="7" t="inlineStr">
        <is>
          <t>ООО «ТД АДЛ» (Гранвэл/Гранлок, производство Лыткарино)</t>
        </is>
      </c>
      <c r="W10" s="7" t="inlineStr">
        <is>
          <t>Россия</t>
        </is>
      </c>
      <c r="X10" s="8" t="n"/>
      <c r="Y10" s="8" t="n"/>
      <c r="Z10" s="8" t="n"/>
      <c r="AA10" s="9" t="n"/>
      <c r="AB10" s="10">
        <f>AA10*S10</f>
        <v/>
      </c>
      <c r="AC10" s="8" t="n"/>
      <c r="AD10" s="8" t="n"/>
      <c r="AE10" s="8" t="n"/>
    </row>
    <row r="11" ht="60" customHeight="1">
      <c r="A11" s="5" t="n">
        <v>6</v>
      </c>
      <c r="B11" s="6" t="inlineStr">
        <is>
          <t>1.3/159</t>
        </is>
      </c>
      <c r="C11" s="6" t="inlineStr">
        <is>
          <t>Затвор дисковый поворотный(ГРЭНВЭЛ) Тип /серия FL(w)-3-MR-E Ду 150 Ру 16</t>
        </is>
      </c>
      <c r="D11" s="6" t="inlineStr">
        <is>
          <t>ТУ 3700-001-81673229-2007</t>
        </is>
      </c>
      <c r="E11" s="6" t="inlineStr">
        <is>
          <t>150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-20…+110</t>
        </is>
      </c>
      <c r="I11" s="6" t="inlineStr">
        <is>
          <t>вода</t>
        </is>
      </c>
      <c r="J11" s="6" t="inlineStr">
        <is>
          <t>Серый чугун EN-GJL-250</t>
        </is>
      </c>
      <c r="K11" s="6" t="inlineStr">
        <is>
          <t>Класс герметичности: А</t>
        </is>
      </c>
      <c r="L11" s="6" t="inlineStr">
        <is>
          <t>межфланцевый</t>
        </is>
      </c>
      <c r="M11" s="6" t="inlineStr">
        <is>
          <t>Ручной</t>
        </is>
      </c>
      <c r="N11" s="6" t="inlineStr">
        <is>
          <t>Ручка с фиксацией произвольного положения</t>
        </is>
      </c>
      <c r="O11" s="6" t="inlineStr">
        <is>
          <t>-</t>
        </is>
      </c>
      <c r="P11" s="6" t="inlineStr">
        <is>
          <t>Корпус: Серый чугун GG25 Седло: EPDM Диск: Нержавеющая сталь CF8M</t>
        </is>
      </c>
      <c r="Q11" s="6" t="inlineStr">
        <is>
          <t>-</t>
        </is>
      </c>
      <c r="R11" s="6" t="inlineStr">
        <is>
          <t>-</t>
        </is>
      </c>
      <c r="S11" s="5" t="n">
        <v>25</v>
      </c>
      <c r="T11" s="6" t="inlineStr">
        <is>
          <t>шт</t>
        </is>
      </c>
      <c r="U11" s="7" t="inlineStr">
        <is>
          <t>ГРАНВЭЛ ЗПВС FL(w)-3-150-MR-E Ду150 — Россия, ЗПВС в реестре МПТ</t>
        </is>
      </c>
      <c r="V11" s="7" t="inlineStr">
        <is>
          <t>ООО «ТД АДЛ» (Гранвэл/Гранлок, производство Лыткарино)</t>
        </is>
      </c>
      <c r="W11" s="7" t="inlineStr">
        <is>
          <t>Россия</t>
        </is>
      </c>
      <c r="X11" s="8" t="n"/>
      <c r="Y11" s="8" t="n"/>
      <c r="Z11" s="8" t="n"/>
      <c r="AA11" s="9" t="n"/>
      <c r="AB11" s="10">
        <f>AA11*S11</f>
        <v/>
      </c>
      <c r="AC11" s="8" t="n"/>
      <c r="AD11" s="8" t="n"/>
      <c r="AE11" s="8" t="n"/>
    </row>
    <row r="12" ht="60" customHeight="1">
      <c r="A12" s="5" t="n">
        <v>7</v>
      </c>
      <c r="B12" s="6" t="inlineStr">
        <is>
          <t>1.3/160</t>
        </is>
      </c>
      <c r="C12" s="6" t="inlineStr">
        <is>
          <t>Затвор дисковый поворотный(ГРЭНВЭЛ) Тип /серия FL(w)-3-MR-E Ду 200 Ру 16</t>
        </is>
      </c>
      <c r="D12" s="6" t="inlineStr">
        <is>
          <t>ТУ 3700-001-81673229-2007</t>
        </is>
      </c>
      <c r="E12" s="6" t="inlineStr">
        <is>
          <t>200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-20…+110</t>
        </is>
      </c>
      <c r="I12" s="6" t="inlineStr">
        <is>
          <t>вода</t>
        </is>
      </c>
      <c r="J12" s="6" t="inlineStr">
        <is>
          <t>Серый чугун EN-GJL-250</t>
        </is>
      </c>
      <c r="K12" s="6" t="inlineStr">
        <is>
          <t>Класс герметичности: А</t>
        </is>
      </c>
      <c r="L12" s="6" t="inlineStr">
        <is>
          <t>межфланцевый</t>
        </is>
      </c>
      <c r="M12" s="6" t="inlineStr">
        <is>
          <t>Ручной</t>
        </is>
      </c>
      <c r="N12" s="6" t="inlineStr">
        <is>
          <t>Ручка с фиксацией произвольного положения</t>
        </is>
      </c>
      <c r="O12" s="6" t="inlineStr">
        <is>
          <t>-</t>
        </is>
      </c>
      <c r="P12" s="6" t="inlineStr">
        <is>
          <t>Корпус: Серый чугун GG25 Седло: EPDM Диск: Нержавеющая сталь CF8M</t>
        </is>
      </c>
      <c r="Q12" s="6" t="inlineStr">
        <is>
          <t>-</t>
        </is>
      </c>
      <c r="R12" s="6" t="inlineStr">
        <is>
          <t>-</t>
        </is>
      </c>
      <c r="S12" s="5" t="n">
        <v>6</v>
      </c>
      <c r="T12" s="6" t="inlineStr">
        <is>
          <t>шт</t>
        </is>
      </c>
      <c r="U12" s="7" t="inlineStr">
        <is>
          <t>ГРАНВЭЛ ЗПВС FL(w)-3-200-MR-E Ду200 — Россия, ЗПВС в реестре МПТ</t>
        </is>
      </c>
      <c r="V12" s="7" t="inlineStr">
        <is>
          <t>ООО «ТД АДЛ» (Гранвэл/Гранлок, производство Лыткарино)</t>
        </is>
      </c>
      <c r="W12" s="7" t="inlineStr">
        <is>
          <t>Россия</t>
        </is>
      </c>
      <c r="X12" s="8" t="n"/>
      <c r="Y12" s="8" t="n"/>
      <c r="Z12" s="8" t="n"/>
      <c r="AA12" s="9" t="n"/>
      <c r="AB12" s="10">
        <f>AA12*S12</f>
        <v/>
      </c>
      <c r="AC12" s="8" t="n"/>
      <c r="AD12" s="8" t="n"/>
      <c r="AE12" s="8" t="n"/>
    </row>
    <row r="13" ht="60" customHeight="1">
      <c r="A13" s="5" t="n">
        <v>8</v>
      </c>
      <c r="B13" s="6" t="inlineStr">
        <is>
          <t>1.3/161</t>
        </is>
      </c>
      <c r="C13" s="6" t="inlineStr">
        <is>
          <t>Затвор дисковый поворотный(ГРЭНВЭЛ) Тип /серия FL(w)-3-MR-E Ду 80</t>
        </is>
      </c>
      <c r="D13" s="6" t="inlineStr">
        <is>
          <t>ТУ 3700-001-81673229-2007</t>
        </is>
      </c>
      <c r="E13" s="6" t="inlineStr">
        <is>
          <t>80</t>
        </is>
      </c>
      <c r="F13" s="6" t="inlineStr">
        <is>
          <t>стандарт</t>
        </is>
      </c>
      <c r="G13" s="6" t="inlineStr">
        <is>
          <t>1.6</t>
        </is>
      </c>
      <c r="H13" s="6" t="inlineStr">
        <is>
          <t>-20…+110</t>
        </is>
      </c>
      <c r="I13" s="6" t="inlineStr">
        <is>
          <t>вода</t>
        </is>
      </c>
      <c r="J13" s="6" t="inlineStr">
        <is>
          <t>Серый чугун EN-GJL-250</t>
        </is>
      </c>
      <c r="K13" s="6" t="inlineStr">
        <is>
          <t>Класс герметичности: А</t>
        </is>
      </c>
      <c r="L13" s="6" t="inlineStr">
        <is>
          <t>межфланцевый</t>
        </is>
      </c>
      <c r="M13" s="6" t="inlineStr">
        <is>
          <t>Ручной</t>
        </is>
      </c>
      <c r="N13" s="6" t="inlineStr">
        <is>
          <t>Ручка с фиксацией произвольного положения</t>
        </is>
      </c>
      <c r="O13" s="6" t="inlineStr">
        <is>
          <t>-</t>
        </is>
      </c>
      <c r="P13" s="6" t="inlineStr">
        <is>
          <t>Корпус: Серый чугун GG25 Седло: EPDM Диск: Нержавеющая сталь CF8M</t>
        </is>
      </c>
      <c r="Q13" s="6" t="inlineStr">
        <is>
          <t>-</t>
        </is>
      </c>
      <c r="R13" s="6" t="inlineStr">
        <is>
          <t>-</t>
        </is>
      </c>
      <c r="S13" s="5" t="n">
        <v>2</v>
      </c>
      <c r="T13" s="6" t="inlineStr">
        <is>
          <t>шт</t>
        </is>
      </c>
      <c r="U13" s="7" t="inlineStr">
        <is>
          <t>ГРАНВЭЛ ЗПВС FL(w)-3-080-MR-E Ду80 — Россия, ЗПВС в реестре МПТ</t>
        </is>
      </c>
      <c r="V13" s="7" t="inlineStr">
        <is>
          <t>ООО «ТД АДЛ» (Гранвэл/Гранлок, производство Лыткарино)</t>
        </is>
      </c>
      <c r="W13" s="7" t="inlineStr">
        <is>
          <t>Россия</t>
        </is>
      </c>
      <c r="X13" s="8" t="n"/>
      <c r="Y13" s="8" t="n"/>
      <c r="Z13" s="8" t="n"/>
      <c r="AA13" s="9" t="n"/>
      <c r="AB13" s="10">
        <f>AA13*S13</f>
        <v/>
      </c>
      <c r="AC13" s="8" t="n"/>
      <c r="AD13" s="8" t="n"/>
      <c r="AE13" s="8" t="n"/>
    </row>
    <row r="14" ht="60" customHeight="1">
      <c r="A14" s="5" t="n">
        <v>9</v>
      </c>
      <c r="B14" s="6" t="inlineStr">
        <is>
          <t>1.3/162</t>
        </is>
      </c>
      <c r="C14" s="6" t="inlineStr">
        <is>
          <t>Затвор поворотный дисковый Ду 65 Ру 16  ГРАНВЭЛ тип ЗПВС</t>
        </is>
      </c>
      <c r="D14" s="6" t="inlineStr">
        <is>
          <t>ТУ 3700-001-81673229-2007</t>
        </is>
      </c>
      <c r="E14" s="6" t="inlineStr">
        <is>
          <t>65</t>
        </is>
      </c>
      <c r="F14" s="6" t="inlineStr">
        <is>
          <t>стандарт</t>
        </is>
      </c>
      <c r="G14" s="6" t="inlineStr">
        <is>
          <t>1.6</t>
        </is>
      </c>
      <c r="H14" s="6" t="inlineStr">
        <is>
          <t>-20…+112</t>
        </is>
      </c>
      <c r="I14" s="6" t="inlineStr">
        <is>
          <t>Вода</t>
        </is>
      </c>
      <c r="J14" s="6" t="inlineStr">
        <is>
          <t>чугун</t>
        </is>
      </c>
      <c r="K14" s="6" t="inlineStr">
        <is>
          <t>У1</t>
        </is>
      </c>
      <c r="L14" s="6" t="inlineStr">
        <is>
          <t>межфланцовое</t>
        </is>
      </c>
      <c r="M14" s="6" t="inlineStr">
        <is>
          <t>Ручное</t>
        </is>
      </c>
      <c r="N14" s="6" t="inlineStr">
        <is>
          <t>Рукоятка</t>
        </is>
      </c>
      <c r="O14" s="6" t="inlineStr">
        <is>
          <t>любое</t>
        </is>
      </c>
      <c r="P14" s="6" t="inlineStr">
        <is>
          <t>Затвор диска поворотный ЗПВС-FL(w)-3150-MR-E, ДУ-65, РУ-16, межфланцовый, рукоятка, корпус-GG25, диск-GGG40, седло -EPDM, Т раб=-15…+110С</t>
        </is>
      </c>
      <c r="Q14" s="6" t="inlineStr">
        <is>
          <t>-</t>
        </is>
      </c>
      <c r="R14" s="6" t="inlineStr"/>
      <c r="S14" s="5" t="n">
        <v>2</v>
      </c>
      <c r="T14" s="6" t="inlineStr">
        <is>
          <t>шт</t>
        </is>
      </c>
      <c r="U14" s="7" t="inlineStr">
        <is>
          <t>ГРАНВЭЛ ЗПВС FL(w)-3-065-MR-E Ду65 — Россия, ЗПВС в реестре МПТ</t>
        </is>
      </c>
      <c r="V14" s="7" t="inlineStr">
        <is>
          <t>ООО «ТД АДЛ» (Гранвэл/Гранлок, производство Лыткарино)</t>
        </is>
      </c>
      <c r="W14" s="7" t="inlineStr">
        <is>
          <t>Россия</t>
        </is>
      </c>
      <c r="X14" s="8" t="n"/>
      <c r="Y14" s="8" t="n"/>
      <c r="Z14" s="8" t="n"/>
      <c r="AA14" s="9" t="n"/>
      <c r="AB14" s="10">
        <f>AA14*S14</f>
        <v/>
      </c>
      <c r="AC14" s="8" t="n"/>
      <c r="AD14" s="8" t="n"/>
      <c r="AE14" s="8" t="n"/>
    </row>
    <row r="15" ht="60" customHeight="1">
      <c r="A15" s="5" t="n">
        <v>10</v>
      </c>
      <c r="B15" s="6" t="inlineStr">
        <is>
          <t>1.6/11</t>
        </is>
      </c>
      <c r="C15" s="6" t="inlineStr">
        <is>
          <t>Клапан предохранительный 17с11нж Ду 25 Ру 16</t>
        </is>
      </c>
      <c r="D15" s="6" t="inlineStr">
        <is>
          <t>ТУ 3742-005-22294686-2009</t>
        </is>
      </c>
      <c r="E15" s="6" t="inlineStr">
        <is>
          <t>25</t>
        </is>
      </c>
      <c r="F15" s="6" t="inlineStr">
        <is>
          <t>стандарт</t>
        </is>
      </c>
      <c r="G15" s="6" t="inlineStr">
        <is>
          <t>1.6</t>
        </is>
      </c>
      <c r="H15" s="6" t="inlineStr">
        <is>
          <t>От -40 до +225</t>
        </is>
      </c>
      <c r="I15" s="6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15" s="6" t="inlineStr">
        <is>
          <t>Углеродистая сталь</t>
        </is>
      </c>
      <c r="K15" s="6" t="inlineStr">
        <is>
          <t>У</t>
        </is>
      </c>
      <c r="L15" s="6" t="inlineStr">
        <is>
          <t>Штуцерно-торцевое</t>
        </is>
      </c>
      <c r="M15" s="6" t="inlineStr">
        <is>
          <t>-</t>
        </is>
      </c>
      <c r="N15" s="6" t="inlineStr">
        <is>
          <t>-</t>
        </is>
      </c>
      <c r="O15" s="6" t="inlineStr">
        <is>
          <t>-</t>
        </is>
      </c>
      <c r="P15" s="6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15" s="6" t="inlineStr"/>
      <c r="R15" s="6" t="inlineStr"/>
      <c r="S15" s="5" t="n">
        <v>2</v>
      </c>
      <c r="T15" s="6" t="inlineStr">
        <is>
          <t>шт</t>
        </is>
      </c>
      <c r="U15" s="8" t="n"/>
      <c r="V15" s="8" t="n"/>
      <c r="W15" s="8" t="n"/>
      <c r="X15" s="8" t="n"/>
      <c r="Y15" s="8" t="n"/>
      <c r="Z15" s="8" t="n"/>
      <c r="AA15" s="9" t="n"/>
      <c r="AB15" s="10">
        <f>AA15*S15</f>
        <v/>
      </c>
      <c r="AC15" s="8" t="n"/>
      <c r="AD15" s="8" t="n"/>
      <c r="AE15" s="8" t="n"/>
    </row>
    <row r="16" ht="60" customHeight="1">
      <c r="A16" s="5" t="n">
        <v>11</v>
      </c>
      <c r="B16" s="6" t="inlineStr">
        <is>
          <t>1.6/89</t>
        </is>
      </c>
      <c r="C16" s="6" t="inlineStr">
        <is>
          <t>Затвор дисковый поворотный(ГРЭНВЭЛ) ЗП ТЛ Ду 100, Ру 16</t>
        </is>
      </c>
      <c r="D16" s="6" t="inlineStr">
        <is>
          <t>-</t>
        </is>
      </c>
      <c r="E16" s="6" t="inlineStr">
        <is>
          <t>100</t>
        </is>
      </c>
      <c r="F16" s="6" t="inlineStr">
        <is>
          <t>стандарт</t>
        </is>
      </c>
      <c r="G16" s="6" t="inlineStr">
        <is>
          <t>1.6</t>
        </is>
      </c>
      <c r="H16" s="6" t="inlineStr">
        <is>
          <t>до + 110 °С</t>
        </is>
      </c>
      <c r="I16" s="6" t="inlineStr">
        <is>
          <t>теплоснабжение, горячий воздух (до 12 бар), питьевая горячая вода.</t>
        </is>
      </c>
      <c r="J16" s="6" t="inlineStr">
        <is>
          <t>серый чугун GG25</t>
        </is>
      </c>
      <c r="K16" s="6" t="inlineStr">
        <is>
          <t>У</t>
        </is>
      </c>
      <c r="L16" s="6" t="inlineStr">
        <is>
          <t>межфланцевый</t>
        </is>
      </c>
      <c r="M16" s="6" t="inlineStr">
        <is>
          <t>-</t>
        </is>
      </c>
      <c r="N16" s="6" t="inlineStr">
        <is>
          <t>-</t>
        </is>
      </c>
      <c r="O16" s="6" t="inlineStr">
        <is>
          <t>любое</t>
        </is>
      </c>
      <c r="P16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Q16" s="6" t="inlineStr"/>
      <c r="R16" s="6" t="inlineStr"/>
      <c r="S16" s="5" t="n">
        <v>2</v>
      </c>
      <c r="T16" s="6" t="inlineStr">
        <is>
          <t>шт</t>
        </is>
      </c>
      <c r="U16" s="7" t="inlineStr">
        <is>
          <t>ГРАНВЭЛ ЗПТЛ FLN(w)-5-100-MR-HT Ду100 — Россия, ЗПВС в реестре МПТ</t>
        </is>
      </c>
      <c r="V16" s="7" t="inlineStr">
        <is>
          <t>ООО «ТД АДЛ» (Гранвэл/Гранлок, производство Лыткарино)</t>
        </is>
      </c>
      <c r="W16" s="7" t="inlineStr">
        <is>
          <t>Россия</t>
        </is>
      </c>
      <c r="X16" s="8" t="n"/>
      <c r="Y16" s="8" t="n"/>
      <c r="Z16" s="8" t="n"/>
      <c r="AA16" s="9" t="n"/>
      <c r="AB16" s="10">
        <f>AA16*S16</f>
        <v/>
      </c>
      <c r="AC16" s="8" t="n"/>
      <c r="AD16" s="8" t="n"/>
      <c r="AE16" s="8" t="n"/>
    </row>
    <row r="17" ht="60" customHeight="1">
      <c r="A17" s="5" t="n">
        <v>12</v>
      </c>
      <c r="B17" s="6" t="inlineStr">
        <is>
          <t>1.6/90</t>
        </is>
      </c>
      <c r="C17" s="6" t="inlineStr">
        <is>
          <t>Затвор дисковый поворотный(ГРЭНВЭЛ) ЗП ТЛ Ду 80 Ру 16</t>
        </is>
      </c>
      <c r="D17" s="6" t="inlineStr">
        <is>
          <t>-</t>
        </is>
      </c>
      <c r="E17" s="6" t="inlineStr">
        <is>
          <t>80</t>
        </is>
      </c>
      <c r="F17" s="6" t="inlineStr">
        <is>
          <t>стандарт</t>
        </is>
      </c>
      <c r="G17" s="6" t="inlineStr">
        <is>
          <t>1.6</t>
        </is>
      </c>
      <c r="H17" s="6" t="inlineStr">
        <is>
          <t>до + 110 °С</t>
        </is>
      </c>
      <c r="I17" s="6" t="inlineStr">
        <is>
          <t>теплоснабжение, горячий воздух (до 12 бар), питьевая горячая вода.</t>
        </is>
      </c>
      <c r="J17" s="6" t="inlineStr">
        <is>
          <t>серый чугун GG25</t>
        </is>
      </c>
      <c r="K17" s="6" t="inlineStr">
        <is>
          <t>У</t>
        </is>
      </c>
      <c r="L17" s="6" t="inlineStr">
        <is>
          <t>межфланцевый</t>
        </is>
      </c>
      <c r="M17" s="6" t="inlineStr">
        <is>
          <t>-</t>
        </is>
      </c>
      <c r="N17" s="6" t="inlineStr">
        <is>
          <t>-</t>
        </is>
      </c>
      <c r="O17" s="6" t="inlineStr">
        <is>
          <t>любое</t>
        </is>
      </c>
      <c r="P17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BD01M389</t>
        </is>
      </c>
      <c r="Q17" s="6" t="inlineStr"/>
      <c r="R17" s="6" t="inlineStr"/>
      <c r="S17" s="5" t="n">
        <v>1</v>
      </c>
      <c r="T17" s="6" t="inlineStr">
        <is>
          <t>шт</t>
        </is>
      </c>
      <c r="U17" s="7" t="inlineStr">
        <is>
          <t>ГРАНВЭЛ ЗПТЛ FLN(w)-5-080-MR-HT Ду80 — Россия, ЗПВС в реестре МПТ</t>
        </is>
      </c>
      <c r="V17" s="7" t="inlineStr">
        <is>
          <t>ООО «ТД АДЛ» (Гранвэл/Гранлок, производство Лыткарино)</t>
        </is>
      </c>
      <c r="W17" s="7" t="inlineStr">
        <is>
          <t>Россия</t>
        </is>
      </c>
      <c r="X17" s="8" t="n"/>
      <c r="Y17" s="8" t="n"/>
      <c r="Z17" s="8" t="n"/>
      <c r="AA17" s="9" t="n"/>
      <c r="AB17" s="10">
        <f>AA17*S17</f>
        <v/>
      </c>
      <c r="AC17" s="8" t="n"/>
      <c r="AD17" s="8" t="n"/>
      <c r="AE17" s="8" t="n"/>
    </row>
    <row r="18" ht="60" customHeight="1">
      <c r="A18" s="5" t="n">
        <v>13</v>
      </c>
      <c r="B18" s="6" t="inlineStr">
        <is>
          <t>1.6/91</t>
        </is>
      </c>
      <c r="C18" s="6" t="inlineStr">
        <is>
          <t>Затвор дисковый поворотный(ГРЭНВЭЛ) Тип /серия FL(w)-3-MR-E Ду 80 Ру 16</t>
        </is>
      </c>
      <c r="D18" s="6" t="inlineStr">
        <is>
          <t>ГОСТ Р 52720-2007</t>
        </is>
      </c>
      <c r="E18" s="6" t="inlineStr">
        <is>
          <t>80</t>
        </is>
      </c>
      <c r="F18" s="6" t="inlineStr">
        <is>
          <t>стандарт</t>
        </is>
      </c>
      <c r="G18" s="6" t="inlineStr">
        <is>
          <t>1.6</t>
        </is>
      </c>
      <c r="H18" s="6" t="inlineStr">
        <is>
          <t>от -20 до +110</t>
        </is>
      </c>
      <c r="I18" s="6" t="inlineStr">
        <is>
          <t>вода, воздух</t>
        </is>
      </c>
      <c r="J18" s="6" t="inlineStr">
        <is>
          <t>серый чугун GG25</t>
        </is>
      </c>
      <c r="K18" s="6" t="inlineStr">
        <is>
          <t>У</t>
        </is>
      </c>
      <c r="L18" s="6" t="inlineStr">
        <is>
          <t>межфланцевый</t>
        </is>
      </c>
      <c r="M18" s="6" t="inlineStr">
        <is>
          <t>ручной (рукоятка)</t>
        </is>
      </c>
      <c r="N18" s="6" t="inlineStr">
        <is>
          <t>-</t>
        </is>
      </c>
      <c r="O18" s="6" t="inlineStr">
        <is>
          <t>любое</t>
        </is>
      </c>
      <c r="P18" s="6" t="inlineStr">
        <is>
          <t>Материал диска: высокопрочный чугун с эпоксидным покрытием; Уплотнение : резина EPDM</t>
        </is>
      </c>
      <c r="Q18" s="6" t="inlineStr">
        <is>
          <t>-</t>
        </is>
      </c>
      <c r="R18" s="6" t="inlineStr">
        <is>
          <t>-</t>
        </is>
      </c>
      <c r="S18" s="5" t="n">
        <v>1</v>
      </c>
      <c r="T18" s="6" t="inlineStr">
        <is>
          <t>шт</t>
        </is>
      </c>
      <c r="U18" s="7" t="inlineStr">
        <is>
          <t>ГРАНВЭЛ ЗПВС FL(w)-3-080-MR-E Ду80 — Россия, ЗПВС в реестре МПТ</t>
        </is>
      </c>
      <c r="V18" s="7" t="inlineStr">
        <is>
          <t>ООО «ТД АДЛ» (Гранвэл/Гранлок, производство Лыткарино)</t>
        </is>
      </c>
      <c r="W18" s="7" t="inlineStr">
        <is>
          <t>Россия</t>
        </is>
      </c>
      <c r="X18" s="8" t="n"/>
      <c r="Y18" s="8" t="n"/>
      <c r="Z18" s="8" t="n"/>
      <c r="AA18" s="9" t="n"/>
      <c r="AB18" s="10">
        <f>AA18*S18</f>
        <v/>
      </c>
      <c r="AC18" s="8" t="n"/>
      <c r="AD18" s="8" t="n"/>
      <c r="AE18" s="8" t="n"/>
    </row>
    <row r="19" ht="60" customHeight="1">
      <c r="A19" s="11" t="inlineStr"/>
      <c r="B19" s="11" t="inlineStr"/>
      <c r="C19" s="11" t="inlineStr"/>
      <c r="D19" s="11" t="inlineStr"/>
      <c r="E19" s="11" t="inlineStr"/>
      <c r="F19" s="11" t="inlineStr"/>
      <c r="G19" s="11" t="inlineStr"/>
      <c r="H19" s="11" t="inlineStr"/>
      <c r="I19" s="11" t="inlineStr"/>
      <c r="J19" s="11" t="inlineStr"/>
      <c r="K19" s="11" t="inlineStr"/>
      <c r="L19" s="11" t="inlineStr"/>
      <c r="M19" s="11" t="inlineStr"/>
      <c r="N19" s="11" t="inlineStr"/>
      <c r="O19" s="11" t="inlineStr"/>
      <c r="P19" s="11" t="inlineStr"/>
      <c r="Q19" s="11" t="inlineStr"/>
      <c r="R19" s="11" t="inlineStr"/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>
        <is>
          <t>ИТОГО</t>
        </is>
      </c>
      <c r="AB19" s="12">
        <f>SUM(AB6:AB18)</f>
        <v/>
      </c>
      <c r="AC19" s="2" t="n"/>
      <c r="AD19" s="2" t="n"/>
      <c r="AE1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