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1.3/154</t>
        </is>
      </c>
      <c r="C5" s="6" t="inlineStr">
        <is>
          <t>Затвор дисковый поворотный(ГРЭНВЭЛ) Тип /серия FL(w)-3-MR-E Ду 100, Ру 16</t>
        </is>
      </c>
      <c r="D5" s="6" t="inlineStr">
        <is>
          <t>ТУ 3700-001-81673229-2007</t>
        </is>
      </c>
      <c r="E5" s="6" t="inlineStr">
        <is>
          <t>100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-20…+110</t>
        </is>
      </c>
      <c r="I5" s="6" t="inlineStr">
        <is>
          <t>вода</t>
        </is>
      </c>
      <c r="J5" s="6" t="inlineStr">
        <is>
          <t>Серый чугун EN-GJL-250</t>
        </is>
      </c>
      <c r="K5" s="6" t="inlineStr">
        <is>
          <t>Класс герметичности: А</t>
        </is>
      </c>
      <c r="L5" s="6" t="inlineStr">
        <is>
          <t>межфланцевый</t>
        </is>
      </c>
      <c r="M5" s="6" t="inlineStr">
        <is>
          <t>Ручной</t>
        </is>
      </c>
      <c r="N5" s="6" t="inlineStr">
        <is>
          <t>Ручка с фиксацией произвольного положения</t>
        </is>
      </c>
      <c r="O5" s="6" t="inlineStr">
        <is>
          <t>-</t>
        </is>
      </c>
      <c r="P5" s="6" t="inlineStr">
        <is>
          <t>Корпус: Серый чугун GG25 Седло: EPDM Диск: Нержавеющая сталь CF8M</t>
        </is>
      </c>
      <c r="Q5" s="6" t="inlineStr">
        <is>
          <t>-</t>
        </is>
      </c>
      <c r="R5" s="6" t="inlineStr">
        <is>
          <t>-</t>
        </is>
      </c>
      <c r="S5" s="5" t="n">
        <v>4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1.3/155</t>
        </is>
      </c>
      <c r="C6" s="6" t="inlineStr">
        <is>
          <t>Затвор дисковый поворотный(ГРЭНВЭЛ) ЗП ТЛ Ду 100 Ру 16</t>
        </is>
      </c>
      <c r="D6" s="6" t="inlineStr">
        <is>
          <t>ТУ 3700-001-81673229-2007</t>
        </is>
      </c>
      <c r="E6" s="6" t="inlineStr">
        <is>
          <t>100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до +115°C (кратковременно до +130°C)</t>
        </is>
      </c>
      <c r="I6" s="6" t="inlineStr">
        <is>
          <t>вода (в том числе питьевая), растворы гликоля до 45%, горячий воздух, прочие нейтральные среды</t>
        </is>
      </c>
      <c r="J6" s="6" t="inlineStr">
        <is>
          <t>Корпус: - Серый чугун GG25 • Высокопрочный чугун GGG40</t>
        </is>
      </c>
      <c r="K6" s="6" t="inlineStr"/>
      <c r="L6" s="6" t="inlineStr">
        <is>
          <t>межфланцевое</t>
        </is>
      </c>
      <c r="M6" s="6" t="inlineStr">
        <is>
          <t>ручной (рукоятка)</t>
        </is>
      </c>
      <c r="N6" s="6" t="inlineStr"/>
      <c r="O6" s="6" t="inlineStr"/>
      <c r="P6" s="6" t="inlineStr">
        <is>
          <t>Седло- EPDM HT; Диск - Нержавеющая сталь CF8M</t>
        </is>
      </c>
      <c r="Q6" s="6" t="inlineStr"/>
      <c r="R6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6" s="5" t="n">
        <v>16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1.3/156</t>
        </is>
      </c>
      <c r="C7" s="6" t="inlineStr">
        <is>
          <t>Затвор дисковый поворотный(ГРЭНВЭЛ) ЗП ТЛ Ду 150 Ру 16</t>
        </is>
      </c>
      <c r="D7" s="6" t="inlineStr">
        <is>
          <t>ТУ 3700-001-81673229-2007</t>
        </is>
      </c>
      <c r="E7" s="6" t="inlineStr">
        <is>
          <t>150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до +115°C (кратковременно до +130°C)</t>
        </is>
      </c>
      <c r="I7" s="6" t="inlineStr">
        <is>
          <t>вода (в том числе питьевая), растворы гликоля до 45%, горячий воздух, прочие нейтральные среды</t>
        </is>
      </c>
      <c r="J7" s="6" t="inlineStr">
        <is>
          <t>Корпус: - Серый чугун GG25 • Высокопрочный чугун GGG40</t>
        </is>
      </c>
      <c r="K7" s="6" t="inlineStr"/>
      <c r="L7" s="6" t="inlineStr">
        <is>
          <t>межфланцевое</t>
        </is>
      </c>
      <c r="M7" s="6" t="inlineStr">
        <is>
          <t>ручной (рукоятка)</t>
        </is>
      </c>
      <c r="N7" s="6" t="inlineStr"/>
      <c r="O7" s="6" t="inlineStr"/>
      <c r="P7" s="6" t="inlineStr">
        <is>
          <t>Седло- EPDM HT; Диск - Нержавеющая сталь CF8M</t>
        </is>
      </c>
      <c r="Q7" s="6" t="inlineStr"/>
      <c r="R7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7" s="5" t="n">
        <v>20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1.3/157</t>
        </is>
      </c>
      <c r="C8" s="6" t="inlineStr">
        <is>
          <t>Затвор дисковый поворотный(ГРЭНВЭЛ) ЗП ТЛ Ду 200 Ру 16</t>
        </is>
      </c>
      <c r="D8" s="6" t="inlineStr">
        <is>
          <t>ТУ 3700-001-81673229-2007</t>
        </is>
      </c>
      <c r="E8" s="6" t="inlineStr">
        <is>
          <t>200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+115°C (кратковременно до +130°C)</t>
        </is>
      </c>
      <c r="I8" s="6" t="inlineStr">
        <is>
          <t>вода (в том числе питьевая), растворы гликоля до 45%, горячий воздух, прочие нейтральные среды</t>
        </is>
      </c>
      <c r="J8" s="6" t="inlineStr">
        <is>
          <t>Корпус: - Серый чугун GG25 • Высокопрочный чугун GGG40</t>
        </is>
      </c>
      <c r="K8" s="6" t="inlineStr"/>
      <c r="L8" s="6" t="inlineStr">
        <is>
          <t>межфланцевое</t>
        </is>
      </c>
      <c r="M8" s="6" t="inlineStr">
        <is>
          <t>ручной (рукоятка)</t>
        </is>
      </c>
      <c r="N8" s="6" t="inlineStr"/>
      <c r="O8" s="6" t="inlineStr"/>
      <c r="P8" s="6" t="inlineStr">
        <is>
          <t>Седло- EPDM HT; Диск - Нержавеющая сталь CF8M</t>
        </is>
      </c>
      <c r="Q8" s="6" t="inlineStr"/>
      <c r="R8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8" s="5" t="n">
        <v>16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1.3/158</t>
        </is>
      </c>
      <c r="C9" s="6" t="inlineStr">
        <is>
          <t>Затвор дисковый поворотный(ГРЭНВЭЛ) ЗП ТЛ Ду 80 Ру 16</t>
        </is>
      </c>
      <c r="D9" s="6" t="inlineStr">
        <is>
          <t>ТУ 3700-001-81673229-2007</t>
        </is>
      </c>
      <c r="E9" s="6" t="inlineStr">
        <is>
          <t>80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+115°C (кратковременно до +130°C)</t>
        </is>
      </c>
      <c r="I9" s="6" t="inlineStr">
        <is>
          <t>вода (в том числе питьевая), растворы гликоля до 45%, горячий воздух, прочие нейтральные среды</t>
        </is>
      </c>
      <c r="J9" s="6" t="inlineStr">
        <is>
          <t>Корпус: - Серый чугун GG25 • Высокопрочный чугун GGG40</t>
        </is>
      </c>
      <c r="K9" s="6" t="inlineStr"/>
      <c r="L9" s="6" t="inlineStr">
        <is>
          <t>межфланцевое</t>
        </is>
      </c>
      <c r="M9" s="6" t="inlineStr">
        <is>
          <t>ручной (рукоятка)</t>
        </is>
      </c>
      <c r="N9" s="6" t="inlineStr"/>
      <c r="O9" s="6" t="inlineStr"/>
      <c r="P9" s="6" t="inlineStr">
        <is>
          <t>Седло- EPDM HT; Диск - Нержавеющая сталь CF8M</t>
        </is>
      </c>
      <c r="Q9" s="6" t="inlineStr"/>
      <c r="R9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BD01M38936</t>
        </is>
      </c>
      <c r="S9" s="5" t="n">
        <v>9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1.3/159</t>
        </is>
      </c>
      <c r="C10" s="6" t="inlineStr">
        <is>
          <t>Затвор дисковый поворотный(ГРЭНВЭЛ) Тип /серия FL(w)-3-MR-E Ду 150 Ру 16</t>
        </is>
      </c>
      <c r="D10" s="6" t="inlineStr">
        <is>
          <t>ТУ 3700-001-81673229-2007</t>
        </is>
      </c>
      <c r="E10" s="6" t="inlineStr">
        <is>
          <t>150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-20…+110</t>
        </is>
      </c>
      <c r="I10" s="6" t="inlineStr">
        <is>
          <t>вода</t>
        </is>
      </c>
      <c r="J10" s="6" t="inlineStr">
        <is>
          <t>Серый чугун EN-GJL-250</t>
        </is>
      </c>
      <c r="K10" s="6" t="inlineStr">
        <is>
          <t>Класс герметичности: А</t>
        </is>
      </c>
      <c r="L10" s="6" t="inlineStr">
        <is>
          <t>межфланцевый</t>
        </is>
      </c>
      <c r="M10" s="6" t="inlineStr">
        <is>
          <t>Ручной</t>
        </is>
      </c>
      <c r="N10" s="6" t="inlineStr">
        <is>
          <t>Ручка с фиксацией произвольного положения</t>
        </is>
      </c>
      <c r="O10" s="6" t="inlineStr">
        <is>
          <t>-</t>
        </is>
      </c>
      <c r="P10" s="6" t="inlineStr">
        <is>
          <t>Корпус: Серый чугун GG25 Седло: EPDM Диск: Нержавеющая сталь CF8M</t>
        </is>
      </c>
      <c r="Q10" s="6" t="inlineStr">
        <is>
          <t>-</t>
        </is>
      </c>
      <c r="R10" s="6" t="inlineStr">
        <is>
          <t>-</t>
        </is>
      </c>
      <c r="S10" s="5" t="n">
        <v>25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1.3/160</t>
        </is>
      </c>
      <c r="C11" s="6" t="inlineStr">
        <is>
          <t>Затвор дисковый поворотный(ГРЭНВЭЛ) Тип /серия FL(w)-3-MR-E Ду 200 Ру 16</t>
        </is>
      </c>
      <c r="D11" s="6" t="inlineStr">
        <is>
          <t>ТУ 3700-001-81673229-2007</t>
        </is>
      </c>
      <c r="E11" s="6" t="inlineStr">
        <is>
          <t>200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-20…+110</t>
        </is>
      </c>
      <c r="I11" s="6" t="inlineStr">
        <is>
          <t>вода</t>
        </is>
      </c>
      <c r="J11" s="6" t="inlineStr">
        <is>
          <t>Серый чугун EN-GJL-250</t>
        </is>
      </c>
      <c r="K11" s="6" t="inlineStr">
        <is>
          <t>Класс герметичности: А</t>
        </is>
      </c>
      <c r="L11" s="6" t="inlineStr">
        <is>
          <t>межфланцевый</t>
        </is>
      </c>
      <c r="M11" s="6" t="inlineStr">
        <is>
          <t>Ручной</t>
        </is>
      </c>
      <c r="N11" s="6" t="inlineStr">
        <is>
          <t>Ручка с фиксацией произвольного положения</t>
        </is>
      </c>
      <c r="O11" s="6" t="inlineStr">
        <is>
          <t>-</t>
        </is>
      </c>
      <c r="P11" s="6" t="inlineStr">
        <is>
          <t>Корпус: Серый чугун GG25 Седло: EPDM Диск: Нержавеющая сталь CF8M</t>
        </is>
      </c>
      <c r="Q11" s="6" t="inlineStr">
        <is>
          <t>-</t>
        </is>
      </c>
      <c r="R11" s="6" t="inlineStr">
        <is>
          <t>-</t>
        </is>
      </c>
      <c r="S11" s="5" t="n">
        <v>6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1.3/161</t>
        </is>
      </c>
      <c r="C12" s="6" t="inlineStr">
        <is>
          <t>Затвор дисковый поворотный(ГРЭНВЭЛ) Тип /серия FL(w)-3-MR-E Ду 80</t>
        </is>
      </c>
      <c r="D12" s="6" t="inlineStr">
        <is>
          <t>ТУ 3700-001-81673229-2007</t>
        </is>
      </c>
      <c r="E12" s="6" t="inlineStr">
        <is>
          <t>80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-20…+110</t>
        </is>
      </c>
      <c r="I12" s="6" t="inlineStr">
        <is>
          <t>вода</t>
        </is>
      </c>
      <c r="J12" s="6" t="inlineStr">
        <is>
          <t>Серый чугун EN-GJL-250</t>
        </is>
      </c>
      <c r="K12" s="6" t="inlineStr">
        <is>
          <t>Класс герметичности: А</t>
        </is>
      </c>
      <c r="L12" s="6" t="inlineStr">
        <is>
          <t>межфланцевый</t>
        </is>
      </c>
      <c r="M12" s="6" t="inlineStr">
        <is>
          <t>Ручной</t>
        </is>
      </c>
      <c r="N12" s="6" t="inlineStr">
        <is>
          <t>Ручка с фиксацией произвольного положения</t>
        </is>
      </c>
      <c r="O12" s="6" t="inlineStr">
        <is>
          <t>-</t>
        </is>
      </c>
      <c r="P12" s="6" t="inlineStr">
        <is>
          <t>Корпус: Серый чугун GG25 Седло: EPDM Диск: Нержавеющая сталь CF8M</t>
        </is>
      </c>
      <c r="Q12" s="6" t="inlineStr">
        <is>
          <t>-</t>
        </is>
      </c>
      <c r="R12" s="6" t="inlineStr">
        <is>
          <t>-</t>
        </is>
      </c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1.3/162</t>
        </is>
      </c>
      <c r="C13" s="6" t="inlineStr">
        <is>
          <t>Затвор поворотный дисковый Ду 65 Ру 16  ГРАНВЭЛ тип ЗПВС</t>
        </is>
      </c>
      <c r="D13" s="6" t="inlineStr">
        <is>
          <t>ТУ 3700-001-81673229-2007</t>
        </is>
      </c>
      <c r="E13" s="6" t="inlineStr">
        <is>
          <t>65</t>
        </is>
      </c>
      <c r="F13" s="6" t="inlineStr">
        <is>
          <t>стандарт</t>
        </is>
      </c>
      <c r="G13" s="6" t="inlineStr">
        <is>
          <t>1.6</t>
        </is>
      </c>
      <c r="H13" s="6" t="inlineStr">
        <is>
          <t>-20…+112</t>
        </is>
      </c>
      <c r="I13" s="6" t="inlineStr">
        <is>
          <t>Вода</t>
        </is>
      </c>
      <c r="J13" s="6" t="inlineStr">
        <is>
          <t>чугун</t>
        </is>
      </c>
      <c r="K13" s="6" t="inlineStr">
        <is>
          <t>У1</t>
        </is>
      </c>
      <c r="L13" s="6" t="inlineStr">
        <is>
          <t>межфланцовое</t>
        </is>
      </c>
      <c r="M13" s="6" t="inlineStr">
        <is>
          <t>Ручное</t>
        </is>
      </c>
      <c r="N13" s="6" t="inlineStr">
        <is>
          <t>Рукоятка</t>
        </is>
      </c>
      <c r="O13" s="6" t="inlineStr">
        <is>
          <t>любое</t>
        </is>
      </c>
      <c r="P13" s="6" t="inlineStr">
        <is>
          <t>Затвор диска поворотный ЗПВС-FL(w)-3150-MR-E, ДУ-65, РУ-16, межфланцовый, рукоятка, корпус-GG25, диск-GGG40, седло -EPDM, Т раб=-15…+110С</t>
        </is>
      </c>
      <c r="Q13" s="6" t="inlineStr">
        <is>
          <t>-</t>
        </is>
      </c>
      <c r="R13" s="6" t="inlineStr"/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1.6/11</t>
        </is>
      </c>
      <c r="C14" s="6" t="inlineStr">
        <is>
          <t>Клапан предохранительный 17с11нж Ду 25 Ру 16</t>
        </is>
      </c>
      <c r="D14" s="6" t="inlineStr">
        <is>
          <t>ТУ 3742-005-22294686-2009</t>
        </is>
      </c>
      <c r="E14" s="6" t="inlineStr">
        <is>
          <t>25</t>
        </is>
      </c>
      <c r="F14" s="6" t="inlineStr">
        <is>
          <t>стандарт</t>
        </is>
      </c>
      <c r="G14" s="6" t="inlineStr">
        <is>
          <t>1.6</t>
        </is>
      </c>
      <c r="H14" s="6" t="inlineStr">
        <is>
          <t>От -40 до +225</t>
        </is>
      </c>
      <c r="I14" s="6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14" s="6" t="inlineStr">
        <is>
          <t>Углеродистая сталь</t>
        </is>
      </c>
      <c r="K14" s="6" t="inlineStr">
        <is>
          <t>У</t>
        </is>
      </c>
      <c r="L14" s="6" t="inlineStr">
        <is>
          <t>Штуцерно-торцевое</t>
        </is>
      </c>
      <c r="M14" s="6" t="inlineStr">
        <is>
          <t>-</t>
        </is>
      </c>
      <c r="N14" s="6" t="inlineStr">
        <is>
          <t>-</t>
        </is>
      </c>
      <c r="O14" s="6" t="inlineStr">
        <is>
          <t>-</t>
        </is>
      </c>
      <c r="P14" s="6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14" s="6" t="inlineStr"/>
      <c r="R14" s="6" t="inlineStr"/>
      <c r="S14" s="5" t="n">
        <v>2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11</v>
      </c>
      <c r="B15" s="6" t="inlineStr">
        <is>
          <t>1.6/89</t>
        </is>
      </c>
      <c r="C15" s="6" t="inlineStr">
        <is>
          <t>Затвор дисковый поворотный(ГРЭНВЭЛ) ЗП ТЛ Ду 100, Ру 16</t>
        </is>
      </c>
      <c r="D15" s="6" t="inlineStr">
        <is>
          <t>-</t>
        </is>
      </c>
      <c r="E15" s="6" t="inlineStr">
        <is>
          <t>100</t>
        </is>
      </c>
      <c r="F15" s="6" t="inlineStr">
        <is>
          <t>стандарт</t>
        </is>
      </c>
      <c r="G15" s="6" t="inlineStr">
        <is>
          <t>1.6</t>
        </is>
      </c>
      <c r="H15" s="6" t="inlineStr">
        <is>
          <t>до + 110 °С</t>
        </is>
      </c>
      <c r="I15" s="6" t="inlineStr">
        <is>
          <t>теплоснабжение, горячий воздух (до 12 бар), питьевая горячая вода.</t>
        </is>
      </c>
      <c r="J15" s="6" t="inlineStr">
        <is>
          <t>серый чугун GG25</t>
        </is>
      </c>
      <c r="K15" s="6" t="inlineStr">
        <is>
          <t>У</t>
        </is>
      </c>
      <c r="L15" s="6" t="inlineStr">
        <is>
          <t>межфланцевый</t>
        </is>
      </c>
      <c r="M15" s="6" t="inlineStr">
        <is>
          <t>-</t>
        </is>
      </c>
      <c r="N15" s="6" t="inlineStr">
        <is>
          <t>-</t>
        </is>
      </c>
      <c r="O15" s="6" t="inlineStr">
        <is>
          <t>любое</t>
        </is>
      </c>
      <c r="P15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Q15" s="6" t="inlineStr"/>
      <c r="R15" s="6" t="inlineStr"/>
      <c r="S15" s="5" t="n">
        <v>2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5" t="n">
        <v>12</v>
      </c>
      <c r="B16" s="6" t="inlineStr">
        <is>
          <t>1.6/90</t>
        </is>
      </c>
      <c r="C16" s="6" t="inlineStr">
        <is>
          <t>Затвор дисковый поворотный(ГРЭНВЭЛ) ЗП ТЛ Ду 80 Ру 16</t>
        </is>
      </c>
      <c r="D16" s="6" t="inlineStr">
        <is>
          <t>-</t>
        </is>
      </c>
      <c r="E16" s="6" t="inlineStr">
        <is>
          <t>80</t>
        </is>
      </c>
      <c r="F16" s="6" t="inlineStr">
        <is>
          <t>стандарт</t>
        </is>
      </c>
      <c r="G16" s="6" t="inlineStr">
        <is>
          <t>1.6</t>
        </is>
      </c>
      <c r="H16" s="6" t="inlineStr">
        <is>
          <t>до + 110 °С</t>
        </is>
      </c>
      <c r="I16" s="6" t="inlineStr">
        <is>
          <t>теплоснабжение, горячий воздух (до 12 бар), питьевая горячая вода.</t>
        </is>
      </c>
      <c r="J16" s="6" t="inlineStr">
        <is>
          <t>серый чугун GG25</t>
        </is>
      </c>
      <c r="K16" s="6" t="inlineStr">
        <is>
          <t>У</t>
        </is>
      </c>
      <c r="L16" s="6" t="inlineStr">
        <is>
          <t>межфланцевый</t>
        </is>
      </c>
      <c r="M16" s="6" t="inlineStr">
        <is>
          <t>-</t>
        </is>
      </c>
      <c r="N16" s="6" t="inlineStr">
        <is>
          <t>-</t>
        </is>
      </c>
      <c r="O16" s="6" t="inlineStr">
        <is>
          <t>любое</t>
        </is>
      </c>
      <c r="P16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BD01M389</t>
        </is>
      </c>
      <c r="Q16" s="6" t="inlineStr"/>
      <c r="R16" s="6" t="inlineStr"/>
      <c r="S16" s="5" t="n">
        <v>1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8" t="n"/>
      <c r="AB16" s="9">
        <f>AA16*S16</f>
        <v/>
      </c>
      <c r="AC16" s="7" t="n"/>
      <c r="AD16" s="7" t="n"/>
      <c r="AE16" s="7" t="n"/>
    </row>
    <row r="17" ht="60" customHeight="1">
      <c r="A17" s="5" t="n">
        <v>13</v>
      </c>
      <c r="B17" s="6" t="inlineStr">
        <is>
          <t>1.6/91</t>
        </is>
      </c>
      <c r="C17" s="6" t="inlineStr">
        <is>
          <t>Затвор дисковый поворотный(ГРЭНВЭЛ) Тип /серия FL(w)-3-MR-E Ду 80 Ру 16</t>
        </is>
      </c>
      <c r="D17" s="6" t="inlineStr">
        <is>
          <t>ГОСТ Р 52720-2007</t>
        </is>
      </c>
      <c r="E17" s="6" t="inlineStr">
        <is>
          <t>80</t>
        </is>
      </c>
      <c r="F17" s="6" t="inlineStr">
        <is>
          <t>стандарт</t>
        </is>
      </c>
      <c r="G17" s="6" t="inlineStr">
        <is>
          <t>1.6</t>
        </is>
      </c>
      <c r="H17" s="6" t="inlineStr">
        <is>
          <t>от -20 до +110</t>
        </is>
      </c>
      <c r="I17" s="6" t="inlineStr">
        <is>
          <t>вода, воздух</t>
        </is>
      </c>
      <c r="J17" s="6" t="inlineStr">
        <is>
          <t>серый чугун GG25</t>
        </is>
      </c>
      <c r="K17" s="6" t="inlineStr">
        <is>
          <t>У</t>
        </is>
      </c>
      <c r="L17" s="6" t="inlineStr">
        <is>
          <t>межфланцевый</t>
        </is>
      </c>
      <c r="M17" s="6" t="inlineStr">
        <is>
          <t>ручной (рукоятка)</t>
        </is>
      </c>
      <c r="N17" s="6" t="inlineStr">
        <is>
          <t>-</t>
        </is>
      </c>
      <c r="O17" s="6" t="inlineStr">
        <is>
          <t>любое</t>
        </is>
      </c>
      <c r="P17" s="6" t="inlineStr">
        <is>
          <t>Материал диска: высокопрочный чугун с эпоксидным покрытием; Уплотнение : резина EPDM</t>
        </is>
      </c>
      <c r="Q17" s="6" t="inlineStr">
        <is>
          <t>-</t>
        </is>
      </c>
      <c r="R17" s="6" t="inlineStr">
        <is>
          <t>-</t>
        </is>
      </c>
      <c r="S17" s="5" t="n">
        <v>1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8" t="n"/>
      <c r="AB17" s="9">
        <f>AA17*S17</f>
        <v/>
      </c>
      <c r="AC17" s="7" t="n"/>
      <c r="AD17" s="7" t="n"/>
      <c r="AE17" s="7" t="n"/>
    </row>
    <row r="18" ht="60" customHeight="1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10" t="inlineStr"/>
      <c r="Y18" s="10" t="inlineStr"/>
      <c r="Z18" s="10" t="inlineStr"/>
      <c r="AA18" s="10" t="inlineStr">
        <is>
          <t>ИТОГО</t>
        </is>
      </c>
      <c r="AB18" s="11">
        <f>SUM(AB5:AB17)</f>
        <v/>
      </c>
      <c r="AC18" s="2" t="n"/>
      <c r="AD18" s="2" t="n"/>
      <c r="AE1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2026-10-27T16:27:35Z</dcterms:created>
  <dcterms:modified xmlns:dcterms="http://purl.org/dc/terms/" xmlns:xsi="http://www.w3.org/2001/XMLSchema-instance" xsi:type="dcterms:W3CDTF">2026-10-27T16:27:35Z</dcterms:modified>
</cp:coreProperties>
</file>