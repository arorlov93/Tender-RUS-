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20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АО «Энерготехномаш»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Графы марка / производитель / страна / № записи частично ПРЕДЗАПОЛНЕНЫ нами по вашему КП и открытым данным — проверьте и исправьте, если не так.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8" customHeight="1">
      <c r="A4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4" t="inlineStr">
        <is>
          <t>Предлагаемая марка / обозначение</t>
        </is>
      </c>
      <c r="V5" s="4" t="inlineStr">
        <is>
          <t>Производитель (завод)</t>
        </is>
      </c>
      <c r="W5" s="4" t="inlineStr">
        <is>
          <t>Страна происхождения</t>
        </is>
      </c>
      <c r="X5" s="4" t="inlineStr">
        <is>
          <t>№ реестровой записи (ПП 719) или евразийского реестра</t>
        </is>
      </c>
      <c r="Y5" s="4" t="inlineStr">
        <is>
          <t>Срок действия записи</t>
        </is>
      </c>
      <c r="Z5" s="4" t="inlineStr">
        <is>
          <t>Соответствие ТЗ: «да» или отличия</t>
        </is>
      </c>
      <c r="AA5" s="4" t="inlineStr">
        <is>
          <t>Цена за ед. с НДС, ₽</t>
        </is>
      </c>
      <c r="AB5" s="4" t="inlineStr">
        <is>
          <t>Сумма с НДС, ₽</t>
        </is>
      </c>
      <c r="AC5" s="4" t="inlineStr">
        <is>
          <t>Срок отгрузки</t>
        </is>
      </c>
      <c r="AD5" s="4" t="inlineStr">
        <is>
          <t>Вес ед., кг / габариты</t>
        </is>
      </c>
      <c r="AE5" s="4" t="inlineStr">
        <is>
          <t>Сертификат / декларация ТР ТС №</t>
        </is>
      </c>
    </row>
    <row r="6" ht="60" customHeight="1">
      <c r="A6" s="5" t="n">
        <v>1</v>
      </c>
      <c r="B6" s="6" t="inlineStr">
        <is>
          <t>1.3/1</t>
        </is>
      </c>
      <c r="C6" s="6" t="inlineStr">
        <is>
          <t>Клапан регулирующий 25с947нж Ду 50 Ру 25 с ЭИМ</t>
        </is>
      </c>
      <c r="D6" s="6" t="inlineStr">
        <is>
          <t>ГОСТ 33259-2015 ТУ 3722-002-22294686-2005</t>
        </is>
      </c>
      <c r="E6" s="6" t="inlineStr">
        <is>
          <t>50</t>
        </is>
      </c>
      <c r="F6" s="6" t="inlineStr">
        <is>
          <t>стандарт</t>
        </is>
      </c>
      <c r="G6" s="6" t="inlineStr">
        <is>
          <t>2.5</t>
        </is>
      </c>
      <c r="H6" s="6" t="inlineStr">
        <is>
          <t>до    +425С</t>
        </is>
      </c>
      <c r="I6" s="6" t="inlineStr">
        <is>
          <t>вода</t>
        </is>
      </c>
      <c r="J6" s="6" t="inlineStr">
        <is>
          <t>Сталь марки 25Л ГОСТ 977-88</t>
        </is>
      </c>
      <c r="K6" s="6" t="inlineStr">
        <is>
          <t>У1</t>
        </is>
      </c>
      <c r="L6" s="6" t="inlineStr">
        <is>
          <t>фланец-фланец</t>
        </is>
      </c>
      <c r="M6" s="6" t="inlineStr">
        <is>
          <t>электропривод</t>
        </is>
      </c>
      <c r="N6" s="6" t="inlineStr">
        <is>
          <t>для автоматического регулирования технологических процессов</t>
        </is>
      </c>
      <c r="O6" s="6" t="inlineStr">
        <is>
          <t>горизонтальное       (ЭИМ вверх)</t>
        </is>
      </c>
      <c r="P6" s="6" t="inlineStr">
        <is>
          <t>плунжер, седло - Сталь 20Х13 ГОСТ 5632-2014 уплотнение в затворе - «металл по металлу» уплотнение сальника - ТРГ</t>
        </is>
      </c>
      <c r="Q6" s="6" t="inlineStr">
        <is>
          <t>L=160мм.</t>
        </is>
      </c>
      <c r="R6" s="6" t="inlineStr"/>
      <c r="S6" s="5" t="n">
        <v>1</v>
      </c>
      <c r="T6" s="6" t="inlineStr">
        <is>
          <t>шт</t>
        </is>
      </c>
      <c r="U6" s="7" t="n"/>
      <c r="V6" s="8" t="inlineStr">
        <is>
          <t>АО «Энерготехномаш»</t>
        </is>
      </c>
      <c r="W6" s="8" t="inlineStr">
        <is>
          <t>Россия</t>
        </is>
      </c>
      <c r="X6" s="8" t="inlineStr">
        <is>
          <t>10870236</t>
        </is>
      </c>
      <c r="Y6" s="8" t="inlineStr">
        <is>
          <t>30.06.2031</t>
        </is>
      </c>
      <c r="Z6" s="7" t="n"/>
      <c r="AA6" s="9" t="n"/>
      <c r="AB6" s="10">
        <f>AA6*S6</f>
        <v/>
      </c>
      <c r="AC6" s="7" t="n"/>
      <c r="AD6" s="7" t="n"/>
      <c r="AE6" s="7" t="n"/>
    </row>
    <row r="7" ht="60" customHeight="1">
      <c r="A7" s="5" t="n">
        <v>2</v>
      </c>
      <c r="B7" s="6" t="inlineStr">
        <is>
          <t>1.3/6</t>
        </is>
      </c>
      <c r="C7" s="6" t="inlineStr">
        <is>
          <t>Регулирующий клапан Ридан VFG-2R Ду 100, Kvs 125, Ру 16</t>
        </is>
      </c>
      <c r="D7" s="6" t="inlineStr">
        <is>
          <t>ТУ 28.14.11-002-72323163-2022</t>
        </is>
      </c>
      <c r="E7" s="6" t="inlineStr">
        <is>
          <t>100</t>
        </is>
      </c>
      <c r="F7" s="6" t="inlineStr"/>
      <c r="G7" s="6" t="inlineStr">
        <is>
          <t>1.6</t>
        </is>
      </c>
      <c r="H7" s="6" t="inlineStr">
        <is>
          <t>от 2–150 °С</t>
        </is>
      </c>
      <c r="I7" s="6" t="inlineStr">
        <is>
          <t>Вода или 30% водный раствор гликоля</t>
        </is>
      </c>
      <c r="J7" s="6" t="inlineStr">
        <is>
          <t>Углеродистая сталь WCB</t>
        </is>
      </c>
      <c r="K7" s="6" t="inlineStr"/>
      <c r="L7" s="6" t="inlineStr">
        <is>
          <t>фланцевое болтовое</t>
        </is>
      </c>
      <c r="M7" s="6" t="inlineStr"/>
      <c r="N7" s="6" t="inlineStr"/>
      <c r="O7" s="6" t="inlineStr">
        <is>
          <t>горизонтальное</t>
        </is>
      </c>
      <c r="P7" s="6" t="inlineStr">
        <is>
          <t>Номинальный диаметр (DN), мм 100
Номинальное давление (PN), бар 16
Климатическое исполнение Категория 3 по ГОСТ 15150-69
L, мм 350
Запорный элемент (шар, диск, золотник) Нержавеющая сталь
Рабочая среда Вода или 30% водный раствор гликоля
Температура рабочей среды, °С 2–150 °С
Коэффициент начала кавитации 0,4
Масса, кг, не более 60
Уплотнение нет уплотнения по штоку
B, мм 380
Шток Cталь
Седло Нержавеющая сталь
Пропускная способность Kvs, м³/ч 125
Герметичность затвора (объем протечки / класс герметичности) 0,04%Kvs
Тип присоединения к трубопроводу фланцы по ГОСТ 33259
Вид привода или регулирующего блока AFP-R; AFD-R; AFA-R; AFPA-R; AFT-06R; AFT-17R.
Корпус Углеродистая сталь WCB</t>
        </is>
      </c>
      <c r="Q7" s="6" t="inlineStr">
        <is>
          <t>строительная длинна, 350 мм</t>
        </is>
      </c>
      <c r="R7" s="6" t="inlineStr">
        <is>
          <t>каталожный  № 065B2396R</t>
        </is>
      </c>
      <c r="S7" s="5" t="n">
        <v>2</v>
      </c>
      <c r="T7" s="6" t="inlineStr">
        <is>
          <t>шт</t>
        </is>
      </c>
      <c r="U7" s="7" t="n"/>
      <c r="V7" s="8" t="inlineStr">
        <is>
          <t>АО «Энерготехномаш»</t>
        </is>
      </c>
      <c r="W7" s="8" t="inlineStr">
        <is>
          <t>Россия</t>
        </is>
      </c>
      <c r="X7" s="8" t="inlineStr">
        <is>
          <t>10789125</t>
        </is>
      </c>
      <c r="Y7" s="8" t="inlineStr">
        <is>
          <t>30.06.2031</t>
        </is>
      </c>
      <c r="Z7" s="7" t="n"/>
      <c r="AA7" s="9" t="n"/>
      <c r="AB7" s="10">
        <f>AA7*S7</f>
        <v/>
      </c>
      <c r="AC7" s="7" t="n"/>
      <c r="AD7" s="7" t="n"/>
      <c r="AE7" s="7" t="n"/>
    </row>
    <row r="8" ht="60" customHeight="1">
      <c r="A8" s="5" t="n">
        <v>3</v>
      </c>
      <c r="B8" s="6" t="inlineStr">
        <is>
          <t>1.3/7</t>
        </is>
      </c>
      <c r="C8" s="6" t="inlineStr">
        <is>
          <t>Регулирующий клапан Ридан VFG-2R Ду 32, Kvs 16,  Ру 16</t>
        </is>
      </c>
      <c r="D8" s="6" t="inlineStr">
        <is>
          <t>ТУ 28.14.11-002-72323163-2022</t>
        </is>
      </c>
      <c r="E8" s="6" t="inlineStr">
        <is>
          <t>32</t>
        </is>
      </c>
      <c r="F8" s="6" t="inlineStr"/>
      <c r="G8" s="6" t="inlineStr">
        <is>
          <t>1.6</t>
        </is>
      </c>
      <c r="H8" s="6" t="inlineStr">
        <is>
          <t>от 2–150 °С</t>
        </is>
      </c>
      <c r="I8" s="6" t="inlineStr">
        <is>
          <t>Вода или 30% водный раствор гликоля</t>
        </is>
      </c>
      <c r="J8" s="6" t="inlineStr">
        <is>
          <t>Углеродистая сталь WCB</t>
        </is>
      </c>
      <c r="K8" s="6" t="inlineStr"/>
      <c r="L8" s="6" t="inlineStr">
        <is>
          <t>фланцевое болтовое</t>
        </is>
      </c>
      <c r="M8" s="6" t="inlineStr"/>
      <c r="N8" s="6" t="inlineStr"/>
      <c r="O8" s="6" t="inlineStr">
        <is>
          <t>горизонтальное</t>
        </is>
      </c>
      <c r="P8" s="6" t="inlineStr">
        <is>
          <t>Номинальный диаметр (DN), мм 32
Номинальное давление (PN), бар 16
Пропускная способность Kvs, м³/ч 16
Рабочая среда Вода или 30% водный раствор гликоля
Температура рабочей среды, °С 2–150 °С
Герметичность затвора (объем протечки / класс
герметичности)
0,04%Kvs
Климатическое исполнение Категория 3 по ГОСТ 15150-69
Тип присоединения к трубопроводу фланцы по ГОСТ 33259
Коэффициент начала кавитации 0,55
Вид привода или регулирующего блока AFP-R; AFD-R; AFA-R; AFPA-R; AFT-06R; AFT17R.
Масса, кг, не более 13
Запорный элемент (шар, диск, золотник) Нержавеющая сталь
Седло Нержавеющая сталь
Уплотнение нет уплотнения по штоку
Корпус Углеродистая сталь WCB
Шток Cталь</t>
        </is>
      </c>
      <c r="Q8" s="6" t="inlineStr">
        <is>
          <t>строительная длинна, 180 мм</t>
        </is>
      </c>
      <c r="R8" s="6" t="inlineStr">
        <is>
          <t>каталожный  № 065B2391R</t>
        </is>
      </c>
      <c r="S8" s="5" t="n">
        <v>4</v>
      </c>
      <c r="T8" s="6" t="inlineStr">
        <is>
          <t>шт</t>
        </is>
      </c>
      <c r="U8" s="7" t="n"/>
      <c r="V8" s="8" t="inlineStr">
        <is>
          <t>АО «Энерготехномаш»</t>
        </is>
      </c>
      <c r="W8" s="8" t="inlineStr">
        <is>
          <t>Россия</t>
        </is>
      </c>
      <c r="X8" s="8" t="inlineStr">
        <is>
          <t>10789125</t>
        </is>
      </c>
      <c r="Y8" s="8" t="inlineStr">
        <is>
          <t>30.06.2031</t>
        </is>
      </c>
      <c r="Z8" s="7" t="n"/>
      <c r="AA8" s="9" t="n"/>
      <c r="AB8" s="10">
        <f>AA8*S8</f>
        <v/>
      </c>
      <c r="AC8" s="7" t="n"/>
      <c r="AD8" s="7" t="n"/>
      <c r="AE8" s="7" t="n"/>
    </row>
    <row r="9" ht="60" customHeight="1">
      <c r="A9" s="5" t="n">
        <v>4</v>
      </c>
      <c r="B9" s="6" t="inlineStr">
        <is>
          <t>1.3/8</t>
        </is>
      </c>
      <c r="C9" s="6" t="inlineStr">
        <is>
          <t>регулирующий клапан Ридан VFG-2R Ду 80, Kvs 80,  Ру 16</t>
        </is>
      </c>
      <c r="D9" s="6" t="inlineStr">
        <is>
          <t>ТУ 28.14.11-002-72323163-2022</t>
        </is>
      </c>
      <c r="E9" s="6" t="inlineStr">
        <is>
          <t>80</t>
        </is>
      </c>
      <c r="F9" s="6" t="inlineStr"/>
      <c r="G9" s="6" t="inlineStr">
        <is>
          <t>1.6</t>
        </is>
      </c>
      <c r="H9" s="6" t="inlineStr">
        <is>
          <t>от 2–150 °С</t>
        </is>
      </c>
      <c r="I9" s="6" t="inlineStr">
        <is>
          <t>Вода или 30% водный раствор гликоля</t>
        </is>
      </c>
      <c r="J9" s="6" t="inlineStr">
        <is>
          <t>Углеродистая сталь WCB</t>
        </is>
      </c>
      <c r="K9" s="6" t="inlineStr"/>
      <c r="L9" s="6" t="inlineStr">
        <is>
          <t>фланцевое болтовое</t>
        </is>
      </c>
      <c r="M9" s="6" t="inlineStr"/>
      <c r="N9" s="6" t="inlineStr"/>
      <c r="O9" s="6" t="inlineStr">
        <is>
          <t>горизонтальное</t>
        </is>
      </c>
      <c r="P9" s="6" t="inlineStr">
        <is>
          <t>Номинальный диаметр (DN), мм 80
Номинальное давление (PN), бар 16
Климатическое исполнение Категория 3 по ГОСТ 15150-69
L, мм 310
Запорный элемент (шар, диск, золотник) Нержавеющая сталь
Рабочая среда Вода или 30% водный раствор гликоля
Температура рабочей среды, °С 2–150 °С
Коэффициент начала кавитации 0,45
Масса, кг, не более 33
Уплотнение нет уплотнения по штоку
B, мм 275
Шток Cталь
Седло Нержавеющая сталь
Пропускная способность Kvs, м³/ч 80
Герметичность затвора (объем протечки / класс герметичности) 0,04%Kvs
Тип присоединения к трубопроводу фланцы по ГОСТ 33259
Вид привода или регулирующего блока AFP-R; AFD-R; AFA-R; AFPA-R; AFT-06R; AFT-17R.
Корпус Углеродистая сталь WCB</t>
        </is>
      </c>
      <c r="Q9" s="6" t="inlineStr">
        <is>
          <t>строительная длинна, 310 мм</t>
        </is>
      </c>
      <c r="R9" s="6" t="inlineStr">
        <is>
          <t>каталожный номер 065B2395R</t>
        </is>
      </c>
      <c r="S9" s="5" t="n">
        <v>2</v>
      </c>
      <c r="T9" s="6" t="inlineStr">
        <is>
          <t>шт</t>
        </is>
      </c>
      <c r="U9" s="7" t="n"/>
      <c r="V9" s="8" t="inlineStr">
        <is>
          <t>АО «Энерготехномаш»</t>
        </is>
      </c>
      <c r="W9" s="8" t="inlineStr">
        <is>
          <t>Россия</t>
        </is>
      </c>
      <c r="X9" s="8" t="inlineStr">
        <is>
          <t>10789125</t>
        </is>
      </c>
      <c r="Y9" s="8" t="inlineStr">
        <is>
          <t>30.06.2031</t>
        </is>
      </c>
      <c r="Z9" s="7" t="n"/>
      <c r="AA9" s="9" t="n"/>
      <c r="AB9" s="10">
        <f>AA9*S9</f>
        <v/>
      </c>
      <c r="AC9" s="7" t="n"/>
      <c r="AD9" s="7" t="n"/>
      <c r="AE9" s="7" t="n"/>
    </row>
    <row r="10" ht="60" customHeight="1">
      <c r="A10" s="5" t="n">
        <v>5</v>
      </c>
      <c r="B10" s="6" t="inlineStr">
        <is>
          <t>1.3/9</t>
        </is>
      </c>
      <c r="C10" s="6" t="inlineStr">
        <is>
          <t>Регулятор давления РД-НО (Нормально открытый) Ду 25 Ру 16</t>
        </is>
      </c>
      <c r="D10" s="6" t="inlineStr">
        <is>
          <t>СНИЦ.423.117.013ТУ</t>
        </is>
      </c>
      <c r="E10" s="6" t="inlineStr">
        <is>
          <t>25</t>
        </is>
      </c>
      <c r="F10" s="6" t="inlineStr">
        <is>
          <t>полнопроходной</t>
        </is>
      </c>
      <c r="G10" s="6" t="inlineStr">
        <is>
          <t>1.6</t>
        </is>
      </c>
      <c r="H10" s="6" t="inlineStr">
        <is>
          <t>от 00С до    +180С</t>
        </is>
      </c>
      <c r="I10" s="6" t="inlineStr">
        <is>
          <t>вода</t>
        </is>
      </c>
      <c r="J10" s="6" t="inlineStr">
        <is>
          <t>чугун СЧ20 ГОСТ1412</t>
        </is>
      </c>
      <c r="K10" s="6" t="inlineStr">
        <is>
          <t>В условиях У по ГОСТ 15150-69 при соблюдении условий, установленных ГОСТ Р 52931-2008 для группы В4</t>
        </is>
      </c>
      <c r="L10" s="6" t="inlineStr">
        <is>
          <t>фланцевое</t>
        </is>
      </c>
      <c r="M10" s="6" t="inlineStr">
        <is>
          <t>автоматически действующая трубопроводная арматура</t>
        </is>
      </c>
      <c r="N10" s="6" t="inlineStr">
        <is>
          <t>поддержание заданного давления</t>
        </is>
      </c>
      <c r="O10" s="6" t="inlineStr">
        <is>
          <t>вертикальное, мембранным узлом вверх</t>
        </is>
      </c>
      <c r="P10" s="6" t="inlineStr">
        <is>
          <t>стакан-бронза; клапан (поршень)-сталь 20Х13; шток-сталь 20Х13; мембрана-EPDM; пружина настройки-сталь; сильфон-36НХТЮ; дублирующее кольцо-фторопласт</t>
        </is>
      </c>
      <c r="Q10" s="6" t="inlineStr">
        <is>
          <t>L=160мм.</t>
        </is>
      </c>
      <c r="R10" s="6" t="inlineStr">
        <is>
          <t>Пропускная способность — 6м3
Предел регулирования - 0,1...0,63 Мпа
Уплотнение — сальникоковое</t>
        </is>
      </c>
      <c r="S10" s="5" t="n">
        <v>2</v>
      </c>
      <c r="T10" s="6" t="inlineStr">
        <is>
          <t>шт</t>
        </is>
      </c>
      <c r="U10" s="7" t="n"/>
      <c r="V10" s="8" t="inlineStr">
        <is>
          <t>АО «Энерготехномаш»</t>
        </is>
      </c>
      <c r="W10" s="8" t="inlineStr">
        <is>
          <t>Россия</t>
        </is>
      </c>
      <c r="X10" s="8" t="inlineStr">
        <is>
          <t>10789125</t>
        </is>
      </c>
      <c r="Y10" s="8" t="inlineStr">
        <is>
          <t>30.06.2031</t>
        </is>
      </c>
      <c r="Z10" s="7" t="n"/>
      <c r="AA10" s="9" t="n"/>
      <c r="AB10" s="10">
        <f>AA10*S10</f>
        <v/>
      </c>
      <c r="AC10" s="7" t="n"/>
      <c r="AD10" s="7" t="n"/>
      <c r="AE10" s="7" t="n"/>
    </row>
    <row r="11" ht="60" customHeight="1">
      <c r="A11" s="5" t="n">
        <v>6</v>
      </c>
      <c r="B11" s="6" t="inlineStr">
        <is>
          <t>1.3/10</t>
        </is>
      </c>
      <c r="C11" s="6" t="inlineStr">
        <is>
          <t>Регулятор давления РД-НО (Нормально открытый) Ду 32 Ру 16</t>
        </is>
      </c>
      <c r="D11" s="6" t="inlineStr">
        <is>
          <t>СНИЦ.423.117.013 ТУ</t>
        </is>
      </c>
      <c r="E11" s="6" t="inlineStr">
        <is>
          <t>32</t>
        </is>
      </c>
      <c r="F11" s="6" t="inlineStr">
        <is>
          <t>полнопроходной</t>
        </is>
      </c>
      <c r="G11" s="6" t="inlineStr">
        <is>
          <t>1.6</t>
        </is>
      </c>
      <c r="H11" s="6" t="inlineStr">
        <is>
          <t>До +95°С</t>
        </is>
      </c>
      <c r="I11" s="6" t="inlineStr">
        <is>
          <t>вода</t>
        </is>
      </c>
      <c r="J11" s="6" t="inlineStr">
        <is>
          <t>чугун СЧ20 ГОСТ1412</t>
        </is>
      </c>
      <c r="K11" s="6" t="inlineStr">
        <is>
          <t>В условиях У по ГОСТ 15150-69 при соблюдении условий, установленных ГОСТ Р 52931-2008 для группы В4</t>
        </is>
      </c>
      <c r="L11" s="6" t="inlineStr">
        <is>
          <t>фланцевое</t>
        </is>
      </c>
      <c r="M11" s="6" t="inlineStr">
        <is>
          <t>автоматический</t>
        </is>
      </c>
      <c r="N11" s="6" t="inlineStr">
        <is>
          <t>поддержание заданного давления</t>
        </is>
      </c>
      <c r="O11" s="6" t="inlineStr">
        <is>
          <t>Вертикальное, мембраной вверх</t>
        </is>
      </c>
      <c r="P11" s="6" t="inlineStr">
        <is>
          <t>Седло-ВЧ40 ГОСТ7293-85, шток-сталь 20Л ГОСТ977-88, исполнительный орган-12Х18Н9ТЛ ГОСТ977-88.</t>
        </is>
      </c>
      <c r="Q11" s="6" t="inlineStr">
        <is>
          <t>◦H = 630 мм
◦L = 180 мм (строительная длина)</t>
        </is>
      </c>
      <c r="R11" s="6" t="inlineStr">
        <is>
          <t>Пропускная способность - 16м3
Предел регулирования - 0,1...0,63 Мпа
Уплотнение - сальниковое
Габаритный размер — Н=620мм</t>
        </is>
      </c>
      <c r="S11" s="5" t="n">
        <v>1</v>
      </c>
      <c r="T11" s="6" t="inlineStr">
        <is>
          <t>шт</t>
        </is>
      </c>
      <c r="U11" s="7" t="n"/>
      <c r="V11" s="8" t="inlineStr">
        <is>
          <t>АО «Энерготехномаш»</t>
        </is>
      </c>
      <c r="W11" s="8" t="inlineStr">
        <is>
          <t>Россия</t>
        </is>
      </c>
      <c r="X11" s="8" t="inlineStr">
        <is>
          <t>10789125</t>
        </is>
      </c>
      <c r="Y11" s="8" t="inlineStr">
        <is>
          <t>30.06.2031</t>
        </is>
      </c>
      <c r="Z11" s="7" t="n"/>
      <c r="AA11" s="9" t="n"/>
      <c r="AB11" s="10">
        <f>AA11*S11</f>
        <v/>
      </c>
      <c r="AC11" s="7" t="n"/>
      <c r="AD11" s="7" t="n"/>
      <c r="AE11" s="7" t="n"/>
    </row>
    <row r="12" ht="60" customHeight="1">
      <c r="A12" s="5" t="n">
        <v>7</v>
      </c>
      <c r="B12" s="6" t="inlineStr">
        <is>
          <t>1.3/11</t>
        </is>
      </c>
      <c r="C12" s="6" t="inlineStr">
        <is>
          <t>Регулятор давления РД-НО (Нормально открытый) Ду 50 Ру 16</t>
        </is>
      </c>
      <c r="D12" s="6" t="inlineStr">
        <is>
          <t>СНИЦ.423.117.013 ТУ</t>
        </is>
      </c>
      <c r="E12" s="6" t="inlineStr">
        <is>
          <t>50</t>
        </is>
      </c>
      <c r="F12" s="6" t="inlineStr">
        <is>
          <t>полнопроходной</t>
        </is>
      </c>
      <c r="G12" s="6" t="inlineStr">
        <is>
          <t>1.6</t>
        </is>
      </c>
      <c r="H12" s="6" t="inlineStr">
        <is>
          <t>До +95°С</t>
        </is>
      </c>
      <c r="I12" s="6" t="inlineStr">
        <is>
          <t>вода</t>
        </is>
      </c>
      <c r="J12" s="6" t="inlineStr">
        <is>
          <t>чугун СЧ20 ГОСТ1412</t>
        </is>
      </c>
      <c r="K12" s="6" t="inlineStr">
        <is>
          <t>В условиях У по ГОСТ 15150-69 при соблюдении условий, установленных ГОСТ Р 52931-2008 для группы В4</t>
        </is>
      </c>
      <c r="L12" s="6" t="inlineStr">
        <is>
          <t>фланцевое</t>
        </is>
      </c>
      <c r="M12" s="6" t="inlineStr">
        <is>
          <t>автоматический</t>
        </is>
      </c>
      <c r="N12" s="6" t="inlineStr">
        <is>
          <t>поддержание заданного давления</t>
        </is>
      </c>
      <c r="O12" s="6" t="inlineStr">
        <is>
          <t>Вертикальное, мембраной вверх</t>
        </is>
      </c>
      <c r="P12" s="6" t="inlineStr">
        <is>
          <t>Седло-ВЧ40 ГОСТ7293-85, шток-сталь 20Л ГОСТ977-88, исполнительный орган-12Х18Н9ТЛ ГОСТ977-88.</t>
        </is>
      </c>
      <c r="Q12" s="6" t="inlineStr">
        <is>
          <t>◦H = 650 мм
◦L = 230 мм (строительная длина)</t>
        </is>
      </c>
      <c r="R12" s="6" t="inlineStr">
        <is>
          <t>Пропускная способность - 20м3
Предел регулирования - 0,1...0,63 Мпа
Уплотнение - сальниковое</t>
        </is>
      </c>
      <c r="S12" s="5" t="n">
        <v>3</v>
      </c>
      <c r="T12" s="6" t="inlineStr">
        <is>
          <t>шт</t>
        </is>
      </c>
      <c r="U12" s="7" t="n"/>
      <c r="V12" s="8" t="inlineStr">
        <is>
          <t>АО «Энерготехномаш»</t>
        </is>
      </c>
      <c r="W12" s="8" t="inlineStr">
        <is>
          <t>Россия</t>
        </is>
      </c>
      <c r="X12" s="8" t="inlineStr">
        <is>
          <t>10789125</t>
        </is>
      </c>
      <c r="Y12" s="8" t="inlineStr">
        <is>
          <t>30.06.2031</t>
        </is>
      </c>
      <c r="Z12" s="7" t="n"/>
      <c r="AA12" s="9" t="n"/>
      <c r="AB12" s="10">
        <f>AA12*S12</f>
        <v/>
      </c>
      <c r="AC12" s="7" t="n"/>
      <c r="AD12" s="7" t="n"/>
      <c r="AE12" s="7" t="n"/>
    </row>
    <row r="13" ht="60" customHeight="1">
      <c r="A13" s="5" t="n">
        <v>8</v>
      </c>
      <c r="B13" s="6" t="inlineStr">
        <is>
          <t>1.3/12</t>
        </is>
      </c>
      <c r="C13" s="6" t="inlineStr">
        <is>
          <t>Регулятор давления РД-НО (Нормально открытый) Ду 80 Ру 16</t>
        </is>
      </c>
      <c r="D13" s="6" t="inlineStr">
        <is>
          <t>СНИЦ.423.117.013 ТУ</t>
        </is>
      </c>
      <c r="E13" s="6" t="inlineStr">
        <is>
          <t>80</t>
        </is>
      </c>
      <c r="F13" s="6" t="inlineStr">
        <is>
          <t>полнопроходной</t>
        </is>
      </c>
      <c r="G13" s="6" t="inlineStr">
        <is>
          <t>1.6</t>
        </is>
      </c>
      <c r="H13" s="6" t="inlineStr">
        <is>
          <t>До +180°С</t>
        </is>
      </c>
      <c r="I13" s="6" t="inlineStr">
        <is>
          <t>вода</t>
        </is>
      </c>
      <c r="J13" s="6" t="inlineStr">
        <is>
          <t>Сталь марки 20</t>
        </is>
      </c>
      <c r="K13" s="6" t="inlineStr">
        <is>
          <t>в условиях У по ГОСТ 15150-69 при соблюдении условий, установленных ГОСТ Р 52931-2008 для группы В4</t>
        </is>
      </c>
      <c r="L13" s="6" t="inlineStr">
        <is>
          <t>фланцевое</t>
        </is>
      </c>
      <c r="M13" s="6" t="inlineStr">
        <is>
          <t>автоматический</t>
        </is>
      </c>
      <c r="N13" s="6" t="inlineStr">
        <is>
          <t>поддержание заданного давления</t>
        </is>
      </c>
      <c r="O13" s="6" t="inlineStr">
        <is>
          <t>мембраной вверх</t>
        </is>
      </c>
      <c r="P13" s="6" t="inlineStr">
        <is>
          <t>Седло-ВЧ40 ГОСТ7293-85, шток-сталь 20Л ГОСТ977-88, исполнительный орган-12Х18Н9ТЛ ГОСТ977-88.</t>
        </is>
      </c>
      <c r="Q13" s="6" t="inlineStr">
        <is>
          <t>◦H = 800 мм
◦D1 = 133 мм
◦D2 = 160 мм
◦D3 = 195 мм
◦D4 = 18 мм
◦L = 310 мм (строительная длина)
◦B = 310 мм
◦n = 4 мм</t>
        </is>
      </c>
      <c r="R13" s="6" t="inlineStr">
        <is>
          <t>Пропускная способность:  40 м3, 
уплотнение: сальниковое;
пределы регулирования от 0,1 до 0,63 МПа..</t>
        </is>
      </c>
      <c r="S13" s="5" t="n">
        <v>3</v>
      </c>
      <c r="T13" s="6" t="inlineStr">
        <is>
          <t>шт</t>
        </is>
      </c>
      <c r="U13" s="7" t="n"/>
      <c r="V13" s="8" t="inlineStr">
        <is>
          <t>АО «Энерготехномаш»</t>
        </is>
      </c>
      <c r="W13" s="8" t="inlineStr">
        <is>
          <t>Россия</t>
        </is>
      </c>
      <c r="X13" s="8" t="inlineStr">
        <is>
          <t>10789125</t>
        </is>
      </c>
      <c r="Y13" s="8" t="inlineStr">
        <is>
          <t>30.06.2031</t>
        </is>
      </c>
      <c r="Z13" s="7" t="n"/>
      <c r="AA13" s="9" t="n"/>
      <c r="AB13" s="10">
        <f>AA13*S13</f>
        <v/>
      </c>
      <c r="AC13" s="7" t="n"/>
      <c r="AD13" s="7" t="n"/>
      <c r="AE13" s="7" t="n"/>
    </row>
    <row r="14" ht="60" customHeight="1">
      <c r="A14" s="5" t="n">
        <v>9</v>
      </c>
      <c r="B14" s="6" t="inlineStr">
        <is>
          <t>1.3/13</t>
        </is>
      </c>
      <c r="C14" s="6" t="inlineStr">
        <is>
          <t>Регулирующий блок после себя AFD Ду 15-250 с диапазоном настройки Ру 25</t>
        </is>
      </c>
      <c r="D14" s="6" t="inlineStr"/>
      <c r="E14" s="6" t="inlineStr">
        <is>
          <t>15-250</t>
        </is>
      </c>
      <c r="F14" s="6" t="inlineStr">
        <is>
          <t>отсутствует</t>
        </is>
      </c>
      <c r="G14" s="6" t="inlineStr">
        <is>
          <t>Условное давление датчика (PN), погружная
гильза,
2,5</t>
        </is>
      </c>
      <c r="H14" s="6" t="inlineStr">
        <is>
          <t>от 2–150 °С</t>
        </is>
      </c>
      <c r="I14" s="6" t="inlineStr">
        <is>
          <t>Вода или 30% водный раствор гликоля</t>
        </is>
      </c>
      <c r="J14" s="6" t="inlineStr">
        <is>
          <t>Нержавеющая сталь</t>
        </is>
      </c>
      <c r="K14" s="6" t="inlineStr">
        <is>
          <t>Категория 3 по ГОСТ 15150-69</t>
        </is>
      </c>
      <c r="L14" s="6" t="inlineStr">
        <is>
          <t>отсутствует</t>
        </is>
      </c>
      <c r="M14" s="6" t="inlineStr">
        <is>
          <t>отсутствует</t>
        </is>
      </c>
      <c r="N14" s="6" t="inlineStr">
        <is>
          <t>-</t>
        </is>
      </c>
      <c r="O14" s="6" t="inlineStr">
        <is>
          <t>вертикальное</t>
        </is>
      </c>
      <c r="P14" s="6" t="inlineStr">
        <is>
          <t>Номинальный диаметр (DN), мм 15-250
Условное давление датчика (PN), погружная
гильза, бар
25
Рабочая среда см. характеристики регулирующего клапана
Диапазон регулируемого давления ΔPрег., бар 1–6
Вид регулирующего клапана VFG-2R
Площадь регулирующей диафрагмы, см2 80
Цвет пружины красный
Климатическое исполнение Категория 3 по ГОСТ 15150-69
Корпус регулирующего блока Нержавеющая сталь
Регулирующая диафрагма EPDM</t>
        </is>
      </c>
      <c r="Q14" s="6" t="inlineStr">
        <is>
          <t>H, мм
430</t>
        </is>
      </c>
      <c r="R14" s="6" t="inlineStr">
        <is>
          <t>Каталожный номер 003G1002R</t>
        </is>
      </c>
      <c r="S14" s="5" t="n">
        <v>2</v>
      </c>
      <c r="T14" s="6" t="inlineStr">
        <is>
          <t>шт</t>
        </is>
      </c>
      <c r="U14" s="7" t="n"/>
      <c r="V14" s="8" t="inlineStr">
        <is>
          <t>АО «Энерготехномаш»</t>
        </is>
      </c>
      <c r="W14" s="8" t="inlineStr">
        <is>
          <t>Россия</t>
        </is>
      </c>
      <c r="X14" s="8" t="inlineStr">
        <is>
          <t>10789125</t>
        </is>
      </c>
      <c r="Y14" s="8" t="inlineStr">
        <is>
          <t>30.06.2031</t>
        </is>
      </c>
      <c r="Z14" s="7" t="n"/>
      <c r="AA14" s="9" t="n"/>
      <c r="AB14" s="10">
        <f>AA14*S14</f>
        <v/>
      </c>
      <c r="AC14" s="7" t="n"/>
      <c r="AD14" s="7" t="n"/>
      <c r="AE14" s="7" t="n"/>
    </row>
    <row r="15" ht="60" customHeight="1">
      <c r="A15" s="5" t="n">
        <v>10</v>
      </c>
      <c r="B15" s="6" t="inlineStr">
        <is>
          <t>1.3/67</t>
        </is>
      </c>
      <c r="C15" s="6" t="inlineStr">
        <is>
          <t>Клапан запорный 15ч93эм Ду 20 Ру 16</t>
        </is>
      </c>
      <c r="D15" s="6" t="inlineStr">
        <is>
          <t>ТУ 26-07-1051-84</t>
        </is>
      </c>
      <c r="E15" s="6" t="inlineStr">
        <is>
          <t>20</t>
        </is>
      </c>
      <c r="F15" s="6" t="inlineStr">
        <is>
          <t>стандарт</t>
        </is>
      </c>
      <c r="G15" s="6" t="inlineStr">
        <is>
          <t>1.6</t>
        </is>
      </c>
      <c r="H15" s="6" t="inlineStr">
        <is>
          <t>От -15°С до +120°С</t>
        </is>
      </c>
      <c r="I15" s="6" t="inlineStr">
        <is>
          <t>Агрессивная</t>
        </is>
      </c>
      <c r="J15" s="6" t="inlineStr">
        <is>
          <t>Серый чугун СЧ18</t>
        </is>
      </c>
      <c r="K15" s="6" t="inlineStr">
        <is>
          <t>УХЛ4</t>
        </is>
      </c>
      <c r="L15" s="6" t="inlineStr">
        <is>
          <t>фланец-фланец</t>
        </is>
      </c>
      <c r="M15" s="6" t="inlineStr">
        <is>
          <t>ручное</t>
        </is>
      </c>
      <c r="N15" s="6" t="inlineStr">
        <is>
          <t>маховик</t>
        </is>
      </c>
      <c r="O15" s="6" t="inlineStr">
        <is>
          <t>любое</t>
        </is>
      </c>
      <c r="P15" s="6" t="inlineStr">
        <is>
          <t>Корпус: чугун.
Крышка: чугун.
Шпиндель: сталь.
Крестовина: чугун.
Диафрагма: фторопласт-4.</t>
        </is>
      </c>
      <c r="Q15" s="6" t="inlineStr">
        <is>
          <t>L-150мм, Н-146мм</t>
        </is>
      </c>
      <c r="R15" s="6" t="inlineStr"/>
      <c r="S15" s="5" t="n">
        <v>2</v>
      </c>
      <c r="T15" s="6" t="inlineStr">
        <is>
          <t>шт</t>
        </is>
      </c>
      <c r="U15" s="7" t="n"/>
      <c r="V15" s="8" t="inlineStr">
        <is>
          <t>АО «Энерготехномаш»</t>
        </is>
      </c>
      <c r="W15" s="8" t="inlineStr">
        <is>
          <t>Россия</t>
        </is>
      </c>
      <c r="X15" s="8" t="inlineStr">
        <is>
          <t>10870236</t>
        </is>
      </c>
      <c r="Y15" s="8" t="inlineStr">
        <is>
          <t>30.06.2031</t>
        </is>
      </c>
      <c r="Z15" s="7" t="n"/>
      <c r="AA15" s="9" t="n"/>
      <c r="AB15" s="10">
        <f>AA15*S15</f>
        <v/>
      </c>
      <c r="AC15" s="7" t="n"/>
      <c r="AD15" s="7" t="n"/>
      <c r="AE15" s="7" t="n"/>
    </row>
    <row r="16" ht="60" customHeight="1">
      <c r="A16" s="5" t="n">
        <v>11</v>
      </c>
      <c r="B16" s="6" t="inlineStr">
        <is>
          <t>1.6/1</t>
        </is>
      </c>
      <c r="C16" s="6" t="inlineStr">
        <is>
          <t>Клапан регулирующий 25с947нж Ду 25 Ру 25 с ЭИМ</t>
        </is>
      </c>
      <c r="D16" s="6" t="inlineStr">
        <is>
          <t>ТУ 3742-002-22294686-2005</t>
        </is>
      </c>
      <c r="E16" s="6" t="inlineStr">
        <is>
          <t>25</t>
        </is>
      </c>
      <c r="F16" s="6" t="inlineStr">
        <is>
          <t>стандарт</t>
        </is>
      </c>
      <c r="G16" s="6" t="inlineStr">
        <is>
          <t>2.5</t>
        </is>
      </c>
      <c r="H16" s="6" t="inlineStr">
        <is>
          <t>от -40 до +425</t>
        </is>
      </c>
      <c r="I16" s="6" t="inlineStr">
        <is>
          <t>вода, воздух, пар, аммиак, природный газ, нефть, нефтепродукты.</t>
        </is>
      </c>
      <c r="J16" s="6" t="inlineStr">
        <is>
          <t>сталь</t>
        </is>
      </c>
      <c r="K16" s="6" t="inlineStr">
        <is>
          <t>У1</t>
        </is>
      </c>
      <c r="L16" s="6" t="inlineStr">
        <is>
          <t>фланцевый</t>
        </is>
      </c>
      <c r="M16" s="6" t="inlineStr">
        <is>
          <t>электропривод ST «Regada»</t>
        </is>
      </c>
      <c r="N16" s="6" t="inlineStr">
        <is>
          <t>взравозащищённый</t>
        </is>
      </c>
      <c r="O16" s="6" t="inlineStr">
        <is>
          <t>вертикальное</t>
        </is>
      </c>
      <c r="P16" s="6" t="inlineStr">
        <is>
          <t>-</t>
        </is>
      </c>
      <c r="Q16" s="6" t="inlineStr">
        <is>
          <t>-</t>
        </is>
      </c>
      <c r="R16" s="6" t="inlineStr">
        <is>
          <t>"REGADA", АС 220 В, АС 380 В, DC 24 В</t>
        </is>
      </c>
      <c r="S16" s="5" t="n">
        <v>1</v>
      </c>
      <c r="T16" s="6" t="inlineStr">
        <is>
          <t>шт</t>
        </is>
      </c>
      <c r="U16" s="7" t="n"/>
      <c r="V16" s="8" t="inlineStr">
        <is>
          <t>АО «Энерготехномаш»</t>
        </is>
      </c>
      <c r="W16" s="8" t="inlineStr">
        <is>
          <t>Россия</t>
        </is>
      </c>
      <c r="X16" s="8" t="inlineStr">
        <is>
          <t>10870236</t>
        </is>
      </c>
      <c r="Y16" s="8" t="inlineStr">
        <is>
          <t>30.06.2031</t>
        </is>
      </c>
      <c r="Z16" s="7" t="n"/>
      <c r="AA16" s="9" t="n"/>
      <c r="AB16" s="10">
        <f>AA16*S16</f>
        <v/>
      </c>
      <c r="AC16" s="7" t="n"/>
      <c r="AD16" s="7" t="n"/>
      <c r="AE16" s="7" t="n"/>
    </row>
    <row r="17" ht="60" customHeight="1">
      <c r="A17" s="5" t="n">
        <v>12</v>
      </c>
      <c r="B17" s="6" t="inlineStr">
        <is>
          <t>1.6/2</t>
        </is>
      </c>
      <c r="C17" s="6" t="inlineStr">
        <is>
          <t>Клапан регулирующий 25с947нж Ду 50 Ру 25 с ЭИМ</t>
        </is>
      </c>
      <c r="D17" s="6" t="inlineStr">
        <is>
          <t>ТУ 3742-002-22294686-2005</t>
        </is>
      </c>
      <c r="E17" s="6" t="inlineStr">
        <is>
          <t>50</t>
        </is>
      </c>
      <c r="F17" s="6" t="inlineStr">
        <is>
          <t>стандарт</t>
        </is>
      </c>
      <c r="G17" s="6" t="inlineStr">
        <is>
          <t>2.5</t>
        </is>
      </c>
      <c r="H17" s="6" t="inlineStr">
        <is>
          <t>от -40 до +425</t>
        </is>
      </c>
      <c r="I17" s="6" t="inlineStr">
        <is>
          <t>вода, воздух, пар, аммиак, природный газ, нефть, нефтепродукты.</t>
        </is>
      </c>
      <c r="J17" s="6" t="inlineStr">
        <is>
          <t>сталь</t>
        </is>
      </c>
      <c r="K17" s="6" t="inlineStr">
        <is>
          <t>У1</t>
        </is>
      </c>
      <c r="L17" s="6" t="inlineStr">
        <is>
          <t>фланцевый</t>
        </is>
      </c>
      <c r="M17" s="6" t="inlineStr">
        <is>
          <t>электропривод ST «Regada»</t>
        </is>
      </c>
      <c r="N17" s="6" t="inlineStr">
        <is>
          <t>взравозащищённый</t>
        </is>
      </c>
      <c r="O17" s="6" t="inlineStr">
        <is>
          <t>вертикальное</t>
        </is>
      </c>
      <c r="P17" s="6" t="inlineStr">
        <is>
          <t>-</t>
        </is>
      </c>
      <c r="Q17" s="6" t="inlineStr">
        <is>
          <t>-</t>
        </is>
      </c>
      <c r="R17" s="6" t="inlineStr">
        <is>
          <t>"REGADA", АС 220 В, АС 380 В, DC 24 В</t>
        </is>
      </c>
      <c r="S17" s="5" t="n">
        <v>1</v>
      </c>
      <c r="T17" s="6" t="inlineStr">
        <is>
          <t>шт</t>
        </is>
      </c>
      <c r="U17" s="7" t="n"/>
      <c r="V17" s="8" t="inlineStr">
        <is>
          <t>АО «Энерготехномаш»</t>
        </is>
      </c>
      <c r="W17" s="8" t="inlineStr">
        <is>
          <t>Россия</t>
        </is>
      </c>
      <c r="X17" s="8" t="inlineStr">
        <is>
          <t>10870236</t>
        </is>
      </c>
      <c r="Y17" s="8" t="inlineStr">
        <is>
          <t>30.06.2031</t>
        </is>
      </c>
      <c r="Z17" s="7" t="n"/>
      <c r="AA17" s="9" t="n"/>
      <c r="AB17" s="10">
        <f>AA17*S17</f>
        <v/>
      </c>
      <c r="AC17" s="7" t="n"/>
      <c r="AD17" s="7" t="n"/>
      <c r="AE17" s="7" t="n"/>
    </row>
    <row r="18" ht="60" customHeight="1">
      <c r="A18" s="5" t="n">
        <v>13</v>
      </c>
      <c r="B18" s="6" t="inlineStr">
        <is>
          <t>1.6/3</t>
        </is>
      </c>
      <c r="C18" s="6" t="inlineStr">
        <is>
          <t>Регулирующий клапан Ридан VFG-2R Ду 80, Kvs 80, Ру 16</t>
        </is>
      </c>
      <c r="D18" s="6" t="inlineStr">
        <is>
          <t>ТУ 28.14.11-002-72323163-2022</t>
        </is>
      </c>
      <c r="E18" s="6" t="inlineStr">
        <is>
          <t>80</t>
        </is>
      </c>
      <c r="F18" s="6" t="inlineStr">
        <is>
          <t>стандарт</t>
        </is>
      </c>
      <c r="G18" s="6" t="inlineStr">
        <is>
          <t>1.6</t>
        </is>
      </c>
      <c r="H18" s="6" t="inlineStr">
        <is>
          <t>от 2 до +150 C</t>
        </is>
      </c>
      <c r="I18" s="6" t="inlineStr">
        <is>
          <t>вода, 30% водный раствор гликоля</t>
        </is>
      </c>
      <c r="J18" s="6" t="inlineStr">
        <is>
          <t>чугун</t>
        </is>
      </c>
      <c r="K18" s="6" t="inlineStr">
        <is>
          <t>-</t>
        </is>
      </c>
      <c r="L18" s="6" t="inlineStr">
        <is>
          <t>фланцевый</t>
        </is>
      </c>
      <c r="M18" s="6" t="inlineStr">
        <is>
          <t>-</t>
        </is>
      </c>
      <c r="N18" s="6" t="inlineStr">
        <is>
          <t>-</t>
        </is>
      </c>
      <c r="O18" s="6" t="inlineStr">
        <is>
          <t>-</t>
        </is>
      </c>
      <c r="P18" s="6" t="inlineStr">
        <is>
          <t>Температура рабочей среды, °С	2–150 °С
Тип присоединения к трубопроводу	фланцы по ГОСТ 33259
Масса, кг, не более	33
Пропускная способность Kvs, м³/ч	80
Рабочая среда	Вода или 30% водный раствор гликоля
Модель	VFG-2R
Диаметр, Ду	80
Давление, Ру	16</t>
        </is>
      </c>
      <c r="Q18" s="6" t="inlineStr">
        <is>
          <t>-</t>
        </is>
      </c>
      <c r="R18" s="6" t="inlineStr">
        <is>
          <t>-</t>
        </is>
      </c>
      <c r="S18" s="5" t="n">
        <v>1</v>
      </c>
      <c r="T18" s="6" t="inlineStr">
        <is>
          <t>шт</t>
        </is>
      </c>
      <c r="U18" s="7" t="n"/>
      <c r="V18" s="8" t="inlineStr">
        <is>
          <t>АО «Энерготехномаш»</t>
        </is>
      </c>
      <c r="W18" s="8" t="inlineStr">
        <is>
          <t>Россия</t>
        </is>
      </c>
      <c r="X18" s="8" t="inlineStr">
        <is>
          <t>10789125</t>
        </is>
      </c>
      <c r="Y18" s="8" t="inlineStr">
        <is>
          <t>30.06.2031</t>
        </is>
      </c>
      <c r="Z18" s="7" t="n"/>
      <c r="AA18" s="9" t="n"/>
      <c r="AB18" s="10">
        <f>AA18*S18</f>
        <v/>
      </c>
      <c r="AC18" s="7" t="n"/>
      <c r="AD18" s="7" t="n"/>
      <c r="AE18" s="7" t="n"/>
    </row>
    <row r="19" ht="60" customHeight="1">
      <c r="A19" s="5" t="n">
        <v>14</v>
      </c>
      <c r="B19" s="6" t="inlineStr">
        <is>
          <t>1.7/1</t>
        </is>
      </c>
      <c r="C19" s="6" t="inlineStr">
        <is>
          <t>АРТ-85 Ду 50 Ру 16 "после себя"</t>
        </is>
      </c>
      <c r="D19" s="6" t="inlineStr">
        <is>
          <t>-</t>
        </is>
      </c>
      <c r="E19" s="6" t="inlineStr">
        <is>
          <t>50</t>
        </is>
      </c>
      <c r="F19" s="6" t="inlineStr">
        <is>
          <t>-</t>
        </is>
      </c>
      <c r="G19" s="6" t="inlineStr">
        <is>
          <t>1.6</t>
        </is>
      </c>
      <c r="H19" s="6" t="inlineStr">
        <is>
          <t>для воды до +150°С, для газов до +80°С</t>
        </is>
      </c>
      <c r="I19" s="6" t="inlineStr">
        <is>
          <t>жидкая и газообразная, не агрессивная к применяемым материалам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фланцевый</t>
        </is>
      </c>
      <c r="M19" s="6" t="inlineStr">
        <is>
          <t>-</t>
        </is>
      </c>
      <c r="N19" s="6" t="inlineStr">
        <is>
          <t>-</t>
        </is>
      </c>
      <c r="O19" s="6" t="inlineStr">
        <is>
          <t>"после себя"</t>
        </is>
      </c>
      <c r="P19" s="6" t="inlineStr">
        <is>
          <t>Условный диаметр Ду, мМ 50
Диапазон настройки давления на выходе регулятора, МПа (кгс/см2)	0,05…1,2 (0,5…12)
Коэффициент условной пропускной способности, Кvy, м3/ч	20	32
Зона пропорциональности, в % от верхнего предела настройки	0,05…1,2 (0,5…12)
Зона нечувствительности, в % от верхнего предела настройки	не более 4
Постоянная времени, с	не более 16
Минимальный перепад давления на клапанной тарели, МПа*	0,05 (0,5)
Рабочая среда	теплоноситель тепловых сетей, вода, воздух, газообразные среды, нейтральные к материалам контактирующих деталей
Условное давление рабочей среды Ру, МПа	1,6 (2,5; 4,0 — под заказ)
Температура рабочей среды, °С	+2…150 — вода, -10…+80 — газы</t>
        </is>
      </c>
      <c r="Q19" s="6" t="inlineStr">
        <is>
          <t>-</t>
        </is>
      </c>
      <c r="R19" s="6" t="inlineStr">
        <is>
          <t>-</t>
        </is>
      </c>
      <c r="S19" s="5" t="n">
        <v>1</v>
      </c>
      <c r="T19" s="6" t="inlineStr">
        <is>
          <t>шт</t>
        </is>
      </c>
      <c r="U19" s="7" t="n"/>
      <c r="V19" s="8" t="inlineStr">
        <is>
          <t>АО «Энерготехномаш»</t>
        </is>
      </c>
      <c r="W19" s="8" t="inlineStr">
        <is>
          <t>Россия</t>
        </is>
      </c>
      <c r="X19" s="8" t="inlineStr">
        <is>
          <t>10789125</t>
        </is>
      </c>
      <c r="Y19" s="8" t="inlineStr">
        <is>
          <t>30.06.2031</t>
        </is>
      </c>
      <c r="Z19" s="7" t="n"/>
      <c r="AA19" s="9" t="n"/>
      <c r="AB19" s="10">
        <f>AA19*S19</f>
        <v/>
      </c>
      <c r="AC19" s="7" t="n"/>
      <c r="AD19" s="7" t="n"/>
      <c r="AE19" s="7" t="n"/>
    </row>
    <row r="20" ht="60" customHeight="1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  <c r="L20" s="11" t="inlineStr"/>
      <c r="M20" s="11" t="inlineStr"/>
      <c r="N20" s="11" t="inlineStr"/>
      <c r="O20" s="11" t="inlineStr"/>
      <c r="P20" s="11" t="inlineStr"/>
      <c r="Q20" s="11" t="inlineStr"/>
      <c r="R20" s="11" t="inlineStr"/>
      <c r="S20" s="11" t="inlineStr"/>
      <c r="T20" s="11" t="inlineStr"/>
      <c r="U20" s="11" t="inlineStr"/>
      <c r="V20" s="11" t="inlineStr"/>
      <c r="W20" s="11" t="inlineStr"/>
      <c r="X20" s="11" t="inlineStr"/>
      <c r="Y20" s="11" t="inlineStr"/>
      <c r="Z20" s="11" t="inlineStr"/>
      <c r="AA20" s="11" t="inlineStr">
        <is>
          <t>ИТОГО</t>
        </is>
      </c>
      <c r="AB20" s="12">
        <f>SUM(AB6:AB19)</f>
        <v/>
      </c>
      <c r="AC20" s="2" t="n"/>
      <c r="AD20" s="2" t="n"/>
      <c r="AE20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2026-10-28T01:41:05Z</dcterms:created>
  <dcterms:modified xmlns:dcterms="http://purl.org/dc/terms/" xmlns:xsi="http://www.w3.org/2001/XMLSchema-instance" xsi:type="dcterms:W3CDTF">2026-10-28T01:41:05Z</dcterms:modified>
</cp:coreProperties>
</file>