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1">
    <numFmt numFmtId="164" formatCode="#,##0.00&quot; ₽&quot;"/>
  </numFmts>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BF8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4" borderId="1" applyAlignment="1" pivotButton="0" quotePrefix="0" xfId="0">
      <alignment vertical="center"/>
    </xf>
    <xf numFmtId="164" fontId="0" fillId="4" borderId="1" applyAlignment="1" pivotButton="0" quotePrefix="0" xfId="0">
      <alignment vertical="center"/>
    </xf>
    <xf numFmtId="164" fontId="0" fillId="4" borderId="1" applyAlignment="1" pivotButton="0" quotePrefix="0" xfId="0">
      <alignment vertical="center" wrapText="1"/>
    </xf>
    <xf numFmtId="0" fontId="0" fillId="0" borderId="0" applyAlignment="1" pivotButton="0" quotePrefix="0" xfId="0">
      <alignment vertical="center" wrapText="1"/>
    </xf>
    <xf numFmtId="164" fontId="0"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E1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34"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22" customWidth="1" min="21" max="21"/>
    <col width="24" customWidth="1" min="22" max="22"/>
    <col width="14" customWidth="1" min="23" max="23"/>
    <col width="26" customWidth="1" min="24" max="24"/>
    <col width="13" customWidth="1" min="25" max="25"/>
    <col width="24" customWidth="1" min="26" max="26"/>
    <col width="13" customWidth="1" min="27" max="27"/>
    <col width="14" customWidth="1" min="28" max="28"/>
    <col width="12" customWidth="1" min="29" max="29"/>
    <col width="14" customWidth="1" min="30" max="30"/>
    <col width="20" customWidth="1" min="31" max="31"/>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row>
    <row r="2" ht="18" customHeight="1">
      <c r="A2" s="2" t="inlineStr">
        <is>
          <t>Просим заполнить жёлтые графы по каждой позиции. Характеристики — дословно из технических требований заказчика; при отличии — указать в графе «Соответствие ТЗ».</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18" customHeight="1">
      <c r="A3" s="2" t="inlineStr">
        <is>
          <t>Нацрежим ПП 1875 (ограничение): обязательны производитель, страна и ДЕЙСТВУЮЩИЙ номер реестровой записи ПП 719 (для ЕАЭС — евразийский реестр). Приложите выписку из ГИСП и сертификаты. Доставка — до Петропавловска-Камчатского (укажите вес).</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row>
    <row r="4" ht="66" customHeight="1">
      <c r="A4" s="3" t="inlineStr">
        <is>
          <t>№</t>
        </is>
      </c>
      <c r="B4" s="3" t="inlineStr">
        <is>
          <t>Табл./№ ТЗ</t>
        </is>
      </c>
      <c r="C4" s="3" t="inlineStr">
        <is>
          <t>Наименование</t>
        </is>
      </c>
      <c r="D4" s="3" t="inlineStr">
        <is>
          <t>ГОСТ/ТУ</t>
        </is>
      </c>
      <c r="E4" s="3" t="inlineStr">
        <is>
          <t>Ду, мм</t>
        </is>
      </c>
      <c r="F4" s="3" t="inlineStr">
        <is>
          <t>Проход</t>
        </is>
      </c>
      <c r="G4" s="3" t="inlineStr">
        <is>
          <t>Давление, МПа</t>
        </is>
      </c>
      <c r="H4" s="3" t="inlineStr">
        <is>
          <t>Температура, °С</t>
        </is>
      </c>
      <c r="I4" s="3" t="inlineStr">
        <is>
          <t>Среда</t>
        </is>
      </c>
      <c r="J4" s="3" t="inlineStr">
        <is>
          <t>Материал корпуса</t>
        </is>
      </c>
      <c r="K4" s="3" t="inlineStr">
        <is>
          <t>Климатическое исполнение</t>
        </is>
      </c>
      <c r="L4" s="3" t="inlineStr">
        <is>
          <t>Присоединение</t>
        </is>
      </c>
      <c r="M4" s="3" t="inlineStr">
        <is>
          <t>Приводное устройство: наименование</t>
        </is>
      </c>
      <c r="N4" s="3" t="inlineStr">
        <is>
          <t>Приводное устройство: технические характеристики</t>
        </is>
      </c>
      <c r="O4" s="3" t="inlineStr">
        <is>
          <t>Установочное положение</t>
        </is>
      </c>
      <c r="P4" s="3" t="inlineStr">
        <is>
          <t>Материал штока, шара, уплотнений</t>
        </is>
      </c>
      <c r="Q4" s="3" t="inlineStr">
        <is>
          <t>Габариты</t>
        </is>
      </c>
      <c r="R4" s="3" t="inlineStr">
        <is>
          <t>Примечание</t>
        </is>
      </c>
      <c r="S4" s="3" t="inlineStr">
        <is>
          <t>Кол-во</t>
        </is>
      </c>
      <c r="T4" s="3" t="inlineStr">
        <is>
          <t>Ед.</t>
        </is>
      </c>
      <c r="U4" s="4" t="inlineStr">
        <is>
          <t>Предлагаемая марка / обозначение</t>
        </is>
      </c>
      <c r="V4" s="4" t="inlineStr">
        <is>
          <t>Производитель (завод)</t>
        </is>
      </c>
      <c r="W4" s="4" t="inlineStr">
        <is>
          <t>Страна происхождения</t>
        </is>
      </c>
      <c r="X4" s="4" t="inlineStr">
        <is>
          <t>№ реестровой записи (ПП 719) или евразийского реестра</t>
        </is>
      </c>
      <c r="Y4" s="4" t="inlineStr">
        <is>
          <t>Срок действия записи</t>
        </is>
      </c>
      <c r="Z4" s="4" t="inlineStr">
        <is>
          <t>Соответствие ТЗ: «да» или отличия</t>
        </is>
      </c>
      <c r="AA4" s="4" t="inlineStr">
        <is>
          <t>Цена за ед. с НДС, ₽</t>
        </is>
      </c>
      <c r="AB4" s="4" t="inlineStr">
        <is>
          <t>Сумма с НДС, ₽</t>
        </is>
      </c>
      <c r="AC4" s="4" t="inlineStr">
        <is>
          <t>Срок отгрузки</t>
        </is>
      </c>
      <c r="AD4" s="4" t="inlineStr">
        <is>
          <t>Вес ед., кг / габариты</t>
        </is>
      </c>
      <c r="AE4" s="4" t="inlineStr">
        <is>
          <t>Сертификат / декларация ТР ТС №</t>
        </is>
      </c>
    </row>
    <row r="5" ht="60" customHeight="1">
      <c r="A5" s="5" t="n">
        <v>1</v>
      </c>
      <c r="B5" s="6" t="inlineStr">
        <is>
          <t>1.3/19</t>
        </is>
      </c>
      <c r="C5" s="6" t="inlineStr">
        <is>
          <t>Клапан обратный двухстворчатый DENDOR 010C Ду 100 Ру 16</t>
        </is>
      </c>
      <c r="D5" s="6" t="inlineStr">
        <is>
          <t>ТУ 3732-023-62977923-2015</t>
        </is>
      </c>
      <c r="E5" s="6" t="inlineStr">
        <is>
          <t>100</t>
        </is>
      </c>
      <c r="F5" s="6" t="inlineStr">
        <is>
          <t>стандартное</t>
        </is>
      </c>
      <c r="G5" s="6" t="inlineStr">
        <is>
          <t>1.6</t>
        </is>
      </c>
      <c r="H5" s="6" t="inlineStr">
        <is>
          <t>До +130°С</t>
        </is>
      </c>
      <c r="I5" s="6" t="inlineStr">
        <is>
          <t>вода</t>
        </is>
      </c>
      <c r="J5" s="6" t="inlineStr">
        <is>
          <t>Чугун EN-GJS-400-15</t>
        </is>
      </c>
      <c r="K5" s="6" t="inlineStr">
        <is>
          <t>У3</t>
        </is>
      </c>
      <c r="L5" s="6" t="inlineStr">
        <is>
          <t>межфланцевое</t>
        </is>
      </c>
      <c r="M5" s="6" t="inlineStr">
        <is>
          <t>-</t>
        </is>
      </c>
      <c r="N5" s="6" t="inlineStr">
        <is>
          <t>-</t>
        </is>
      </c>
      <c r="O5" s="6" t="inlineStr">
        <is>
          <t>любое</t>
        </is>
      </c>
      <c r="P5" s="6"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Q5" s="6" t="inlineStr"/>
      <c r="R5" s="6" t="inlineStr"/>
      <c r="S5" s="5" t="n">
        <v>5</v>
      </c>
      <c r="T5" s="6" t="inlineStr">
        <is>
          <t>шт</t>
        </is>
      </c>
      <c r="U5" s="7" t="n"/>
      <c r="V5" s="7" t="n"/>
      <c r="W5" s="7" t="n"/>
      <c r="X5" s="7" t="n"/>
      <c r="Y5" s="7" t="n"/>
      <c r="Z5" s="7" t="n"/>
      <c r="AA5" s="8" t="n"/>
      <c r="AB5" s="9">
        <f>AA5*S5</f>
        <v/>
      </c>
      <c r="AC5" s="7" t="n"/>
      <c r="AD5" s="7" t="n"/>
      <c r="AE5" s="7" t="n"/>
    </row>
    <row r="6" ht="60" customHeight="1">
      <c r="A6" s="5" t="n">
        <v>2</v>
      </c>
      <c r="B6" s="6" t="inlineStr">
        <is>
          <t>1.3/27</t>
        </is>
      </c>
      <c r="C6" s="6" t="inlineStr">
        <is>
          <t>Клапан обратный 19с76нж Ду 80 Ру 16</t>
        </is>
      </c>
      <c r="D6" s="6" t="inlineStr">
        <is>
          <t>ГОСТ 33423-2015</t>
        </is>
      </c>
      <c r="E6" s="6" t="inlineStr">
        <is>
          <t>80</t>
        </is>
      </c>
      <c r="F6" s="6" t="inlineStr">
        <is>
          <t>стандарт</t>
        </is>
      </c>
      <c r="G6" s="6" t="inlineStr">
        <is>
          <t>1.6</t>
        </is>
      </c>
      <c r="H6" s="6" t="inlineStr">
        <is>
          <t>до +425°С</t>
        </is>
      </c>
      <c r="I6" s="6" t="inlineStr">
        <is>
          <t>Вода</t>
        </is>
      </c>
      <c r="J6" s="6" t="inlineStr">
        <is>
          <t>Сталь 25Л</t>
        </is>
      </c>
      <c r="K6" s="6" t="inlineStr">
        <is>
          <t>У1</t>
        </is>
      </c>
      <c r="L6" s="6" t="inlineStr">
        <is>
          <t>фланец-фланец</t>
        </is>
      </c>
      <c r="M6" s="6" t="inlineStr">
        <is>
          <t>нет</t>
        </is>
      </c>
      <c r="N6" s="6" t="inlineStr"/>
      <c r="O6" s="6" t="inlineStr">
        <is>
          <t>любое</t>
        </is>
      </c>
      <c r="P6" s="6" t="inlineStr">
        <is>
          <t>Крышка  Ст.20 Захлопка  Ст. 20 Серьга  Ст.20Л-30Л Кронштейн, ось  Ст. 20Х13 Уплотнение затвора  Наплавленная коррозионно-стойкая сталь 08Х20Н9Г7Т</t>
        </is>
      </c>
      <c r="Q6" s="6" t="inlineStr"/>
      <c r="R6" s="6" t="inlineStr"/>
      <c r="S6" s="5" t="n">
        <v>1</v>
      </c>
      <c r="T6" s="6" t="inlineStr">
        <is>
          <t>шт</t>
        </is>
      </c>
      <c r="U6" s="7" t="n"/>
      <c r="V6" s="7" t="n"/>
      <c r="W6" s="7" t="n"/>
      <c r="X6" s="7" t="n"/>
      <c r="Y6" s="7" t="n"/>
      <c r="Z6" s="7" t="n"/>
      <c r="AA6" s="8" t="n"/>
      <c r="AB6" s="9">
        <f>AA6*S6</f>
        <v/>
      </c>
      <c r="AC6" s="7" t="n"/>
      <c r="AD6" s="7" t="n"/>
      <c r="AE6" s="7" t="n"/>
    </row>
    <row r="7" ht="60" customHeight="1">
      <c r="A7" s="5" t="n">
        <v>3</v>
      </c>
      <c r="B7" s="6" t="inlineStr">
        <is>
          <t>1.3/32</t>
        </is>
      </c>
      <c r="C7" s="6" t="inlineStr">
        <is>
          <t>Клапан обратный фланцевый пружинный с аксиальным затвором NVD-402R Ду 100 Ру 16</t>
        </is>
      </c>
      <c r="D7" s="6" t="inlineStr">
        <is>
          <t>ТУ 28.14.11-012-72323163-2022</t>
        </is>
      </c>
      <c r="E7" s="6" t="inlineStr">
        <is>
          <t>100</t>
        </is>
      </c>
      <c r="F7" s="6" t="inlineStr"/>
      <c r="G7" s="6" t="inlineStr">
        <is>
          <t>1.6</t>
        </is>
      </c>
      <c r="H7" s="6" t="inlineStr">
        <is>
          <t>от -15 до +100</t>
        </is>
      </c>
      <c r="I7" s="6" t="inlineStr">
        <is>
          <t>Вода, гликолевые растворы до 50%</t>
        </is>
      </c>
      <c r="J7" s="6" t="inlineStr">
        <is>
          <t>серый чугун</t>
        </is>
      </c>
      <c r="K7" s="6" t="inlineStr"/>
      <c r="L7" s="6" t="inlineStr">
        <is>
          <t>фланцевый</t>
        </is>
      </c>
      <c r="M7" s="6" t="inlineStr"/>
      <c r="N7" s="6" t="inlineStr"/>
      <c r="O7" s="6" t="inlineStr">
        <is>
          <t>любое</t>
        </is>
      </c>
      <c r="P7" s="6"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7" s="6" t="inlineStr">
        <is>
          <t>Строительный размер 170мм</t>
        </is>
      </c>
      <c r="R7" s="6" t="inlineStr">
        <is>
          <t>каталожный номер 065B7474</t>
        </is>
      </c>
      <c r="S7" s="5" t="n">
        <v>2</v>
      </c>
      <c r="T7" s="6" t="inlineStr">
        <is>
          <t>шт</t>
        </is>
      </c>
      <c r="U7" s="7" t="n"/>
      <c r="V7" s="7" t="n"/>
      <c r="W7" s="7" t="n"/>
      <c r="X7" s="7" t="n"/>
      <c r="Y7" s="7" t="n"/>
      <c r="Z7" s="7" t="n"/>
      <c r="AA7" s="8" t="n"/>
      <c r="AB7" s="9">
        <f>AA7*S7</f>
        <v/>
      </c>
      <c r="AC7" s="7" t="n"/>
      <c r="AD7" s="7" t="n"/>
      <c r="AE7" s="7" t="n"/>
    </row>
    <row r="8" ht="60" customHeight="1">
      <c r="A8" s="5" t="n">
        <v>4</v>
      </c>
      <c r="B8" s="6" t="inlineStr">
        <is>
          <t>1.3/33</t>
        </is>
      </c>
      <c r="C8" s="6" t="inlineStr">
        <is>
          <t>Клапан обратный фланцевый пружинный с аксиальным затвором NVD-402R Ду 150 Ру 16</t>
        </is>
      </c>
      <c r="D8" s="6" t="inlineStr">
        <is>
          <t>ТУ 28.14.11-012-72323163-2022</t>
        </is>
      </c>
      <c r="E8" s="6" t="inlineStr">
        <is>
          <t>150</t>
        </is>
      </c>
      <c r="F8" s="6" t="inlineStr">
        <is>
          <t>полнопроходной</t>
        </is>
      </c>
      <c r="G8" s="6" t="inlineStr">
        <is>
          <t>1.6</t>
        </is>
      </c>
      <c r="H8" s="6" t="inlineStr">
        <is>
          <t>От -15°С до +100°С</t>
        </is>
      </c>
      <c r="I8" s="6" t="inlineStr">
        <is>
          <t>Вода</t>
        </is>
      </c>
      <c r="J8" s="6" t="inlineStr">
        <is>
          <t>Чугун GG25 с эпоксидным покрытием</t>
        </is>
      </c>
      <c r="K8" s="6" t="inlineStr">
        <is>
          <t>У1</t>
        </is>
      </c>
      <c r="L8" s="6" t="inlineStr">
        <is>
          <t>фланец-фланец</t>
        </is>
      </c>
      <c r="M8" s="6" t="inlineStr">
        <is>
          <t>-</t>
        </is>
      </c>
      <c r="N8" s="6" t="inlineStr">
        <is>
          <t>-</t>
        </is>
      </c>
      <c r="O8" s="6" t="inlineStr">
        <is>
          <t>любое</t>
        </is>
      </c>
      <c r="P8" s="6" t="inlineStr">
        <is>
          <t>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t>
        </is>
      </c>
      <c r="Q8" s="6" t="inlineStr"/>
      <c r="R8" s="6" t="inlineStr"/>
      <c r="S8" s="5" t="n">
        <v>5</v>
      </c>
      <c r="T8" s="6" t="inlineStr">
        <is>
          <t>шт</t>
        </is>
      </c>
      <c r="U8" s="7" t="n"/>
      <c r="V8" s="7" t="n"/>
      <c r="W8" s="7" t="n"/>
      <c r="X8" s="7" t="n"/>
      <c r="Y8" s="7" t="n"/>
      <c r="Z8" s="7" t="n"/>
      <c r="AA8" s="8" t="n"/>
      <c r="AB8" s="9">
        <f>AA8*S8</f>
        <v/>
      </c>
      <c r="AC8" s="7" t="n"/>
      <c r="AD8" s="7" t="n"/>
      <c r="AE8" s="7" t="n"/>
    </row>
    <row r="9" ht="60" customHeight="1">
      <c r="A9" s="5" t="n">
        <v>5</v>
      </c>
      <c r="B9" s="6" t="inlineStr">
        <is>
          <t>1.3/34</t>
        </is>
      </c>
      <c r="C9" s="6" t="inlineStr">
        <is>
          <t>Клапан обратный фланцевый пружинный с аксиальным затвором NVD-402R Ду 200 Ру 16</t>
        </is>
      </c>
      <c r="D9" s="6" t="inlineStr">
        <is>
          <t>ТУ 28.14.11-012-72323163-2022</t>
        </is>
      </c>
      <c r="E9" s="6" t="inlineStr">
        <is>
          <t>200</t>
        </is>
      </c>
      <c r="F9" s="6" t="inlineStr">
        <is>
          <t>полнопроходной</t>
        </is>
      </c>
      <c r="G9" s="6" t="inlineStr">
        <is>
          <t>1.6</t>
        </is>
      </c>
      <c r="H9" s="6" t="inlineStr">
        <is>
          <t>от -15 до +100</t>
        </is>
      </c>
      <c r="I9" s="6" t="inlineStr">
        <is>
          <t>Вода, гликолевые растворы до 50%</t>
        </is>
      </c>
      <c r="J9" s="6" t="inlineStr">
        <is>
          <t>Чугун GJL250</t>
        </is>
      </c>
      <c r="K9" s="6" t="inlineStr"/>
      <c r="L9" s="6" t="inlineStr">
        <is>
          <t>Фланец-фланец</t>
        </is>
      </c>
      <c r="M9" s="6" t="inlineStr"/>
      <c r="N9" s="6" t="inlineStr"/>
      <c r="O9" s="6" t="inlineStr">
        <is>
          <t>любое</t>
        </is>
      </c>
      <c r="P9" s="6"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9" s="6" t="inlineStr">
        <is>
          <t>Строительная длинна, мм 300</t>
        </is>
      </c>
      <c r="R9" s="6" t="inlineStr">
        <is>
          <t>Каталожный № 082X8477R</t>
        </is>
      </c>
      <c r="S9" s="5" t="n">
        <v>4</v>
      </c>
      <c r="T9" s="6" t="inlineStr">
        <is>
          <t>шт</t>
        </is>
      </c>
      <c r="U9" s="7" t="n"/>
      <c r="V9" s="7" t="n"/>
      <c r="W9" s="7" t="n"/>
      <c r="X9" s="7" t="n"/>
      <c r="Y9" s="7" t="n"/>
      <c r="Z9" s="7" t="n"/>
      <c r="AA9" s="8" t="n"/>
      <c r="AB9" s="9">
        <f>AA9*S9</f>
        <v/>
      </c>
      <c r="AC9" s="7" t="n"/>
      <c r="AD9" s="7" t="n"/>
      <c r="AE9" s="7" t="n"/>
    </row>
    <row r="10" ht="60" customHeight="1">
      <c r="A10" s="5" t="n">
        <v>6</v>
      </c>
      <c r="B10" s="6" t="inlineStr">
        <is>
          <t>1.3/35</t>
        </is>
      </c>
      <c r="C10" s="6" t="inlineStr">
        <is>
          <t>Обратный клапан пружинный NVD-812R Ду 150 Ру 40</t>
        </is>
      </c>
      <c r="D10" s="6" t="inlineStr">
        <is>
          <t>ТУ 28.14.11-014-72323163-2022</t>
        </is>
      </c>
      <c r="E10" s="6" t="inlineStr">
        <is>
          <t>150</t>
        </is>
      </c>
      <c r="F10" s="6" t="inlineStr">
        <is>
          <t>полнопроходной</t>
        </is>
      </c>
      <c r="G10" s="6" t="inlineStr">
        <is>
          <t>4</t>
        </is>
      </c>
      <c r="H10" s="6" t="inlineStr">
        <is>
          <t>от -25 до +240</t>
        </is>
      </c>
      <c r="I10" s="6" t="inlineStr">
        <is>
          <t>Вода для систем отопления, ГВС, ХВС, гликолевые р-ры до 50%</t>
        </is>
      </c>
      <c r="J10" s="6" t="inlineStr">
        <is>
          <t>Нержавеющая сталь</t>
        </is>
      </c>
      <c r="K10" s="6" t="inlineStr"/>
      <c r="L10" s="6" t="inlineStr">
        <is>
          <t>межфланцевое</t>
        </is>
      </c>
      <c r="M10" s="6" t="inlineStr"/>
      <c r="N10" s="6" t="inlineStr"/>
      <c r="O10" s="6" t="inlineStr">
        <is>
          <t>любое</t>
        </is>
      </c>
      <c r="P10" s="6"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10" s="6" t="inlineStr">
        <is>
          <t>Строительная длинна, мм 106</t>
        </is>
      </c>
      <c r="R10" s="6" t="inlineStr">
        <is>
          <t>Каталожный № 082X8540R</t>
        </is>
      </c>
      <c r="S10" s="5" t="n">
        <v>1</v>
      </c>
      <c r="T10" s="6" t="inlineStr">
        <is>
          <t>шт</t>
        </is>
      </c>
      <c r="U10" s="7" t="n"/>
      <c r="V10" s="7" t="n"/>
      <c r="W10" s="7" t="n"/>
      <c r="X10" s="7" t="n"/>
      <c r="Y10" s="7" t="n"/>
      <c r="Z10" s="7" t="n"/>
      <c r="AA10" s="8" t="n"/>
      <c r="AB10" s="9">
        <f>AA10*S10</f>
        <v/>
      </c>
      <c r="AC10" s="7" t="n"/>
      <c r="AD10" s="7" t="n"/>
      <c r="AE10" s="7" t="n"/>
    </row>
    <row r="11" ht="60" customHeight="1">
      <c r="A11" s="5" t="n">
        <v>7</v>
      </c>
      <c r="B11" s="6" t="inlineStr">
        <is>
          <t>1.7/1</t>
        </is>
      </c>
      <c r="C11" s="6" t="inlineStr">
        <is>
          <t>АРТ-85 Ду 50 Ру 16 "после себя"</t>
        </is>
      </c>
      <c r="D11" s="6" t="inlineStr">
        <is>
          <t>-</t>
        </is>
      </c>
      <c r="E11" s="6" t="inlineStr">
        <is>
          <t>50</t>
        </is>
      </c>
      <c r="F11" s="6" t="inlineStr">
        <is>
          <t>-</t>
        </is>
      </c>
      <c r="G11" s="6" t="inlineStr">
        <is>
          <t>1.6</t>
        </is>
      </c>
      <c r="H11" s="6" t="inlineStr">
        <is>
          <t>для воды до +150°С, для газов до +80°С</t>
        </is>
      </c>
      <c r="I11" s="6" t="inlineStr">
        <is>
          <t>жидкая и газообразная, не агрессивная к применяемым материалам</t>
        </is>
      </c>
      <c r="J11" s="6" t="inlineStr">
        <is>
          <t>-</t>
        </is>
      </c>
      <c r="K11" s="6" t="inlineStr">
        <is>
          <t>-</t>
        </is>
      </c>
      <c r="L11" s="6" t="inlineStr">
        <is>
          <t>фланцевый</t>
        </is>
      </c>
      <c r="M11" s="6" t="inlineStr">
        <is>
          <t>-</t>
        </is>
      </c>
      <c r="N11" s="6" t="inlineStr">
        <is>
          <t>-</t>
        </is>
      </c>
      <c r="O11" s="6" t="inlineStr">
        <is>
          <t>"после себя"</t>
        </is>
      </c>
      <c r="P11" s="6"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11" s="6" t="inlineStr">
        <is>
          <t>-</t>
        </is>
      </c>
      <c r="R11" s="6" t="inlineStr">
        <is>
          <t>-</t>
        </is>
      </c>
      <c r="S11" s="5" t="n">
        <v>1</v>
      </c>
      <c r="T11" s="6" t="inlineStr">
        <is>
          <t>шт</t>
        </is>
      </c>
      <c r="U11" s="7" t="n"/>
      <c r="V11" s="7" t="n"/>
      <c r="W11" s="7" t="n"/>
      <c r="X11" s="7" t="n"/>
      <c r="Y11" s="7" t="n"/>
      <c r="Z11" s="7" t="n"/>
      <c r="AA11" s="8" t="n"/>
      <c r="AB11" s="9">
        <f>AA11*S11</f>
        <v/>
      </c>
      <c r="AC11" s="7" t="n"/>
      <c r="AD11" s="7" t="n"/>
      <c r="AE11" s="7" t="n"/>
    </row>
    <row r="12" ht="60" customHeight="1">
      <c r="A12" s="10" t="inlineStr"/>
      <c r="B12" s="10" t="inlineStr"/>
      <c r="C12" s="10" t="inlineStr"/>
      <c r="D12" s="10" t="inlineStr"/>
      <c r="E12" s="10" t="inlineStr"/>
      <c r="F12" s="10" t="inlineStr"/>
      <c r="G12" s="10" t="inlineStr"/>
      <c r="H12" s="10" t="inlineStr"/>
      <c r="I12" s="10" t="inlineStr"/>
      <c r="J12" s="10" t="inlineStr"/>
      <c r="K12" s="10" t="inlineStr"/>
      <c r="L12" s="10" t="inlineStr"/>
      <c r="M12" s="10" t="inlineStr"/>
      <c r="N12" s="10" t="inlineStr"/>
      <c r="O12" s="10" t="inlineStr"/>
      <c r="P12" s="10" t="inlineStr"/>
      <c r="Q12" s="10" t="inlineStr"/>
      <c r="R12" s="10" t="inlineStr"/>
      <c r="S12" s="10" t="inlineStr"/>
      <c r="T12" s="10" t="inlineStr"/>
      <c r="U12" s="10" t="inlineStr"/>
      <c r="V12" s="10" t="inlineStr"/>
      <c r="W12" s="10" t="inlineStr"/>
      <c r="X12" s="10" t="inlineStr"/>
      <c r="Y12" s="10" t="inlineStr"/>
      <c r="Z12" s="10" t="inlineStr"/>
      <c r="AA12" s="10" t="inlineStr">
        <is>
          <t>ИТОГО</t>
        </is>
      </c>
      <c r="AB12" s="11">
        <f>SUM(AB5:AB11)</f>
        <v/>
      </c>
      <c r="AC12" s="2" t="n"/>
      <c r="AD12" s="2" t="n"/>
      <c r="AE12" s="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2026-10-27T16:27:36Z</dcterms:created>
  <dcterms:modified xmlns:dcterms="http://purl.org/dc/terms/" xmlns:xsi="http://www.w3.org/2001/XMLSchema-instance" xsi:type="dcterms:W3CDTF">2026-10-27T16:27:36Z</dcterms:modified>
</cp:coreProperties>
</file>