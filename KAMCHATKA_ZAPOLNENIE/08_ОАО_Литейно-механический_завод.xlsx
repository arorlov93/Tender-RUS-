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ОАО «Литейно-механический завод» (ОАО «ЛМЗ»)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1.3/93</t>
        </is>
      </c>
      <c r="C6" s="6" t="inlineStr">
        <is>
          <t>Задвижка 30ч6бр Ду 50 Ру 10</t>
        </is>
      </c>
      <c r="D6" s="6" t="inlineStr">
        <is>
          <t>ГОСТ 5762-2002</t>
        </is>
      </c>
      <c r="E6" s="6" t="inlineStr">
        <is>
          <t>50</t>
        </is>
      </c>
      <c r="F6" s="6" t="inlineStr">
        <is>
          <t>полнопроходной</t>
        </is>
      </c>
      <c r="G6" s="6" t="inlineStr">
        <is>
          <t>1</t>
        </is>
      </c>
      <c r="H6" s="6" t="inlineStr">
        <is>
          <t>до +225°С</t>
        </is>
      </c>
      <c r="I6" s="6" t="inlineStr">
        <is>
          <t>Вода,пар</t>
        </is>
      </c>
      <c r="J6" s="6" t="inlineStr">
        <is>
          <t>серый чугун СЧ</t>
        </is>
      </c>
      <c r="K6" s="6" t="inlineStr">
        <is>
          <t>У2, УХЛ4</t>
        </is>
      </c>
      <c r="L6" s="6" t="inlineStr">
        <is>
          <t>фланец-фланец</t>
        </is>
      </c>
      <c r="M6" s="6" t="inlineStr">
        <is>
          <t>Ручное</t>
        </is>
      </c>
      <c r="N6" s="6" t="inlineStr">
        <is>
          <t>маховик</t>
        </is>
      </c>
      <c r="O6" s="6" t="inlineStr">
        <is>
          <t>любое</t>
        </is>
      </c>
      <c r="P6" s="6" t="inlineStr">
        <is>
          <t>Материал крышки ,диски,маховик,клин-серый чугун,Шпиндель — Ст 45 ГОСТ 1412</t>
        </is>
      </c>
      <c r="Q6" s="6" t="inlineStr">
        <is>
          <t>длина — 180мм</t>
        </is>
      </c>
      <c r="R6" s="6" t="inlineStr"/>
      <c r="S6" s="5" t="n">
        <v>8</v>
      </c>
      <c r="T6" s="6" t="inlineStr">
        <is>
          <t>шт</t>
        </is>
      </c>
      <c r="U6" s="7" t="n"/>
      <c r="V6" s="8" t="inlineStr">
        <is>
          <t>ОАО «Литейно-механический завод»</t>
        </is>
      </c>
      <c r="W6" s="8" t="inlineStr">
        <is>
          <t>Россия</t>
        </is>
      </c>
      <c r="X6" s="8" t="inlineStr">
        <is>
          <t>10636782</t>
        </is>
      </c>
      <c r="Y6" s="8" t="inlineStr">
        <is>
          <t>15.05.2028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1.3/94</t>
        </is>
      </c>
      <c r="C7" s="6" t="inlineStr">
        <is>
          <t>Задвижка 30ч6бр Ду 80 Ру 10</t>
        </is>
      </c>
      <c r="D7" s="6" t="inlineStr">
        <is>
          <t>ГОСТ 5762-2002,  Гермитичность ГОСТ 9544-2015</t>
        </is>
      </c>
      <c r="E7" s="6" t="inlineStr">
        <is>
          <t>80</t>
        </is>
      </c>
      <c r="F7" s="6" t="inlineStr">
        <is>
          <t>полнопроходной</t>
        </is>
      </c>
      <c r="G7" s="6" t="inlineStr">
        <is>
          <t>1</t>
        </is>
      </c>
      <c r="H7" s="6" t="inlineStr">
        <is>
          <t>до +225°С</t>
        </is>
      </c>
      <c r="I7" s="6" t="inlineStr">
        <is>
          <t>Вода,пар</t>
        </is>
      </c>
      <c r="J7" s="6" t="inlineStr">
        <is>
          <t>серый чугун СЧ</t>
        </is>
      </c>
      <c r="K7" s="6" t="inlineStr">
        <is>
          <t>У2, УХЛ4</t>
        </is>
      </c>
      <c r="L7" s="6" t="inlineStr">
        <is>
          <t>фланец-фланец</t>
        </is>
      </c>
      <c r="M7" s="6" t="inlineStr">
        <is>
          <t>Ручное</t>
        </is>
      </c>
      <c r="N7" s="6" t="inlineStr">
        <is>
          <t>маховик</t>
        </is>
      </c>
      <c r="O7" s="6" t="inlineStr">
        <is>
          <t>любое</t>
        </is>
      </c>
      <c r="P7" s="6" t="inlineStr">
        <is>
          <t>Материал крышки ,диски,маховик,клин-серый чугун,Шпиндель — Ст 45 ГОСТ 1412</t>
        </is>
      </c>
      <c r="Q7" s="6" t="inlineStr">
        <is>
          <t>Длина 210</t>
        </is>
      </c>
      <c r="R7" s="6" t="inlineStr"/>
      <c r="S7" s="5" t="n">
        <v>14</v>
      </c>
      <c r="T7" s="6" t="inlineStr">
        <is>
          <t>шт</t>
        </is>
      </c>
      <c r="U7" s="7" t="n"/>
      <c r="V7" s="8" t="inlineStr">
        <is>
          <t>ОАО «Литейно-механический завод»</t>
        </is>
      </c>
      <c r="W7" s="8" t="inlineStr">
        <is>
          <t>Россия</t>
        </is>
      </c>
      <c r="X7" s="8" t="inlineStr">
        <is>
          <t>10636782</t>
        </is>
      </c>
      <c r="Y7" s="8" t="inlineStr">
        <is>
          <t>15.05.2028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1.3/95</t>
        </is>
      </c>
      <c r="C8" s="6" t="inlineStr">
        <is>
          <t>Задвижка 30ч6бр Ду 100 Ру 10</t>
        </is>
      </c>
      <c r="D8" s="6" t="inlineStr">
        <is>
          <t>ГОСТ 5762-2002,  Гермитичность ГОСТ 9544-2015</t>
        </is>
      </c>
      <c r="E8" s="6" t="inlineStr">
        <is>
          <t>100</t>
        </is>
      </c>
      <c r="F8" s="6" t="inlineStr">
        <is>
          <t>полнопроходной</t>
        </is>
      </c>
      <c r="G8" s="6" t="inlineStr">
        <is>
          <t>1</t>
        </is>
      </c>
      <c r="H8" s="6" t="inlineStr">
        <is>
          <t>до +225°С</t>
        </is>
      </c>
      <c r="I8" s="6" t="inlineStr">
        <is>
          <t>Вода,пар</t>
        </is>
      </c>
      <c r="J8" s="6" t="inlineStr">
        <is>
          <t>серый чугун СЧ</t>
        </is>
      </c>
      <c r="K8" s="6" t="inlineStr">
        <is>
          <t>У2, УХЛ4</t>
        </is>
      </c>
      <c r="L8" s="6" t="inlineStr">
        <is>
          <t>фланец-фланец</t>
        </is>
      </c>
      <c r="M8" s="6" t="inlineStr">
        <is>
          <t>Ручное</t>
        </is>
      </c>
      <c r="N8" s="6" t="inlineStr">
        <is>
          <t>маховик</t>
        </is>
      </c>
      <c r="O8" s="6" t="inlineStr">
        <is>
          <t>любое</t>
        </is>
      </c>
      <c r="P8" s="6" t="inlineStr">
        <is>
          <t>Материал крышки ,диски,маховик,клин-серый чугун,Шпиндель — Ст 45 ГОСТ 1412</t>
        </is>
      </c>
      <c r="Q8" s="6" t="inlineStr">
        <is>
          <t>Длина — 230мм</t>
        </is>
      </c>
      <c r="R8" s="6" t="inlineStr"/>
      <c r="S8" s="5" t="n">
        <v>19</v>
      </c>
      <c r="T8" s="6" t="inlineStr">
        <is>
          <t>шт</t>
        </is>
      </c>
      <c r="U8" s="7" t="n"/>
      <c r="V8" s="8" t="inlineStr">
        <is>
          <t>ОАО «Литейно-механический завод»</t>
        </is>
      </c>
      <c r="W8" s="8" t="inlineStr">
        <is>
          <t>Россия</t>
        </is>
      </c>
      <c r="X8" s="8" t="inlineStr">
        <is>
          <t>10636782</t>
        </is>
      </c>
      <c r="Y8" s="8" t="inlineStr">
        <is>
          <t>15.05.2028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1.3/96</t>
        </is>
      </c>
      <c r="C9" s="6" t="inlineStr">
        <is>
          <t>Задвижка 30ч6бр Ду 150 Ру 10</t>
        </is>
      </c>
      <c r="D9" s="6" t="inlineStr">
        <is>
          <t>ГОСТ 5762-2002,  Гермитичность ГОСТ 9544-2015</t>
        </is>
      </c>
      <c r="E9" s="6" t="inlineStr">
        <is>
          <t>150</t>
        </is>
      </c>
      <c r="F9" s="6" t="inlineStr">
        <is>
          <t>стандарт</t>
        </is>
      </c>
      <c r="G9" s="6" t="inlineStr">
        <is>
          <t>1</t>
        </is>
      </c>
      <c r="H9" s="6" t="inlineStr">
        <is>
          <t>до +225°С</t>
        </is>
      </c>
      <c r="I9" s="6" t="inlineStr">
        <is>
          <t>Вода,пар</t>
        </is>
      </c>
      <c r="J9" s="6" t="inlineStr">
        <is>
          <t>серый чугун СЧ</t>
        </is>
      </c>
      <c r="K9" s="6" t="inlineStr">
        <is>
          <t>У2, УХЛ4</t>
        </is>
      </c>
      <c r="L9" s="6" t="inlineStr">
        <is>
          <t>фланец-фланец</t>
        </is>
      </c>
      <c r="M9" s="6" t="inlineStr">
        <is>
          <t>Ручное</t>
        </is>
      </c>
      <c r="N9" s="6" t="inlineStr">
        <is>
          <t>маховик</t>
        </is>
      </c>
      <c r="O9" s="6" t="inlineStr">
        <is>
          <t>любое</t>
        </is>
      </c>
      <c r="P9" s="6" t="inlineStr">
        <is>
          <t>Основные материалы 30ч6бр:      деталей корпуса серый чугун СЧ 20 ГОСТ 1412;     поверхности уплотнительных элементов - латунь ЛС-59 ГОСТ 15527;     уплотнение по шпинделю – сальниковое (кольца ТРГ).     уплотнение между корпусом и крышкой – паронит.</t>
        </is>
      </c>
      <c r="Q9" s="6" t="inlineStr">
        <is>
          <t>строительная длина  280 мм,</t>
        </is>
      </c>
      <c r="R9" s="6" t="inlineStr"/>
      <c r="S9" s="5" t="n">
        <v>19</v>
      </c>
      <c r="T9" s="6" t="inlineStr">
        <is>
          <t>шт</t>
        </is>
      </c>
      <c r="U9" s="7" t="n"/>
      <c r="V9" s="8" t="inlineStr">
        <is>
          <t>ОАО «Литейно-механический завод»</t>
        </is>
      </c>
      <c r="W9" s="8" t="inlineStr">
        <is>
          <t>Россия</t>
        </is>
      </c>
      <c r="X9" s="8" t="inlineStr">
        <is>
          <t>10636782</t>
        </is>
      </c>
      <c r="Y9" s="8" t="inlineStr">
        <is>
          <t>15.05.2028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1.3/97</t>
        </is>
      </c>
      <c r="C10" s="6" t="inlineStr">
        <is>
          <t>Задвижка 30ч6бр Ду 200 Ру 10</t>
        </is>
      </c>
      <c r="D10" s="6" t="inlineStr">
        <is>
          <t>ГОСТ 5762-2002,  Гермитичность ГОСТ 9544-2015</t>
        </is>
      </c>
      <c r="E10" s="6" t="inlineStr">
        <is>
          <t>200</t>
        </is>
      </c>
      <c r="F10" s="6" t="inlineStr">
        <is>
          <t>полнопроходной</t>
        </is>
      </c>
      <c r="G10" s="6" t="inlineStr">
        <is>
          <t>1</t>
        </is>
      </c>
      <c r="H10" s="6" t="inlineStr">
        <is>
          <t>до +225°С</t>
        </is>
      </c>
      <c r="I10" s="6" t="inlineStr">
        <is>
          <t>Вода,пар</t>
        </is>
      </c>
      <c r="J10" s="6" t="inlineStr">
        <is>
          <t>серый чугун СЧ</t>
        </is>
      </c>
      <c r="K10" s="6" t="inlineStr">
        <is>
          <t>У2, УХЛ4</t>
        </is>
      </c>
      <c r="L10" s="6" t="inlineStr">
        <is>
          <t>фланец-фланец</t>
        </is>
      </c>
      <c r="M10" s="6" t="inlineStr">
        <is>
          <t>Ручное</t>
        </is>
      </c>
      <c r="N10" s="6" t="inlineStr">
        <is>
          <t>маховик</t>
        </is>
      </c>
      <c r="O10" s="6" t="inlineStr">
        <is>
          <t>любое</t>
        </is>
      </c>
      <c r="P10" s="6" t="inlineStr">
        <is>
          <t>Материал крышки ,диски,маховик,клин-серый чугун,Шпиндель - Серый чугун СЧ 20 ГОСТ 1412</t>
        </is>
      </c>
      <c r="Q10" s="6" t="inlineStr">
        <is>
          <t>строительная длина  330 мм,</t>
        </is>
      </c>
      <c r="R10" s="6" t="inlineStr"/>
      <c r="S10" s="5" t="n">
        <v>13</v>
      </c>
      <c r="T10" s="6" t="inlineStr">
        <is>
          <t>шт</t>
        </is>
      </c>
      <c r="U10" s="7" t="n"/>
      <c r="V10" s="8" t="inlineStr">
        <is>
          <t>ОАО «Литейно-механический завод»</t>
        </is>
      </c>
      <c r="W10" s="8" t="inlineStr">
        <is>
          <t>Россия</t>
        </is>
      </c>
      <c r="X10" s="8" t="inlineStr">
        <is>
          <t>10636782</t>
        </is>
      </c>
      <c r="Y10" s="8" t="inlineStr">
        <is>
          <t>15.05.2028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1.3/98</t>
        </is>
      </c>
      <c r="C11" s="6" t="inlineStr">
        <is>
          <t>Задвижка 30ч6бр Ду 250 Ру 10</t>
        </is>
      </c>
      <c r="D11" s="6" t="inlineStr">
        <is>
          <t>ГОСТ 5762-2002</t>
        </is>
      </c>
      <c r="E11" s="6" t="inlineStr">
        <is>
          <t>250</t>
        </is>
      </c>
      <c r="F11" s="6" t="inlineStr">
        <is>
          <t>полнопроходной</t>
        </is>
      </c>
      <c r="G11" s="6" t="inlineStr">
        <is>
          <t>1</t>
        </is>
      </c>
      <c r="H11" s="6" t="inlineStr">
        <is>
          <t>до +225 °С</t>
        </is>
      </c>
      <c r="I11" s="6" t="inlineStr">
        <is>
          <t>вода,пар</t>
        </is>
      </c>
      <c r="J11" s="6" t="inlineStr">
        <is>
          <t>чугун</t>
        </is>
      </c>
      <c r="K11" s="6" t="inlineStr">
        <is>
          <t>У2</t>
        </is>
      </c>
      <c r="L11" s="6" t="inlineStr">
        <is>
          <t>Присоединение фланцевое по ГОСТ 12817</t>
        </is>
      </c>
      <c r="M11" s="6" t="inlineStr">
        <is>
          <t>ручной</t>
        </is>
      </c>
      <c r="N11" s="6" t="inlineStr">
        <is>
          <t>маховик</t>
        </is>
      </c>
      <c r="O11" s="6" t="inlineStr">
        <is>
          <t>любое</t>
        </is>
      </c>
      <c r="P11" s="6" t="inlineStr">
        <is>
          <t>Материал:- корпусных деталей – серый чугун СЧ 20 ГОСТ 1412; - уплотнительных поверхностей – Латунь ЛС 59-1 ГОСТ 15527-2004. Уплотнение по шпинделю – сальниковое (кольца ТРГ).</t>
        </is>
      </c>
      <c r="Q11" s="6" t="inlineStr"/>
      <c r="R11" s="6" t="inlineStr"/>
      <c r="S11" s="5" t="n">
        <v>4</v>
      </c>
      <c r="T11" s="6" t="inlineStr">
        <is>
          <t>шт</t>
        </is>
      </c>
      <c r="U11" s="7" t="n"/>
      <c r="V11" s="8" t="inlineStr">
        <is>
          <t>ОАО «Литейно-механический завод»</t>
        </is>
      </c>
      <c r="W11" s="8" t="inlineStr">
        <is>
          <t>Россия</t>
        </is>
      </c>
      <c r="X11" s="8" t="inlineStr">
        <is>
          <t>10636782</t>
        </is>
      </c>
      <c r="Y11" s="8" t="inlineStr">
        <is>
          <t>15.05.2028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1.3/99</t>
        </is>
      </c>
      <c r="C12" s="6" t="inlineStr">
        <is>
          <t>Задвижка 30ч6бр Ду 300 Ру 10</t>
        </is>
      </c>
      <c r="D12" s="6" t="inlineStr">
        <is>
          <t>ТУ УЗ 22-03326877-021-96</t>
        </is>
      </c>
      <c r="E12" s="6" t="inlineStr">
        <is>
          <t>300</t>
        </is>
      </c>
      <c r="F12" s="6" t="inlineStr">
        <is>
          <t>стандарт</t>
        </is>
      </c>
      <c r="G12" s="6" t="inlineStr">
        <is>
          <t>1</t>
        </is>
      </c>
      <c r="H12" s="6" t="inlineStr">
        <is>
          <t>до +225</t>
        </is>
      </c>
      <c r="I12" s="6" t="inlineStr">
        <is>
          <t>вода, пар</t>
        </is>
      </c>
      <c r="J12" s="6" t="inlineStr">
        <is>
          <t>серый чугун СЧ 18 (СЧ 20)</t>
        </is>
      </c>
      <c r="K12" s="6" t="inlineStr">
        <is>
          <t>У</t>
        </is>
      </c>
      <c r="L12" s="6" t="inlineStr">
        <is>
          <t>фланцевый</t>
        </is>
      </c>
      <c r="M12" s="6" t="inlineStr">
        <is>
          <t>ручной (маховик)</t>
        </is>
      </c>
      <c r="N12" s="6" t="inlineStr">
        <is>
          <t>-</t>
        </is>
      </c>
      <c r="O12" s="6" t="inlineStr">
        <is>
          <t>любое, кроме маховиком вниз</t>
        </is>
      </c>
      <c r="P12" s="6" t="inlineStr">
        <is>
          <t>Шпиндель — сталь 45; Кольцо уплотнительное, втулка резьбовая — латунь ЛЦ38МцС2; Прокладка под крышку — паронит ПОН; Набивка уплотнительная — АП-31;</t>
        </is>
      </c>
      <c r="Q12" s="6" t="inlineStr">
        <is>
          <t>-</t>
        </is>
      </c>
      <c r="R12" s="6" t="inlineStr"/>
      <c r="S12" s="5" t="n">
        <v>4</v>
      </c>
      <c r="T12" s="6" t="inlineStr">
        <is>
          <t>шт</t>
        </is>
      </c>
      <c r="U12" s="7" t="n"/>
      <c r="V12" s="8" t="inlineStr">
        <is>
          <t>ОАО «Литейно-механический завод»</t>
        </is>
      </c>
      <c r="W12" s="8" t="inlineStr">
        <is>
          <t>Россия</t>
        </is>
      </c>
      <c r="X12" s="8" t="inlineStr">
        <is>
          <t>10636782</t>
        </is>
      </c>
      <c r="Y12" s="8" t="inlineStr">
        <is>
          <t>15.05.2028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1.6/47</t>
        </is>
      </c>
      <c r="C13" s="6" t="inlineStr">
        <is>
          <t>Задвижка 30ч6бр Ду 50 Ру 10</t>
        </is>
      </c>
      <c r="D13" s="6" t="inlineStr">
        <is>
          <t>ТУ УЗ 22-03326877-021-96</t>
        </is>
      </c>
      <c r="E13" s="6" t="inlineStr">
        <is>
          <t>50</t>
        </is>
      </c>
      <c r="F13" s="6" t="inlineStr">
        <is>
          <t>стандарт</t>
        </is>
      </c>
      <c r="G13" s="6" t="inlineStr">
        <is>
          <t>1</t>
        </is>
      </c>
      <c r="H13" s="6" t="inlineStr">
        <is>
          <t>до +225</t>
        </is>
      </c>
      <c r="I13" s="6" t="inlineStr">
        <is>
          <t>вода, пар</t>
        </is>
      </c>
      <c r="J13" s="6" t="inlineStr">
        <is>
          <t>серый чугун СЧ 18 (СЧ 20)</t>
        </is>
      </c>
      <c r="K13" s="6" t="inlineStr">
        <is>
          <t>У</t>
        </is>
      </c>
      <c r="L13" s="6" t="inlineStr">
        <is>
          <t>фланцевый</t>
        </is>
      </c>
      <c r="M13" s="6" t="inlineStr">
        <is>
          <t>ручной (маховик)</t>
        </is>
      </c>
      <c r="N13" s="6" t="inlineStr">
        <is>
          <t>-</t>
        </is>
      </c>
      <c r="O13" s="6" t="inlineStr">
        <is>
          <t>любое, кроме маховиком вниз</t>
        </is>
      </c>
      <c r="P13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3" s="6" t="inlineStr">
        <is>
          <t>-</t>
        </is>
      </c>
      <c r="R13" s="6" t="inlineStr">
        <is>
          <t>-</t>
        </is>
      </c>
      <c r="S13" s="5" t="n">
        <v>9</v>
      </c>
      <c r="T13" s="6" t="inlineStr">
        <is>
          <t>шт</t>
        </is>
      </c>
      <c r="U13" s="7" t="n"/>
      <c r="V13" s="8" t="inlineStr">
        <is>
          <t>ОАО «Литейно-механический завод»</t>
        </is>
      </c>
      <c r="W13" s="8" t="inlineStr">
        <is>
          <t>Россия</t>
        </is>
      </c>
      <c r="X13" s="8" t="inlineStr">
        <is>
          <t>10636782</t>
        </is>
      </c>
      <c r="Y13" s="8" t="inlineStr">
        <is>
          <t>15.05.2028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1.6/48</t>
        </is>
      </c>
      <c r="C14" s="6" t="inlineStr">
        <is>
          <t>Задвижка 30ч6бр Ду 80 Ру 10</t>
        </is>
      </c>
      <c r="D14" s="6" t="inlineStr">
        <is>
          <t>ТУ УЗ 22-03326877-021-96</t>
        </is>
      </c>
      <c r="E14" s="6" t="inlineStr">
        <is>
          <t>80</t>
        </is>
      </c>
      <c r="F14" s="6" t="inlineStr">
        <is>
          <t>стандарт</t>
        </is>
      </c>
      <c r="G14" s="6" t="inlineStr">
        <is>
          <t>1</t>
        </is>
      </c>
      <c r="H14" s="6" t="inlineStr">
        <is>
          <t>до +225</t>
        </is>
      </c>
      <c r="I14" s="6" t="inlineStr">
        <is>
          <t>вода, пар</t>
        </is>
      </c>
      <c r="J14" s="6" t="inlineStr">
        <is>
          <t>серый чугун СЧ 18 (СЧ 20)</t>
        </is>
      </c>
      <c r="K14" s="6" t="inlineStr">
        <is>
          <t>У</t>
        </is>
      </c>
      <c r="L14" s="6" t="inlineStr">
        <is>
          <t>фланцевый</t>
        </is>
      </c>
      <c r="M14" s="6" t="inlineStr">
        <is>
          <t>ручной (маховик)</t>
        </is>
      </c>
      <c r="N14" s="6" t="inlineStr">
        <is>
          <t>-</t>
        </is>
      </c>
      <c r="O14" s="6" t="inlineStr">
        <is>
          <t>любое, кроме маховиком вниз</t>
        </is>
      </c>
      <c r="P14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4" s="6" t="inlineStr">
        <is>
          <t>-</t>
        </is>
      </c>
      <c r="R14" s="6" t="inlineStr">
        <is>
          <t>-</t>
        </is>
      </c>
      <c r="S14" s="5" t="n">
        <v>3</v>
      </c>
      <c r="T14" s="6" t="inlineStr">
        <is>
          <t>шт</t>
        </is>
      </c>
      <c r="U14" s="7" t="n"/>
      <c r="V14" s="8" t="inlineStr">
        <is>
          <t>ОАО «Литейно-механический завод»</t>
        </is>
      </c>
      <c r="W14" s="8" t="inlineStr">
        <is>
          <t>Россия</t>
        </is>
      </c>
      <c r="X14" s="8" t="inlineStr">
        <is>
          <t>10636782</t>
        </is>
      </c>
      <c r="Y14" s="8" t="inlineStr">
        <is>
          <t>15.05.2028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1.6/49</t>
        </is>
      </c>
      <c r="C15" s="6" t="inlineStr">
        <is>
          <t>Задвижка 30ч6бр Ду 100 Ру 10</t>
        </is>
      </c>
      <c r="D15" s="6" t="inlineStr">
        <is>
          <t>ТУ УЗ 22-03326877-021-96</t>
        </is>
      </c>
      <c r="E15" s="6" t="inlineStr">
        <is>
          <t>100</t>
        </is>
      </c>
      <c r="F15" s="6" t="inlineStr">
        <is>
          <t>стандарт</t>
        </is>
      </c>
      <c r="G15" s="6" t="inlineStr">
        <is>
          <t>1</t>
        </is>
      </c>
      <c r="H15" s="6" t="inlineStr">
        <is>
          <t>до +225</t>
        </is>
      </c>
      <c r="I15" s="6" t="inlineStr">
        <is>
          <t>вода, пар</t>
        </is>
      </c>
      <c r="J15" s="6" t="inlineStr">
        <is>
          <t>серый чугун СЧ 18 (СЧ 20)</t>
        </is>
      </c>
      <c r="K15" s="6" t="inlineStr">
        <is>
          <t>У</t>
        </is>
      </c>
      <c r="L15" s="6" t="inlineStr">
        <is>
          <t>фланцевый</t>
        </is>
      </c>
      <c r="M15" s="6" t="inlineStr">
        <is>
          <t>ручной (маховик)</t>
        </is>
      </c>
      <c r="N15" s="6" t="inlineStr">
        <is>
          <t>-</t>
        </is>
      </c>
      <c r="O15" s="6" t="inlineStr">
        <is>
          <t>любое, кроме маховиком вниз</t>
        </is>
      </c>
      <c r="P15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5" s="6" t="inlineStr">
        <is>
          <t>-</t>
        </is>
      </c>
      <c r="R15" s="6" t="inlineStr">
        <is>
          <t>-</t>
        </is>
      </c>
      <c r="S15" s="5" t="n">
        <v>3</v>
      </c>
      <c r="T15" s="6" t="inlineStr">
        <is>
          <t>шт</t>
        </is>
      </c>
      <c r="U15" s="7" t="n"/>
      <c r="V15" s="8" t="inlineStr">
        <is>
          <t>ОАО «Литейно-механический завод»</t>
        </is>
      </c>
      <c r="W15" s="8" t="inlineStr">
        <is>
          <t>Россия</t>
        </is>
      </c>
      <c r="X15" s="8" t="inlineStr">
        <is>
          <t>10636782</t>
        </is>
      </c>
      <c r="Y15" s="8" t="inlineStr">
        <is>
          <t>15.05.2028</t>
        </is>
      </c>
      <c r="Z15" s="7" t="n"/>
      <c r="AA15" s="9" t="n"/>
      <c r="AB15" s="10">
        <f>AA15*S15</f>
        <v/>
      </c>
      <c r="AC15" s="7" t="n"/>
      <c r="AD15" s="7" t="n"/>
      <c r="AE15" s="7" t="n"/>
    </row>
    <row r="16" ht="6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>
        <is>
          <t>ИТОГО</t>
        </is>
      </c>
      <c r="AB16" s="12">
        <f>SUM(AB6:AB15)</f>
        <v/>
      </c>
      <c r="AC16" s="2" t="n"/>
      <c r="AD16" s="2" t="n"/>
      <c r="AE1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