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9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34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22" customWidth="1" min="21" max="21"/>
    <col width="24" customWidth="1" min="22" max="22"/>
    <col width="14" customWidth="1" min="23" max="23"/>
    <col width="26" customWidth="1" min="24" max="24"/>
    <col width="13" customWidth="1" min="25" max="25"/>
    <col width="24" customWidth="1" min="26" max="26"/>
    <col width="13" customWidth="1" min="27" max="27"/>
    <col width="14" customWidth="1" min="28" max="28"/>
    <col width="12" customWidth="1" min="29" max="29"/>
    <col width="14" customWidth="1" min="30" max="30"/>
    <col width="20" customWidth="1" min="31" max="31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ООО «Нижегородский завод «Старт»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2" t="inlineStr">
        <is>
          <t>Просим заполнить жёлтые графы по каждой позиции. Характеристики — дословно из технических требований заказчика; при отличии — указать в графе «Соответствие ТЗ».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8" customHeight="1">
      <c r="A3" s="2" t="inlineStr">
        <is>
          <t>Графы марка / производитель / страна / № записи частично ПРЕДЗАПОЛНЕНЫ нами по вашему КП и открытым данным — проверьте и исправьте, если не так.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18" customHeight="1">
      <c r="A4" s="2" t="inlineStr">
        <is>
          <t>Нацрежим ПП 1875 (ограничение): обязательны производитель, страна и ДЕЙСТВУЮЩИЙ номер реестровой записи ПП 719 (для ЕАЭС — евразийский реестр). Приложите выписку из ГИСП и сертификаты. Доставка — до Петропавловска-Камчатского (укажите вес).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66" customHeight="1">
      <c r="A5" s="3" t="inlineStr">
        <is>
          <t>№</t>
        </is>
      </c>
      <c r="B5" s="3" t="inlineStr">
        <is>
          <t>Табл./№ ТЗ</t>
        </is>
      </c>
      <c r="C5" s="3" t="inlineStr">
        <is>
          <t>Наименование</t>
        </is>
      </c>
      <c r="D5" s="3" t="inlineStr">
        <is>
          <t>ГОСТ/ТУ</t>
        </is>
      </c>
      <c r="E5" s="3" t="inlineStr">
        <is>
          <t>Ду, мм</t>
        </is>
      </c>
      <c r="F5" s="3" t="inlineStr">
        <is>
          <t>Проход</t>
        </is>
      </c>
      <c r="G5" s="3" t="inlineStr">
        <is>
          <t>Давление, МПа</t>
        </is>
      </c>
      <c r="H5" s="3" t="inlineStr">
        <is>
          <t>Температура, °С</t>
        </is>
      </c>
      <c r="I5" s="3" t="inlineStr">
        <is>
          <t>Среда</t>
        </is>
      </c>
      <c r="J5" s="3" t="inlineStr">
        <is>
          <t>Материал корпуса</t>
        </is>
      </c>
      <c r="K5" s="3" t="inlineStr">
        <is>
          <t>Климатическое исполнение</t>
        </is>
      </c>
      <c r="L5" s="3" t="inlineStr">
        <is>
          <t>Присоединение</t>
        </is>
      </c>
      <c r="M5" s="3" t="inlineStr">
        <is>
          <t>Приводное устройство: наименование</t>
        </is>
      </c>
      <c r="N5" s="3" t="inlineStr">
        <is>
          <t>Приводное устройство: технические характеристики</t>
        </is>
      </c>
      <c r="O5" s="3" t="inlineStr">
        <is>
          <t>Установочное положение</t>
        </is>
      </c>
      <c r="P5" s="3" t="inlineStr">
        <is>
          <t>Материал штока, шара, уплотнений</t>
        </is>
      </c>
      <c r="Q5" s="3" t="inlineStr">
        <is>
          <t>Габариты</t>
        </is>
      </c>
      <c r="R5" s="3" t="inlineStr">
        <is>
          <t>Примечание</t>
        </is>
      </c>
      <c r="S5" s="3" t="inlineStr">
        <is>
          <t>Кол-во</t>
        </is>
      </c>
      <c r="T5" s="3" t="inlineStr">
        <is>
          <t>Ед.</t>
        </is>
      </c>
      <c r="U5" s="4" t="inlineStr">
        <is>
          <t>Предлагаемая марка / обозначение</t>
        </is>
      </c>
      <c r="V5" s="4" t="inlineStr">
        <is>
          <t>Производитель (завод)</t>
        </is>
      </c>
      <c r="W5" s="4" t="inlineStr">
        <is>
          <t>Страна происхождения</t>
        </is>
      </c>
      <c r="X5" s="4" t="inlineStr">
        <is>
          <t>№ реестровой записи (ПП 719) или евразийского реестра</t>
        </is>
      </c>
      <c r="Y5" s="4" t="inlineStr">
        <is>
          <t>Срок действия записи</t>
        </is>
      </c>
      <c r="Z5" s="4" t="inlineStr">
        <is>
          <t>Соответствие ТЗ: «да» или отличия</t>
        </is>
      </c>
      <c r="AA5" s="4" t="inlineStr">
        <is>
          <t>Цена за ед. с НДС, ₽</t>
        </is>
      </c>
      <c r="AB5" s="4" t="inlineStr">
        <is>
          <t>Сумма с НДС, ₽</t>
        </is>
      </c>
      <c r="AC5" s="4" t="inlineStr">
        <is>
          <t>Срок отгрузки</t>
        </is>
      </c>
      <c r="AD5" s="4" t="inlineStr">
        <is>
          <t>Вес ед., кг / габариты</t>
        </is>
      </c>
      <c r="AE5" s="4" t="inlineStr">
        <is>
          <t>Сертификат / декларация ТР ТС №</t>
        </is>
      </c>
    </row>
    <row r="6" ht="60" customHeight="1">
      <c r="A6" s="5" t="n">
        <v>1</v>
      </c>
      <c r="B6" s="6" t="inlineStr">
        <is>
          <t>1.3/45</t>
        </is>
      </c>
      <c r="C6" s="6" t="inlineStr">
        <is>
          <t>Клапан запорный 14нж17п Ду 15 Ру 10 цапковый</t>
        </is>
      </c>
      <c r="D6" s="6" t="inlineStr">
        <is>
          <t>ТУ 3700-003-92853012-2012</t>
        </is>
      </c>
      <c r="E6" s="6" t="inlineStr">
        <is>
          <t>15</t>
        </is>
      </c>
      <c r="F6" s="6" t="inlineStr">
        <is>
          <t>-</t>
        </is>
      </c>
      <c r="G6" s="6" t="inlineStr">
        <is>
          <t>1</t>
        </is>
      </c>
      <c r="H6" s="6" t="inlineStr">
        <is>
          <t>до +200°С</t>
        </is>
      </c>
      <c r="I6" s="6" t="inlineStr">
        <is>
          <t>Жидкость, пар, воздух, инертный газ, агрессивная среда.</t>
        </is>
      </c>
      <c r="J6" s="6" t="inlineStr">
        <is>
          <t>Сталь марки 12Х18Н9Т</t>
        </is>
      </c>
      <c r="K6" s="6" t="inlineStr">
        <is>
          <t>-</t>
        </is>
      </c>
      <c r="L6" s="6" t="inlineStr">
        <is>
          <t>Цапка</t>
        </is>
      </c>
      <c r="M6" s="6" t="inlineStr">
        <is>
          <t>Ручной</t>
        </is>
      </c>
      <c r="N6" s="6" t="inlineStr">
        <is>
          <t>Рукоятка</t>
        </is>
      </c>
      <c r="O6" s="6" t="inlineStr">
        <is>
          <t>любое</t>
        </is>
      </c>
      <c r="P6" s="6" t="inlineStr">
        <is>
          <t>Материал изделия (уплотнение в затворе): фторопласт Ф-4;</t>
        </is>
      </c>
      <c r="Q6" s="6" t="inlineStr">
        <is>
          <t>-</t>
        </is>
      </c>
      <c r="R6" s="6" t="inlineStr">
        <is>
          <t>-</t>
        </is>
      </c>
      <c r="S6" s="5" t="n">
        <v>2</v>
      </c>
      <c r="T6" s="6" t="inlineStr">
        <is>
          <t>шт</t>
        </is>
      </c>
      <c r="U6" s="7" t="n"/>
      <c r="V6" s="8" t="inlineStr">
        <is>
          <t>ООО «Нижегородский завод «Старт»</t>
        </is>
      </c>
      <c r="W6" s="8" t="inlineStr">
        <is>
          <t>Россия</t>
        </is>
      </c>
      <c r="X6" s="7" t="n"/>
      <c r="Y6" s="7" t="n"/>
      <c r="Z6" s="7" t="n"/>
      <c r="AA6" s="9" t="n"/>
      <c r="AB6" s="10">
        <f>AA6*S6</f>
        <v/>
      </c>
      <c r="AC6" s="7" t="n"/>
      <c r="AD6" s="7" t="n"/>
      <c r="AE6" s="7" t="n"/>
    </row>
    <row r="7" ht="60" customHeight="1">
      <c r="A7" s="5" t="n">
        <v>2</v>
      </c>
      <c r="B7" s="6" t="inlineStr">
        <is>
          <t>1.3/46</t>
        </is>
      </c>
      <c r="C7" s="6" t="inlineStr">
        <is>
          <t>Клапан запорный 14нж17п Ду 25 Ру 10 цапковый</t>
        </is>
      </c>
      <c r="D7" s="6" t="inlineStr">
        <is>
          <t>ТУ 3700-003-92853012-2012</t>
        </is>
      </c>
      <c r="E7" s="6" t="inlineStr">
        <is>
          <t>25</t>
        </is>
      </c>
      <c r="F7" s="6" t="inlineStr">
        <is>
          <t>-</t>
        </is>
      </c>
      <c r="G7" s="6" t="inlineStr">
        <is>
          <t>1</t>
        </is>
      </c>
      <c r="H7" s="6" t="inlineStr">
        <is>
          <t>до +200°С</t>
        </is>
      </c>
      <c r="I7" s="6" t="inlineStr">
        <is>
          <t>Жидкость, пар, воздух, инертный газ, агрессивная среда.</t>
        </is>
      </c>
      <c r="J7" s="6" t="inlineStr">
        <is>
          <t>Сталь марки 12Х18Н9Т</t>
        </is>
      </c>
      <c r="K7" s="6" t="inlineStr">
        <is>
          <t>-</t>
        </is>
      </c>
      <c r="L7" s="6" t="inlineStr">
        <is>
          <t>Цапка</t>
        </is>
      </c>
      <c r="M7" s="6" t="inlineStr">
        <is>
          <t>Ручной</t>
        </is>
      </c>
      <c r="N7" s="6" t="inlineStr">
        <is>
          <t>Рукоятка</t>
        </is>
      </c>
      <c r="O7" s="6" t="inlineStr">
        <is>
          <t>любое</t>
        </is>
      </c>
      <c r="P7" s="6" t="inlineStr">
        <is>
          <t>Материал изделия (уплотнение в затворе): фторопласт Ф-4;</t>
        </is>
      </c>
      <c r="Q7" s="6" t="inlineStr">
        <is>
          <t>-</t>
        </is>
      </c>
      <c r="R7" s="6" t="inlineStr">
        <is>
          <t>-</t>
        </is>
      </c>
      <c r="S7" s="5" t="n">
        <v>2</v>
      </c>
      <c r="T7" s="6" t="inlineStr">
        <is>
          <t>шт</t>
        </is>
      </c>
      <c r="U7" s="7" t="n"/>
      <c r="V7" s="8" t="inlineStr">
        <is>
          <t>ООО «Нижегородский завод «Старт»</t>
        </is>
      </c>
      <c r="W7" s="8" t="inlineStr">
        <is>
          <t>Россия</t>
        </is>
      </c>
      <c r="X7" s="7" t="n"/>
      <c r="Y7" s="7" t="n"/>
      <c r="Z7" s="7" t="n"/>
      <c r="AA7" s="9" t="n"/>
      <c r="AB7" s="10">
        <f>AA7*S7</f>
        <v/>
      </c>
      <c r="AC7" s="7" t="n"/>
      <c r="AD7" s="7" t="n"/>
      <c r="AE7" s="7" t="n"/>
    </row>
    <row r="8" ht="60" customHeight="1">
      <c r="A8" s="5" t="n">
        <v>3</v>
      </c>
      <c r="B8" s="6" t="inlineStr">
        <is>
          <t>1.3/47</t>
        </is>
      </c>
      <c r="C8" s="6" t="inlineStr">
        <is>
          <t>Клапан запорный 14нж17п Ду 32 Ру 10 цапковый</t>
        </is>
      </c>
      <c r="D8" s="6" t="inlineStr">
        <is>
          <t>ТУ 3700-003-92853012-2012</t>
        </is>
      </c>
      <c r="E8" s="6" t="inlineStr">
        <is>
          <t>32</t>
        </is>
      </c>
      <c r="F8" s="6" t="inlineStr">
        <is>
          <t>-</t>
        </is>
      </c>
      <c r="G8" s="6" t="inlineStr">
        <is>
          <t>1</t>
        </is>
      </c>
      <c r="H8" s="6" t="inlineStr">
        <is>
          <t>до +200°С</t>
        </is>
      </c>
      <c r="I8" s="6" t="inlineStr">
        <is>
          <t>Жидкость, пар, воздух, инертный газ, агрессивная среда.</t>
        </is>
      </c>
      <c r="J8" s="6" t="inlineStr">
        <is>
          <t>Сталь марки 12Х18Н9Т</t>
        </is>
      </c>
      <c r="K8" s="6" t="inlineStr">
        <is>
          <t>-</t>
        </is>
      </c>
      <c r="L8" s="6" t="inlineStr">
        <is>
          <t>Цапка</t>
        </is>
      </c>
      <c r="M8" s="6" t="inlineStr">
        <is>
          <t>Ручной</t>
        </is>
      </c>
      <c r="N8" s="6" t="inlineStr">
        <is>
          <t>Рукоятка</t>
        </is>
      </c>
      <c r="O8" s="6" t="inlineStr">
        <is>
          <t>любое</t>
        </is>
      </c>
      <c r="P8" s="6" t="inlineStr">
        <is>
          <t>Материал изделия (уплотнение в затворе): фторопласт Ф-4;</t>
        </is>
      </c>
      <c r="Q8" s="6" t="inlineStr">
        <is>
          <t>-</t>
        </is>
      </c>
      <c r="R8" s="6" t="inlineStr">
        <is>
          <t>-</t>
        </is>
      </c>
      <c r="S8" s="5" t="n">
        <v>1</v>
      </c>
      <c r="T8" s="6" t="inlineStr">
        <is>
          <t>шт</t>
        </is>
      </c>
      <c r="U8" s="7" t="n"/>
      <c r="V8" s="8" t="inlineStr">
        <is>
          <t>ООО «Нижегородский завод «Старт»</t>
        </is>
      </c>
      <c r="W8" s="8" t="inlineStr">
        <is>
          <t>Россия</t>
        </is>
      </c>
      <c r="X8" s="7" t="n"/>
      <c r="Y8" s="7" t="n"/>
      <c r="Z8" s="7" t="n"/>
      <c r="AA8" s="9" t="n"/>
      <c r="AB8" s="10">
        <f>AA8*S8</f>
        <v/>
      </c>
      <c r="AC8" s="7" t="n"/>
      <c r="AD8" s="7" t="n"/>
      <c r="AE8" s="7" t="n"/>
    </row>
    <row r="9" ht="60" customHeight="1">
      <c r="A9" s="11" t="inlineStr"/>
      <c r="B9" s="11" t="inlineStr"/>
      <c r="C9" s="11" t="inlineStr"/>
      <c r="D9" s="11" t="inlineStr"/>
      <c r="E9" s="11" t="inlineStr"/>
      <c r="F9" s="11" t="inlineStr"/>
      <c r="G9" s="11" t="inlineStr"/>
      <c r="H9" s="11" t="inlineStr"/>
      <c r="I9" s="11" t="inlineStr"/>
      <c r="J9" s="11" t="inlineStr"/>
      <c r="K9" s="11" t="inlineStr"/>
      <c r="L9" s="11" t="inlineStr"/>
      <c r="M9" s="11" t="inlineStr"/>
      <c r="N9" s="11" t="inlineStr"/>
      <c r="O9" s="11" t="inlineStr"/>
      <c r="P9" s="11" t="inlineStr"/>
      <c r="Q9" s="11" t="inlineStr"/>
      <c r="R9" s="11" t="inlineStr"/>
      <c r="S9" s="11" t="inlineStr"/>
      <c r="T9" s="11" t="inlineStr"/>
      <c r="U9" s="11" t="inlineStr"/>
      <c r="V9" s="11" t="inlineStr"/>
      <c r="W9" s="11" t="inlineStr"/>
      <c r="X9" s="11" t="inlineStr"/>
      <c r="Y9" s="11" t="inlineStr"/>
      <c r="Z9" s="11" t="inlineStr"/>
      <c r="AA9" s="11" t="inlineStr">
        <is>
          <t>ИТОГО</t>
        </is>
      </c>
      <c r="AB9" s="12">
        <f>SUM(AB6:AB8)</f>
        <v/>
      </c>
      <c r="AC9" s="2" t="n"/>
      <c r="AD9" s="2" t="n"/>
      <c r="AE9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2026-10-27T17:09:33Z</dcterms:created>
  <dcterms:modified xmlns:dcterms="http://purl.org/dc/terms/" xmlns:xsi="http://www.w3.org/2001/XMLSchema-instance" xsi:type="dcterms:W3CDTF">2026-10-27T17:09:33Z</dcterms:modified>
</cp:coreProperties>
</file>