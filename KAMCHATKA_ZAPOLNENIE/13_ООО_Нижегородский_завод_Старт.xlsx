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1.3/45</t>
        </is>
      </c>
      <c r="C6" s="6" t="inlineStr">
        <is>
          <t>Клапан запорный 14нж17п Ду 15 Ру 10 цапковый</t>
        </is>
      </c>
      <c r="D6" s="6" t="inlineStr">
        <is>
          <t>ТУ 3700-003-92853012-2012</t>
        </is>
      </c>
      <c r="E6" s="6" t="inlineStr">
        <is>
          <t>15</t>
        </is>
      </c>
      <c r="F6" s="6" t="inlineStr">
        <is>
          <t>-</t>
        </is>
      </c>
      <c r="G6" s="6" t="inlineStr">
        <is>
          <t>1</t>
        </is>
      </c>
      <c r="H6" s="6" t="inlineStr">
        <is>
          <t>до +200°С</t>
        </is>
      </c>
      <c r="I6" s="6" t="inlineStr">
        <is>
          <t>Жидкость, пар, воздух, инертный газ, агрессивная среда.</t>
        </is>
      </c>
      <c r="J6" s="6" t="inlineStr">
        <is>
          <t>Сталь марки 12Х18Н9Т</t>
        </is>
      </c>
      <c r="K6" s="6" t="inlineStr">
        <is>
          <t>-</t>
        </is>
      </c>
      <c r="L6" s="6" t="inlineStr">
        <is>
          <t>Цапка</t>
        </is>
      </c>
      <c r="M6" s="6" t="inlineStr">
        <is>
          <t>Ручной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изделия (уплотнение в затворе): фторопласт Ф-4;</t>
        </is>
      </c>
      <c r="Q6" s="6" t="inlineStr">
        <is>
          <t>-</t>
        </is>
      </c>
      <c r="R6" s="6" t="inlineStr">
        <is>
          <t>-</t>
        </is>
      </c>
      <c r="S6" s="5" t="n">
        <v>2</v>
      </c>
      <c r="T6" s="6" t="inlineStr">
        <is>
          <t>шт</t>
        </is>
      </c>
      <c r="U6" s="7" t="n"/>
      <c r="V6" s="8" t="inlineStr">
        <is>
          <t>ООО «Нижегородский завод «Старт»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1.3/46</t>
        </is>
      </c>
      <c r="C7" s="6" t="inlineStr">
        <is>
          <t>Клапан запорный 14нж17п Ду 25 Ру 10 цапковый</t>
        </is>
      </c>
      <c r="D7" s="6" t="inlineStr">
        <is>
          <t>ТУ 3700-003-92853012-2012</t>
        </is>
      </c>
      <c r="E7" s="6" t="inlineStr">
        <is>
          <t>25</t>
        </is>
      </c>
      <c r="F7" s="6" t="inlineStr">
        <is>
          <t>-</t>
        </is>
      </c>
      <c r="G7" s="6" t="inlineStr">
        <is>
          <t>1</t>
        </is>
      </c>
      <c r="H7" s="6" t="inlineStr">
        <is>
          <t>до +200°С</t>
        </is>
      </c>
      <c r="I7" s="6" t="inlineStr">
        <is>
          <t>Жидкость, пар, воздух, инертный газ, агрессивная среда.</t>
        </is>
      </c>
      <c r="J7" s="6" t="inlineStr">
        <is>
          <t>Сталь марки 12Х18Н9Т</t>
        </is>
      </c>
      <c r="K7" s="6" t="inlineStr">
        <is>
          <t>-</t>
        </is>
      </c>
      <c r="L7" s="6" t="inlineStr">
        <is>
          <t>Цапка</t>
        </is>
      </c>
      <c r="M7" s="6" t="inlineStr">
        <is>
          <t>Ручной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изделия (уплотнение в затворе): фторопласт Ф-4;</t>
        </is>
      </c>
      <c r="Q7" s="6" t="inlineStr">
        <is>
          <t>-</t>
        </is>
      </c>
      <c r="R7" s="6" t="inlineStr">
        <is>
          <t>-</t>
        </is>
      </c>
      <c r="S7" s="5" t="n">
        <v>2</v>
      </c>
      <c r="T7" s="6" t="inlineStr">
        <is>
          <t>шт</t>
        </is>
      </c>
      <c r="U7" s="7" t="n"/>
      <c r="V7" s="8" t="inlineStr">
        <is>
          <t>ООО «Нижегородский завод «Старт»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1.3/47</t>
        </is>
      </c>
      <c r="C8" s="6" t="inlineStr">
        <is>
          <t>Клапан запорный 14нж17п Ду 32 Ру 10 цапковый</t>
        </is>
      </c>
      <c r="D8" s="6" t="inlineStr">
        <is>
          <t>ТУ 3700-003-92853012-2012</t>
        </is>
      </c>
      <c r="E8" s="6" t="inlineStr">
        <is>
          <t>32</t>
        </is>
      </c>
      <c r="F8" s="6" t="inlineStr">
        <is>
          <t>-</t>
        </is>
      </c>
      <c r="G8" s="6" t="inlineStr">
        <is>
          <t>1</t>
        </is>
      </c>
      <c r="H8" s="6" t="inlineStr">
        <is>
          <t>до +200°С</t>
        </is>
      </c>
      <c r="I8" s="6" t="inlineStr">
        <is>
          <t>Жидкость, пар, воздух, инертный газ, агрессивная среда.</t>
        </is>
      </c>
      <c r="J8" s="6" t="inlineStr">
        <is>
          <t>Сталь марки 12Х18Н9Т</t>
        </is>
      </c>
      <c r="K8" s="6" t="inlineStr">
        <is>
          <t>-</t>
        </is>
      </c>
      <c r="L8" s="6" t="inlineStr">
        <is>
          <t>Цапка</t>
        </is>
      </c>
      <c r="M8" s="6" t="inlineStr">
        <is>
          <t>Ручной</t>
        </is>
      </c>
      <c r="N8" s="6" t="inlineStr">
        <is>
          <t>Рукоятка</t>
        </is>
      </c>
      <c r="O8" s="6" t="inlineStr">
        <is>
          <t>любое</t>
        </is>
      </c>
      <c r="P8" s="6" t="inlineStr">
        <is>
          <t>Материал изделия (уплотнение в затворе): фторопласт Ф-4;</t>
        </is>
      </c>
      <c r="Q8" s="6" t="inlineStr">
        <is>
          <t>-</t>
        </is>
      </c>
      <c r="R8" s="6" t="inlineStr">
        <is>
          <t>-</t>
        </is>
      </c>
      <c r="S8" s="5" t="n">
        <v>1</v>
      </c>
      <c r="T8" s="6" t="inlineStr">
        <is>
          <t>шт</t>
        </is>
      </c>
      <c r="U8" s="7" t="n"/>
      <c r="V8" s="8" t="inlineStr">
        <is>
          <t>ООО «Нижегородский завод «Старт»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11" t="inlineStr"/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  <c r="L9" s="11" t="inlineStr"/>
      <c r="M9" s="11" t="inlineStr"/>
      <c r="N9" s="11" t="inlineStr"/>
      <c r="O9" s="11" t="inlineStr"/>
      <c r="P9" s="11" t="inlineStr"/>
      <c r="Q9" s="11" t="inlineStr"/>
      <c r="R9" s="11" t="inlineStr"/>
      <c r="S9" s="11" t="inlineStr"/>
      <c r="T9" s="11" t="inlineStr"/>
      <c r="U9" s="11" t="inlineStr"/>
      <c r="V9" s="11" t="inlineStr"/>
      <c r="W9" s="11" t="inlineStr"/>
      <c r="X9" s="11" t="inlineStr"/>
      <c r="Y9" s="11" t="inlineStr"/>
      <c r="Z9" s="11" t="inlineStr"/>
      <c r="AA9" s="11" t="inlineStr">
        <is>
          <t>ИТОГО</t>
        </is>
      </c>
      <c r="AB9" s="12">
        <f>SUM(AB6:AB8)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