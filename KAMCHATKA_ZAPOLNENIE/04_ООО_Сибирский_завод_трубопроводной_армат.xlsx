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«Сибирский завод трубопроводной арматуры» (СИБЗТА)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1.1/11</t>
        </is>
      </c>
      <c r="C6" s="6" t="inlineStr">
        <is>
          <t>Задвижка 30С576НЖ Ду 300 Ру 63 с редуктором РК-Г-1М, в комплекте с крепежом и ответными фланцами.</t>
        </is>
      </c>
      <c r="D6" s="6" t="inlineStr">
        <is>
          <t>ГОСТ 9544-2015</t>
        </is>
      </c>
      <c r="E6" s="6" t="inlineStr">
        <is>
          <t>300</t>
        </is>
      </c>
      <c r="F6" s="6" t="inlineStr">
        <is>
          <t>стандарт</t>
        </is>
      </c>
      <c r="G6" s="6" t="inlineStr">
        <is>
          <t>6.3</t>
        </is>
      </c>
      <c r="H6" s="6" t="inlineStr">
        <is>
          <t>до +425</t>
        </is>
      </c>
      <c r="I6" s="6" t="inlineStr">
        <is>
          <t>жидкие и газообразные углеводороды, нефть, нефтепродукты, природный газ, газоконденсат, вода, пар, а так же другие агрессивные жидкости и газы, неагрессивные к примененным в задвижке клиновой материалам</t>
        </is>
      </c>
      <c r="J6" s="6" t="inlineStr">
        <is>
          <t>Сталь 25Л</t>
        </is>
      </c>
      <c r="K6" s="6" t="inlineStr">
        <is>
          <t>У1</t>
        </is>
      </c>
      <c r="L6" s="6" t="inlineStr">
        <is>
          <t>фланец -фланец под приварку</t>
        </is>
      </c>
      <c r="M6" s="6" t="inlineStr">
        <is>
          <t>редуктор РК-Г1</t>
        </is>
      </c>
      <c r="N6" s="6" t="inlineStr">
        <is>
          <t>РК-Г-1</t>
        </is>
      </c>
      <c r="O6" s="6" t="inlineStr">
        <is>
          <t>любое</t>
        </is>
      </c>
      <c r="P6" s="6" t="inlineStr">
        <is>
          <t>Корпус: сталь 25Л    Крышка: сталь 25Л Клин: сталь 25Л  Шпиндель: сталь 20Х13     Гайка шпинделя: латунь ЛС59    Гайка: сталь 45     Шпилька, болт: сталь 35ХМ     . Болт откидной: сталь 35ХМ      Прокладка: спирально-навитая     • 10. Набивка сальника: ТРГ     • 11. Редуктор: редуктор конический или цилиндрический     • 12. Подшипник: по ГОСТ 7872-89     • 13. Наплавка на кольце в корпусе: сталь 07Х25Н13   Наплавка на клине: сталь 13Х25Т</t>
        </is>
      </c>
      <c r="Q6" s="6" t="inlineStr"/>
      <c r="R6" s="6" t="inlineStr"/>
      <c r="S6" s="5" t="n">
        <v>2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1.3/78</t>
        </is>
      </c>
      <c r="C7" s="6" t="inlineStr">
        <is>
          <t>Задвижка 30с64нж Ду 50 Ру 25</t>
        </is>
      </c>
      <c r="D7" s="6" t="inlineStr">
        <is>
          <t>ГОСТ 5762-2002</t>
        </is>
      </c>
      <c r="E7" s="6" t="inlineStr">
        <is>
          <t>50</t>
        </is>
      </c>
      <c r="F7" s="6" t="inlineStr">
        <is>
          <t>стандарт</t>
        </is>
      </c>
      <c r="G7" s="6" t="inlineStr">
        <is>
          <t>2.5</t>
        </is>
      </c>
      <c r="H7" s="6" t="inlineStr">
        <is>
          <t>от −40°С  до +425°С</t>
        </is>
      </c>
      <c r="I7" s="6" t="inlineStr">
        <is>
          <t>вода, пар, неагрессивные нефтепродукты</t>
        </is>
      </c>
      <c r="J7" s="6" t="inlineStr">
        <is>
          <t>сталь 25л</t>
        </is>
      </c>
      <c r="K7" s="6" t="inlineStr">
        <is>
          <t>У1</t>
        </is>
      </c>
      <c r="L7" s="6" t="inlineStr">
        <is>
          <t>фланцевый</t>
        </is>
      </c>
      <c r="M7" s="6" t="inlineStr">
        <is>
          <t>ручной</t>
        </is>
      </c>
      <c r="N7" s="6" t="inlineStr">
        <is>
          <t>маховик</t>
        </is>
      </c>
      <c r="O7" s="6" t="inlineStr">
        <is>
          <t>горизонтальное, либо вертикальное</t>
        </is>
      </c>
      <c r="P7" s="6" t="inlineStr">
        <is>
          <t>Крышка, клин Ст25Л, шпиндель Ст20х13</t>
        </is>
      </c>
      <c r="Q7" s="6" t="inlineStr"/>
      <c r="R7" s="6" t="inlineStr"/>
      <c r="S7" s="5" t="n">
        <v>5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1.3/79</t>
        </is>
      </c>
      <c r="C8" s="6" t="inlineStr">
        <is>
          <t>Задвижка 30с64нж Ду 80 Ру 25</t>
        </is>
      </c>
      <c r="D8" s="6" t="inlineStr">
        <is>
          <t>ГОСТ 5762-2002</t>
        </is>
      </c>
      <c r="E8" s="6" t="inlineStr">
        <is>
          <t>80</t>
        </is>
      </c>
      <c r="F8" s="6" t="inlineStr">
        <is>
          <t>стандарт</t>
        </is>
      </c>
      <c r="G8" s="6" t="inlineStr">
        <is>
          <t>2.5</t>
        </is>
      </c>
      <c r="H8" s="6" t="inlineStr">
        <is>
          <t>от −40°С  до +425°С</t>
        </is>
      </c>
      <c r="I8" s="6" t="inlineStr">
        <is>
          <t>вода, пар, неагрессивные нефтепродукты</t>
        </is>
      </c>
      <c r="J8" s="6" t="inlineStr">
        <is>
          <t>сталь 25л</t>
        </is>
      </c>
      <c r="K8" s="6" t="inlineStr">
        <is>
          <t>У1</t>
        </is>
      </c>
      <c r="L8" s="6" t="inlineStr">
        <is>
          <t>фланцевый</t>
        </is>
      </c>
      <c r="M8" s="6" t="inlineStr">
        <is>
          <t>ручной</t>
        </is>
      </c>
      <c r="N8" s="6" t="inlineStr">
        <is>
          <t>маховик</t>
        </is>
      </c>
      <c r="O8" s="6" t="inlineStr">
        <is>
          <t>горизонтальное, либо вертикальное</t>
        </is>
      </c>
      <c r="P8" s="6" t="inlineStr">
        <is>
          <t>Крышка, клин Ст25Л, шпиндель Ст20х13</t>
        </is>
      </c>
      <c r="Q8" s="6" t="inlineStr"/>
      <c r="R8" s="6" t="inlineStr"/>
      <c r="S8" s="5" t="n">
        <v>3</v>
      </c>
      <c r="T8" s="6" t="inlineStr">
        <is>
          <t>шт</t>
        </is>
      </c>
      <c r="U8" s="7" t="n"/>
      <c r="V8" s="7" t="n"/>
      <c r="W8" s="7" t="n"/>
      <c r="X8" s="7" t="n"/>
      <c r="Y8" s="7" t="n"/>
      <c r="Z8" s="7" t="n"/>
      <c r="AA8" s="8" t="n"/>
      <c r="AB8" s="9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1.3/80</t>
        </is>
      </c>
      <c r="C9" s="6" t="inlineStr">
        <is>
          <t>Задвижка 30с64нж Ду 100 Ру 25</t>
        </is>
      </c>
      <c r="D9" s="6" t="inlineStr">
        <is>
          <t>ГОСТ 5762-2002</t>
        </is>
      </c>
      <c r="E9" s="6" t="inlineStr">
        <is>
          <t>100</t>
        </is>
      </c>
      <c r="F9" s="6" t="inlineStr">
        <is>
          <t>стандарт</t>
        </is>
      </c>
      <c r="G9" s="6" t="inlineStr">
        <is>
          <t>2.5</t>
        </is>
      </c>
      <c r="H9" s="6" t="inlineStr">
        <is>
          <t>от −40°С  до +425°С</t>
        </is>
      </c>
      <c r="I9" s="6" t="inlineStr">
        <is>
          <t>вода, пар, неагрессивные нефтепродукты</t>
        </is>
      </c>
      <c r="J9" s="6" t="inlineStr">
        <is>
          <t>сталь 25л</t>
        </is>
      </c>
      <c r="K9" s="6" t="inlineStr">
        <is>
          <t>У1</t>
        </is>
      </c>
      <c r="L9" s="6" t="inlineStr">
        <is>
          <t>фланцевый</t>
        </is>
      </c>
      <c r="M9" s="6" t="inlineStr">
        <is>
          <t>ручной</t>
        </is>
      </c>
      <c r="N9" s="6" t="inlineStr">
        <is>
          <t>маховик</t>
        </is>
      </c>
      <c r="O9" s="6" t="inlineStr">
        <is>
          <t>горизонтальное, либо вертикальное</t>
        </is>
      </c>
      <c r="P9" s="6" t="inlineStr">
        <is>
          <t>Крышка, клин Ст25Л, шпиндель Ст20х13</t>
        </is>
      </c>
      <c r="Q9" s="6" t="inlineStr"/>
      <c r="R9" s="6" t="inlineStr"/>
      <c r="S9" s="5" t="n">
        <v>20</v>
      </c>
      <c r="T9" s="6" t="inlineStr">
        <is>
          <t>шт</t>
        </is>
      </c>
      <c r="U9" s="7" t="n"/>
      <c r="V9" s="7" t="n"/>
      <c r="W9" s="7" t="n"/>
      <c r="X9" s="7" t="n"/>
      <c r="Y9" s="7" t="n"/>
      <c r="Z9" s="7" t="n"/>
      <c r="AA9" s="8" t="n"/>
      <c r="AB9" s="9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1.3/81</t>
        </is>
      </c>
      <c r="C10" s="6" t="inlineStr">
        <is>
          <t>Задвижка 30с64нж Ду 150 Ру 25</t>
        </is>
      </c>
      <c r="D10" s="6" t="inlineStr">
        <is>
          <t>ГОСТ 5762-2002</t>
        </is>
      </c>
      <c r="E10" s="6" t="inlineStr">
        <is>
          <t>150</t>
        </is>
      </c>
      <c r="F10" s="6" t="inlineStr">
        <is>
          <t>стандарт</t>
        </is>
      </c>
      <c r="G10" s="6" t="inlineStr">
        <is>
          <t>2.5</t>
        </is>
      </c>
      <c r="H10" s="6" t="inlineStr">
        <is>
          <t>от −40°С  до +425°С</t>
        </is>
      </c>
      <c r="I10" s="6" t="inlineStr">
        <is>
          <t>вода, пар, неагрессивные нефтепродукты</t>
        </is>
      </c>
      <c r="J10" s="6" t="inlineStr">
        <is>
          <t>сталь 25л</t>
        </is>
      </c>
      <c r="K10" s="6" t="inlineStr">
        <is>
          <t>У1</t>
        </is>
      </c>
      <c r="L10" s="6" t="inlineStr">
        <is>
          <t>фланцевый</t>
        </is>
      </c>
      <c r="M10" s="6" t="inlineStr">
        <is>
          <t>ручной</t>
        </is>
      </c>
      <c r="N10" s="6" t="inlineStr">
        <is>
          <t>маховик</t>
        </is>
      </c>
      <c r="O10" s="6" t="inlineStr">
        <is>
          <t>горизонтальное, либо вертикальное</t>
        </is>
      </c>
      <c r="P10" s="6" t="inlineStr">
        <is>
          <t>Крышка, клин Ст25Л, шпиндель Ст20х13</t>
        </is>
      </c>
      <c r="Q10" s="6" t="inlineStr"/>
      <c r="R10" s="6" t="inlineStr"/>
      <c r="S10" s="5" t="n">
        <v>18</v>
      </c>
      <c r="T10" s="6" t="inlineStr">
        <is>
          <t>шт</t>
        </is>
      </c>
      <c r="U10" s="7" t="n"/>
      <c r="V10" s="7" t="n"/>
      <c r="W10" s="7" t="n"/>
      <c r="X10" s="7" t="n"/>
      <c r="Y10" s="7" t="n"/>
      <c r="Z10" s="7" t="n"/>
      <c r="AA10" s="8" t="n"/>
      <c r="AB10" s="9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1.3/82</t>
        </is>
      </c>
      <c r="C11" s="6" t="inlineStr">
        <is>
          <t>Задвижка 30с64нж Ду 200 Ру 25</t>
        </is>
      </c>
      <c r="D11" s="6" t="inlineStr">
        <is>
          <t>ГОСТ 5762-2002</t>
        </is>
      </c>
      <c r="E11" s="6" t="inlineStr">
        <is>
          <t>200</t>
        </is>
      </c>
      <c r="F11" s="6" t="inlineStr">
        <is>
          <t>стандарт</t>
        </is>
      </c>
      <c r="G11" s="6" t="inlineStr">
        <is>
          <t>2.5</t>
        </is>
      </c>
      <c r="H11" s="6" t="inlineStr">
        <is>
          <t>-40…        +425</t>
        </is>
      </c>
      <c r="I11" s="6" t="inlineStr">
        <is>
          <t>Вода, воздух, пар, аммиак,природный газ, нефть,нефтепродукты</t>
        </is>
      </c>
      <c r="J11" s="6" t="inlineStr">
        <is>
          <t>сталь 25Л</t>
        </is>
      </c>
      <c r="K11" s="6" t="inlineStr">
        <is>
          <t>Условия эксплуатации У
Минимальная температура окружающего воздуха: −40°С</t>
        </is>
      </c>
      <c r="L11" s="6" t="inlineStr">
        <is>
          <t>фланец-фланец</t>
        </is>
      </c>
      <c r="M11" s="6" t="inlineStr">
        <is>
          <t>Ручное</t>
        </is>
      </c>
      <c r="N11" s="6" t="inlineStr">
        <is>
          <t>Маховик</t>
        </is>
      </c>
      <c r="O11" s="6" t="inlineStr">
        <is>
          <t>Вертикально маховиком вверх, горизонтально</t>
        </is>
      </c>
      <c r="P11" s="6" t="inlineStr">
        <is>
          <t>С КОФ. 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Q11" s="6" t="inlineStr"/>
      <c r="R11" s="6" t="inlineStr"/>
      <c r="S11" s="5" t="n">
        <v>9</v>
      </c>
      <c r="T11" s="6" t="inlineStr">
        <is>
          <t>шт</t>
        </is>
      </c>
      <c r="U11" s="7" t="n"/>
      <c r="V11" s="7" t="n"/>
      <c r="W11" s="7" t="n"/>
      <c r="X11" s="7" t="n"/>
      <c r="Y11" s="7" t="n"/>
      <c r="Z11" s="7" t="n"/>
      <c r="AA11" s="8" t="n"/>
      <c r="AB11" s="9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1.3/83</t>
        </is>
      </c>
      <c r="C12" s="6" t="inlineStr">
        <is>
          <t>Задвижка 30с64нж Ду 250 Ру 25</t>
        </is>
      </c>
      <c r="D12" s="6" t="inlineStr">
        <is>
          <t>ГОСТ 5762-2002</t>
        </is>
      </c>
      <c r="E12" s="6" t="inlineStr">
        <is>
          <t>250</t>
        </is>
      </c>
      <c r="F12" s="6" t="inlineStr">
        <is>
          <t>стандарт</t>
        </is>
      </c>
      <c r="G12" s="6" t="inlineStr">
        <is>
          <t>2.5</t>
        </is>
      </c>
      <c r="H12" s="6" t="inlineStr">
        <is>
          <t>до +425</t>
        </is>
      </c>
      <c r="I12" s="6" t="inlineStr">
        <is>
          <t>вода, пар, нефть, природный газ, жидкие и газообразные неагрессивные нефтепродукты</t>
        </is>
      </c>
      <c r="J12" s="6" t="inlineStr">
        <is>
          <t>сталь 25Л</t>
        </is>
      </c>
      <c r="K12" s="6" t="inlineStr">
        <is>
          <t>У1</t>
        </is>
      </c>
      <c r="L12" s="6" t="inlineStr">
        <is>
          <t>фланцевый</t>
        </is>
      </c>
      <c r="M12" s="6" t="inlineStr">
        <is>
          <t>ручной</t>
        </is>
      </c>
      <c r="N12" s="6" t="inlineStr">
        <is>
          <t>Маховик</t>
        </is>
      </c>
      <c r="O12" s="6" t="inlineStr">
        <is>
          <t>любое, кроме маховиком вниз</t>
        </is>
      </c>
      <c r="P12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12" s="6" t="inlineStr"/>
      <c r="R12" s="6" t="inlineStr"/>
      <c r="S12" s="5" t="n">
        <v>2</v>
      </c>
      <c r="T12" s="6" t="inlineStr">
        <is>
          <t>шт</t>
        </is>
      </c>
      <c r="U12" s="7" t="n"/>
      <c r="V12" s="7" t="n"/>
      <c r="W12" s="7" t="n"/>
      <c r="X12" s="7" t="n"/>
      <c r="Y12" s="7" t="n"/>
      <c r="Z12" s="7" t="n"/>
      <c r="AA12" s="8" t="n"/>
      <c r="AB12" s="9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1.3/84</t>
        </is>
      </c>
      <c r="C13" s="6" t="inlineStr">
        <is>
          <t>Задвижка 30с64нж Ду 300 Ру 25</t>
        </is>
      </c>
      <c r="D13" s="6" t="inlineStr">
        <is>
          <t>ГОСТ 5762-2002</t>
        </is>
      </c>
      <c r="E13" s="6" t="inlineStr">
        <is>
          <t>300</t>
        </is>
      </c>
      <c r="F13" s="6" t="inlineStr">
        <is>
          <t>стандарт</t>
        </is>
      </c>
      <c r="G13" s="6" t="inlineStr">
        <is>
          <t>2.5</t>
        </is>
      </c>
      <c r="H13" s="6" t="inlineStr">
        <is>
          <t>до +425</t>
        </is>
      </c>
      <c r="I13" s="6" t="inlineStr">
        <is>
          <t>вода, пар, нефть, природный газ, жидкие и газообразные неагрессивные нефтепродукты</t>
        </is>
      </c>
      <c r="J13" s="6" t="inlineStr">
        <is>
          <t>сталь 25Л</t>
        </is>
      </c>
      <c r="K13" s="6" t="inlineStr">
        <is>
          <t>У1</t>
        </is>
      </c>
      <c r="L13" s="6" t="inlineStr">
        <is>
          <t>фланцевый</t>
        </is>
      </c>
      <c r="M13" s="6" t="inlineStr">
        <is>
          <t>ручной (маховик)</t>
        </is>
      </c>
      <c r="N13" s="6" t="inlineStr">
        <is>
          <t>-</t>
        </is>
      </c>
      <c r="O13" s="6" t="inlineStr">
        <is>
          <t>любое, кроме маховиком вниз</t>
        </is>
      </c>
      <c r="P13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13" s="6" t="inlineStr"/>
      <c r="R13" s="6" t="inlineStr"/>
      <c r="S13" s="5" t="n">
        <v>3</v>
      </c>
      <c r="T13" s="6" t="inlineStr">
        <is>
          <t>шт</t>
        </is>
      </c>
      <c r="U13" s="7" t="n"/>
      <c r="V13" s="7" t="n"/>
      <c r="W13" s="7" t="n"/>
      <c r="X13" s="7" t="n"/>
      <c r="Y13" s="7" t="n"/>
      <c r="Z13" s="7" t="n"/>
      <c r="AA13" s="8" t="n"/>
      <c r="AB13" s="9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1.5/2</t>
        </is>
      </c>
      <c r="C14" s="6" t="inlineStr">
        <is>
          <t>Задвижка 30с64нж Ду 50 Ру 25</t>
        </is>
      </c>
      <c r="D14" s="6" t="inlineStr">
        <is>
          <t>ГОСТ 5762-2002</t>
        </is>
      </c>
      <c r="E14" s="6" t="inlineStr">
        <is>
          <t>50</t>
        </is>
      </c>
      <c r="F14" s="6" t="inlineStr">
        <is>
          <t>стандарт</t>
        </is>
      </c>
      <c r="G14" s="6" t="inlineStr">
        <is>
          <t>2.5</t>
        </is>
      </c>
      <c r="H14" s="6" t="inlineStr">
        <is>
          <t>от −40°С  до +425°С</t>
        </is>
      </c>
      <c r="I14" s="6" t="inlineStr">
        <is>
          <t>вода, пар, неагрессивные нефтепродукты</t>
        </is>
      </c>
      <c r="J14" s="6" t="inlineStr">
        <is>
          <t>сталь 25л</t>
        </is>
      </c>
      <c r="K14" s="6" t="inlineStr">
        <is>
          <t>У1</t>
        </is>
      </c>
      <c r="L14" s="6" t="inlineStr">
        <is>
          <t>фланцевый</t>
        </is>
      </c>
      <c r="M14" s="6" t="inlineStr">
        <is>
          <t>ручной</t>
        </is>
      </c>
      <c r="N14" s="6" t="inlineStr">
        <is>
          <t>маховик</t>
        </is>
      </c>
      <c r="O14" s="6" t="inlineStr">
        <is>
          <t>горизонтальное, либо вертикальное</t>
        </is>
      </c>
      <c r="P14" s="6" t="inlineStr">
        <is>
          <t>Крышка, клин Ст25Л, шпиндель Ст20х13</t>
        </is>
      </c>
      <c r="Q14" s="6" t="inlineStr"/>
      <c r="R14" s="6" t="inlineStr"/>
      <c r="S14" s="5" t="n">
        <v>2</v>
      </c>
      <c r="T14" s="6" t="inlineStr">
        <is>
          <t>шт</t>
        </is>
      </c>
      <c r="U14" s="7" t="n"/>
      <c r="V14" s="7" t="n"/>
      <c r="W14" s="7" t="n"/>
      <c r="X14" s="7" t="n"/>
      <c r="Y14" s="7" t="n"/>
      <c r="Z14" s="7" t="n"/>
      <c r="AA14" s="8" t="n"/>
      <c r="AB14" s="9">
        <f>AA14*S14</f>
        <v/>
      </c>
      <c r="AC14" s="7" t="n"/>
      <c r="AD14" s="7" t="n"/>
      <c r="AE14" s="7" t="n"/>
    </row>
    <row r="15" ht="60" customHeight="1">
      <c r="A15" s="5" t="n">
        <v>10</v>
      </c>
      <c r="B15" s="6" t="inlineStr">
        <is>
          <t>1.5/3</t>
        </is>
      </c>
      <c r="C15" s="6" t="inlineStr">
        <is>
          <t>Задвижка 30с64нж Ду 80 Ру 25</t>
        </is>
      </c>
      <c r="D15" s="6" t="inlineStr">
        <is>
          <t>ГОСТ 5762-2002</t>
        </is>
      </c>
      <c r="E15" s="6" t="inlineStr">
        <is>
          <t>80</t>
        </is>
      </c>
      <c r="F15" s="6" t="inlineStr">
        <is>
          <t>стандарт</t>
        </is>
      </c>
      <c r="G15" s="6" t="inlineStr">
        <is>
          <t>2.5</t>
        </is>
      </c>
      <c r="H15" s="6" t="inlineStr">
        <is>
          <t>от −40°С  до +425°С</t>
        </is>
      </c>
      <c r="I15" s="6" t="inlineStr">
        <is>
          <t>вода, пар, неагрессивные нефтепродукты</t>
        </is>
      </c>
      <c r="J15" s="6" t="inlineStr">
        <is>
          <t>сталь 25л</t>
        </is>
      </c>
      <c r="K15" s="6" t="inlineStr">
        <is>
          <t>У1</t>
        </is>
      </c>
      <c r="L15" s="6" t="inlineStr">
        <is>
          <t>фланцевый</t>
        </is>
      </c>
      <c r="M15" s="6" t="inlineStr">
        <is>
          <t>ручной</t>
        </is>
      </c>
      <c r="N15" s="6" t="inlineStr">
        <is>
          <t>маховик</t>
        </is>
      </c>
      <c r="O15" s="6" t="inlineStr">
        <is>
          <t>горизонтальное, либо вертикальное</t>
        </is>
      </c>
      <c r="P15" s="6" t="inlineStr">
        <is>
          <t>Крышка, клин Ст25Л, шпиндель Ст20х13</t>
        </is>
      </c>
      <c r="Q15" s="6" t="inlineStr"/>
      <c r="R15" s="6" t="inlineStr"/>
      <c r="S15" s="5" t="n">
        <v>2</v>
      </c>
      <c r="T15" s="6" t="inlineStr">
        <is>
          <t>шт</t>
        </is>
      </c>
      <c r="U15" s="7" t="n"/>
      <c r="V15" s="7" t="n"/>
      <c r="W15" s="7" t="n"/>
      <c r="X15" s="7" t="n"/>
      <c r="Y15" s="7" t="n"/>
      <c r="Z15" s="7" t="n"/>
      <c r="AA15" s="8" t="n"/>
      <c r="AB15" s="9">
        <f>AA15*S15</f>
        <v/>
      </c>
      <c r="AC15" s="7" t="n"/>
      <c r="AD15" s="7" t="n"/>
      <c r="AE15" s="7" t="n"/>
    </row>
    <row r="16" ht="60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>
        <is>
          <t>ИТОГО</t>
        </is>
      </c>
      <c r="AB16" s="11">
        <f>SUM(AB6:AB15)</f>
        <v/>
      </c>
      <c r="AC16" s="2" t="n"/>
      <c r="AD16" s="2" t="n"/>
      <c r="AE1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2026-10-27T16:43:32Z</dcterms:created>
  <dcterms:modified xmlns:dcterms="http://purl.org/dc/terms/" xmlns:xsi="http://www.w3.org/2001/XMLSchema-instance" xsi:type="dcterms:W3CDTF">2026-10-27T16:43:32Z</dcterms:modified>
</cp:coreProperties>
</file>