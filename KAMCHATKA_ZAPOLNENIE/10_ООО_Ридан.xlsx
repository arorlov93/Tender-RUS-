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аполнить" sheetId="1" state="visible" r:id="rId1"/>
  </sheets>
  <definedNames/>
  <calcPr calcId="124519" fullCalcOnLoad="1"/>
</workbook>
</file>

<file path=xl/styles.xml><?xml version="1.0" encoding="utf-8"?>
<styleSheet xmlns="http://schemas.openxmlformats.org/spreadsheetml/2006/main">
  <numFmts count="1">
    <numFmt numFmtId="164" formatCode="#,##0.00&quot; ₽&quot;"/>
  </numFmts>
  <fonts count="3">
    <font>
      <name val="Calibri"/>
      <family val="2"/>
      <color theme="1"/>
      <sz val="11"/>
      <scheme val="minor"/>
    </font>
    <font>
      <b val="1"/>
      <sz val="12"/>
    </font>
    <font>
      <b val="1"/>
      <color rgb="00FFFFFF"/>
    </font>
  </fonts>
  <fills count="5">
    <fill>
      <patternFill/>
    </fill>
    <fill>
      <patternFill patternType="gray125"/>
    </fill>
    <fill>
      <patternFill patternType="solid">
        <fgColor rgb="00305496"/>
      </patternFill>
    </fill>
    <fill>
      <patternFill patternType="solid">
        <fgColor rgb="00BF8F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4" borderId="1" applyAlignment="1" pivotButton="0" quotePrefix="0" xfId="0">
      <alignment vertical="center"/>
    </xf>
    <xf numFmtId="164" fontId="0" fillId="4" borderId="1" applyAlignment="1" pivotButton="0" quotePrefix="0" xfId="0">
      <alignment vertical="center"/>
    </xf>
    <xf numFmtId="164" fontId="0" fillId="4" borderId="1" applyAlignment="1" pivotButton="0" quotePrefix="0" xfId="0">
      <alignment vertical="center" wrapText="1"/>
    </xf>
    <xf numFmtId="0" fontId="0" fillId="0" borderId="0" applyAlignment="1" pivotButton="0" quotePrefix="0" xfId="0">
      <alignment vertical="center" wrapText="1"/>
    </xf>
    <xf numFmtId="164"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E1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14" customWidth="1" min="4" max="4"/>
    <col width="7" customWidth="1" min="5" max="5"/>
    <col width="10" customWidth="1" min="6" max="6"/>
    <col width="9" customWidth="1" min="7" max="7"/>
    <col width="12" customWidth="1" min="8" max="8"/>
    <col width="14" customWidth="1" min="9" max="9"/>
    <col width="14" customWidth="1" min="10" max="10"/>
    <col width="10" customWidth="1" min="11" max="11"/>
    <col width="14" customWidth="1" min="12" max="12"/>
    <col width="14" customWidth="1" min="13" max="13"/>
    <col width="16" customWidth="1" min="14" max="14"/>
    <col width="10" customWidth="1" min="15" max="15"/>
    <col width="22" customWidth="1" min="16" max="16"/>
    <col width="12" customWidth="1" min="17" max="17"/>
    <col width="14" customWidth="1" min="18" max="18"/>
    <col width="7" customWidth="1" min="19" max="19"/>
    <col width="5" customWidth="1" min="20" max="20"/>
    <col width="22" customWidth="1" min="21" max="21"/>
    <col width="24" customWidth="1" min="22" max="22"/>
    <col width="14" customWidth="1" min="23" max="23"/>
    <col width="26" customWidth="1" min="24" max="24"/>
    <col width="13" customWidth="1" min="25" max="25"/>
    <col width="24" customWidth="1" min="26" max="26"/>
    <col width="13" customWidth="1" min="27" max="27"/>
    <col width="14" customWidth="1" min="28" max="28"/>
    <col width="12" customWidth="1" min="29" max="29"/>
    <col width="14" customWidth="1" min="30" max="30"/>
    <col width="20" customWidth="1" min="31" max="31"/>
  </cols>
  <sheetData>
    <row r="1" ht="18" customHeight="1">
      <c r="A1" s="1" t="inlineStr">
        <is>
          <t>Запрос КП — ООО «ГИДРОПАС» (ИНН 9729231965) для ПАО «Камчатскэнерго», закупка 32616346943. Получатель: ООО «Ридан»</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row>
    <row r="2" ht="18" customHeight="1">
      <c r="A2" s="2" t="inlineStr">
        <is>
          <t>Просим заполнить жёлтые графы по каждой позиции. Характеристики — дословно из технических требований заказчика; при отличии — указать в графе «Соответствие ТЗ».</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18" customHeight="1">
      <c r="A3" s="2" t="inlineStr">
        <is>
          <t>Графы марка / производитель / страна / № записи частично ПРЕДЗАПОЛНЕНЫ нами по вашему КП и открытым данным — проверьте и исправьте, если не так.</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row>
    <row r="4" ht="18" customHeight="1">
      <c r="A4" s="2" t="inlineStr">
        <is>
          <t>Нацрежим ПП 1875 (ограничение): обязательны производитель, страна и ДЕЙСТВУЮЩИЙ номер реестровой записи ПП 719 (для ЕАЭС — евразийский реестр). Приложите выписку из ГИСП и сертификаты. Доставка — до Петропавловска-Камчатского (укажите вес).</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row>
    <row r="5" ht="66" customHeight="1">
      <c r="A5" s="3" t="inlineStr">
        <is>
          <t>№</t>
        </is>
      </c>
      <c r="B5" s="3" t="inlineStr">
        <is>
          <t>Табл./№ ТЗ</t>
        </is>
      </c>
      <c r="C5" s="3" t="inlineStr">
        <is>
          <t>Наименование</t>
        </is>
      </c>
      <c r="D5" s="3" t="inlineStr">
        <is>
          <t>ГОСТ/ТУ</t>
        </is>
      </c>
      <c r="E5" s="3" t="inlineStr">
        <is>
          <t>Ду, мм</t>
        </is>
      </c>
      <c r="F5" s="3" t="inlineStr">
        <is>
          <t>Проход</t>
        </is>
      </c>
      <c r="G5" s="3" t="inlineStr">
        <is>
          <t>Давление, МПа</t>
        </is>
      </c>
      <c r="H5" s="3" t="inlineStr">
        <is>
          <t>Температура, °С</t>
        </is>
      </c>
      <c r="I5" s="3" t="inlineStr">
        <is>
          <t>Среда</t>
        </is>
      </c>
      <c r="J5" s="3" t="inlineStr">
        <is>
          <t>Материал корпуса</t>
        </is>
      </c>
      <c r="K5" s="3" t="inlineStr">
        <is>
          <t>Климатическое исполнение</t>
        </is>
      </c>
      <c r="L5" s="3" t="inlineStr">
        <is>
          <t>Присоединение</t>
        </is>
      </c>
      <c r="M5" s="3" t="inlineStr">
        <is>
          <t>Приводное устройство: наименование</t>
        </is>
      </c>
      <c r="N5" s="3" t="inlineStr">
        <is>
          <t>Приводное устройство: технические характеристики</t>
        </is>
      </c>
      <c r="O5" s="3" t="inlineStr">
        <is>
          <t>Установочное положение</t>
        </is>
      </c>
      <c r="P5" s="3" t="inlineStr">
        <is>
          <t>Материал штока, шара, уплотнений</t>
        </is>
      </c>
      <c r="Q5" s="3" t="inlineStr">
        <is>
          <t>Габариты</t>
        </is>
      </c>
      <c r="R5" s="3" t="inlineStr">
        <is>
          <t>Примечание</t>
        </is>
      </c>
      <c r="S5" s="3" t="inlineStr">
        <is>
          <t>Кол-во</t>
        </is>
      </c>
      <c r="T5" s="3" t="inlineStr">
        <is>
          <t>Ед.</t>
        </is>
      </c>
      <c r="U5" s="4" t="inlineStr">
        <is>
          <t>Предлагаемая марка / обозначение</t>
        </is>
      </c>
      <c r="V5" s="4" t="inlineStr">
        <is>
          <t>Производитель (завод)</t>
        </is>
      </c>
      <c r="W5" s="4" t="inlineStr">
        <is>
          <t>Страна происхождения</t>
        </is>
      </c>
      <c r="X5" s="4" t="inlineStr">
        <is>
          <t>№ реестровой записи (ПП 719) или евразийского реестра</t>
        </is>
      </c>
      <c r="Y5" s="4" t="inlineStr">
        <is>
          <t>Срок действия записи</t>
        </is>
      </c>
      <c r="Z5" s="4" t="inlineStr">
        <is>
          <t>Соответствие ТЗ: «да» или отличия</t>
        </is>
      </c>
      <c r="AA5" s="4" t="inlineStr">
        <is>
          <t>Цена за ед. с НДС, ₽</t>
        </is>
      </c>
      <c r="AB5" s="4" t="inlineStr">
        <is>
          <t>Сумма с НДС, ₽</t>
        </is>
      </c>
      <c r="AC5" s="4" t="inlineStr">
        <is>
          <t>Срок отгрузки</t>
        </is>
      </c>
      <c r="AD5" s="4" t="inlineStr">
        <is>
          <t>Вес ед., кг / габариты</t>
        </is>
      </c>
      <c r="AE5" s="4" t="inlineStr">
        <is>
          <t>Сертификат / декларация ТР ТС №</t>
        </is>
      </c>
    </row>
    <row r="6" ht="60" customHeight="1">
      <c r="A6" s="5" t="n">
        <v>1</v>
      </c>
      <c r="B6" s="6" t="inlineStr">
        <is>
          <t>1.3/19</t>
        </is>
      </c>
      <c r="C6" s="6" t="inlineStr">
        <is>
          <t>Клапан обратный двухстворчатый DENDOR 010C Ду 100 Ру 16</t>
        </is>
      </c>
      <c r="D6" s="6" t="inlineStr">
        <is>
          <t>ТУ 3732-023-62977923-2015</t>
        </is>
      </c>
      <c r="E6" s="6" t="inlineStr">
        <is>
          <t>100</t>
        </is>
      </c>
      <c r="F6" s="6" t="inlineStr">
        <is>
          <t>стандартное</t>
        </is>
      </c>
      <c r="G6" s="6" t="inlineStr">
        <is>
          <t>1.6</t>
        </is>
      </c>
      <c r="H6" s="6" t="inlineStr">
        <is>
          <t>До +130°С</t>
        </is>
      </c>
      <c r="I6" s="6" t="inlineStr">
        <is>
          <t>вода</t>
        </is>
      </c>
      <c r="J6" s="6" t="inlineStr">
        <is>
          <t>Чугун EN-GJS-400-15</t>
        </is>
      </c>
      <c r="K6" s="6" t="inlineStr">
        <is>
          <t>У3</t>
        </is>
      </c>
      <c r="L6" s="6" t="inlineStr">
        <is>
          <t>межфланцевое</t>
        </is>
      </c>
      <c r="M6" s="6" t="inlineStr">
        <is>
          <t>-</t>
        </is>
      </c>
      <c r="N6" s="6" t="inlineStr">
        <is>
          <t>-</t>
        </is>
      </c>
      <c r="O6" s="6" t="inlineStr">
        <is>
          <t>любое</t>
        </is>
      </c>
      <c r="P6" s="6" t="inlineStr">
        <is>
          <t>Корпус-ковкий чугун EN-GJS-400-15 с термообработанным эпоксидным покрытием; Диск-ковкий чугун EN-GJS-400-15 покрытый никелем/ нержавеющая сталь; Шток-нержавеющая сталь; Пружина-нержавеющая сталь; Уплотнение-EPDM</t>
        </is>
      </c>
      <c r="Q6" s="6" t="inlineStr"/>
      <c r="R6" s="6" t="inlineStr"/>
      <c r="S6" s="5" t="n">
        <v>5</v>
      </c>
      <c r="T6" s="6" t="inlineStr">
        <is>
          <t>шт</t>
        </is>
      </c>
      <c r="U6" s="7" t="n"/>
      <c r="V6" s="7" t="n"/>
      <c r="W6" s="7" t="n"/>
      <c r="X6" s="7" t="n"/>
      <c r="Y6" s="7" t="n"/>
      <c r="Z6" s="7" t="n"/>
      <c r="AA6" s="8" t="n"/>
      <c r="AB6" s="9">
        <f>AA6*S6</f>
        <v/>
      </c>
      <c r="AC6" s="7" t="n"/>
      <c r="AD6" s="7" t="n"/>
      <c r="AE6" s="7" t="n"/>
    </row>
    <row r="7" ht="60" customHeight="1">
      <c r="A7" s="5" t="n">
        <v>2</v>
      </c>
      <c r="B7" s="6" t="inlineStr">
        <is>
          <t>1.3/27</t>
        </is>
      </c>
      <c r="C7" s="6" t="inlineStr">
        <is>
          <t>Клапан обратный 19с76нж Ду 80 Ру 16</t>
        </is>
      </c>
      <c r="D7" s="6" t="inlineStr">
        <is>
          <t>ГОСТ 33423-2015</t>
        </is>
      </c>
      <c r="E7" s="6" t="inlineStr">
        <is>
          <t>80</t>
        </is>
      </c>
      <c r="F7" s="6" t="inlineStr">
        <is>
          <t>стандарт</t>
        </is>
      </c>
      <c r="G7" s="6" t="inlineStr">
        <is>
          <t>1.6</t>
        </is>
      </c>
      <c r="H7" s="6" t="inlineStr">
        <is>
          <t>до +425°С</t>
        </is>
      </c>
      <c r="I7" s="6" t="inlineStr">
        <is>
          <t>Вода</t>
        </is>
      </c>
      <c r="J7" s="6" t="inlineStr">
        <is>
          <t>Сталь 25Л</t>
        </is>
      </c>
      <c r="K7" s="6" t="inlineStr">
        <is>
          <t>У1</t>
        </is>
      </c>
      <c r="L7" s="6" t="inlineStr">
        <is>
          <t>фланец-фланец</t>
        </is>
      </c>
      <c r="M7" s="6" t="inlineStr">
        <is>
          <t>нет</t>
        </is>
      </c>
      <c r="N7" s="6" t="inlineStr"/>
      <c r="O7" s="6" t="inlineStr">
        <is>
          <t>любое</t>
        </is>
      </c>
      <c r="P7" s="6" t="inlineStr">
        <is>
          <t>Крышка  Ст.20 Захлопка  Ст. 20 Серьга  Ст.20Л-30Л Кронштейн, ось  Ст. 20Х13 Уплотнение затвора  Наплавленная коррозионно-стойкая сталь 08Х20Н9Г7Т</t>
        </is>
      </c>
      <c r="Q7" s="6" t="inlineStr"/>
      <c r="R7" s="6" t="inlineStr"/>
      <c r="S7" s="5" t="n">
        <v>1</v>
      </c>
      <c r="T7" s="6" t="inlineStr">
        <is>
          <t>шт</t>
        </is>
      </c>
      <c r="U7" s="7" t="n"/>
      <c r="V7" s="7" t="n"/>
      <c r="W7" s="7" t="n"/>
      <c r="X7" s="7" t="n"/>
      <c r="Y7" s="7" t="n"/>
      <c r="Z7" s="7" t="n"/>
      <c r="AA7" s="8" t="n"/>
      <c r="AB7" s="9">
        <f>AA7*S7</f>
        <v/>
      </c>
      <c r="AC7" s="7" t="n"/>
      <c r="AD7" s="7" t="n"/>
      <c r="AE7" s="7" t="n"/>
    </row>
    <row r="8" ht="60" customHeight="1">
      <c r="A8" s="5" t="n">
        <v>3</v>
      </c>
      <c r="B8" s="6" t="inlineStr">
        <is>
          <t>1.3/32</t>
        </is>
      </c>
      <c r="C8" s="6" t="inlineStr">
        <is>
          <t>Клапан обратный фланцевый пружинный с аксиальным затвором NVD-402R Ду 100 Ру 16</t>
        </is>
      </c>
      <c r="D8" s="6" t="inlineStr">
        <is>
          <t>ТУ 28.14.11-012-72323163-2022</t>
        </is>
      </c>
      <c r="E8" s="6" t="inlineStr">
        <is>
          <t>100</t>
        </is>
      </c>
      <c r="F8" s="6" t="inlineStr"/>
      <c r="G8" s="6" t="inlineStr">
        <is>
          <t>1.6</t>
        </is>
      </c>
      <c r="H8" s="6" t="inlineStr">
        <is>
          <t>от -15 до +100</t>
        </is>
      </c>
      <c r="I8" s="6" t="inlineStr">
        <is>
          <t>Вода, гликолевые растворы до 50%</t>
        </is>
      </c>
      <c r="J8" s="6" t="inlineStr">
        <is>
          <t>серый чугун</t>
        </is>
      </c>
      <c r="K8" s="6" t="inlineStr"/>
      <c r="L8" s="6" t="inlineStr">
        <is>
          <t>фланцевый</t>
        </is>
      </c>
      <c r="M8" s="6" t="inlineStr"/>
      <c r="N8" s="6" t="inlineStr"/>
      <c r="O8" s="6" t="inlineStr">
        <is>
          <t>любое</t>
        </is>
      </c>
      <c r="P8" s="6" t="inlineStr">
        <is>
          <t>Уплотнение EPDM
Номинальный диаметр (DN), мм 100
Рабочая среда Вода, гликолевые растворы до 50%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Пружина Корр.ст.сталь AISI302
Корпус Чугун GJL250
Втулка Латунь CW617N</t>
        </is>
      </c>
      <c r="Q8" s="6" t="inlineStr">
        <is>
          <t>Строительный размер 170мм</t>
        </is>
      </c>
      <c r="R8" s="6" t="inlineStr">
        <is>
          <t>каталожный номер 065B7474</t>
        </is>
      </c>
      <c r="S8" s="5" t="n">
        <v>2</v>
      </c>
      <c r="T8" s="6" t="inlineStr">
        <is>
          <t>шт</t>
        </is>
      </c>
      <c r="U8" s="7" t="n"/>
      <c r="V8" s="7" t="n"/>
      <c r="W8" s="7" t="n"/>
      <c r="X8" s="7" t="n"/>
      <c r="Y8" s="7" t="n"/>
      <c r="Z8" s="7" t="n"/>
      <c r="AA8" s="8" t="n"/>
      <c r="AB8" s="9">
        <f>AA8*S8</f>
        <v/>
      </c>
      <c r="AC8" s="7" t="n"/>
      <c r="AD8" s="7" t="n"/>
      <c r="AE8" s="7" t="n"/>
    </row>
    <row r="9" ht="60" customHeight="1">
      <c r="A9" s="5" t="n">
        <v>4</v>
      </c>
      <c r="B9" s="6" t="inlineStr">
        <is>
          <t>1.3/33</t>
        </is>
      </c>
      <c r="C9" s="6" t="inlineStr">
        <is>
          <t>Клапан обратный фланцевый пружинный с аксиальным затвором NVD-402R Ду 150 Ру 16</t>
        </is>
      </c>
      <c r="D9" s="6" t="inlineStr">
        <is>
          <t>ТУ 28.14.11-012-72323163-2022</t>
        </is>
      </c>
      <c r="E9" s="6" t="inlineStr">
        <is>
          <t>150</t>
        </is>
      </c>
      <c r="F9" s="6" t="inlineStr">
        <is>
          <t>полнопроходной</t>
        </is>
      </c>
      <c r="G9" s="6" t="inlineStr">
        <is>
          <t>1.6</t>
        </is>
      </c>
      <c r="H9" s="6" t="inlineStr">
        <is>
          <t>От -15°С до +100°С</t>
        </is>
      </c>
      <c r="I9" s="6" t="inlineStr">
        <is>
          <t>Вода</t>
        </is>
      </c>
      <c r="J9" s="6" t="inlineStr">
        <is>
          <t>Чугун GG25 с эпоксидным покрытием</t>
        </is>
      </c>
      <c r="K9" s="6" t="inlineStr">
        <is>
          <t>У1</t>
        </is>
      </c>
      <c r="L9" s="6" t="inlineStr">
        <is>
          <t>фланец-фланец</t>
        </is>
      </c>
      <c r="M9" s="6" t="inlineStr">
        <is>
          <t>-</t>
        </is>
      </c>
      <c r="N9" s="6" t="inlineStr">
        <is>
          <t>-</t>
        </is>
      </c>
      <c r="O9" s="6" t="inlineStr">
        <is>
          <t>любое</t>
        </is>
      </c>
      <c r="P9" s="6" t="inlineStr">
        <is>
          <t>Втулка: Бронза  Материал пружины: AISI302                              Уплотнение затвора (материал): EPDM                Затворный клапан: Чугун GG25 с эпоксидным покрытием  Шток: Бронза Осевая направляющая: Чугун GG25 с эпоксидным покрытием</t>
        </is>
      </c>
      <c r="Q9" s="6" t="inlineStr"/>
      <c r="R9" s="6" t="inlineStr"/>
      <c r="S9" s="5" t="n">
        <v>5</v>
      </c>
      <c r="T9" s="6" t="inlineStr">
        <is>
          <t>шт</t>
        </is>
      </c>
      <c r="U9" s="7" t="n"/>
      <c r="V9" s="7" t="n"/>
      <c r="W9" s="7" t="n"/>
      <c r="X9" s="7" t="n"/>
      <c r="Y9" s="7" t="n"/>
      <c r="Z9" s="7" t="n"/>
      <c r="AA9" s="8" t="n"/>
      <c r="AB9" s="9">
        <f>AA9*S9</f>
        <v/>
      </c>
      <c r="AC9" s="7" t="n"/>
      <c r="AD9" s="7" t="n"/>
      <c r="AE9" s="7" t="n"/>
    </row>
    <row r="10" ht="60" customHeight="1">
      <c r="A10" s="5" t="n">
        <v>5</v>
      </c>
      <c r="B10" s="6" t="inlineStr">
        <is>
          <t>1.3/34</t>
        </is>
      </c>
      <c r="C10" s="6" t="inlineStr">
        <is>
          <t>Клапан обратный фланцевый пружинный с аксиальным затвором NVD-402R Ду 200 Ру 16</t>
        </is>
      </c>
      <c r="D10" s="6" t="inlineStr">
        <is>
          <t>ТУ 28.14.11-012-72323163-2022</t>
        </is>
      </c>
      <c r="E10" s="6" t="inlineStr">
        <is>
          <t>200</t>
        </is>
      </c>
      <c r="F10" s="6" t="inlineStr">
        <is>
          <t>полнопроходной</t>
        </is>
      </c>
      <c r="G10" s="6" t="inlineStr">
        <is>
          <t>1.6</t>
        </is>
      </c>
      <c r="H10" s="6" t="inlineStr">
        <is>
          <t>от -15 до +100</t>
        </is>
      </c>
      <c r="I10" s="6" t="inlineStr">
        <is>
          <t>Вода, гликолевые растворы до 50%</t>
        </is>
      </c>
      <c r="J10" s="6" t="inlineStr">
        <is>
          <t>Чугун GJL250</t>
        </is>
      </c>
      <c r="K10" s="6" t="inlineStr"/>
      <c r="L10" s="6" t="inlineStr">
        <is>
          <t>Фланец-фланец</t>
        </is>
      </c>
      <c r="M10" s="6" t="inlineStr"/>
      <c r="N10" s="6" t="inlineStr"/>
      <c r="O10" s="6" t="inlineStr">
        <is>
          <t>любое</t>
        </is>
      </c>
      <c r="P10" s="6" t="inlineStr">
        <is>
          <t>Уплотнение EPDM Номинальный диаметр (DN), мм 200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Температура рабочей среды, °С от -15 до +100 Пружина Корр.ст.сталь AISI302 Корпус Чугун GJL250 Втулка Латунь CW617N Шток Корр.ст.сталь AISI302 Направляющая Чугун GJL250 Затвор клапана Чугун GJL250 D, мм 338 Масса, кг, не более 48,6 A, мм 300 C, мм 340 Давление открытия клапана при движении потока вверх, мм.в.ст. 639 Давление открытия клапана при движении потока вниз, мм.в.ст. 221 Давление открытия клапана при горизонтальном расположении клапана, мм.в.ст. 429 Давление открытия клапана при движении потока вверх (без пружины), мм.в.ст. 208 Гидравлическая характеристика (KVs), м³/ч 985 P, мм 194</t>
        </is>
      </c>
      <c r="Q10" s="6" t="inlineStr">
        <is>
          <t>Строительная длинна, мм 300</t>
        </is>
      </c>
      <c r="R10" s="6" t="inlineStr">
        <is>
          <t>Каталожный № 082X8477R</t>
        </is>
      </c>
      <c r="S10" s="5" t="n">
        <v>4</v>
      </c>
      <c r="T10" s="6" t="inlineStr">
        <is>
          <t>шт</t>
        </is>
      </c>
      <c r="U10" s="7" t="n"/>
      <c r="V10" s="7" t="n"/>
      <c r="W10" s="7" t="n"/>
      <c r="X10" s="7" t="n"/>
      <c r="Y10" s="7" t="n"/>
      <c r="Z10" s="7" t="n"/>
      <c r="AA10" s="8" t="n"/>
      <c r="AB10" s="9">
        <f>AA10*S10</f>
        <v/>
      </c>
      <c r="AC10" s="7" t="n"/>
      <c r="AD10" s="7" t="n"/>
      <c r="AE10" s="7" t="n"/>
    </row>
    <row r="11" ht="60" customHeight="1">
      <c r="A11" s="5" t="n">
        <v>6</v>
      </c>
      <c r="B11" s="6" t="inlineStr">
        <is>
          <t>1.3/35</t>
        </is>
      </c>
      <c r="C11" s="6" t="inlineStr">
        <is>
          <t>Обратный клапан пружинный NVD-812R Ду 150 Ру 40</t>
        </is>
      </c>
      <c r="D11" s="6" t="inlineStr">
        <is>
          <t>ТУ 28.14.11-014-72323163-2022</t>
        </is>
      </c>
      <c r="E11" s="6" t="inlineStr">
        <is>
          <t>150</t>
        </is>
      </c>
      <c r="F11" s="6" t="inlineStr">
        <is>
          <t>полнопроходной</t>
        </is>
      </c>
      <c r="G11" s="6" t="inlineStr">
        <is>
          <t>4</t>
        </is>
      </c>
      <c r="H11" s="6" t="inlineStr">
        <is>
          <t>от -25 до +240</t>
        </is>
      </c>
      <c r="I11" s="6" t="inlineStr">
        <is>
          <t>Вода для систем отопления, ГВС, ХВС, гликолевые р-ры до 50%</t>
        </is>
      </c>
      <c r="J11" s="6" t="inlineStr">
        <is>
          <t>Нержавеющая сталь</t>
        </is>
      </c>
      <c r="K11" s="6" t="inlineStr"/>
      <c r="L11" s="6" t="inlineStr">
        <is>
          <t>межфланцевое</t>
        </is>
      </c>
      <c r="M11" s="6" t="inlineStr"/>
      <c r="N11" s="6" t="inlineStr"/>
      <c r="O11" s="6" t="inlineStr">
        <is>
          <t>любое</t>
        </is>
      </c>
      <c r="P11" s="6" t="inlineStr">
        <is>
          <t>Номинальный диаметр (DN), мм 150 Масса, кг, не более 8,3 Температура окружающей среды, °С от -30 до +70 A, мм 106 Рабочая среда Вода для систем отопления, ГВС, ХВС, гликолевые р-ры до 50%Вода для систем отопления, ГВС, ХВС, гликолевые р-ры до 50%.(жидкости группы 1 и 2 согласно ТР ТС 032/2013). Пружина AISI 316 Температура рабочей среды, °С от -25 до +240 Тип присоединения к трубопроводу Межфланцевое Корпус Корр.ст.сталь 316 (ASTM A351 CF8M) Направляющая AISI 316 C, мм 217 Затвор Корр.ст.сталь ASTM A351 CF8M Номинальное давление (PN),бар 40 Герметичность затвора (объем протечки/класс герметичности) ГОСТ9544, Класс G Давление открытия клапана, мм.в.ст. 360 Гидравлическая характеристика (KVs), м³/ч 250 P, мм 140</t>
        </is>
      </c>
      <c r="Q11" s="6" t="inlineStr">
        <is>
          <t>Строительная длинна, мм 106</t>
        </is>
      </c>
      <c r="R11" s="6" t="inlineStr">
        <is>
          <t>Каталожный № 082X8540R</t>
        </is>
      </c>
      <c r="S11" s="5" t="n">
        <v>1</v>
      </c>
      <c r="T11" s="6" t="inlineStr">
        <is>
          <t>шт</t>
        </is>
      </c>
      <c r="U11" s="7" t="n"/>
      <c r="V11" s="7" t="n"/>
      <c r="W11" s="7" t="n"/>
      <c r="X11" s="7" t="n"/>
      <c r="Y11" s="7" t="n"/>
      <c r="Z11" s="7" t="n"/>
      <c r="AA11" s="8" t="n"/>
      <c r="AB11" s="9">
        <f>AA11*S11</f>
        <v/>
      </c>
      <c r="AC11" s="7" t="n"/>
      <c r="AD11" s="7" t="n"/>
      <c r="AE11" s="7" t="n"/>
    </row>
    <row r="12" ht="60" customHeight="1">
      <c r="A12" s="5" t="n">
        <v>7</v>
      </c>
      <c r="B12" s="6" t="inlineStr">
        <is>
          <t>1.7/1</t>
        </is>
      </c>
      <c r="C12" s="6" t="inlineStr">
        <is>
          <t>АРТ-85 Ду 50 Ру 16 "после себя"</t>
        </is>
      </c>
      <c r="D12" s="6" t="inlineStr">
        <is>
          <t>-</t>
        </is>
      </c>
      <c r="E12" s="6" t="inlineStr">
        <is>
          <t>50</t>
        </is>
      </c>
      <c r="F12" s="6" t="inlineStr">
        <is>
          <t>-</t>
        </is>
      </c>
      <c r="G12" s="6" t="inlineStr">
        <is>
          <t>1.6</t>
        </is>
      </c>
      <c r="H12" s="6" t="inlineStr">
        <is>
          <t>для воды до +150°С, для газов до +80°С</t>
        </is>
      </c>
      <c r="I12" s="6" t="inlineStr">
        <is>
          <t>жидкая и газообразная, не агрессивная к применяемым материалам</t>
        </is>
      </c>
      <c r="J12" s="6" t="inlineStr">
        <is>
          <t>-</t>
        </is>
      </c>
      <c r="K12" s="6" t="inlineStr">
        <is>
          <t>-</t>
        </is>
      </c>
      <c r="L12" s="6" t="inlineStr">
        <is>
          <t>фланцевый</t>
        </is>
      </c>
      <c r="M12" s="6" t="inlineStr">
        <is>
          <t>-</t>
        </is>
      </c>
      <c r="N12" s="6" t="inlineStr">
        <is>
          <t>-</t>
        </is>
      </c>
      <c r="O12" s="6" t="inlineStr">
        <is>
          <t>"после себя"</t>
        </is>
      </c>
      <c r="P12" s="6" t="inlineStr">
        <is>
          <t>Условный диаметр Ду, мМ 50
Диапазон настройки давления на выходе регулятора, МПа (кгс/см2)	0,05…1,2 (0,5…12)
Коэффициент условной пропускной способности, Кvy, м3/ч	20	32
Зона пропорциональности, в % от верхнего предела настройки	0,05…1,2 (0,5…12)
Зона нечувствительности, в % от верхнего предела настройки	не более 4
Постоянная времени, с	не более 16
Минимальный перепад давления на клапанной тарели, МПа*	0,05 (0,5)
Рабочая среда	теплоноситель тепловых сетей, вода, воздух, газообразные среды, нейтральные к материалам контактирующих деталей
Условное давление рабочей среды Ру, МПа	1,6 (2,5; 4,0 — под заказ)
Температура рабочей среды, °С	+2…150 — вода, -10…+80 — газы</t>
        </is>
      </c>
      <c r="Q12" s="6" t="inlineStr">
        <is>
          <t>-</t>
        </is>
      </c>
      <c r="R12" s="6" t="inlineStr">
        <is>
          <t>-</t>
        </is>
      </c>
      <c r="S12" s="5" t="n">
        <v>1</v>
      </c>
      <c r="T12" s="6" t="inlineStr">
        <is>
          <t>шт</t>
        </is>
      </c>
      <c r="U12" s="7" t="n"/>
      <c r="V12" s="7" t="n"/>
      <c r="W12" s="7" t="n"/>
      <c r="X12" s="7" t="n"/>
      <c r="Y12" s="7" t="n"/>
      <c r="Z12" s="7" t="n"/>
      <c r="AA12" s="8" t="n"/>
      <c r="AB12" s="9">
        <f>AA12*S12</f>
        <v/>
      </c>
      <c r="AC12" s="7" t="n"/>
      <c r="AD12" s="7" t="n"/>
      <c r="AE12" s="7" t="n"/>
    </row>
    <row r="13" ht="60" customHeight="1">
      <c r="A13" s="10" t="inlineStr"/>
      <c r="B13" s="10" t="inlineStr"/>
      <c r="C13" s="10" t="inlineStr"/>
      <c r="D13" s="10" t="inlineStr"/>
      <c r="E13" s="10" t="inlineStr"/>
      <c r="F13" s="10" t="inlineStr"/>
      <c r="G13" s="10" t="inlineStr"/>
      <c r="H13" s="10" t="inlineStr"/>
      <c r="I13" s="10" t="inlineStr"/>
      <c r="J13" s="10" t="inlineStr"/>
      <c r="K13" s="10" t="inlineStr"/>
      <c r="L13" s="10" t="inlineStr"/>
      <c r="M13" s="10" t="inlineStr"/>
      <c r="N13" s="10" t="inlineStr"/>
      <c r="O13" s="10" t="inlineStr"/>
      <c r="P13" s="10" t="inlineStr"/>
      <c r="Q13" s="10" t="inlineStr"/>
      <c r="R13" s="10" t="inlineStr"/>
      <c r="S13" s="10" t="inlineStr"/>
      <c r="T13" s="10" t="inlineStr"/>
      <c r="U13" s="10" t="inlineStr"/>
      <c r="V13" s="10" t="inlineStr"/>
      <c r="W13" s="10" t="inlineStr"/>
      <c r="X13" s="10" t="inlineStr"/>
      <c r="Y13" s="10" t="inlineStr"/>
      <c r="Z13" s="10" t="inlineStr"/>
      <c r="AA13" s="10" t="inlineStr">
        <is>
          <t>ИТОГО</t>
        </is>
      </c>
      <c r="AB13" s="11">
        <f>SUM(AB6:AB12)</f>
        <v/>
      </c>
      <c r="AC13" s="2" t="n"/>
      <c r="AD13" s="2" t="n"/>
      <c r="AE13" s="2" t="n"/>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2026-10-28T01:41:05Z</dcterms:created>
  <dcterms:modified xmlns:dcterms="http://purl.org/dc/terms/" xmlns:xsi="http://www.w3.org/2001/XMLSchema-instance" xsi:type="dcterms:W3CDTF">2026-10-28T01:41:05Z</dcterms:modified>
</cp:coreProperties>
</file>