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«Лидер-Энерго» / «Транс-Энерго»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66" customHeight="1">
      <c r="A4" s="3" t="inlineStr">
        <is>
          <t>№</t>
        </is>
      </c>
      <c r="B4" s="3" t="inlineStr">
        <is>
          <t>Табл./№ ТЗ</t>
        </is>
      </c>
      <c r="C4" s="3" t="inlineStr">
        <is>
          <t>Наименование</t>
        </is>
      </c>
      <c r="D4" s="3" t="inlineStr">
        <is>
          <t>ГОСТ/ТУ</t>
        </is>
      </c>
      <c r="E4" s="3" t="inlineStr">
        <is>
          <t>Ду, мм</t>
        </is>
      </c>
      <c r="F4" s="3" t="inlineStr">
        <is>
          <t>Проход</t>
        </is>
      </c>
      <c r="G4" s="3" t="inlineStr">
        <is>
          <t>Давление, МПа</t>
        </is>
      </c>
      <c r="H4" s="3" t="inlineStr">
        <is>
          <t>Температура, °С</t>
        </is>
      </c>
      <c r="I4" s="3" t="inlineStr">
        <is>
          <t>Среда</t>
        </is>
      </c>
      <c r="J4" s="3" t="inlineStr">
        <is>
          <t>Материал корпуса</t>
        </is>
      </c>
      <c r="K4" s="3" t="inlineStr">
        <is>
          <t>Климатическое исполнение</t>
        </is>
      </c>
      <c r="L4" s="3" t="inlineStr">
        <is>
          <t>Присоединение</t>
        </is>
      </c>
      <c r="M4" s="3" t="inlineStr">
        <is>
          <t>Приводное устройство: наименование</t>
        </is>
      </c>
      <c r="N4" s="3" t="inlineStr">
        <is>
          <t>Приводное устройство: технические характеристики</t>
        </is>
      </c>
      <c r="O4" s="3" t="inlineStr">
        <is>
          <t>Установочное положение</t>
        </is>
      </c>
      <c r="P4" s="3" t="inlineStr">
        <is>
          <t>Материал штока, шара, уплотнений</t>
        </is>
      </c>
      <c r="Q4" s="3" t="inlineStr">
        <is>
          <t>Габариты</t>
        </is>
      </c>
      <c r="R4" s="3" t="inlineStr">
        <is>
          <t>Примечание</t>
        </is>
      </c>
      <c r="S4" s="3" t="inlineStr">
        <is>
          <t>Кол-во</t>
        </is>
      </c>
      <c r="T4" s="3" t="inlineStr">
        <is>
          <t>Ед.</t>
        </is>
      </c>
      <c r="U4" s="4" t="inlineStr">
        <is>
          <t>Предлагаемая марка / обозначение</t>
        </is>
      </c>
      <c r="V4" s="4" t="inlineStr">
        <is>
          <t>Производитель (завод)</t>
        </is>
      </c>
      <c r="W4" s="4" t="inlineStr">
        <is>
          <t>Страна происхождения</t>
        </is>
      </c>
      <c r="X4" s="4" t="inlineStr">
        <is>
          <t>№ реестровой записи (ПП 719) или евразийского реестра</t>
        </is>
      </c>
      <c r="Y4" s="4" t="inlineStr">
        <is>
          <t>Срок действия записи</t>
        </is>
      </c>
      <c r="Z4" s="4" t="inlineStr">
        <is>
          <t>Соответствие ТЗ: «да» или отличия</t>
        </is>
      </c>
      <c r="AA4" s="4" t="inlineStr">
        <is>
          <t>Цена за ед. с НДС, ₽</t>
        </is>
      </c>
      <c r="AB4" s="4" t="inlineStr">
        <is>
          <t>Сумма с НДС, ₽</t>
        </is>
      </c>
      <c r="AC4" s="4" t="inlineStr">
        <is>
          <t>Срок отгрузки</t>
        </is>
      </c>
      <c r="AD4" s="4" t="inlineStr">
        <is>
          <t>Вес ед., кг / габариты</t>
        </is>
      </c>
      <c r="AE4" s="4" t="inlineStr">
        <is>
          <t>Сертификат / декларация ТР ТС №</t>
        </is>
      </c>
    </row>
    <row r="5" ht="60" customHeight="1">
      <c r="A5" s="5" t="n">
        <v>1</v>
      </c>
      <c r="B5" s="6" t="inlineStr">
        <is>
          <t>1.3/151</t>
        </is>
      </c>
      <c r="C5" s="6" t="inlineStr">
        <is>
          <t>Затвор дисковый поворотный ЗДП-150-6,3-1-М-А-УХЛ1 (не под электропривод) Ду 150 Ру 6,3</t>
        </is>
      </c>
      <c r="D5" s="6" t="inlineStr">
        <is>
          <t>ТУ 28.14.13-012-09338969-2019</t>
        </is>
      </c>
      <c r="E5" s="6" t="inlineStr">
        <is>
          <t>150</t>
        </is>
      </c>
      <c r="F5" s="6" t="inlineStr">
        <is>
          <t>условно полнопроходный</t>
        </is>
      </c>
      <c r="G5" s="6" t="inlineStr">
        <is>
          <t>0.63</t>
        </is>
      </c>
      <c r="H5" s="6" t="inlineStr">
        <is>
          <t>-45°С +95°С</t>
        </is>
      </c>
      <c r="I5" s="6" t="inlineStr">
        <is>
          <t>масло</t>
        </is>
      </c>
      <c r="J5" s="6" t="inlineStr">
        <is>
          <t>алюминий</t>
        </is>
      </c>
      <c r="K5" s="6" t="inlineStr">
        <is>
          <t>УХЛ1</t>
        </is>
      </c>
      <c r="L5" s="6" t="inlineStr">
        <is>
          <t>межфланцевый</t>
        </is>
      </c>
      <c r="M5" s="6" t="inlineStr">
        <is>
          <t>Ручной</t>
        </is>
      </c>
      <c r="N5" s="6" t="inlineStr"/>
      <c r="O5" s="6" t="inlineStr"/>
      <c r="P5" s="6" t="inlineStr"/>
      <c r="Q5" s="6" t="inlineStr"/>
      <c r="R5" s="6" t="inlineStr"/>
      <c r="S5" s="5" t="n">
        <v>3</v>
      </c>
      <c r="T5" s="6" t="inlineStr">
        <is>
          <t>шт</t>
        </is>
      </c>
      <c r="U5" s="7" t="n"/>
      <c r="V5" s="7" t="n"/>
      <c r="W5" s="7" t="n"/>
      <c r="X5" s="7" t="n"/>
      <c r="Y5" s="7" t="n"/>
      <c r="Z5" s="7" t="n"/>
      <c r="AA5" s="8" t="n"/>
      <c r="AB5" s="9">
        <f>AA5*S5</f>
        <v/>
      </c>
      <c r="AC5" s="7" t="n"/>
      <c r="AD5" s="7" t="n"/>
      <c r="AE5" s="7" t="n"/>
    </row>
    <row r="6" ht="60" customHeight="1">
      <c r="A6" s="5" t="n">
        <v>2</v>
      </c>
      <c r="B6" s="6" t="inlineStr">
        <is>
          <t>1.3/152</t>
        </is>
      </c>
      <c r="C6" s="6" t="inlineStr">
        <is>
          <t>Затвор дисковый поворотный ЗДП-50-6,3-1-М-А-УХЛ1 Ду 50 Ру 6,3</t>
        </is>
      </c>
      <c r="D6" s="6" t="inlineStr">
        <is>
          <t>ТУ 28.14.13-012-09338969-2019</t>
        </is>
      </c>
      <c r="E6" s="6" t="inlineStr">
        <is>
          <t>50</t>
        </is>
      </c>
      <c r="F6" s="6" t="inlineStr">
        <is>
          <t>условно полнопроходный</t>
        </is>
      </c>
      <c r="G6" s="6" t="inlineStr">
        <is>
          <t>0.63</t>
        </is>
      </c>
      <c r="H6" s="6" t="inlineStr">
        <is>
          <t>-45°С +95°С</t>
        </is>
      </c>
      <c r="I6" s="6" t="inlineStr">
        <is>
          <t>масло</t>
        </is>
      </c>
      <c r="J6" s="6" t="inlineStr">
        <is>
          <t>алюминий</t>
        </is>
      </c>
      <c r="K6" s="6" t="inlineStr">
        <is>
          <t>УХЛ1</t>
        </is>
      </c>
      <c r="L6" s="6" t="inlineStr">
        <is>
          <t>межфланцевый</t>
        </is>
      </c>
      <c r="M6" s="6" t="inlineStr">
        <is>
          <t>Ручной</t>
        </is>
      </c>
      <c r="N6" s="6" t="inlineStr"/>
      <c r="O6" s="6" t="inlineStr"/>
      <c r="P6" s="6" t="inlineStr"/>
      <c r="Q6" s="6" t="inlineStr"/>
      <c r="R6" s="6" t="inlineStr"/>
      <c r="S6" s="5" t="n">
        <v>10</v>
      </c>
      <c r="T6" s="6" t="inlineStr">
        <is>
          <t>шт</t>
        </is>
      </c>
      <c r="U6" s="7" t="n"/>
      <c r="V6" s="7" t="n"/>
      <c r="W6" s="7" t="n"/>
      <c r="X6" s="7" t="n"/>
      <c r="Y6" s="7" t="n"/>
      <c r="Z6" s="7" t="n"/>
      <c r="AA6" s="8" t="n"/>
      <c r="AB6" s="9">
        <f>AA6*S6</f>
        <v/>
      </c>
      <c r="AC6" s="7" t="n"/>
      <c r="AD6" s="7" t="n"/>
      <c r="AE6" s="7" t="n"/>
    </row>
    <row r="7" ht="60" customHeight="1">
      <c r="A7" s="5" t="n">
        <v>3</v>
      </c>
      <c r="B7" s="6" t="inlineStr">
        <is>
          <t>1.3/153</t>
        </is>
      </c>
      <c r="C7" s="6" t="inlineStr">
        <is>
          <t>Затвор дисковый поворотный ЗДП-80-УХЛ1 Ду 80 Ру 6,3</t>
        </is>
      </c>
      <c r="D7" s="6" t="inlineStr">
        <is>
          <t>ТУ 28.14.13-012-09338969-2019</t>
        </is>
      </c>
      <c r="E7" s="6" t="inlineStr">
        <is>
          <t>80</t>
        </is>
      </c>
      <c r="F7" s="6" t="inlineStr">
        <is>
          <t>условно полнопроходный</t>
        </is>
      </c>
      <c r="G7" s="6" t="inlineStr">
        <is>
          <t>0.63</t>
        </is>
      </c>
      <c r="H7" s="6" t="inlineStr">
        <is>
          <t>-45°С +95°С</t>
        </is>
      </c>
      <c r="I7" s="6" t="inlineStr">
        <is>
          <t>масло</t>
        </is>
      </c>
      <c r="J7" s="6" t="inlineStr">
        <is>
          <t>алюминий</t>
        </is>
      </c>
      <c r="K7" s="6" t="inlineStr">
        <is>
          <t>УХЛ1</t>
        </is>
      </c>
      <c r="L7" s="6" t="inlineStr">
        <is>
          <t>межфланцевый</t>
        </is>
      </c>
      <c r="M7" s="6" t="inlineStr">
        <is>
          <t>Ручной</t>
        </is>
      </c>
      <c r="N7" s="6" t="inlineStr"/>
      <c r="O7" s="6" t="inlineStr"/>
      <c r="P7" s="6" t="inlineStr"/>
      <c r="Q7" s="6" t="inlineStr"/>
      <c r="R7" s="6" t="inlineStr"/>
      <c r="S7" s="5" t="n">
        <v>3</v>
      </c>
      <c r="T7" s="6" t="inlineStr">
        <is>
          <t>шт</t>
        </is>
      </c>
      <c r="U7" s="7" t="n"/>
      <c r="V7" s="7" t="n"/>
      <c r="W7" s="7" t="n"/>
      <c r="X7" s="7" t="n"/>
      <c r="Y7" s="7" t="n"/>
      <c r="Z7" s="7" t="n"/>
      <c r="AA7" s="8" t="n"/>
      <c r="AB7" s="9">
        <f>AA7*S7</f>
        <v/>
      </c>
      <c r="AC7" s="7" t="n"/>
      <c r="AD7" s="7" t="n"/>
      <c r="AE7" s="7" t="n"/>
    </row>
    <row r="8" ht="60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>
        <is>
          <t>ИТОГО</t>
        </is>
      </c>
      <c r="AB8" s="11">
        <f>SUM(AB5:AB7)</f>
        <v/>
      </c>
      <c r="AC8" s="2" t="n"/>
      <c r="AD8" s="2" t="n"/>
      <c r="AE8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2026-10-27T16:27:36Z</dcterms:created>
  <dcterms:modified xmlns:dcterms="http://purl.org/dc/terms/" xmlns:xsi="http://www.w3.org/2001/XMLSchema-instance" xsi:type="dcterms:W3CDTF">2026-10-27T16:27:36Z</dcterms:modified>
</cp:coreProperties>
</file>