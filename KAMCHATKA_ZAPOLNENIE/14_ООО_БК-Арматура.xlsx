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«БК-Арматура» (дистрибьютор)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1.3/93</t>
        </is>
      </c>
      <c r="C6" s="6" t="inlineStr">
        <is>
          <t>Задвижка 30ч6бр Ду 50 Ру 10</t>
        </is>
      </c>
      <c r="D6" s="6" t="inlineStr">
        <is>
          <t>ГОСТ 5762-2002</t>
        </is>
      </c>
      <c r="E6" s="6" t="inlineStr">
        <is>
          <t>50</t>
        </is>
      </c>
      <c r="F6" s="6" t="inlineStr">
        <is>
          <t>полнопроходной</t>
        </is>
      </c>
      <c r="G6" s="6" t="inlineStr">
        <is>
          <t>1</t>
        </is>
      </c>
      <c r="H6" s="6" t="inlineStr">
        <is>
          <t>до +225°С</t>
        </is>
      </c>
      <c r="I6" s="6" t="inlineStr">
        <is>
          <t>Вода,пар</t>
        </is>
      </c>
      <c r="J6" s="6" t="inlineStr">
        <is>
          <t>серый чугун СЧ</t>
        </is>
      </c>
      <c r="K6" s="6" t="inlineStr">
        <is>
          <t>У2, УХЛ4</t>
        </is>
      </c>
      <c r="L6" s="6" t="inlineStr">
        <is>
          <t>фланец-фланец</t>
        </is>
      </c>
      <c r="M6" s="6" t="inlineStr">
        <is>
          <t>Ручное</t>
        </is>
      </c>
      <c r="N6" s="6" t="inlineStr">
        <is>
          <t>маховик</t>
        </is>
      </c>
      <c r="O6" s="6" t="inlineStr">
        <is>
          <t>любое</t>
        </is>
      </c>
      <c r="P6" s="6" t="inlineStr">
        <is>
          <t>Материал крышки ,диски,маховик,клин-серый чугун,Шпиндель — Ст 45 ГОСТ 1412</t>
        </is>
      </c>
      <c r="Q6" s="6" t="inlineStr">
        <is>
          <t>длина — 180мм</t>
        </is>
      </c>
      <c r="R6" s="6" t="inlineStr"/>
      <c r="S6" s="5" t="n">
        <v>8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1.3/95</t>
        </is>
      </c>
      <c r="C7" s="6" t="inlineStr">
        <is>
          <t>Задвижка 30ч6бр Ду 100 Ру 10</t>
        </is>
      </c>
      <c r="D7" s="6" t="inlineStr">
        <is>
          <t>ГОСТ 5762-2002,  Гермитичность ГОСТ 9544-2015</t>
        </is>
      </c>
      <c r="E7" s="6" t="inlineStr">
        <is>
          <t>100</t>
        </is>
      </c>
      <c r="F7" s="6" t="inlineStr">
        <is>
          <t>полнопроходной</t>
        </is>
      </c>
      <c r="G7" s="6" t="inlineStr">
        <is>
          <t>1</t>
        </is>
      </c>
      <c r="H7" s="6" t="inlineStr">
        <is>
          <t>до +225°С</t>
        </is>
      </c>
      <c r="I7" s="6" t="inlineStr">
        <is>
          <t>Вода,пар</t>
        </is>
      </c>
      <c r="J7" s="6" t="inlineStr">
        <is>
          <t>серый чугун СЧ</t>
        </is>
      </c>
      <c r="K7" s="6" t="inlineStr">
        <is>
          <t>У2, УХЛ4</t>
        </is>
      </c>
      <c r="L7" s="6" t="inlineStr">
        <is>
          <t>фланец-фланец</t>
        </is>
      </c>
      <c r="M7" s="6" t="inlineStr">
        <is>
          <t>Ручное</t>
        </is>
      </c>
      <c r="N7" s="6" t="inlineStr">
        <is>
          <t>маховик</t>
        </is>
      </c>
      <c r="O7" s="6" t="inlineStr">
        <is>
          <t>любое</t>
        </is>
      </c>
      <c r="P7" s="6" t="inlineStr">
        <is>
          <t>Материал крышки ,диски,маховик,клин-серый чугун,Шпиндель — Ст 45 ГОСТ 1412</t>
        </is>
      </c>
      <c r="Q7" s="6" t="inlineStr">
        <is>
          <t>Длина — 230мм</t>
        </is>
      </c>
      <c r="R7" s="6" t="inlineStr"/>
      <c r="S7" s="5" t="n">
        <v>19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1.6/47</t>
        </is>
      </c>
      <c r="C8" s="6" t="inlineStr">
        <is>
          <t>Задвижка 30ч6бр Ду 50 Ру 10</t>
        </is>
      </c>
      <c r="D8" s="6" t="inlineStr">
        <is>
          <t>ТУ УЗ 22-03326877-021-96</t>
        </is>
      </c>
      <c r="E8" s="6" t="inlineStr">
        <is>
          <t>50</t>
        </is>
      </c>
      <c r="F8" s="6" t="inlineStr">
        <is>
          <t>стандарт</t>
        </is>
      </c>
      <c r="G8" s="6" t="inlineStr">
        <is>
          <t>1</t>
        </is>
      </c>
      <c r="H8" s="6" t="inlineStr">
        <is>
          <t>до +225</t>
        </is>
      </c>
      <c r="I8" s="6" t="inlineStr">
        <is>
          <t>вода, пар</t>
        </is>
      </c>
      <c r="J8" s="6" t="inlineStr">
        <is>
          <t>серый чугун СЧ 18 (СЧ 20)</t>
        </is>
      </c>
      <c r="K8" s="6" t="inlineStr">
        <is>
          <t>У</t>
        </is>
      </c>
      <c r="L8" s="6" t="inlineStr">
        <is>
          <t>фланцевый</t>
        </is>
      </c>
      <c r="M8" s="6" t="inlineStr">
        <is>
          <t>ручной (маховик)</t>
        </is>
      </c>
      <c r="N8" s="6" t="inlineStr">
        <is>
          <t>-</t>
        </is>
      </c>
      <c r="O8" s="6" t="inlineStr">
        <is>
          <t>любое, кроме маховиком вниз</t>
        </is>
      </c>
      <c r="P8" s="6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8" s="6" t="inlineStr">
        <is>
          <t>-</t>
        </is>
      </c>
      <c r="R8" s="6" t="inlineStr">
        <is>
          <t>-</t>
        </is>
      </c>
      <c r="S8" s="5" t="n">
        <v>9</v>
      </c>
      <c r="T8" s="6" t="inlineStr">
        <is>
          <t>шт</t>
        </is>
      </c>
      <c r="U8" s="7" t="n"/>
      <c r="V8" s="7" t="n"/>
      <c r="W8" s="7" t="n"/>
      <c r="X8" s="7" t="n"/>
      <c r="Y8" s="7" t="n"/>
      <c r="Z8" s="7" t="n"/>
      <c r="AA8" s="8" t="n"/>
      <c r="AB8" s="9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1.6/49</t>
        </is>
      </c>
      <c r="C9" s="6" t="inlineStr">
        <is>
          <t>Задвижка 30ч6бр Ду 100 Ру 10</t>
        </is>
      </c>
      <c r="D9" s="6" t="inlineStr">
        <is>
          <t>ТУ УЗ 22-03326877-021-96</t>
        </is>
      </c>
      <c r="E9" s="6" t="inlineStr">
        <is>
          <t>100</t>
        </is>
      </c>
      <c r="F9" s="6" t="inlineStr">
        <is>
          <t>стандарт</t>
        </is>
      </c>
      <c r="G9" s="6" t="inlineStr">
        <is>
          <t>1</t>
        </is>
      </c>
      <c r="H9" s="6" t="inlineStr">
        <is>
          <t>до +225</t>
        </is>
      </c>
      <c r="I9" s="6" t="inlineStr">
        <is>
          <t>вода, пар</t>
        </is>
      </c>
      <c r="J9" s="6" t="inlineStr">
        <is>
          <t>серый чугун СЧ 18 (СЧ 20)</t>
        </is>
      </c>
      <c r="K9" s="6" t="inlineStr">
        <is>
          <t>У</t>
        </is>
      </c>
      <c r="L9" s="6" t="inlineStr">
        <is>
          <t>фланцевый</t>
        </is>
      </c>
      <c r="M9" s="6" t="inlineStr">
        <is>
          <t>ручной (маховик)</t>
        </is>
      </c>
      <c r="N9" s="6" t="inlineStr">
        <is>
          <t>-</t>
        </is>
      </c>
      <c r="O9" s="6" t="inlineStr">
        <is>
          <t>любое, кроме маховиком вниз</t>
        </is>
      </c>
      <c r="P9" s="6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9" s="6" t="inlineStr">
        <is>
          <t>-</t>
        </is>
      </c>
      <c r="R9" s="6" t="inlineStr">
        <is>
          <t>-</t>
        </is>
      </c>
      <c r="S9" s="5" t="n">
        <v>3</v>
      </c>
      <c r="T9" s="6" t="inlineStr">
        <is>
          <t>шт</t>
        </is>
      </c>
      <c r="U9" s="7" t="n"/>
      <c r="V9" s="7" t="n"/>
      <c r="W9" s="7" t="n"/>
      <c r="X9" s="7" t="n"/>
      <c r="Y9" s="7" t="n"/>
      <c r="Z9" s="7" t="n"/>
      <c r="AA9" s="8" t="n"/>
      <c r="AB9" s="9">
        <f>AA9*S9</f>
        <v/>
      </c>
      <c r="AC9" s="7" t="n"/>
      <c r="AD9" s="7" t="n"/>
      <c r="AE9" s="7" t="n"/>
    </row>
    <row r="10" ht="60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>
        <is>
          <t>ИТОГО</t>
        </is>
      </c>
      <c r="AB10" s="11">
        <f>SUM(AB6:AB9)</f>
        <v/>
      </c>
      <c r="AC10" s="2" t="n"/>
      <c r="AD10" s="2" t="n"/>
      <c r="AE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