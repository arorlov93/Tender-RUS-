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«Пермский трубопроводный завод» (ООО «ПТЗ»)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1.1/2</t>
        </is>
      </c>
      <c r="C6" s="6" t="inlineStr">
        <is>
          <t>Клапан запорный 15нж65нж Ду 200 Ру 16</t>
        </is>
      </c>
      <c r="D6" s="6" t="inlineStr">
        <is>
          <t>ТУ 3700-001-66364836-2010</t>
        </is>
      </c>
      <c r="E6" s="6" t="inlineStr">
        <is>
          <t>200</t>
        </is>
      </c>
      <c r="F6" s="6" t="inlineStr">
        <is>
          <t>Полнопроходной</t>
        </is>
      </c>
      <c r="G6" s="6" t="inlineStr">
        <is>
          <t>1.6</t>
        </is>
      </c>
      <c r="H6" s="6" t="inlineStr">
        <is>
          <t>до +6000С</t>
        </is>
      </c>
      <c r="I6" s="6" t="inlineStr">
        <is>
          <t>вода, пар</t>
        </is>
      </c>
      <c r="J6" s="6" t="inlineStr">
        <is>
          <t>12Х18Н10Т</t>
        </is>
      </c>
      <c r="K6" s="6" t="inlineStr">
        <is>
          <t>УХЛ1</t>
        </is>
      </c>
      <c r="L6" s="6" t="inlineStr">
        <is>
          <t>Фланцевое</t>
        </is>
      </c>
      <c r="M6" s="6" t="inlineStr">
        <is>
          <t>Ручное</t>
        </is>
      </c>
      <c r="N6" s="6" t="inlineStr">
        <is>
          <t>Маховик (штурвал)</t>
        </is>
      </c>
      <c r="O6" s="6" t="inlineStr">
        <is>
          <t>любое</t>
        </is>
      </c>
      <c r="P6" s="6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6" s="6" t="inlineStr">
        <is>
          <t>-</t>
        </is>
      </c>
      <c r="R6" s="6" t="inlineStr">
        <is>
          <t>Класс герметичности по ГОСТ 9544-2015 «А» Поставка клапана с ответными фланцами 12Х18Н10Т</t>
        </is>
      </c>
      <c r="S6" s="5" t="n">
        <v>4</v>
      </c>
      <c r="T6" s="6" t="inlineStr">
        <is>
          <t>шт</t>
        </is>
      </c>
      <c r="U6" s="7" t="n"/>
      <c r="V6" s="8" t="inlineStr">
        <is>
          <t>ООО «Пермский трубопроводный завод»</t>
        </is>
      </c>
      <c r="W6" s="8" t="inlineStr">
        <is>
          <t>Россия</t>
        </is>
      </c>
      <c r="X6" s="8" t="inlineStr">
        <is>
          <t>10698937</t>
        </is>
      </c>
      <c r="Y6" s="8" t="inlineStr">
        <is>
          <t>17.02.2031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1.1/3</t>
        </is>
      </c>
      <c r="C7" s="6" t="inlineStr">
        <is>
          <t>Клапан запорный15нж65нж Ду 50 Ру 16</t>
        </is>
      </c>
      <c r="D7" s="6" t="inlineStr">
        <is>
          <t>ТУ 3700-001-66364836-2010</t>
        </is>
      </c>
      <c r="E7" s="6" t="inlineStr">
        <is>
          <t>50</t>
        </is>
      </c>
      <c r="F7" s="6" t="inlineStr">
        <is>
          <t>Полнопроходной</t>
        </is>
      </c>
      <c r="G7" s="6" t="inlineStr">
        <is>
          <t>1.6</t>
        </is>
      </c>
      <c r="H7" s="6" t="inlineStr">
        <is>
          <t>до +6000С</t>
        </is>
      </c>
      <c r="I7" s="6" t="inlineStr">
        <is>
          <t>вода, пар</t>
        </is>
      </c>
      <c r="J7" s="6" t="inlineStr">
        <is>
          <t>12Х18Н10Т</t>
        </is>
      </c>
      <c r="K7" s="6" t="inlineStr">
        <is>
          <t>УХЛ1</t>
        </is>
      </c>
      <c r="L7" s="6" t="inlineStr">
        <is>
          <t>Фланцевое</t>
        </is>
      </c>
      <c r="M7" s="6" t="inlineStr">
        <is>
          <t>Ручное</t>
        </is>
      </c>
      <c r="N7" s="6" t="inlineStr">
        <is>
          <t>Маховик (штурвал)</t>
        </is>
      </c>
      <c r="O7" s="6" t="inlineStr">
        <is>
          <t>любое</t>
        </is>
      </c>
      <c r="P7" s="6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7" s="6" t="inlineStr">
        <is>
          <t>-</t>
        </is>
      </c>
      <c r="R7" s="6" t="inlineStr">
        <is>
          <t>Класс герметичности по ГОСТ 9544-2015 «А» Поставка клапана с ответными фланцами 12Х18Н10Т</t>
        </is>
      </c>
      <c r="S7" s="5" t="n">
        <v>3</v>
      </c>
      <c r="T7" s="6" t="inlineStr">
        <is>
          <t>шт</t>
        </is>
      </c>
      <c r="U7" s="7" t="n"/>
      <c r="V7" s="8" t="inlineStr">
        <is>
          <t>ООО «Пермский трубопроводный завод»</t>
        </is>
      </c>
      <c r="W7" s="8" t="inlineStr">
        <is>
          <t>Россия</t>
        </is>
      </c>
      <c r="X7" s="8" t="inlineStr">
        <is>
          <t>10698937</t>
        </is>
      </c>
      <c r="Y7" s="8" t="inlineStr">
        <is>
          <t>17.02.2031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1.1/4</t>
        </is>
      </c>
      <c r="C8" s="6" t="inlineStr">
        <is>
          <t>Клапан запорный15с52нж11 Ду 32 Ру 63 под приварку</t>
        </is>
      </c>
      <c r="D8" s="6" t="inlineStr">
        <is>
          <t>ГОСТ 12.2.063-2015</t>
        </is>
      </c>
      <c r="E8" s="6" t="inlineStr">
        <is>
          <t>32</t>
        </is>
      </c>
      <c r="F8" s="6" t="inlineStr">
        <is>
          <t>стандарт</t>
        </is>
      </c>
      <c r="G8" s="6" t="inlineStr">
        <is>
          <t>6.3</t>
        </is>
      </c>
      <c r="H8" s="6" t="inlineStr">
        <is>
          <t>До +400</t>
        </is>
      </c>
      <c r="I8" s="6" t="inlineStr">
        <is>
          <t>вода пар газ и другие  рабочие среды, неагрессивные к деталям задвижки</t>
        </is>
      </c>
      <c r="J8" s="6" t="inlineStr">
        <is>
          <t>Сталь 20</t>
        </is>
      </c>
      <c r="K8" s="6" t="inlineStr">
        <is>
          <t>У1</t>
        </is>
      </c>
      <c r="L8" s="6" t="inlineStr">
        <is>
          <t>под приварку</t>
        </is>
      </c>
      <c r="M8" s="6" t="inlineStr">
        <is>
          <t>ручное</t>
        </is>
      </c>
      <c r="N8" s="6" t="inlineStr">
        <is>
          <t>рукоятка</t>
        </is>
      </c>
      <c r="O8" s="6" t="inlineStr">
        <is>
          <t>направленная</t>
        </is>
      </c>
      <c r="P8" s="6" t="inlineStr">
        <is>
          <t>корпус сталь 20     золотник сталь 20х13   шпиндель сталь35 сальниковая набивка АГИ</t>
        </is>
      </c>
      <c r="Q8" s="6" t="inlineStr"/>
      <c r="R8" s="6" t="inlineStr"/>
      <c r="S8" s="5" t="n">
        <v>12</v>
      </c>
      <c r="T8" s="6" t="inlineStr">
        <is>
          <t>шт</t>
        </is>
      </c>
      <c r="U8" s="7" t="n"/>
      <c r="V8" s="8" t="inlineStr">
        <is>
          <t>ООО «Пермский трубопроводный завод»</t>
        </is>
      </c>
      <c r="W8" s="8" t="inlineStr">
        <is>
          <t>Россия</t>
        </is>
      </c>
      <c r="X8" s="8" t="inlineStr">
        <is>
          <t>10698937</t>
        </is>
      </c>
      <c r="Y8" s="8" t="inlineStr">
        <is>
          <t>17.02.2031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1.1/5</t>
        </is>
      </c>
      <c r="C9" s="6" t="inlineStr">
        <is>
          <t>Задвижка 30нж41нж Ду 150 Ру 16 1исп. САЗ</t>
        </is>
      </c>
      <c r="D9" s="6" t="inlineStr">
        <is>
          <t>ГОСТ 5762-2002</t>
        </is>
      </c>
      <c r="E9" s="6" t="inlineStr">
        <is>
          <t>150</t>
        </is>
      </c>
      <c r="F9" s="6" t="inlineStr">
        <is>
          <t>стандартный</t>
        </is>
      </c>
      <c r="G9" s="6" t="inlineStr">
        <is>
          <t>1.6</t>
        </is>
      </c>
      <c r="H9" s="6" t="inlineStr">
        <is>
          <t>от -60 до +560</t>
        </is>
      </c>
      <c r="I9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9" s="6" t="inlineStr">
        <is>
          <t>сталь 12Х18Н9ТЛ</t>
        </is>
      </c>
      <c r="K9" s="6" t="inlineStr">
        <is>
          <t>УХЛ1</t>
        </is>
      </c>
      <c r="L9" s="6" t="inlineStr">
        <is>
          <t>фланцевый</t>
        </is>
      </c>
      <c r="M9" s="6" t="inlineStr">
        <is>
          <t>ручной (маховик)</t>
        </is>
      </c>
      <c r="N9" s="6" t="inlineStr">
        <is>
          <t>-</t>
        </is>
      </c>
      <c r="O9" s="6" t="inlineStr">
        <is>
          <t>любое</t>
        </is>
      </c>
      <c r="P9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9" s="6" t="inlineStr"/>
      <c r="R9" s="6" t="inlineStr"/>
      <c r="S9" s="5" t="n">
        <v>1</v>
      </c>
      <c r="T9" s="6" t="inlineStr">
        <is>
          <t>шт</t>
        </is>
      </c>
      <c r="U9" s="7" t="n"/>
      <c r="V9" s="8" t="inlineStr">
        <is>
          <t>ООО «Пермский трубопроводный завод»</t>
        </is>
      </c>
      <c r="W9" s="8" t="inlineStr">
        <is>
          <t>Россия</t>
        </is>
      </c>
      <c r="X9" s="8" t="inlineStr">
        <is>
          <t>10698940</t>
        </is>
      </c>
      <c r="Y9" s="8" t="inlineStr">
        <is>
          <t>17.02.2031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1.1/7</t>
        </is>
      </c>
      <c r="C10" s="6" t="inlineStr">
        <is>
          <t>Задвижка 30с41нж Ду 50 Ру 16</t>
        </is>
      </c>
      <c r="D10" s="6" t="inlineStr">
        <is>
          <t>ТУ 3741–001–24380482–2016</t>
        </is>
      </c>
      <c r="E10" s="6" t="inlineStr">
        <is>
          <t>50</t>
        </is>
      </c>
      <c r="F10" s="6" t="inlineStr">
        <is>
          <t>стандарт</t>
        </is>
      </c>
      <c r="G10" s="6" t="inlineStr">
        <is>
          <t>1.6</t>
        </is>
      </c>
      <c r="H10" s="6" t="inlineStr">
        <is>
          <t>до +425</t>
        </is>
      </c>
      <c r="I10" s="6" t="inlineStr">
        <is>
          <t>Вода</t>
        </is>
      </c>
      <c r="J10" s="6" t="inlineStr">
        <is>
          <t>Сталь 25 Л</t>
        </is>
      </c>
      <c r="K10" s="6" t="inlineStr">
        <is>
          <t>У1</t>
        </is>
      </c>
      <c r="L10" s="6" t="inlineStr">
        <is>
          <t>фланец-фланец по ГОСТ 33259-2015</t>
        </is>
      </c>
      <c r="M10" s="6" t="inlineStr">
        <is>
          <t>Ручное</t>
        </is>
      </c>
      <c r="N10" s="6" t="inlineStr">
        <is>
          <t>штурвал</t>
        </is>
      </c>
      <c r="O10" s="6" t="inlineStr">
        <is>
          <t>Любое</t>
        </is>
      </c>
      <c r="P10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0" s="6" t="inlineStr">
        <is>
          <t>180 *281</t>
        </is>
      </c>
      <c r="R10" s="6" t="inlineStr"/>
      <c r="S10" s="5" t="n">
        <v>10</v>
      </c>
      <c r="T10" s="6" t="inlineStr">
        <is>
          <t>шт</t>
        </is>
      </c>
      <c r="U10" s="7" t="n"/>
      <c r="V10" s="8" t="inlineStr">
        <is>
          <t>ООО «Пермский трубопроводный завод»</t>
        </is>
      </c>
      <c r="W10" s="8" t="inlineStr">
        <is>
          <t>Россия</t>
        </is>
      </c>
      <c r="X10" s="8" t="inlineStr">
        <is>
          <t>10698940</t>
        </is>
      </c>
      <c r="Y10" s="8" t="inlineStr">
        <is>
          <t>17.02.2031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1.1/8</t>
        </is>
      </c>
      <c r="C11" s="6" t="inlineStr">
        <is>
          <t>Задвижка 30с41нж Ду 100 Ру 16</t>
        </is>
      </c>
      <c r="D11" s="6" t="inlineStr">
        <is>
          <t>ТУ 3741–001–24380482–2016</t>
        </is>
      </c>
      <c r="E11" s="6" t="inlineStr">
        <is>
          <t>100</t>
        </is>
      </c>
      <c r="F11" s="6" t="inlineStr">
        <is>
          <t>стандарт</t>
        </is>
      </c>
      <c r="G11" s="6" t="inlineStr">
        <is>
          <t>1.6</t>
        </is>
      </c>
      <c r="H11" s="6" t="inlineStr">
        <is>
          <t>до +425</t>
        </is>
      </c>
      <c r="I11" s="6" t="inlineStr">
        <is>
          <t>вода, пар, жидкие неагрессивные среды</t>
        </is>
      </c>
      <c r="J11" s="6" t="inlineStr">
        <is>
          <t>сталь 25Л</t>
        </is>
      </c>
      <c r="K11" s="6" t="inlineStr">
        <is>
          <t>У1</t>
        </is>
      </c>
      <c r="L11" s="6" t="inlineStr">
        <is>
          <t>фланцевый</t>
        </is>
      </c>
      <c r="M11" s="6" t="inlineStr">
        <is>
          <t>ручной (маховик)</t>
        </is>
      </c>
      <c r="N11" s="6" t="inlineStr">
        <is>
          <t>-</t>
        </is>
      </c>
      <c r="O11" s="6" t="inlineStr">
        <is>
          <t>маховиком вверх</t>
        </is>
      </c>
      <c r="P11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1" s="6" t="inlineStr">
        <is>
          <t>-</t>
        </is>
      </c>
      <c r="R11" s="6" t="inlineStr">
        <is>
          <t>-</t>
        </is>
      </c>
      <c r="S11" s="5" t="n">
        <v>7</v>
      </c>
      <c r="T11" s="6" t="inlineStr">
        <is>
          <t>шт</t>
        </is>
      </c>
      <c r="U11" s="7" t="n"/>
      <c r="V11" s="8" t="inlineStr">
        <is>
          <t>ООО «Пермский трубопроводный завод»</t>
        </is>
      </c>
      <c r="W11" s="8" t="inlineStr">
        <is>
          <t>Россия</t>
        </is>
      </c>
      <c r="X11" s="8" t="inlineStr">
        <is>
          <t>10698940</t>
        </is>
      </c>
      <c r="Y11" s="8" t="inlineStr">
        <is>
          <t>17.02.2031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1.1/9</t>
        </is>
      </c>
      <c r="C12" s="6" t="inlineStr">
        <is>
          <t>Задвижка 30с41нж Ду 150 Ру 16</t>
        </is>
      </c>
      <c r="D12" s="6" t="inlineStr">
        <is>
          <t>ТУ 3741–001–24380482–2016</t>
        </is>
      </c>
      <c r="E12" s="6" t="inlineStr">
        <is>
          <t>150</t>
        </is>
      </c>
      <c r="F12" s="6" t="inlineStr">
        <is>
          <t>стандарт</t>
        </is>
      </c>
      <c r="G12" s="6" t="inlineStr">
        <is>
          <t>1.6</t>
        </is>
      </c>
      <c r="H12" s="6" t="inlineStr">
        <is>
          <t>до +425</t>
        </is>
      </c>
      <c r="I12" s="6" t="inlineStr">
        <is>
          <t>вода, пар, жидкие неагрессивные среды</t>
        </is>
      </c>
      <c r="J12" s="6" t="inlineStr">
        <is>
          <t>сталь 25Л</t>
        </is>
      </c>
      <c r="K12" s="6" t="inlineStr">
        <is>
          <t>У1</t>
        </is>
      </c>
      <c r="L12" s="6" t="inlineStr">
        <is>
          <t>фланцевый</t>
        </is>
      </c>
      <c r="M12" s="6" t="inlineStr">
        <is>
          <t>ручной (маховик)</t>
        </is>
      </c>
      <c r="N12" s="6" t="inlineStr">
        <is>
          <t>-</t>
        </is>
      </c>
      <c r="O12" s="6" t="inlineStr">
        <is>
          <t>маховиком вверх</t>
        </is>
      </c>
      <c r="P12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2" s="6" t="inlineStr">
        <is>
          <t>-</t>
        </is>
      </c>
      <c r="R12" s="6" t="inlineStr">
        <is>
          <t>-</t>
        </is>
      </c>
      <c r="S12" s="5" t="n">
        <v>10</v>
      </c>
      <c r="T12" s="6" t="inlineStr">
        <is>
          <t>шт</t>
        </is>
      </c>
      <c r="U12" s="7" t="n"/>
      <c r="V12" s="8" t="inlineStr">
        <is>
          <t>ООО «Пермский трубопроводный завод»</t>
        </is>
      </c>
      <c r="W12" s="8" t="inlineStr">
        <is>
          <t>Россия</t>
        </is>
      </c>
      <c r="X12" s="8" t="inlineStr">
        <is>
          <t>10698940</t>
        </is>
      </c>
      <c r="Y12" s="8" t="inlineStr">
        <is>
          <t>17.02.2031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1.1/10</t>
        </is>
      </c>
      <c r="C13" s="6" t="inlineStr">
        <is>
          <t>Задвижка клиновая фланцевая 30с41нж Ду 300 Ру 16 с КОФ</t>
        </is>
      </c>
      <c r="D13" s="6" t="inlineStr">
        <is>
          <t>ТУ3741–001–27104101–2014</t>
        </is>
      </c>
      <c r="E13" s="6" t="inlineStr">
        <is>
          <t>300</t>
        </is>
      </c>
      <c r="F13" s="6" t="inlineStr">
        <is>
          <t>стандарт</t>
        </is>
      </c>
      <c r="G13" s="6" t="inlineStr">
        <is>
          <t>1.6</t>
        </is>
      </c>
      <c r="H13" s="6" t="inlineStr">
        <is>
          <t>до +425</t>
        </is>
      </c>
      <c r="I13" s="6" t="inlineStr">
        <is>
          <t>вода / пар/ газы</t>
        </is>
      </c>
      <c r="J13" s="6" t="inlineStr">
        <is>
          <t>сталь 25Л</t>
        </is>
      </c>
      <c r="K13" s="6" t="inlineStr">
        <is>
          <t>У1</t>
        </is>
      </c>
      <c r="L13" s="6" t="inlineStr">
        <is>
          <t>фланец-фланец</t>
        </is>
      </c>
      <c r="M13" s="6" t="inlineStr">
        <is>
          <t>Ручное</t>
        </is>
      </c>
      <c r="N13" s="6" t="inlineStr">
        <is>
          <t>штурвал</t>
        </is>
      </c>
      <c r="O13" s="6" t="inlineStr">
        <is>
          <t>Любое</t>
        </is>
      </c>
      <c r="P13" s="6" t="inlineStr">
        <is>
          <t>Материал корпуса — Сталь 25Л;                        Материал клина - Нержавеющая сталь;         Уплотнение - Металл по металлу.</t>
        </is>
      </c>
      <c r="Q13" s="6" t="inlineStr">
        <is>
          <t>Габариты ДхШхВ, мм: 500х460х1375       Строительная длина: L 500 мм; Высота 1145 мм</t>
        </is>
      </c>
      <c r="R13" s="6" t="inlineStr"/>
      <c r="S13" s="5" t="n">
        <v>2</v>
      </c>
      <c r="T13" s="6" t="inlineStr">
        <is>
          <t>шт</t>
        </is>
      </c>
      <c r="U13" s="7" t="n"/>
      <c r="V13" s="8" t="inlineStr">
        <is>
          <t>ООО «Пермский трубопроводный завод»</t>
        </is>
      </c>
      <c r="W13" s="8" t="inlineStr">
        <is>
          <t>Россия</t>
        </is>
      </c>
      <c r="X13" s="8" t="inlineStr">
        <is>
          <t>10698940</t>
        </is>
      </c>
      <c r="Y13" s="8" t="inlineStr">
        <is>
          <t>17.02.2031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1.1/11</t>
        </is>
      </c>
      <c r="C14" s="6" t="inlineStr">
        <is>
          <t>Задвижка 30С576НЖ Ду 300 Ру 63 с редуктором РК-Г-1М, в комплекте с крепежом и ответными фланцами.</t>
        </is>
      </c>
      <c r="D14" s="6" t="inlineStr">
        <is>
          <t>ГОСТ 9544-2015</t>
        </is>
      </c>
      <c r="E14" s="6" t="inlineStr">
        <is>
          <t>300</t>
        </is>
      </c>
      <c r="F14" s="6" t="inlineStr">
        <is>
          <t>стандарт</t>
        </is>
      </c>
      <c r="G14" s="6" t="inlineStr">
        <is>
          <t>6.3</t>
        </is>
      </c>
      <c r="H14" s="6" t="inlineStr">
        <is>
          <t>до +425</t>
        </is>
      </c>
      <c r="I14" s="6" t="inlineStr">
        <is>
          <t>жидкие и газообразные углеводороды, нефть, нефтепродукты, природный газ, газоконденсат, вода, пар, а так же другие агрессивные жидкости и газы, неагрессивные к примененным в задвижке клиновой материалам</t>
        </is>
      </c>
      <c r="J14" s="6" t="inlineStr">
        <is>
          <t>Сталь 25Л</t>
        </is>
      </c>
      <c r="K14" s="6" t="inlineStr">
        <is>
          <t>У1</t>
        </is>
      </c>
      <c r="L14" s="6" t="inlineStr">
        <is>
          <t>фланец -фланец под приварку</t>
        </is>
      </c>
      <c r="M14" s="6" t="inlineStr">
        <is>
          <t>редуктор РК-Г1</t>
        </is>
      </c>
      <c r="N14" s="6" t="inlineStr">
        <is>
          <t>РК-Г-1</t>
        </is>
      </c>
      <c r="O14" s="6" t="inlineStr">
        <is>
          <t>любое</t>
        </is>
      </c>
      <c r="P14" s="6" t="inlineStr">
        <is>
          <t>Корпус: сталь 25Л    Крышка: сталь 25Л Клин: сталь 25Л  Шпиндель: сталь 20Х13     Гайка шпинделя: латунь ЛС59    Гайка: сталь 45     Шпилька, болт: сталь 35ХМ     . Болт откидной: сталь 35ХМ      Прокладка: спирально-навитая     • 10. Набивка сальника: ТРГ     • 11. Редуктор: редуктор конический или цилиндрический     • 12. Подшипник: по ГОСТ 7872-89     • 13. Наплавка на кольце в корпусе: сталь 07Х25Н13   Наплавка на клине: сталь 13Х25Т</t>
        </is>
      </c>
      <c r="Q14" s="6" t="inlineStr"/>
      <c r="R14" s="6" t="inlineStr"/>
      <c r="S14" s="5" t="n">
        <v>2</v>
      </c>
      <c r="T14" s="6" t="inlineStr">
        <is>
          <t>шт</t>
        </is>
      </c>
      <c r="U14" s="7" t="n"/>
      <c r="V14" s="8" t="inlineStr">
        <is>
          <t>ООО «Пермский трубопроводный завод»</t>
        </is>
      </c>
      <c r="W14" s="8" t="inlineStr">
        <is>
          <t>Россия</t>
        </is>
      </c>
      <c r="X14" s="8" t="inlineStr">
        <is>
          <t>10698940</t>
        </is>
      </c>
      <c r="Y14" s="8" t="inlineStr">
        <is>
          <t>17.02.2031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1.1/12</t>
        </is>
      </c>
      <c r="C15" s="6" t="inlineStr">
        <is>
          <t>Задвижка клиновая фланцевая 30с941нж Ду 500 Ру 16 с КОФ под электропривод Bernard ST-30</t>
        </is>
      </c>
      <c r="D15" s="6" t="inlineStr">
        <is>
          <t>ТУ 28.14.11-001-27709620-2022ТУ 28.14.11-001-27709620-2022</t>
        </is>
      </c>
      <c r="E15" s="6" t="inlineStr">
        <is>
          <t>500</t>
        </is>
      </c>
      <c r="F15" s="6" t="inlineStr">
        <is>
          <t>стандарт</t>
        </is>
      </c>
      <c r="G15" s="6" t="inlineStr">
        <is>
          <t>1,6 МПа</t>
        </is>
      </c>
      <c r="H15" s="6" t="inlineStr">
        <is>
          <t>до +425</t>
        </is>
      </c>
      <c r="I15" s="6" t="inlineStr">
        <is>
          <t>вода / пар/ газы</t>
        </is>
      </c>
      <c r="J15" s="6" t="inlineStr">
        <is>
          <t>сталь 25Л</t>
        </is>
      </c>
      <c r="K15" s="6" t="inlineStr">
        <is>
          <t>У1</t>
        </is>
      </c>
      <c r="L15" s="6" t="inlineStr">
        <is>
          <t>фланец-фланец</t>
        </is>
      </c>
      <c r="M15" s="6" t="inlineStr">
        <is>
          <t>под электропривод</t>
        </is>
      </c>
      <c r="N15" s="6" t="inlineStr">
        <is>
          <t>Bernard ST-30</t>
        </is>
      </c>
      <c r="O15" s="6" t="inlineStr">
        <is>
          <t>Любое</t>
        </is>
      </c>
      <c r="P15" s="6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15" s="6" t="inlineStr">
        <is>
          <t>700 * 1545</t>
        </is>
      </c>
      <c r="R15" s="6" t="inlineStr">
        <is>
          <t>Тип присоединения электропривода» — «F16»</t>
        </is>
      </c>
      <c r="S15" s="5" t="n">
        <v>1</v>
      </c>
      <c r="T15" s="6" t="inlineStr">
        <is>
          <t>шт</t>
        </is>
      </c>
      <c r="U15" s="7" t="n"/>
      <c r="V15" s="8" t="inlineStr">
        <is>
          <t>ООО «Пермский трубопроводный завод»</t>
        </is>
      </c>
      <c r="W15" s="8" t="inlineStr">
        <is>
          <t>Россия</t>
        </is>
      </c>
      <c r="X15" s="8" t="inlineStr">
        <is>
          <t>10698940</t>
        </is>
      </c>
      <c r="Y15" s="8" t="inlineStr">
        <is>
          <t>17.02.2031</t>
        </is>
      </c>
      <c r="Z15" s="7" t="n"/>
      <c r="AA15" s="9" t="n"/>
      <c r="AB15" s="10">
        <f>AA15*S15</f>
        <v/>
      </c>
      <c r="AC15" s="7" t="n"/>
      <c r="AD15" s="7" t="n"/>
      <c r="AE15" s="7" t="n"/>
    </row>
    <row r="16" ht="60" customHeight="1">
      <c r="A16" s="5" t="n">
        <v>11</v>
      </c>
      <c r="B16" s="6" t="inlineStr">
        <is>
          <t>1.1/13</t>
        </is>
      </c>
      <c r="C16" s="6" t="inlineStr">
        <is>
          <t>Задвижка 30с964нж Ду 300 Ру 25</t>
        </is>
      </c>
      <c r="D16" s="6" t="inlineStr">
        <is>
          <t>ТУ 3740-002-30995032-2014</t>
        </is>
      </c>
      <c r="E16" s="6" t="inlineStr">
        <is>
          <t>300</t>
        </is>
      </c>
      <c r="F16" s="6" t="inlineStr">
        <is>
          <t>стандарт</t>
        </is>
      </c>
      <c r="G16" s="6" t="inlineStr">
        <is>
          <t>2.5</t>
        </is>
      </c>
      <c r="H16" s="6" t="inlineStr">
        <is>
          <t>от −40°С до + 425°С</t>
        </is>
      </c>
      <c r="I16" s="6" t="inlineStr">
        <is>
          <t>вода, пар</t>
        </is>
      </c>
      <c r="J16" s="6" t="inlineStr">
        <is>
          <t>Сталь 25Л</t>
        </is>
      </c>
      <c r="K16" s="6" t="inlineStr">
        <is>
          <t>У1</t>
        </is>
      </c>
      <c r="L16" s="6" t="inlineStr">
        <is>
          <t>Под приварку</t>
        </is>
      </c>
      <c r="M16" s="6" t="inlineStr">
        <is>
          <t>Под привод, ручное</t>
        </is>
      </c>
      <c r="N16" s="6" t="inlineStr">
        <is>
          <t>Фланец тип В (ЦКБА 062-2009)</t>
        </is>
      </c>
      <c r="O16" s="6" t="inlineStr">
        <is>
          <t>Любое, кроме положения электроприводом вниз</t>
        </is>
      </c>
      <c r="P16" s="6" t="inlineStr">
        <is>
          <t>Крышка — 25Л; клин — 25Л; шпиндель — 20Х13; набивка сальниковая (сальник) — ТРГ</t>
        </is>
      </c>
      <c r="Q16" s="6" t="inlineStr">
        <is>
          <t>-</t>
        </is>
      </c>
      <c r="R16" s="6" t="inlineStr">
        <is>
          <t>Класс герметичности по ГОСТ 9544-2015 «А» Под электропривод Н-В-02 У2, фланец тип В (ЦКБА 062-2009)</t>
        </is>
      </c>
      <c r="S16" s="5" t="n">
        <v>1</v>
      </c>
      <c r="T16" s="6" t="inlineStr">
        <is>
          <t>шт</t>
        </is>
      </c>
      <c r="U16" s="7" t="n"/>
      <c r="V16" s="8" t="inlineStr">
        <is>
          <t>ООО «Пермский трубопроводный завод»</t>
        </is>
      </c>
      <c r="W16" s="8" t="inlineStr">
        <is>
          <t>Россия</t>
        </is>
      </c>
      <c r="X16" s="8" t="inlineStr">
        <is>
          <t>10698940</t>
        </is>
      </c>
      <c r="Y16" s="8" t="inlineStr">
        <is>
          <t>17.02.2031</t>
        </is>
      </c>
      <c r="Z16" s="7" t="n"/>
      <c r="AA16" s="9" t="n"/>
      <c r="AB16" s="10">
        <f>AA16*S16</f>
        <v/>
      </c>
      <c r="AC16" s="7" t="n"/>
      <c r="AD16" s="7" t="n"/>
      <c r="AE16" s="7" t="n"/>
    </row>
    <row r="17" ht="60" customHeight="1">
      <c r="A17" s="5" t="n">
        <v>12</v>
      </c>
      <c r="B17" s="6" t="inlineStr">
        <is>
          <t>1.3/23</t>
        </is>
      </c>
      <c r="C17" s="6" t="inlineStr">
        <is>
          <t>Клапан обратный 16нж10нж Ду 50 Ру 16</t>
        </is>
      </c>
      <c r="D17" s="6" t="inlineStr">
        <is>
          <t>ГОСТ 33423-2015</t>
        </is>
      </c>
      <c r="E17" s="6" t="inlineStr">
        <is>
          <t>50</t>
        </is>
      </c>
      <c r="F17" s="6" t="inlineStr">
        <is>
          <t>стандарт</t>
        </is>
      </c>
      <c r="G17" s="6" t="inlineStr">
        <is>
          <t>1.6</t>
        </is>
      </c>
      <c r="H17" s="6" t="inlineStr">
        <is>
          <t>— 60 ºC до 350 °C</t>
        </is>
      </c>
      <c r="I17" s="6" t="inlineStr">
        <is>
          <t>газ, вода, пар,</t>
        </is>
      </c>
      <c r="J17" s="6" t="inlineStr">
        <is>
          <t>08Х18Н10, 08Х18Н10Т, 12Х18Н9, 12Х18Н9ТЛ</t>
        </is>
      </c>
      <c r="K17" s="6" t="inlineStr">
        <is>
          <t>УХЛ</t>
        </is>
      </c>
      <c r="L17" s="6" t="inlineStr">
        <is>
          <t>фланцевое</t>
        </is>
      </c>
      <c r="M17" s="6" t="inlineStr">
        <is>
          <t>Клапан 16нж10нж является автоматическим и не требует управления или иного регулирования в работе.</t>
        </is>
      </c>
      <c r="N17" s="6" t="inlineStr"/>
      <c r="O17" s="6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17" s="6" t="inlineStr"/>
      <c r="Q17" s="6" t="inlineStr"/>
      <c r="R17" s="6" t="inlineStr"/>
      <c r="S17" s="5" t="n">
        <v>2</v>
      </c>
      <c r="T17" s="6" t="inlineStr">
        <is>
          <t>шт</t>
        </is>
      </c>
      <c r="U17" s="7" t="n"/>
      <c r="V17" s="8" t="inlineStr">
        <is>
          <t>ООО «ПТЗ» (Пермь)</t>
        </is>
      </c>
      <c r="W17" s="8" t="inlineStr">
        <is>
          <t>Россия</t>
        </is>
      </c>
      <c r="X17" s="8" t="inlineStr">
        <is>
          <t>10746921</t>
        </is>
      </c>
      <c r="Y17" s="8" t="inlineStr">
        <is>
          <t>23.11.2028</t>
        </is>
      </c>
      <c r="Z17" s="7" t="n"/>
      <c r="AA17" s="9" t="n"/>
      <c r="AB17" s="10">
        <f>AA17*S17</f>
        <v/>
      </c>
      <c r="AC17" s="7" t="n"/>
      <c r="AD17" s="7" t="n"/>
      <c r="AE17" s="7" t="n"/>
    </row>
    <row r="18" ht="60" customHeight="1">
      <c r="A18" s="5" t="n">
        <v>13</v>
      </c>
      <c r="B18" s="6" t="inlineStr">
        <is>
          <t>1.3/24</t>
        </is>
      </c>
      <c r="C18" s="6" t="inlineStr">
        <is>
          <t>Клапан обратный 16нж10нж Ду 32 Ру16</t>
        </is>
      </c>
      <c r="D18" s="6" t="inlineStr">
        <is>
          <t>ГОСТ 33423-2015</t>
        </is>
      </c>
      <c r="E18" s="6" t="inlineStr">
        <is>
          <t>32</t>
        </is>
      </c>
      <c r="F18" s="6" t="inlineStr">
        <is>
          <t>стандарт</t>
        </is>
      </c>
      <c r="G18" s="6" t="inlineStr">
        <is>
          <t>1.6</t>
        </is>
      </c>
      <c r="H18" s="6" t="inlineStr">
        <is>
          <t>— 60 ºC до 350 °C</t>
        </is>
      </c>
      <c r="I18" s="6" t="inlineStr">
        <is>
          <t>газ, вода, пар,</t>
        </is>
      </c>
      <c r="J18" s="6" t="inlineStr">
        <is>
          <t>08Х18Н10, 08Х18Н10Т, 12Х18Н9, 12Х18Н9ТЛ</t>
        </is>
      </c>
      <c r="K18" s="6" t="inlineStr">
        <is>
          <t>УХЛ</t>
        </is>
      </c>
      <c r="L18" s="6" t="inlineStr">
        <is>
          <t>фланцевое</t>
        </is>
      </c>
      <c r="M18" s="6" t="inlineStr">
        <is>
          <t>Клапан 16нж10нж является автоматическим и не требует управления или иного регулирования в работе.</t>
        </is>
      </c>
      <c r="N18" s="6" t="inlineStr"/>
      <c r="O18" s="6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18" s="6" t="inlineStr"/>
      <c r="Q18" s="6" t="inlineStr"/>
      <c r="R18" s="6" t="inlineStr"/>
      <c r="S18" s="5" t="n">
        <v>5</v>
      </c>
      <c r="T18" s="6" t="inlineStr">
        <is>
          <t>шт</t>
        </is>
      </c>
      <c r="U18" s="7" t="n"/>
      <c r="V18" s="8" t="inlineStr">
        <is>
          <t>ООО «ПТЗ» (Пермь)</t>
        </is>
      </c>
      <c r="W18" s="8" t="inlineStr">
        <is>
          <t>Россия</t>
        </is>
      </c>
      <c r="X18" s="8" t="inlineStr">
        <is>
          <t>10746921</t>
        </is>
      </c>
      <c r="Y18" s="8" t="inlineStr">
        <is>
          <t>23.11.2028</t>
        </is>
      </c>
      <c r="Z18" s="7" t="n"/>
      <c r="AA18" s="9" t="n"/>
      <c r="AB18" s="10">
        <f>AA18*S18</f>
        <v/>
      </c>
      <c r="AC18" s="7" t="n"/>
      <c r="AD18" s="7" t="n"/>
      <c r="AE18" s="7" t="n"/>
    </row>
    <row r="19" ht="60" customHeight="1">
      <c r="A19" s="5" t="n">
        <v>14</v>
      </c>
      <c r="B19" s="6" t="inlineStr">
        <is>
          <t>1.3/54</t>
        </is>
      </c>
      <c r="C19" s="6" t="inlineStr">
        <is>
          <t>Клапан запорны 15нж65нж Ду 80 Ру 16 фланцевый</t>
        </is>
      </c>
      <c r="D19" s="6" t="inlineStr">
        <is>
          <t>ГОСТ 9697-87</t>
        </is>
      </c>
      <c r="E19" s="6" t="inlineStr">
        <is>
          <t>80</t>
        </is>
      </c>
      <c r="F19" s="6" t="inlineStr">
        <is>
          <t>стандарт</t>
        </is>
      </c>
      <c r="G19" s="6" t="inlineStr">
        <is>
          <t>1.6</t>
        </is>
      </c>
      <c r="H19" s="6" t="inlineStr">
        <is>
          <t>от -60 до +600°С</t>
        </is>
      </c>
      <c r="I19" s="6" t="inlineStr">
        <is>
          <t>агрессивные жидкие среды</t>
        </is>
      </c>
      <c r="J19" s="6" t="inlineStr">
        <is>
          <t>12Х18Н9ТЛ</t>
        </is>
      </c>
      <c r="K19" s="6" t="inlineStr">
        <is>
          <t>УХЛ1</t>
        </is>
      </c>
      <c r="L19" s="6" t="inlineStr">
        <is>
          <t>фланец-фланец</t>
        </is>
      </c>
      <c r="M19" s="6" t="inlineStr">
        <is>
          <t>ручное</t>
        </is>
      </c>
      <c r="N19" s="6" t="inlineStr">
        <is>
          <t>штурвал</t>
        </is>
      </c>
      <c r="O19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19" s="6" t="inlineStr">
        <is>
          <t>Материал изделия (корпус, крышка): сталь 12Х18Н9ТЛ;</t>
        </is>
      </c>
      <c r="Q19" s="6" t="inlineStr">
        <is>
          <t>-</t>
        </is>
      </c>
      <c r="R19" s="6" t="inlineStr">
        <is>
          <t>С комплектом ответных фланцев (С КОФ)</t>
        </is>
      </c>
      <c r="S19" s="5" t="n">
        <v>2</v>
      </c>
      <c r="T19" s="6" t="inlineStr">
        <is>
          <t>шт</t>
        </is>
      </c>
      <c r="U19" s="7" t="n"/>
      <c r="V19" s="8" t="inlineStr">
        <is>
          <t>ООО «Пермский трубопроводный завод»</t>
        </is>
      </c>
      <c r="W19" s="8" t="inlineStr">
        <is>
          <t>Россия</t>
        </is>
      </c>
      <c r="X19" s="8" t="inlineStr">
        <is>
          <t>10698937</t>
        </is>
      </c>
      <c r="Y19" s="8" t="inlineStr">
        <is>
          <t>17.02.2031</t>
        </is>
      </c>
      <c r="Z19" s="7" t="n"/>
      <c r="AA19" s="9" t="n"/>
      <c r="AB19" s="10">
        <f>AA19*S19</f>
        <v/>
      </c>
      <c r="AC19" s="7" t="n"/>
      <c r="AD19" s="7" t="n"/>
      <c r="AE19" s="7" t="n"/>
    </row>
    <row r="20" ht="60" customHeight="1">
      <c r="A20" s="5" t="n">
        <v>15</v>
      </c>
      <c r="B20" s="6" t="inlineStr">
        <is>
          <t>1.3/55</t>
        </is>
      </c>
      <c r="C20" s="6" t="inlineStr">
        <is>
          <t>Клапан запорны 15нж65нж Ду 100 Ру 16 фланцевый</t>
        </is>
      </c>
      <c r="D20" s="6" t="inlineStr">
        <is>
          <t>ГОСТ 9697-87</t>
        </is>
      </c>
      <c r="E20" s="6" t="inlineStr">
        <is>
          <t>100</t>
        </is>
      </c>
      <c r="F20" s="6" t="inlineStr">
        <is>
          <t>стандарт</t>
        </is>
      </c>
      <c r="G20" s="6" t="inlineStr">
        <is>
          <t>1.6</t>
        </is>
      </c>
      <c r="H20" s="6" t="inlineStr">
        <is>
          <t>от -60 до +600°С</t>
        </is>
      </c>
      <c r="I20" s="6" t="inlineStr">
        <is>
          <t>агрессивные жидкие среды</t>
        </is>
      </c>
      <c r="J20" s="6" t="inlineStr">
        <is>
          <t>12Х18Н9ТЛ</t>
        </is>
      </c>
      <c r="K20" s="6" t="inlineStr">
        <is>
          <t>УХЛ1</t>
        </is>
      </c>
      <c r="L20" s="6" t="inlineStr">
        <is>
          <t>фланец-фланец</t>
        </is>
      </c>
      <c r="M20" s="6" t="inlineStr">
        <is>
          <t>ручное</t>
        </is>
      </c>
      <c r="N20" s="6" t="inlineStr">
        <is>
          <t>штурвал</t>
        </is>
      </c>
      <c r="O20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20" s="6" t="inlineStr">
        <is>
          <t>Материал изделия (корпус, крышка): сталь 12Х18Н9ТЛ;</t>
        </is>
      </c>
      <c r="Q20" s="6" t="inlineStr"/>
      <c r="R20" s="6" t="inlineStr"/>
      <c r="S20" s="5" t="n">
        <v>9</v>
      </c>
      <c r="T20" s="6" t="inlineStr">
        <is>
          <t>шт</t>
        </is>
      </c>
      <c r="U20" s="7" t="n"/>
      <c r="V20" s="8" t="inlineStr">
        <is>
          <t>ООО «Пермский трубопроводный завод»</t>
        </is>
      </c>
      <c r="W20" s="8" t="inlineStr">
        <is>
          <t>Россия</t>
        </is>
      </c>
      <c r="X20" s="8" t="inlineStr">
        <is>
          <t>10698937</t>
        </is>
      </c>
      <c r="Y20" s="8" t="inlineStr">
        <is>
          <t>17.02.2031</t>
        </is>
      </c>
      <c r="Z20" s="7" t="n"/>
      <c r="AA20" s="9" t="n"/>
      <c r="AB20" s="10">
        <f>AA20*S20</f>
        <v/>
      </c>
      <c r="AC20" s="7" t="n"/>
      <c r="AD20" s="7" t="n"/>
      <c r="AE20" s="7" t="n"/>
    </row>
    <row r="21" ht="60" customHeight="1">
      <c r="A21" s="5" t="n">
        <v>16</v>
      </c>
      <c r="B21" s="6" t="inlineStr">
        <is>
          <t>1.3/56</t>
        </is>
      </c>
      <c r="C21" s="6" t="inlineStr">
        <is>
          <t>Клапан запорны 15нж65нж Ду 125 Ру 16 фланцевый</t>
        </is>
      </c>
      <c r="D21" s="6" t="inlineStr">
        <is>
          <t>ГОСТ 9697-87</t>
        </is>
      </c>
      <c r="E21" s="6" t="inlineStr">
        <is>
          <t>125</t>
        </is>
      </c>
      <c r="F21" s="6" t="inlineStr">
        <is>
          <t>стандарт</t>
        </is>
      </c>
      <c r="G21" s="6" t="inlineStr">
        <is>
          <t>1.6</t>
        </is>
      </c>
      <c r="H21" s="6" t="inlineStr">
        <is>
          <t>от -60 до +600°С</t>
        </is>
      </c>
      <c r="I21" s="6" t="inlineStr">
        <is>
          <t>агрессивные жидкие среды</t>
        </is>
      </c>
      <c r="J21" s="6" t="inlineStr">
        <is>
          <t>12Х18Н9ТЛ</t>
        </is>
      </c>
      <c r="K21" s="6" t="inlineStr">
        <is>
          <t>УХЛ1</t>
        </is>
      </c>
      <c r="L21" s="6" t="inlineStr">
        <is>
          <t>фланец-фланец</t>
        </is>
      </c>
      <c r="M21" s="6" t="inlineStr">
        <is>
          <t>ручное</t>
        </is>
      </c>
      <c r="N21" s="6" t="inlineStr">
        <is>
          <t>штурвал</t>
        </is>
      </c>
      <c r="O21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21" s="6" t="inlineStr">
        <is>
          <t>Материал изделия (корпус, крышка): сталь 12Х18Н9ТЛ;</t>
        </is>
      </c>
      <c r="Q21" s="6" t="inlineStr"/>
      <c r="R21" s="6" t="inlineStr"/>
      <c r="S21" s="5" t="n">
        <v>1</v>
      </c>
      <c r="T21" s="6" t="inlineStr">
        <is>
          <t>шт</t>
        </is>
      </c>
      <c r="U21" s="7" t="n"/>
      <c r="V21" s="8" t="inlineStr">
        <is>
          <t>ООО «ПТЗ» (Пермь)</t>
        </is>
      </c>
      <c r="W21" s="8" t="inlineStr">
        <is>
          <t>Россия</t>
        </is>
      </c>
      <c r="X21" s="8" t="inlineStr">
        <is>
          <t>10698937</t>
        </is>
      </c>
      <c r="Y21" s="8" t="inlineStr">
        <is>
          <t>17.02.2031</t>
        </is>
      </c>
      <c r="Z21" s="7" t="n"/>
      <c r="AA21" s="9" t="n"/>
      <c r="AB21" s="10">
        <f>AA21*S21</f>
        <v/>
      </c>
      <c r="AC21" s="7" t="n"/>
      <c r="AD21" s="7" t="n"/>
      <c r="AE21" s="7" t="n"/>
    </row>
    <row r="22" ht="60" customHeight="1">
      <c r="A22" s="5" t="n">
        <v>17</v>
      </c>
      <c r="B22" s="6" t="inlineStr">
        <is>
          <t>1.3/57</t>
        </is>
      </c>
      <c r="C22" s="6" t="inlineStr">
        <is>
          <t>Клапан запорны 15нж65нж Ду 150 Ру 16 фланцевый</t>
        </is>
      </c>
      <c r="D22" s="6" t="inlineStr">
        <is>
          <t>ГОСТ 9697-87</t>
        </is>
      </c>
      <c r="E22" s="6" t="inlineStr">
        <is>
          <t>150</t>
        </is>
      </c>
      <c r="F22" s="6" t="inlineStr">
        <is>
          <t>стандарт</t>
        </is>
      </c>
      <c r="G22" s="6" t="inlineStr">
        <is>
          <t>1.6</t>
        </is>
      </c>
      <c r="H22" s="6" t="inlineStr">
        <is>
          <t>от -60 до +600°С</t>
        </is>
      </c>
      <c r="I22" s="6" t="inlineStr">
        <is>
          <t>агрессивные жидкие среды</t>
        </is>
      </c>
      <c r="J22" s="6" t="inlineStr">
        <is>
          <t>12Х18Н9ТЛ</t>
        </is>
      </c>
      <c r="K22" s="6" t="inlineStr">
        <is>
          <t>УХЛ1</t>
        </is>
      </c>
      <c r="L22" s="6" t="inlineStr">
        <is>
          <t>фланец-фланец</t>
        </is>
      </c>
      <c r="M22" s="6" t="inlineStr">
        <is>
          <t>ручное</t>
        </is>
      </c>
      <c r="N22" s="6" t="inlineStr">
        <is>
          <t>штурвал</t>
        </is>
      </c>
      <c r="O22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22" s="6" t="inlineStr">
        <is>
          <t>Материал изделия (корпус, крышка): сталь 12Х18Н9ТЛ;</t>
        </is>
      </c>
      <c r="Q22" s="6" t="inlineStr"/>
      <c r="R22" s="6" t="inlineStr"/>
      <c r="S22" s="5" t="n">
        <v>3</v>
      </c>
      <c r="T22" s="6" t="inlineStr">
        <is>
          <t>шт</t>
        </is>
      </c>
      <c r="U22" s="7" t="n"/>
      <c r="V22" s="8" t="inlineStr">
        <is>
          <t>ООО «ПТЗ» (Пермь)</t>
        </is>
      </c>
      <c r="W22" s="8" t="inlineStr">
        <is>
          <t>Россия</t>
        </is>
      </c>
      <c r="X22" s="8" t="inlineStr">
        <is>
          <t>10698937</t>
        </is>
      </c>
      <c r="Y22" s="8" t="inlineStr">
        <is>
          <t>17.02.2031</t>
        </is>
      </c>
      <c r="Z22" s="7" t="n"/>
      <c r="AA22" s="9" t="n"/>
      <c r="AB22" s="10">
        <f>AA22*S22</f>
        <v/>
      </c>
      <c r="AC22" s="7" t="n"/>
      <c r="AD22" s="7" t="n"/>
      <c r="AE22" s="7" t="n"/>
    </row>
    <row r="23" ht="60" customHeight="1">
      <c r="A23" s="5" t="n">
        <v>18</v>
      </c>
      <c r="B23" s="6" t="inlineStr">
        <is>
          <t>1.3/58</t>
        </is>
      </c>
      <c r="C23" s="6" t="inlineStr">
        <is>
          <t>Клапан запорны 15нж65нж Ду 32 Ру 16 фланцевый</t>
        </is>
      </c>
      <c r="D23" s="6" t="inlineStr">
        <is>
          <t>ГОСТ 9697-87</t>
        </is>
      </c>
      <c r="E23" s="6" t="inlineStr">
        <is>
          <t>32</t>
        </is>
      </c>
      <c r="F23" s="6" t="inlineStr">
        <is>
          <t>стандарт</t>
        </is>
      </c>
      <c r="G23" s="6" t="inlineStr">
        <is>
          <t>1.6</t>
        </is>
      </c>
      <c r="H23" s="6" t="inlineStr">
        <is>
          <t>от -60 до +600°С</t>
        </is>
      </c>
      <c r="I23" s="6" t="inlineStr">
        <is>
          <t>агрессивные жидкие среды</t>
        </is>
      </c>
      <c r="J23" s="6" t="inlineStr">
        <is>
          <t>12Х18Н9ТЛ</t>
        </is>
      </c>
      <c r="K23" s="6" t="inlineStr">
        <is>
          <t>УХЛ1</t>
        </is>
      </c>
      <c r="L23" s="6" t="inlineStr">
        <is>
          <t>фланец-фланец</t>
        </is>
      </c>
      <c r="M23" s="6" t="inlineStr">
        <is>
          <t>ручное</t>
        </is>
      </c>
      <c r="N23" s="6" t="inlineStr">
        <is>
          <t>штурвал</t>
        </is>
      </c>
      <c r="O23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23" s="6" t="inlineStr">
        <is>
          <t>Материал изделия (корпус, крышка): сталь 12Х18Н9ТЛ;</t>
        </is>
      </c>
      <c r="Q23" s="6" t="inlineStr"/>
      <c r="R23" s="6" t="inlineStr"/>
      <c r="S23" s="5" t="n">
        <v>4</v>
      </c>
      <c r="T23" s="6" t="inlineStr">
        <is>
          <t>шт</t>
        </is>
      </c>
      <c r="U23" s="7" t="n"/>
      <c r="V23" s="8" t="inlineStr">
        <is>
          <t>ООО «Пермский трубопроводный завод»</t>
        </is>
      </c>
      <c r="W23" s="8" t="inlineStr">
        <is>
          <t>Россия</t>
        </is>
      </c>
      <c r="X23" s="8" t="inlineStr">
        <is>
          <t>10698937</t>
        </is>
      </c>
      <c r="Y23" s="8" t="inlineStr">
        <is>
          <t>17.02.2031</t>
        </is>
      </c>
      <c r="Z23" s="7" t="n"/>
      <c r="AA23" s="9" t="n"/>
      <c r="AB23" s="10">
        <f>AA23*S23</f>
        <v/>
      </c>
      <c r="AC23" s="7" t="n"/>
      <c r="AD23" s="7" t="n"/>
      <c r="AE23" s="7" t="n"/>
    </row>
    <row r="24" ht="60" customHeight="1">
      <c r="A24" s="5" t="n">
        <v>19</v>
      </c>
      <c r="B24" s="6" t="inlineStr">
        <is>
          <t>1.3/59</t>
        </is>
      </c>
      <c r="C24" s="6" t="inlineStr">
        <is>
          <t>Клапан запорны 15нж65нж Ду 50 Ру 16 фланцевый</t>
        </is>
      </c>
      <c r="D24" s="6" t="inlineStr">
        <is>
          <t>ГОСТ 9697-87</t>
        </is>
      </c>
      <c r="E24" s="6" t="inlineStr">
        <is>
          <t>50</t>
        </is>
      </c>
      <c r="F24" s="6" t="inlineStr">
        <is>
          <t>стандарт</t>
        </is>
      </c>
      <c r="G24" s="6" t="inlineStr">
        <is>
          <t>1.6</t>
        </is>
      </c>
      <c r="H24" s="6" t="inlineStr">
        <is>
          <t>от -60 до +600°С</t>
        </is>
      </c>
      <c r="I24" s="6" t="inlineStr">
        <is>
          <t>агрессивные жидкие среды</t>
        </is>
      </c>
      <c r="J24" s="6" t="inlineStr">
        <is>
          <t>12Х18Н9ТЛ</t>
        </is>
      </c>
      <c r="K24" s="6" t="inlineStr">
        <is>
          <t>УХЛ1</t>
        </is>
      </c>
      <c r="L24" s="6" t="inlineStr">
        <is>
          <t>фланец-фланец</t>
        </is>
      </c>
      <c r="M24" s="6" t="inlineStr">
        <is>
          <t>ручное</t>
        </is>
      </c>
      <c r="N24" s="6" t="inlineStr">
        <is>
          <t>штурвал</t>
        </is>
      </c>
      <c r="O24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24" s="6" t="inlineStr">
        <is>
          <t>Материал изделия (корпус, крышка): сталь 12Х18Н9ТЛ;</t>
        </is>
      </c>
      <c r="Q24" s="6" t="inlineStr"/>
      <c r="R24" s="6" t="inlineStr"/>
      <c r="S24" s="5" t="n">
        <v>4</v>
      </c>
      <c r="T24" s="6" t="inlineStr">
        <is>
          <t>шт</t>
        </is>
      </c>
      <c r="U24" s="7" t="n"/>
      <c r="V24" s="8" t="inlineStr">
        <is>
          <t>ООО «Пермский трубопроводный завод»</t>
        </is>
      </c>
      <c r="W24" s="8" t="inlineStr">
        <is>
          <t>Россия</t>
        </is>
      </c>
      <c r="X24" s="8" t="inlineStr">
        <is>
          <t>10698937</t>
        </is>
      </c>
      <c r="Y24" s="8" t="inlineStr">
        <is>
          <t>17.02.2031</t>
        </is>
      </c>
      <c r="Z24" s="7" t="n"/>
      <c r="AA24" s="9" t="n"/>
      <c r="AB24" s="10">
        <f>AA24*S24</f>
        <v/>
      </c>
      <c r="AC24" s="7" t="n"/>
      <c r="AD24" s="7" t="n"/>
      <c r="AE24" s="7" t="n"/>
    </row>
    <row r="25" ht="60" customHeight="1">
      <c r="A25" s="5" t="n">
        <v>20</v>
      </c>
      <c r="B25" s="6" t="inlineStr">
        <is>
          <t>1.3/60</t>
        </is>
      </c>
      <c r="C25" s="6" t="inlineStr">
        <is>
          <t>Клапан запорный 15с22нж Ду 32 Ру 40</t>
        </is>
      </c>
      <c r="D25" s="6" t="inlineStr">
        <is>
          <t>ТУ 3740-002-30995032-2014</t>
        </is>
      </c>
      <c r="E25" s="6" t="inlineStr">
        <is>
          <t>32</t>
        </is>
      </c>
      <c r="F25" s="6" t="inlineStr">
        <is>
          <t>стандарт</t>
        </is>
      </c>
      <c r="G25" s="6" t="inlineStr">
        <is>
          <t>4</t>
        </is>
      </c>
      <c r="H25" s="6" t="inlineStr">
        <is>
          <t>до +425</t>
        </is>
      </c>
      <c r="I25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25" s="6" t="inlineStr">
        <is>
          <t>сталь 25Л</t>
        </is>
      </c>
      <c r="K25" s="6" t="inlineStr">
        <is>
          <t>У1</t>
        </is>
      </c>
      <c r="L25" s="6" t="inlineStr">
        <is>
          <t>фланец-фланец</t>
        </is>
      </c>
      <c r="M25" s="6" t="inlineStr">
        <is>
          <t>ручное</t>
        </is>
      </c>
      <c r="N25" s="6" t="inlineStr">
        <is>
          <t>маховик</t>
        </is>
      </c>
      <c r="O25" s="6" t="inlineStr">
        <is>
          <t>любое</t>
        </is>
      </c>
      <c r="P25" s="6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25" s="6" t="inlineStr"/>
      <c r="R25" s="6" t="inlineStr"/>
      <c r="S25" s="5" t="n">
        <v>2</v>
      </c>
      <c r="T25" s="6" t="inlineStr">
        <is>
          <t>шт</t>
        </is>
      </c>
      <c r="U25" s="7" t="n"/>
      <c r="V25" s="8" t="inlineStr">
        <is>
          <t>ООО «Пермский трубопроводный завод»</t>
        </is>
      </c>
      <c r="W25" s="8" t="inlineStr">
        <is>
          <t>Россия</t>
        </is>
      </c>
      <c r="X25" s="8" t="inlineStr">
        <is>
          <t>10698937</t>
        </is>
      </c>
      <c r="Y25" s="8" t="inlineStr">
        <is>
          <t>17.02.2031</t>
        </is>
      </c>
      <c r="Z25" s="7" t="n"/>
      <c r="AA25" s="9" t="n"/>
      <c r="AB25" s="10">
        <f>AA25*S25</f>
        <v/>
      </c>
      <c r="AC25" s="7" t="n"/>
      <c r="AD25" s="7" t="n"/>
      <c r="AE25" s="7" t="n"/>
    </row>
    <row r="26" ht="60" customHeight="1">
      <c r="A26" s="5" t="n">
        <v>21</v>
      </c>
      <c r="B26" s="6" t="inlineStr">
        <is>
          <t>1.3/61</t>
        </is>
      </c>
      <c r="C26" s="6" t="inlineStr">
        <is>
          <t>Клапан запорный 15с22нж Ду 50 Ру 40</t>
        </is>
      </c>
      <c r="D26" s="6" t="inlineStr">
        <is>
          <t>ТУ 3740-002-30995032-2014</t>
        </is>
      </c>
      <c r="E26" s="6" t="inlineStr">
        <is>
          <t>50</t>
        </is>
      </c>
      <c r="F26" s="6" t="inlineStr">
        <is>
          <t>стандартный</t>
        </is>
      </c>
      <c r="G26" s="6" t="inlineStr">
        <is>
          <t>4</t>
        </is>
      </c>
      <c r="H26" s="6" t="inlineStr">
        <is>
          <t>до +425</t>
        </is>
      </c>
      <c r="I26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26" s="6" t="inlineStr">
        <is>
          <t>сталь 25Л</t>
        </is>
      </c>
      <c r="K26" s="6" t="inlineStr">
        <is>
          <t>У1</t>
        </is>
      </c>
      <c r="L26" s="6" t="inlineStr">
        <is>
          <t>фланцевый</t>
        </is>
      </c>
      <c r="M26" s="6" t="inlineStr">
        <is>
          <t>ручной (маховик)</t>
        </is>
      </c>
      <c r="N26" s="6" t="inlineStr">
        <is>
          <t>-</t>
        </is>
      </c>
      <c r="O26" s="6" t="inlineStr">
        <is>
          <t>любое</t>
        </is>
      </c>
      <c r="P26" s="6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26" s="6" t="inlineStr">
        <is>
          <t>строительная длина 230 мм,</t>
        </is>
      </c>
      <c r="R26" s="6" t="inlineStr"/>
      <c r="S26" s="5" t="n">
        <v>9</v>
      </c>
      <c r="T26" s="6" t="inlineStr">
        <is>
          <t>шт</t>
        </is>
      </c>
      <c r="U26" s="7" t="n"/>
      <c r="V26" s="8" t="inlineStr">
        <is>
          <t>ООО «Пермский трубопроводный завод»</t>
        </is>
      </c>
      <c r="W26" s="8" t="inlineStr">
        <is>
          <t>Россия</t>
        </is>
      </c>
      <c r="X26" s="8" t="inlineStr">
        <is>
          <t>10698937</t>
        </is>
      </c>
      <c r="Y26" s="8" t="inlineStr">
        <is>
          <t>17.02.2031</t>
        </is>
      </c>
      <c r="Z26" s="7" t="n"/>
      <c r="AA26" s="9" t="n"/>
      <c r="AB26" s="10">
        <f>AA26*S26</f>
        <v/>
      </c>
      <c r="AC26" s="7" t="n"/>
      <c r="AD26" s="7" t="n"/>
      <c r="AE26" s="7" t="n"/>
    </row>
    <row r="27" ht="60" customHeight="1">
      <c r="A27" s="5" t="n">
        <v>22</v>
      </c>
      <c r="B27" s="6" t="inlineStr">
        <is>
          <t>1.3/62</t>
        </is>
      </c>
      <c r="C27" s="6" t="inlineStr">
        <is>
          <t>Клапан запорный 15с22нж Ду 80 Ру 40</t>
        </is>
      </c>
      <c r="D27" s="6" t="inlineStr">
        <is>
          <t>ТУ 3740-002-30995032-2014</t>
        </is>
      </c>
      <c r="E27" s="6" t="inlineStr">
        <is>
          <t>80</t>
        </is>
      </c>
      <c r="F27" s="6" t="inlineStr">
        <is>
          <t>стандарт</t>
        </is>
      </c>
      <c r="G27" s="6" t="inlineStr">
        <is>
          <t>4</t>
        </is>
      </c>
      <c r="H27" s="6" t="inlineStr">
        <is>
          <t>до +425</t>
        </is>
      </c>
      <c r="I27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27" s="6" t="inlineStr">
        <is>
          <t>сталь 25Л</t>
        </is>
      </c>
      <c r="K27" s="6" t="inlineStr">
        <is>
          <t>Температура окружающей среды от -40 до +40 °C</t>
        </is>
      </c>
      <c r="L27" s="6" t="inlineStr">
        <is>
          <t>фланцевый</t>
        </is>
      </c>
      <c r="M27" s="6" t="inlineStr">
        <is>
          <t>ручной (маховик)</t>
        </is>
      </c>
      <c r="N27" s="6" t="inlineStr">
        <is>
          <t>-</t>
        </is>
      </c>
      <c r="O27" s="6" t="inlineStr">
        <is>
          <t>любое</t>
        </is>
      </c>
      <c r="P27" s="6" t="inlineStr">
        <is>
          <t>Золотник: Сталь 20Х13 Шпиндель: Сталь 20Х13 Контргайка: Сталь 35 Маховик: Сталь 25Л</t>
        </is>
      </c>
      <c r="Q27" s="6" t="inlineStr"/>
      <c r="R27" s="6" t="inlineStr"/>
      <c r="S27" s="5" t="n">
        <v>6</v>
      </c>
      <c r="T27" s="6" t="inlineStr">
        <is>
          <t>шт</t>
        </is>
      </c>
      <c r="U27" s="7" t="n"/>
      <c r="V27" s="8" t="inlineStr">
        <is>
          <t>ООО «Пермский трубопроводный завод»</t>
        </is>
      </c>
      <c r="W27" s="8" t="inlineStr">
        <is>
          <t>Россия</t>
        </is>
      </c>
      <c r="X27" s="8" t="inlineStr">
        <is>
          <t>10698937</t>
        </is>
      </c>
      <c r="Y27" s="8" t="inlineStr">
        <is>
          <t>17.02.2031</t>
        </is>
      </c>
      <c r="Z27" s="7" t="n"/>
      <c r="AA27" s="9" t="n"/>
      <c r="AB27" s="10">
        <f>AA27*S27</f>
        <v/>
      </c>
      <c r="AC27" s="7" t="n"/>
      <c r="AD27" s="7" t="n"/>
      <c r="AE27" s="7" t="n"/>
    </row>
    <row r="28" ht="60" customHeight="1">
      <c r="A28" s="5" t="n">
        <v>23</v>
      </c>
      <c r="B28" s="6" t="inlineStr">
        <is>
          <t>1.3/63</t>
        </is>
      </c>
      <c r="C28" s="6" t="inlineStr">
        <is>
          <t>Клапан запорный 15с52нж11 Ду 20 Ру 63 под приварку</t>
        </is>
      </c>
      <c r="D28" s="6" t="inlineStr">
        <is>
          <t>ГОСТ 9697-87</t>
        </is>
      </c>
      <c r="E28" s="6" t="inlineStr">
        <is>
          <t>20</t>
        </is>
      </c>
      <c r="F28" s="6" t="inlineStr">
        <is>
          <t>стандарт</t>
        </is>
      </c>
      <c r="G28" s="6" t="inlineStr">
        <is>
          <t>6.3</t>
        </is>
      </c>
      <c r="H28" s="6" t="inlineStr">
        <is>
          <t>до + 425°С</t>
        </is>
      </c>
      <c r="I28" s="6" t="inlineStr">
        <is>
          <t>вода, слабоагрессивные жидкие среды</t>
        </is>
      </c>
      <c r="J28" s="6" t="inlineStr">
        <is>
          <t>Сталь 25 Л</t>
        </is>
      </c>
      <c r="K28" s="6" t="inlineStr">
        <is>
          <t>У1</t>
        </is>
      </c>
      <c r="L28" s="6" t="inlineStr">
        <is>
          <t>под приварку</t>
        </is>
      </c>
      <c r="M28" s="6" t="inlineStr">
        <is>
          <t>ручное</t>
        </is>
      </c>
      <c r="N28" s="6" t="inlineStr">
        <is>
          <t>маховик, рукоятка</t>
        </is>
      </c>
      <c r="O28" s="6" t="inlineStr">
        <is>
          <t>любом рабочем положении</t>
        </is>
      </c>
      <c r="P28" s="6" t="inlineStr">
        <is>
          <t>Материал корпуса, диска, крышки: сталь 25
Материал седла, шпинделя: нержавеющая сталь</t>
        </is>
      </c>
      <c r="Q28" s="6" t="inlineStr">
        <is>
          <t>-</t>
        </is>
      </c>
      <c r="R28" s="6" t="inlineStr"/>
      <c r="S28" s="5" t="n">
        <v>6</v>
      </c>
      <c r="T28" s="6" t="inlineStr">
        <is>
          <t>шт</t>
        </is>
      </c>
      <c r="U28" s="7" t="n"/>
      <c r="V28" s="8" t="inlineStr">
        <is>
          <t>ООО «Пермский трубопроводный завод»</t>
        </is>
      </c>
      <c r="W28" s="8" t="inlineStr">
        <is>
          <t>Россия</t>
        </is>
      </c>
      <c r="X28" s="8" t="inlineStr">
        <is>
          <t>10698937</t>
        </is>
      </c>
      <c r="Y28" s="8" t="inlineStr">
        <is>
          <t>17.02.2031</t>
        </is>
      </c>
      <c r="Z28" s="7" t="n"/>
      <c r="AA28" s="9" t="n"/>
      <c r="AB28" s="10">
        <f>AA28*S28</f>
        <v/>
      </c>
      <c r="AC28" s="7" t="n"/>
      <c r="AD28" s="7" t="n"/>
      <c r="AE28" s="7" t="n"/>
    </row>
    <row r="29" ht="60" customHeight="1">
      <c r="A29" s="5" t="n">
        <v>24</v>
      </c>
      <c r="B29" s="6" t="inlineStr">
        <is>
          <t>1.3/68</t>
        </is>
      </c>
      <c r="C29" s="6" t="inlineStr">
        <is>
          <t>Задвижка 30нж41нж DN 100 PN 16 1исп. САЗ</t>
        </is>
      </c>
      <c r="D29" s="6" t="inlineStr">
        <is>
          <t>ГОСТ 5762-2002</t>
        </is>
      </c>
      <c r="E29" s="6" t="inlineStr">
        <is>
          <t>100</t>
        </is>
      </c>
      <c r="F29" s="6" t="inlineStr">
        <is>
          <t>стандартный</t>
        </is>
      </c>
      <c r="G29" s="6" t="inlineStr">
        <is>
          <t>1.6</t>
        </is>
      </c>
      <c r="H29" s="6" t="inlineStr">
        <is>
          <t>от -60 до +560</t>
        </is>
      </c>
      <c r="I29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29" s="6" t="inlineStr">
        <is>
          <t>сталь 12Х18Н9ТЛ</t>
        </is>
      </c>
      <c r="K29" s="6" t="inlineStr">
        <is>
          <t>УХЛ1</t>
        </is>
      </c>
      <c r="L29" s="6" t="inlineStr">
        <is>
          <t>фланцевый</t>
        </is>
      </c>
      <c r="M29" s="6" t="inlineStr">
        <is>
          <t>ручной (маховик)</t>
        </is>
      </c>
      <c r="N29" s="6" t="inlineStr">
        <is>
          <t>-</t>
        </is>
      </c>
      <c r="O29" s="6" t="inlineStr">
        <is>
          <t>любое</t>
        </is>
      </c>
      <c r="P29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29" s="6" t="inlineStr"/>
      <c r="R29" s="6" t="inlineStr"/>
      <c r="S29" s="5" t="n">
        <v>2</v>
      </c>
      <c r="T29" s="6" t="inlineStr">
        <is>
          <t>шт</t>
        </is>
      </c>
      <c r="U29" s="7" t="n"/>
      <c r="V29" s="8" t="inlineStr">
        <is>
          <t>ООО «Пермский трубопроводный завод»</t>
        </is>
      </c>
      <c r="W29" s="8" t="inlineStr">
        <is>
          <t>Россия</t>
        </is>
      </c>
      <c r="X29" s="8" t="inlineStr">
        <is>
          <t>10698940</t>
        </is>
      </c>
      <c r="Y29" s="8" t="inlineStr">
        <is>
          <t>17.02.2031</t>
        </is>
      </c>
      <c r="Z29" s="7" t="n"/>
      <c r="AA29" s="9" t="n"/>
      <c r="AB29" s="10">
        <f>AA29*S29</f>
        <v/>
      </c>
      <c r="AC29" s="7" t="n"/>
      <c r="AD29" s="7" t="n"/>
      <c r="AE29" s="7" t="n"/>
    </row>
    <row r="30" ht="60" customHeight="1">
      <c r="A30" s="5" t="n">
        <v>25</v>
      </c>
      <c r="B30" s="6" t="inlineStr">
        <is>
          <t>1.3/69</t>
        </is>
      </c>
      <c r="C30" s="6" t="inlineStr">
        <is>
          <t>Задвижка 30нж41нж DN 150 PN 16 1исп. САЗ</t>
        </is>
      </c>
      <c r="D30" s="6" t="inlineStr">
        <is>
          <t>ГОСТ 5762-2002</t>
        </is>
      </c>
      <c r="E30" s="6" t="inlineStr">
        <is>
          <t>150</t>
        </is>
      </c>
      <c r="F30" s="6" t="inlineStr">
        <is>
          <t>стандартный</t>
        </is>
      </c>
      <c r="G30" s="6" t="inlineStr">
        <is>
          <t>1.6</t>
        </is>
      </c>
      <c r="H30" s="6" t="inlineStr">
        <is>
          <t>от -60 до +560</t>
        </is>
      </c>
      <c r="I30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30" s="6" t="inlineStr">
        <is>
          <t>сталь 12Х18Н9ТЛ</t>
        </is>
      </c>
      <c r="K30" s="6" t="inlineStr">
        <is>
          <t>УХЛ1</t>
        </is>
      </c>
      <c r="L30" s="6" t="inlineStr">
        <is>
          <t>фланцевый</t>
        </is>
      </c>
      <c r="M30" s="6" t="inlineStr">
        <is>
          <t>ручной (маховик)</t>
        </is>
      </c>
      <c r="N30" s="6" t="inlineStr">
        <is>
          <t>-</t>
        </is>
      </c>
      <c r="O30" s="6" t="inlineStr">
        <is>
          <t>любое</t>
        </is>
      </c>
      <c r="P30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30" s="6" t="inlineStr"/>
      <c r="R30" s="6" t="inlineStr"/>
      <c r="S30" s="5" t="n">
        <v>2</v>
      </c>
      <c r="T30" s="6" t="inlineStr">
        <is>
          <t>шт</t>
        </is>
      </c>
      <c r="U30" s="7" t="n"/>
      <c r="V30" s="8" t="inlineStr">
        <is>
          <t>ООО «Пермский трубопроводный завод»</t>
        </is>
      </c>
      <c r="W30" s="8" t="inlineStr">
        <is>
          <t>Россия</t>
        </is>
      </c>
      <c r="X30" s="8" t="inlineStr">
        <is>
          <t>10698940</t>
        </is>
      </c>
      <c r="Y30" s="8" t="inlineStr">
        <is>
          <t>17.02.2031</t>
        </is>
      </c>
      <c r="Z30" s="7" t="n"/>
      <c r="AA30" s="9" t="n"/>
      <c r="AB30" s="10">
        <f>AA30*S30</f>
        <v/>
      </c>
      <c r="AC30" s="7" t="n"/>
      <c r="AD30" s="7" t="n"/>
      <c r="AE30" s="7" t="n"/>
    </row>
    <row r="31" ht="60" customHeight="1">
      <c r="A31" s="5" t="n">
        <v>26</v>
      </c>
      <c r="B31" s="6" t="inlineStr">
        <is>
          <t>1.3/70</t>
        </is>
      </c>
      <c r="C31" s="6" t="inlineStr">
        <is>
          <t>Задвижка 30нж41нж DN 200 PN 16 1исп. САЗ</t>
        </is>
      </c>
      <c r="D31" s="6" t="inlineStr">
        <is>
          <t>ГОСТ 5762-2002</t>
        </is>
      </c>
      <c r="E31" s="6" t="inlineStr">
        <is>
          <t>200</t>
        </is>
      </c>
      <c r="F31" s="6" t="inlineStr">
        <is>
          <t>стандарт</t>
        </is>
      </c>
      <c r="G31" s="6" t="inlineStr">
        <is>
          <t>1.6</t>
        </is>
      </c>
      <c r="H31" s="6" t="inlineStr">
        <is>
          <t>-60…        +560</t>
        </is>
      </c>
      <c r="I31" s="6" t="inlineStr">
        <is>
          <t>Вода, воздух, пар, аммиак,
природный газ влажный, нефтепродукты, содержащие
сероводород свыше 0,1%</t>
        </is>
      </c>
      <c r="J31" s="6" t="inlineStr">
        <is>
          <t>сталь 12Х18Н9ТЛ</t>
        </is>
      </c>
      <c r="K31" s="6" t="inlineStr">
        <is>
          <t>Условия эксплуатации УХЛ
Минимальная температура окружающего воздуха: −60°С</t>
        </is>
      </c>
      <c r="L31" s="6" t="inlineStr">
        <is>
          <t>фланец-фланец</t>
        </is>
      </c>
      <c r="M31" s="6" t="inlineStr">
        <is>
          <t>Ручное</t>
        </is>
      </c>
      <c r="N31" s="6" t="inlineStr">
        <is>
          <t>Маховик</t>
        </is>
      </c>
      <c r="O31" s="6" t="inlineStr">
        <is>
          <t>Вертикально маховиком вверх, горизонтально</t>
        </is>
      </c>
      <c r="P31" s="6" t="inlineStr">
        <is>
          <t>С КОФ - сталь 20, Материалы: корпус, клин, крышка, маховик -  сталь 12Х18Н9ТЛ,  шпиндель - сталь 12Х18Н9Т, наплавка на кольце в корпусе и наплавка на клине 04Х19Н9С2 или схожая по свойствам, прокладка и сальниковое уплотнение только ТРГ</t>
        </is>
      </c>
      <c r="Q31" s="6" t="inlineStr"/>
      <c r="R31" s="6" t="inlineStr">
        <is>
          <t>класс герметичности по ГОСТ 9544-2015: А; в комплекте: ответные фланцы, прокладки  и крепеж</t>
        </is>
      </c>
      <c r="S31" s="5" t="n">
        <v>2</v>
      </c>
      <c r="T31" s="6" t="inlineStr">
        <is>
          <t>шт</t>
        </is>
      </c>
      <c r="U31" s="7" t="n"/>
      <c r="V31" s="8" t="inlineStr">
        <is>
          <t>ООО «Пермский трубопроводный завод»</t>
        </is>
      </c>
      <c r="W31" s="8" t="inlineStr">
        <is>
          <t>Россия</t>
        </is>
      </c>
      <c r="X31" s="8" t="inlineStr">
        <is>
          <t>10698940</t>
        </is>
      </c>
      <c r="Y31" s="8" t="inlineStr">
        <is>
          <t>17.02.2031</t>
        </is>
      </c>
      <c r="Z31" s="7" t="n"/>
      <c r="AA31" s="9" t="n"/>
      <c r="AB31" s="10">
        <f>AA31*S31</f>
        <v/>
      </c>
      <c r="AC31" s="7" t="n"/>
      <c r="AD31" s="7" t="n"/>
      <c r="AE31" s="7" t="n"/>
    </row>
    <row r="32" ht="60" customHeight="1">
      <c r="A32" s="5" t="n">
        <v>27</v>
      </c>
      <c r="B32" s="6" t="inlineStr">
        <is>
          <t>1.3/71</t>
        </is>
      </c>
      <c r="C32" s="6" t="inlineStr">
        <is>
          <t>Задвижка 30нж41нж DN 50 PN 16 1исп. САЗ</t>
        </is>
      </c>
      <c r="D32" s="6" t="inlineStr">
        <is>
          <t>ГОСТ 5762-2002</t>
        </is>
      </c>
      <c r="E32" s="6" t="inlineStr">
        <is>
          <t>50</t>
        </is>
      </c>
      <c r="F32" s="6" t="inlineStr">
        <is>
          <t>стандартный</t>
        </is>
      </c>
      <c r="G32" s="6" t="inlineStr">
        <is>
          <t>1.6</t>
        </is>
      </c>
      <c r="H32" s="6" t="inlineStr">
        <is>
          <t>от -60 до +560</t>
        </is>
      </c>
      <c r="I32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32" s="6" t="inlineStr">
        <is>
          <t>сталь 12Х18Н9ТЛ</t>
        </is>
      </c>
      <c r="K32" s="6" t="inlineStr">
        <is>
          <t>УХЛ1</t>
        </is>
      </c>
      <c r="L32" s="6" t="inlineStr">
        <is>
          <t>фланцевый</t>
        </is>
      </c>
      <c r="M32" s="6" t="inlineStr">
        <is>
          <t>ручной (маховик)</t>
        </is>
      </c>
      <c r="N32" s="6" t="inlineStr">
        <is>
          <t>-</t>
        </is>
      </c>
      <c r="O32" s="6" t="inlineStr">
        <is>
          <t>любое</t>
        </is>
      </c>
      <c r="P32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32" s="6" t="inlineStr"/>
      <c r="R32" s="6" t="inlineStr"/>
      <c r="S32" s="5" t="n">
        <v>2</v>
      </c>
      <c r="T32" s="6" t="inlineStr">
        <is>
          <t>шт</t>
        </is>
      </c>
      <c r="U32" s="7" t="n"/>
      <c r="V32" s="8" t="inlineStr">
        <is>
          <t>ООО «Пермский трубопроводный завод»</t>
        </is>
      </c>
      <c r="W32" s="8" t="inlineStr">
        <is>
          <t>Россия</t>
        </is>
      </c>
      <c r="X32" s="8" t="inlineStr">
        <is>
          <t>10698940</t>
        </is>
      </c>
      <c r="Y32" s="8" t="inlineStr">
        <is>
          <t>17.02.2031</t>
        </is>
      </c>
      <c r="Z32" s="7" t="n"/>
      <c r="AA32" s="9" t="n"/>
      <c r="AB32" s="10">
        <f>AA32*S32</f>
        <v/>
      </c>
      <c r="AC32" s="7" t="n"/>
      <c r="AD32" s="7" t="n"/>
      <c r="AE32" s="7" t="n"/>
    </row>
    <row r="33" ht="60" customHeight="1">
      <c r="A33" s="5" t="n">
        <v>28</v>
      </c>
      <c r="B33" s="6" t="inlineStr">
        <is>
          <t>1.3/72</t>
        </is>
      </c>
      <c r="C33" s="6" t="inlineStr">
        <is>
          <t>Задвижка 30нж41нж DN 80 PN 16 1исп. САЗ</t>
        </is>
      </c>
      <c r="D33" s="6" t="inlineStr">
        <is>
          <t>ГОСТ 5762-2002</t>
        </is>
      </c>
      <c r="E33" s="6" t="inlineStr">
        <is>
          <t>80</t>
        </is>
      </c>
      <c r="F33" s="6" t="inlineStr">
        <is>
          <t>стандартный</t>
        </is>
      </c>
      <c r="G33" s="6" t="inlineStr">
        <is>
          <t>1.6</t>
        </is>
      </c>
      <c r="H33" s="6" t="inlineStr">
        <is>
          <t>от -60 до +560</t>
        </is>
      </c>
      <c r="I33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33" s="6" t="inlineStr">
        <is>
          <t>сталь 12Х18Н9ТЛ</t>
        </is>
      </c>
      <c r="K33" s="6" t="inlineStr">
        <is>
          <t>УХЛ1</t>
        </is>
      </c>
      <c r="L33" s="6" t="inlineStr">
        <is>
          <t>фланцевый</t>
        </is>
      </c>
      <c r="M33" s="6" t="inlineStr">
        <is>
          <t>ручной (маховик)</t>
        </is>
      </c>
      <c r="N33" s="6" t="inlineStr">
        <is>
          <t>-</t>
        </is>
      </c>
      <c r="O33" s="6" t="inlineStr">
        <is>
          <t>любое</t>
        </is>
      </c>
      <c r="P33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33" s="6" t="inlineStr"/>
      <c r="R33" s="6" t="inlineStr"/>
      <c r="S33" s="5" t="n">
        <v>2</v>
      </c>
      <c r="T33" s="6" t="inlineStr">
        <is>
          <t>шт</t>
        </is>
      </c>
      <c r="U33" s="7" t="n"/>
      <c r="V33" s="8" t="inlineStr">
        <is>
          <t>ООО «Пермский трубопроводный завод»</t>
        </is>
      </c>
      <c r="W33" s="8" t="inlineStr">
        <is>
          <t>Россия</t>
        </is>
      </c>
      <c r="X33" s="8" t="inlineStr">
        <is>
          <t>10698940</t>
        </is>
      </c>
      <c r="Y33" s="8" t="inlineStr">
        <is>
          <t>17.02.2031</t>
        </is>
      </c>
      <c r="Z33" s="7" t="n"/>
      <c r="AA33" s="9" t="n"/>
      <c r="AB33" s="10">
        <f>AA33*S33</f>
        <v/>
      </c>
      <c r="AC33" s="7" t="n"/>
      <c r="AD33" s="7" t="n"/>
      <c r="AE33" s="7" t="n"/>
    </row>
    <row r="34" ht="60" customHeight="1">
      <c r="A34" s="5" t="n">
        <v>29</v>
      </c>
      <c r="B34" s="6" t="inlineStr">
        <is>
          <t>1.3/73</t>
        </is>
      </c>
      <c r="C34" s="6" t="inlineStr">
        <is>
          <t>Задвижка 30с41нж Ду 50 Ру 16</t>
        </is>
      </c>
      <c r="D34" s="6" t="inlineStr">
        <is>
          <t>ТУ 3700-033-96455923-2014</t>
        </is>
      </c>
      <c r="E34" s="6" t="inlineStr">
        <is>
          <t>50</t>
        </is>
      </c>
      <c r="F34" s="6" t="inlineStr">
        <is>
          <t>стандарт</t>
        </is>
      </c>
      <c r="G34" s="6" t="inlineStr">
        <is>
          <t>1.6</t>
        </is>
      </c>
      <c r="H34" s="6" t="inlineStr">
        <is>
          <t>от -40 до + 450</t>
        </is>
      </c>
      <c r="I34" s="6" t="inlineStr">
        <is>
          <t>Вода</t>
        </is>
      </c>
      <c r="J34" s="6" t="inlineStr">
        <is>
          <t>Сталь 25 Л</t>
        </is>
      </c>
      <c r="K34" s="6" t="inlineStr">
        <is>
          <t>У1</t>
        </is>
      </c>
      <c r="L34" s="6" t="inlineStr">
        <is>
          <t>фланец-фланец по ГОСТ 33259-2015</t>
        </is>
      </c>
      <c r="M34" s="6" t="inlineStr">
        <is>
          <t>Ручное</t>
        </is>
      </c>
      <c r="N34" s="6" t="inlineStr">
        <is>
          <t>штурвал</t>
        </is>
      </c>
      <c r="O34" s="6" t="inlineStr">
        <is>
          <t>Любое</t>
        </is>
      </c>
      <c r="P34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34" s="6" t="inlineStr">
        <is>
          <t>180 *281</t>
        </is>
      </c>
      <c r="R34" s="6" t="inlineStr"/>
      <c r="S34" s="5" t="n">
        <v>6</v>
      </c>
      <c r="T34" s="6" t="inlineStr">
        <is>
          <t>шт</t>
        </is>
      </c>
      <c r="U34" s="7" t="n"/>
      <c r="V34" s="8" t="inlineStr">
        <is>
          <t>ООО «Пермский трубопроводный завод»</t>
        </is>
      </c>
      <c r="W34" s="8" t="inlineStr">
        <is>
          <t>Россия</t>
        </is>
      </c>
      <c r="X34" s="8" t="inlineStr">
        <is>
          <t>10698940</t>
        </is>
      </c>
      <c r="Y34" s="8" t="inlineStr">
        <is>
          <t>17.02.2031</t>
        </is>
      </c>
      <c r="Z34" s="7" t="n"/>
      <c r="AA34" s="9" t="n"/>
      <c r="AB34" s="10">
        <f>AA34*S34</f>
        <v/>
      </c>
      <c r="AC34" s="7" t="n"/>
      <c r="AD34" s="7" t="n"/>
      <c r="AE34" s="7" t="n"/>
    </row>
    <row r="35" ht="60" customHeight="1">
      <c r="A35" s="5" t="n">
        <v>30</v>
      </c>
      <c r="B35" s="6" t="inlineStr">
        <is>
          <t>1.3/74</t>
        </is>
      </c>
      <c r="C35" s="6" t="inlineStr">
        <is>
          <t>Задвижка 30с41нж Ду 80 Ру 16</t>
        </is>
      </c>
      <c r="D35" s="6" t="inlineStr">
        <is>
          <t>ТУ 3700-033-96455923-2014</t>
        </is>
      </c>
      <c r="E35" s="6" t="inlineStr">
        <is>
          <t>80</t>
        </is>
      </c>
      <c r="F35" s="6" t="inlineStr">
        <is>
          <t>стандарт</t>
        </is>
      </c>
      <c r="G35" s="6" t="inlineStr">
        <is>
          <t>1.6</t>
        </is>
      </c>
      <c r="H35" s="6" t="inlineStr">
        <is>
          <t>-40…        +425</t>
        </is>
      </c>
      <c r="I35" s="6" t="inlineStr">
        <is>
          <t>Вода, пар</t>
        </is>
      </c>
      <c r="J35" s="6" t="inlineStr">
        <is>
          <t>сталь 25Л</t>
        </is>
      </c>
      <c r="K35" s="6" t="inlineStr">
        <is>
          <t>У1</t>
        </is>
      </c>
      <c r="L35" s="6" t="inlineStr">
        <is>
          <t>фланец-фланец</t>
        </is>
      </c>
      <c r="M35" s="6" t="inlineStr">
        <is>
          <t>Ручное</t>
        </is>
      </c>
      <c r="N35" s="6" t="inlineStr">
        <is>
          <t>Маховик</t>
        </is>
      </c>
      <c r="O35" s="6" t="inlineStr">
        <is>
          <t>маховиком вверх</t>
        </is>
      </c>
      <c r="P35" s="6" t="inlineStr">
        <is>
          <t>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35" s="6" t="inlineStr">
        <is>
          <t>-</t>
        </is>
      </c>
      <c r="R35" s="6" t="inlineStr">
        <is>
          <t>-</t>
        </is>
      </c>
      <c r="S35" s="5" t="n">
        <v>12</v>
      </c>
      <c r="T35" s="6" t="inlineStr">
        <is>
          <t>шт</t>
        </is>
      </c>
      <c r="U35" s="7" t="n"/>
      <c r="V35" s="8" t="inlineStr">
        <is>
          <t>ООО «Пермский трубопроводный завод»</t>
        </is>
      </c>
      <c r="W35" s="8" t="inlineStr">
        <is>
          <t>Россия</t>
        </is>
      </c>
      <c r="X35" s="8" t="inlineStr">
        <is>
          <t>10698940</t>
        </is>
      </c>
      <c r="Y35" s="8" t="inlineStr">
        <is>
          <t>17.02.2031</t>
        </is>
      </c>
      <c r="Z35" s="7" t="n"/>
      <c r="AA35" s="9" t="n"/>
      <c r="AB35" s="10">
        <f>AA35*S35</f>
        <v/>
      </c>
      <c r="AC35" s="7" t="n"/>
      <c r="AD35" s="7" t="n"/>
      <c r="AE35" s="7" t="n"/>
    </row>
    <row r="36" ht="60" customHeight="1">
      <c r="A36" s="5" t="n">
        <v>31</v>
      </c>
      <c r="B36" s="6" t="inlineStr">
        <is>
          <t>1.3/75</t>
        </is>
      </c>
      <c r="C36" s="6" t="inlineStr">
        <is>
          <t>Задвижка 30с41нж Ду 100 Ру 16</t>
        </is>
      </c>
      <c r="D36" s="6" t="inlineStr">
        <is>
          <t>ТУ 3700-033-96455923-2014</t>
        </is>
      </c>
      <c r="E36" s="6" t="inlineStr">
        <is>
          <t>100</t>
        </is>
      </c>
      <c r="F36" s="6" t="inlineStr">
        <is>
          <t>стандарт</t>
        </is>
      </c>
      <c r="G36" s="6" t="inlineStr">
        <is>
          <t>1.6</t>
        </is>
      </c>
      <c r="H36" s="6" t="inlineStr">
        <is>
          <t>от -40 до + 450</t>
        </is>
      </c>
      <c r="I36" s="6" t="inlineStr">
        <is>
          <t>вода, пар</t>
        </is>
      </c>
      <c r="J36" s="6" t="inlineStr">
        <is>
          <t>Сталь 25 Л</t>
        </is>
      </c>
      <c r="K36" s="6" t="inlineStr">
        <is>
          <t>У1</t>
        </is>
      </c>
      <c r="L36" s="6" t="inlineStr">
        <is>
          <t>фланец-фланец по ГОСТ 33259-2015</t>
        </is>
      </c>
      <c r="M36" s="6" t="inlineStr">
        <is>
          <t>Ручное</t>
        </is>
      </c>
      <c r="N36" s="6" t="inlineStr">
        <is>
          <t>Рукоятка</t>
        </is>
      </c>
      <c r="O36" s="6" t="inlineStr">
        <is>
          <t>Любое</t>
        </is>
      </c>
      <c r="P36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36" s="6" t="inlineStr">
        <is>
          <t>230 * 385</t>
        </is>
      </c>
      <c r="R36" s="6" t="inlineStr"/>
      <c r="S36" s="5" t="n">
        <v>2</v>
      </c>
      <c r="T36" s="6" t="inlineStr">
        <is>
          <t>шт</t>
        </is>
      </c>
      <c r="U36" s="7" t="n"/>
      <c r="V36" s="8" t="inlineStr">
        <is>
          <t>ООО «Пермский трубопроводный завод»</t>
        </is>
      </c>
      <c r="W36" s="8" t="inlineStr">
        <is>
          <t>Россия</t>
        </is>
      </c>
      <c r="X36" s="8" t="inlineStr">
        <is>
          <t>10698940</t>
        </is>
      </c>
      <c r="Y36" s="8" t="inlineStr">
        <is>
          <t>17.02.2031</t>
        </is>
      </c>
      <c r="Z36" s="7" t="n"/>
      <c r="AA36" s="9" t="n"/>
      <c r="AB36" s="10">
        <f>AA36*S36</f>
        <v/>
      </c>
      <c r="AC36" s="7" t="n"/>
      <c r="AD36" s="7" t="n"/>
      <c r="AE36" s="7" t="n"/>
    </row>
    <row r="37" ht="60" customHeight="1">
      <c r="A37" s="5" t="n">
        <v>32</v>
      </c>
      <c r="B37" s="6" t="inlineStr">
        <is>
          <t>1.3/76</t>
        </is>
      </c>
      <c r="C37" s="6" t="inlineStr">
        <is>
          <t>Задвижка 30с41нж Ду 150 Ру 16</t>
        </is>
      </c>
      <c r="D37" s="6" t="inlineStr">
        <is>
          <t>ТУ 3700-033-96455923-2014</t>
        </is>
      </c>
      <c r="E37" s="6" t="inlineStr">
        <is>
          <t>150</t>
        </is>
      </c>
      <c r="F37" s="6" t="inlineStr">
        <is>
          <t>стандарт</t>
        </is>
      </c>
      <c r="G37" s="6" t="inlineStr">
        <is>
          <t>1.6</t>
        </is>
      </c>
      <c r="H37" s="6" t="inlineStr">
        <is>
          <t>от -40 до + 450</t>
        </is>
      </c>
      <c r="I37" s="6" t="inlineStr">
        <is>
          <t>вода, пар</t>
        </is>
      </c>
      <c r="J37" s="6" t="inlineStr">
        <is>
          <t>Сталь 25 Л</t>
        </is>
      </c>
      <c r="K37" s="6" t="inlineStr">
        <is>
          <t>У1</t>
        </is>
      </c>
      <c r="L37" s="6" t="inlineStr">
        <is>
          <t>фланец-фланец по ГОСТ 33259-2015</t>
        </is>
      </c>
      <c r="M37" s="6" t="inlineStr">
        <is>
          <t>Ручное</t>
        </is>
      </c>
      <c r="N37" s="6" t="inlineStr">
        <is>
          <t>штурвал</t>
        </is>
      </c>
      <c r="O37" s="6" t="inlineStr">
        <is>
          <t>Любое</t>
        </is>
      </c>
      <c r="P37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37" s="6" t="inlineStr">
        <is>
          <t>280 * 576</t>
        </is>
      </c>
      <c r="R37" s="6" t="inlineStr"/>
      <c r="S37" s="5" t="n">
        <v>5</v>
      </c>
      <c r="T37" s="6" t="inlineStr">
        <is>
          <t>шт</t>
        </is>
      </c>
      <c r="U37" s="7" t="n"/>
      <c r="V37" s="8" t="inlineStr">
        <is>
          <t>ООО «Пермский трубопроводный завод»</t>
        </is>
      </c>
      <c r="W37" s="8" t="inlineStr">
        <is>
          <t>Россия</t>
        </is>
      </c>
      <c r="X37" s="8" t="inlineStr">
        <is>
          <t>10698940</t>
        </is>
      </c>
      <c r="Y37" s="8" t="inlineStr">
        <is>
          <t>17.02.2031</t>
        </is>
      </c>
      <c r="Z37" s="7" t="n"/>
      <c r="AA37" s="9" t="n"/>
      <c r="AB37" s="10">
        <f>AA37*S37</f>
        <v/>
      </c>
      <c r="AC37" s="7" t="n"/>
      <c r="AD37" s="7" t="n"/>
      <c r="AE37" s="7" t="n"/>
    </row>
    <row r="38" ht="60" customHeight="1">
      <c r="A38" s="5" t="n">
        <v>33</v>
      </c>
      <c r="B38" s="6" t="inlineStr">
        <is>
          <t>1.3/77</t>
        </is>
      </c>
      <c r="C38" s="6" t="inlineStr">
        <is>
          <t>Задвижка 30с564нж Ду 400 Ру 25</t>
        </is>
      </c>
      <c r="D38" s="6" t="inlineStr">
        <is>
          <t>ГОСТ 5762-2002</t>
        </is>
      </c>
      <c r="E38" s="6" t="inlineStr">
        <is>
          <t>400</t>
        </is>
      </c>
      <c r="F38" s="6" t="inlineStr">
        <is>
          <t>стандарт</t>
        </is>
      </c>
      <c r="G38" s="6" t="inlineStr">
        <is>
          <t>2.5</t>
        </is>
      </c>
      <c r="H38" s="6" t="inlineStr">
        <is>
          <t>от −40 °C до +425 °C</t>
        </is>
      </c>
      <c r="I38" s="6" t="inlineStr">
        <is>
          <t>вода, пар, нефтепродукты, газ и другие неагрессивные среды</t>
        </is>
      </c>
      <c r="J38" s="6" t="inlineStr">
        <is>
          <t>сталь 25л</t>
        </is>
      </c>
      <c r="K38" s="6" t="inlineStr">
        <is>
          <t>У1</t>
        </is>
      </c>
      <c r="L38" s="6" t="inlineStr">
        <is>
          <t>фланцевый</t>
        </is>
      </c>
      <c r="M38" s="6" t="inlineStr">
        <is>
          <t>ручной</t>
        </is>
      </c>
      <c r="N38" s="6" t="inlineStr">
        <is>
          <t>Маховик</t>
        </is>
      </c>
      <c r="O38" s="6" t="inlineStr">
        <is>
          <t>горизонтальное, либо вертикальное</t>
        </is>
      </c>
      <c r="P38" s="6" t="inlineStr">
        <is>
          <t>Крышка, клин Ст25Л, шпиндель Ст20х13</t>
        </is>
      </c>
      <c r="Q38" s="6" t="inlineStr"/>
      <c r="R38" s="6" t="inlineStr"/>
      <c r="S38" s="5" t="n">
        <v>3</v>
      </c>
      <c r="T38" s="6" t="inlineStr">
        <is>
          <t>шт</t>
        </is>
      </c>
      <c r="U38" s="7" t="n"/>
      <c r="V38" s="8" t="inlineStr">
        <is>
          <t>ООО «Пермский трубопроводный завод»</t>
        </is>
      </c>
      <c r="W38" s="8" t="inlineStr">
        <is>
          <t>Россия</t>
        </is>
      </c>
      <c r="X38" s="8" t="inlineStr">
        <is>
          <t>10698940</t>
        </is>
      </c>
      <c r="Y38" s="8" t="inlineStr">
        <is>
          <t>17.02.2031</t>
        </is>
      </c>
      <c r="Z38" s="7" t="n"/>
      <c r="AA38" s="9" t="n"/>
      <c r="AB38" s="10">
        <f>AA38*S38</f>
        <v/>
      </c>
      <c r="AC38" s="7" t="n"/>
      <c r="AD38" s="7" t="n"/>
      <c r="AE38" s="7" t="n"/>
    </row>
    <row r="39" ht="60" customHeight="1">
      <c r="A39" s="5" t="n">
        <v>34</v>
      </c>
      <c r="B39" s="6" t="inlineStr">
        <is>
          <t>1.3/78</t>
        </is>
      </c>
      <c r="C39" s="6" t="inlineStr">
        <is>
          <t>Задвижка 30с64нж Ду 50 Ру 25</t>
        </is>
      </c>
      <c r="D39" s="6" t="inlineStr">
        <is>
          <t>ГОСТ 5762-2002</t>
        </is>
      </c>
      <c r="E39" s="6" t="inlineStr">
        <is>
          <t>50</t>
        </is>
      </c>
      <c r="F39" s="6" t="inlineStr">
        <is>
          <t>стандарт</t>
        </is>
      </c>
      <c r="G39" s="6" t="inlineStr">
        <is>
          <t>2.5</t>
        </is>
      </c>
      <c r="H39" s="6" t="inlineStr">
        <is>
          <t>от −40°С  до +425°С</t>
        </is>
      </c>
      <c r="I39" s="6" t="inlineStr">
        <is>
          <t>вода, пар, неагрессивные нефтепродукты</t>
        </is>
      </c>
      <c r="J39" s="6" t="inlineStr">
        <is>
          <t>сталь 25л</t>
        </is>
      </c>
      <c r="K39" s="6" t="inlineStr">
        <is>
          <t>У1</t>
        </is>
      </c>
      <c r="L39" s="6" t="inlineStr">
        <is>
          <t>фланцевый</t>
        </is>
      </c>
      <c r="M39" s="6" t="inlineStr">
        <is>
          <t>ручной</t>
        </is>
      </c>
      <c r="N39" s="6" t="inlineStr">
        <is>
          <t>маховик</t>
        </is>
      </c>
      <c r="O39" s="6" t="inlineStr">
        <is>
          <t>горизонтальное, либо вертикальное</t>
        </is>
      </c>
      <c r="P39" s="6" t="inlineStr">
        <is>
          <t>Крышка, клин Ст25Л, шпиндель Ст20х13</t>
        </is>
      </c>
      <c r="Q39" s="6" t="inlineStr"/>
      <c r="R39" s="6" t="inlineStr"/>
      <c r="S39" s="5" t="n">
        <v>5</v>
      </c>
      <c r="T39" s="6" t="inlineStr">
        <is>
          <t>шт</t>
        </is>
      </c>
      <c r="U39" s="7" t="n"/>
      <c r="V39" s="8" t="inlineStr">
        <is>
          <t>ООО «Пермский трубопроводный завод»</t>
        </is>
      </c>
      <c r="W39" s="8" t="inlineStr">
        <is>
          <t>Россия</t>
        </is>
      </c>
      <c r="X39" s="8" t="inlineStr">
        <is>
          <t>10698940</t>
        </is>
      </c>
      <c r="Y39" s="8" t="inlineStr">
        <is>
          <t>17.02.2031</t>
        </is>
      </c>
      <c r="Z39" s="7" t="n"/>
      <c r="AA39" s="9" t="n"/>
      <c r="AB39" s="10">
        <f>AA39*S39</f>
        <v/>
      </c>
      <c r="AC39" s="7" t="n"/>
      <c r="AD39" s="7" t="n"/>
      <c r="AE39" s="7" t="n"/>
    </row>
    <row r="40" ht="60" customHeight="1">
      <c r="A40" s="5" t="n">
        <v>35</v>
      </c>
      <c r="B40" s="6" t="inlineStr">
        <is>
          <t>1.3/79</t>
        </is>
      </c>
      <c r="C40" s="6" t="inlineStr">
        <is>
          <t>Задвижка 30с64нж Ду 80 Ру 25</t>
        </is>
      </c>
      <c r="D40" s="6" t="inlineStr">
        <is>
          <t>ГОСТ 5762-2002</t>
        </is>
      </c>
      <c r="E40" s="6" t="inlineStr">
        <is>
          <t>80</t>
        </is>
      </c>
      <c r="F40" s="6" t="inlineStr">
        <is>
          <t>стандарт</t>
        </is>
      </c>
      <c r="G40" s="6" t="inlineStr">
        <is>
          <t>2.5</t>
        </is>
      </c>
      <c r="H40" s="6" t="inlineStr">
        <is>
          <t>от −40°С  до +425°С</t>
        </is>
      </c>
      <c r="I40" s="6" t="inlineStr">
        <is>
          <t>вода, пар, неагрессивные нефтепродукты</t>
        </is>
      </c>
      <c r="J40" s="6" t="inlineStr">
        <is>
          <t>сталь 25л</t>
        </is>
      </c>
      <c r="K40" s="6" t="inlineStr">
        <is>
          <t>У1</t>
        </is>
      </c>
      <c r="L40" s="6" t="inlineStr">
        <is>
          <t>фланцевый</t>
        </is>
      </c>
      <c r="M40" s="6" t="inlineStr">
        <is>
          <t>ручной</t>
        </is>
      </c>
      <c r="N40" s="6" t="inlineStr">
        <is>
          <t>маховик</t>
        </is>
      </c>
      <c r="O40" s="6" t="inlineStr">
        <is>
          <t>горизонтальное, либо вертикальное</t>
        </is>
      </c>
      <c r="P40" s="6" t="inlineStr">
        <is>
          <t>Крышка, клин Ст25Л, шпиндель Ст20х13</t>
        </is>
      </c>
      <c r="Q40" s="6" t="inlineStr"/>
      <c r="R40" s="6" t="inlineStr"/>
      <c r="S40" s="5" t="n">
        <v>3</v>
      </c>
      <c r="T40" s="6" t="inlineStr">
        <is>
          <t>шт</t>
        </is>
      </c>
      <c r="U40" s="7" t="n"/>
      <c r="V40" s="8" t="inlineStr">
        <is>
          <t>ООО «Пермский трубопроводный завод»</t>
        </is>
      </c>
      <c r="W40" s="8" t="inlineStr">
        <is>
          <t>Россия</t>
        </is>
      </c>
      <c r="X40" s="8" t="inlineStr">
        <is>
          <t>10698940</t>
        </is>
      </c>
      <c r="Y40" s="8" t="inlineStr">
        <is>
          <t>17.02.2031</t>
        </is>
      </c>
      <c r="Z40" s="7" t="n"/>
      <c r="AA40" s="9" t="n"/>
      <c r="AB40" s="10">
        <f>AA40*S40</f>
        <v/>
      </c>
      <c r="AC40" s="7" t="n"/>
      <c r="AD40" s="7" t="n"/>
      <c r="AE40" s="7" t="n"/>
    </row>
    <row r="41" ht="60" customHeight="1">
      <c r="A41" s="5" t="n">
        <v>36</v>
      </c>
      <c r="B41" s="6" t="inlineStr">
        <is>
          <t>1.3/80</t>
        </is>
      </c>
      <c r="C41" s="6" t="inlineStr">
        <is>
          <t>Задвижка 30с64нж Ду 100 Ру 25</t>
        </is>
      </c>
      <c r="D41" s="6" t="inlineStr">
        <is>
          <t>ГОСТ 5762-2002</t>
        </is>
      </c>
      <c r="E41" s="6" t="inlineStr">
        <is>
          <t>100</t>
        </is>
      </c>
      <c r="F41" s="6" t="inlineStr">
        <is>
          <t>стандарт</t>
        </is>
      </c>
      <c r="G41" s="6" t="inlineStr">
        <is>
          <t>2.5</t>
        </is>
      </c>
      <c r="H41" s="6" t="inlineStr">
        <is>
          <t>от −40°С  до +425°С</t>
        </is>
      </c>
      <c r="I41" s="6" t="inlineStr">
        <is>
          <t>вода, пар, неагрессивные нефтепродукты</t>
        </is>
      </c>
      <c r="J41" s="6" t="inlineStr">
        <is>
          <t>сталь 25л</t>
        </is>
      </c>
      <c r="K41" s="6" t="inlineStr">
        <is>
          <t>У1</t>
        </is>
      </c>
      <c r="L41" s="6" t="inlineStr">
        <is>
          <t>фланцевый</t>
        </is>
      </c>
      <c r="M41" s="6" t="inlineStr">
        <is>
          <t>ручной</t>
        </is>
      </c>
      <c r="N41" s="6" t="inlineStr">
        <is>
          <t>маховик</t>
        </is>
      </c>
      <c r="O41" s="6" t="inlineStr">
        <is>
          <t>горизонтальное, либо вертикальное</t>
        </is>
      </c>
      <c r="P41" s="6" t="inlineStr">
        <is>
          <t>Крышка, клин Ст25Л, шпиндель Ст20х13</t>
        </is>
      </c>
      <c r="Q41" s="6" t="inlineStr"/>
      <c r="R41" s="6" t="inlineStr"/>
      <c r="S41" s="5" t="n">
        <v>20</v>
      </c>
      <c r="T41" s="6" t="inlineStr">
        <is>
          <t>шт</t>
        </is>
      </c>
      <c r="U41" s="7" t="n"/>
      <c r="V41" s="8" t="inlineStr">
        <is>
          <t>ООО «Пермский трубопроводный завод»</t>
        </is>
      </c>
      <c r="W41" s="8" t="inlineStr">
        <is>
          <t>Россия</t>
        </is>
      </c>
      <c r="X41" s="8" t="inlineStr">
        <is>
          <t>10698940</t>
        </is>
      </c>
      <c r="Y41" s="8" t="inlineStr">
        <is>
          <t>17.02.2031</t>
        </is>
      </c>
      <c r="Z41" s="7" t="n"/>
      <c r="AA41" s="9" t="n"/>
      <c r="AB41" s="10">
        <f>AA41*S41</f>
        <v/>
      </c>
      <c r="AC41" s="7" t="n"/>
      <c r="AD41" s="7" t="n"/>
      <c r="AE41" s="7" t="n"/>
    </row>
    <row r="42" ht="60" customHeight="1">
      <c r="A42" s="5" t="n">
        <v>37</v>
      </c>
      <c r="B42" s="6" t="inlineStr">
        <is>
          <t>1.3/81</t>
        </is>
      </c>
      <c r="C42" s="6" t="inlineStr">
        <is>
          <t>Задвижка 30с64нж Ду 150 Ру 25</t>
        </is>
      </c>
      <c r="D42" s="6" t="inlineStr">
        <is>
          <t>ГОСТ 5762-2002</t>
        </is>
      </c>
      <c r="E42" s="6" t="inlineStr">
        <is>
          <t>150</t>
        </is>
      </c>
      <c r="F42" s="6" t="inlineStr">
        <is>
          <t>стандарт</t>
        </is>
      </c>
      <c r="G42" s="6" t="inlineStr">
        <is>
          <t>2.5</t>
        </is>
      </c>
      <c r="H42" s="6" t="inlineStr">
        <is>
          <t>от −40°С  до +425°С</t>
        </is>
      </c>
      <c r="I42" s="6" t="inlineStr">
        <is>
          <t>вода, пар, неагрессивные нефтепродукты</t>
        </is>
      </c>
      <c r="J42" s="6" t="inlineStr">
        <is>
          <t>сталь 25л</t>
        </is>
      </c>
      <c r="K42" s="6" t="inlineStr">
        <is>
          <t>У1</t>
        </is>
      </c>
      <c r="L42" s="6" t="inlineStr">
        <is>
          <t>фланцевый</t>
        </is>
      </c>
      <c r="M42" s="6" t="inlineStr">
        <is>
          <t>ручной</t>
        </is>
      </c>
      <c r="N42" s="6" t="inlineStr">
        <is>
          <t>маховик</t>
        </is>
      </c>
      <c r="O42" s="6" t="inlineStr">
        <is>
          <t>горизонтальное, либо вертикальное</t>
        </is>
      </c>
      <c r="P42" s="6" t="inlineStr">
        <is>
          <t>Крышка, клин Ст25Л, шпиндель Ст20х13</t>
        </is>
      </c>
      <c r="Q42" s="6" t="inlineStr"/>
      <c r="R42" s="6" t="inlineStr"/>
      <c r="S42" s="5" t="n">
        <v>18</v>
      </c>
      <c r="T42" s="6" t="inlineStr">
        <is>
          <t>шт</t>
        </is>
      </c>
      <c r="U42" s="7" t="n"/>
      <c r="V42" s="8" t="inlineStr">
        <is>
          <t>ООО «Пермский трубопроводный завод»</t>
        </is>
      </c>
      <c r="W42" s="8" t="inlineStr">
        <is>
          <t>Россия</t>
        </is>
      </c>
      <c r="X42" s="8" t="inlineStr">
        <is>
          <t>10698940</t>
        </is>
      </c>
      <c r="Y42" s="8" t="inlineStr">
        <is>
          <t>17.02.2031</t>
        </is>
      </c>
      <c r="Z42" s="7" t="n"/>
      <c r="AA42" s="9" t="n"/>
      <c r="AB42" s="10">
        <f>AA42*S42</f>
        <v/>
      </c>
      <c r="AC42" s="7" t="n"/>
      <c r="AD42" s="7" t="n"/>
      <c r="AE42" s="7" t="n"/>
    </row>
    <row r="43" ht="60" customHeight="1">
      <c r="A43" s="5" t="n">
        <v>38</v>
      </c>
      <c r="B43" s="6" t="inlineStr">
        <is>
          <t>1.3/82</t>
        </is>
      </c>
      <c r="C43" s="6" t="inlineStr">
        <is>
          <t>Задвижка 30с64нж Ду 200 Ру 25</t>
        </is>
      </c>
      <c r="D43" s="6" t="inlineStr">
        <is>
          <t>ГОСТ 5762-2002</t>
        </is>
      </c>
      <c r="E43" s="6" t="inlineStr">
        <is>
          <t>200</t>
        </is>
      </c>
      <c r="F43" s="6" t="inlineStr">
        <is>
          <t>стандарт</t>
        </is>
      </c>
      <c r="G43" s="6" t="inlineStr">
        <is>
          <t>2.5</t>
        </is>
      </c>
      <c r="H43" s="6" t="inlineStr">
        <is>
          <t>-40…        +425</t>
        </is>
      </c>
      <c r="I43" s="6" t="inlineStr">
        <is>
          <t>Вода, воздух, пар, аммиак,природный газ, нефть,нефтепродукты</t>
        </is>
      </c>
      <c r="J43" s="6" t="inlineStr">
        <is>
          <t>сталь 25Л</t>
        </is>
      </c>
      <c r="K43" s="6" t="inlineStr">
        <is>
          <t>Условия эксплуатации У
Минимальная температура окружающего воздуха: −40°С</t>
        </is>
      </c>
      <c r="L43" s="6" t="inlineStr">
        <is>
          <t>фланец-фланец</t>
        </is>
      </c>
      <c r="M43" s="6" t="inlineStr">
        <is>
          <t>Ручное</t>
        </is>
      </c>
      <c r="N43" s="6" t="inlineStr">
        <is>
          <t>Маховик</t>
        </is>
      </c>
      <c r="O43" s="6" t="inlineStr">
        <is>
          <t>Вертикально маховиком вверх, горизонтально</t>
        </is>
      </c>
      <c r="P43" s="6" t="inlineStr">
        <is>
          <t>С КОФ. 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43" s="6" t="inlineStr"/>
      <c r="R43" s="6" t="inlineStr"/>
      <c r="S43" s="5" t="n">
        <v>9</v>
      </c>
      <c r="T43" s="6" t="inlineStr">
        <is>
          <t>шт</t>
        </is>
      </c>
      <c r="U43" s="7" t="n"/>
      <c r="V43" s="8" t="inlineStr">
        <is>
          <t>ООО «Пермский трубопроводный завод»</t>
        </is>
      </c>
      <c r="W43" s="8" t="inlineStr">
        <is>
          <t>Россия</t>
        </is>
      </c>
      <c r="X43" s="8" t="inlineStr">
        <is>
          <t>10698940</t>
        </is>
      </c>
      <c r="Y43" s="8" t="inlineStr">
        <is>
          <t>17.02.2031</t>
        </is>
      </c>
      <c r="Z43" s="7" t="n"/>
      <c r="AA43" s="9" t="n"/>
      <c r="AB43" s="10">
        <f>AA43*S43</f>
        <v/>
      </c>
      <c r="AC43" s="7" t="n"/>
      <c r="AD43" s="7" t="n"/>
      <c r="AE43" s="7" t="n"/>
    </row>
    <row r="44" ht="60" customHeight="1">
      <c r="A44" s="5" t="n">
        <v>39</v>
      </c>
      <c r="B44" s="6" t="inlineStr">
        <is>
          <t>1.3/83</t>
        </is>
      </c>
      <c r="C44" s="6" t="inlineStr">
        <is>
          <t>Задвижка 30с64нж Ду 250 Ру 25</t>
        </is>
      </c>
      <c r="D44" s="6" t="inlineStr">
        <is>
          <t>ГОСТ 5762-2002</t>
        </is>
      </c>
      <c r="E44" s="6" t="inlineStr">
        <is>
          <t>250</t>
        </is>
      </c>
      <c r="F44" s="6" t="inlineStr">
        <is>
          <t>стандарт</t>
        </is>
      </c>
      <c r="G44" s="6" t="inlineStr">
        <is>
          <t>2.5</t>
        </is>
      </c>
      <c r="H44" s="6" t="inlineStr">
        <is>
          <t>до +425</t>
        </is>
      </c>
      <c r="I44" s="6" t="inlineStr">
        <is>
          <t>вода, пар, нефть, природный газ, жидкие и газообразные неагрессивные нефтепродукты</t>
        </is>
      </c>
      <c r="J44" s="6" t="inlineStr">
        <is>
          <t>сталь 25Л</t>
        </is>
      </c>
      <c r="K44" s="6" t="inlineStr">
        <is>
          <t>У1</t>
        </is>
      </c>
      <c r="L44" s="6" t="inlineStr">
        <is>
          <t>фланцевый</t>
        </is>
      </c>
      <c r="M44" s="6" t="inlineStr">
        <is>
          <t>ручной</t>
        </is>
      </c>
      <c r="N44" s="6" t="inlineStr">
        <is>
          <t>Маховик</t>
        </is>
      </c>
      <c r="O44" s="6" t="inlineStr">
        <is>
          <t>любое, кроме маховиком вниз</t>
        </is>
      </c>
      <c r="P44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44" s="6" t="inlineStr"/>
      <c r="R44" s="6" t="inlineStr"/>
      <c r="S44" s="5" t="n">
        <v>2</v>
      </c>
      <c r="T44" s="6" t="inlineStr">
        <is>
          <t>шт</t>
        </is>
      </c>
      <c r="U44" s="7" t="n"/>
      <c r="V44" s="8" t="inlineStr">
        <is>
          <t>ООО «Пермский трубопроводный завод»</t>
        </is>
      </c>
      <c r="W44" s="8" t="inlineStr">
        <is>
          <t>Россия</t>
        </is>
      </c>
      <c r="X44" s="8" t="inlineStr">
        <is>
          <t>10698940</t>
        </is>
      </c>
      <c r="Y44" s="8" t="inlineStr">
        <is>
          <t>17.02.2031</t>
        </is>
      </c>
      <c r="Z44" s="7" t="n"/>
      <c r="AA44" s="9" t="n"/>
      <c r="AB44" s="10">
        <f>AA44*S44</f>
        <v/>
      </c>
      <c r="AC44" s="7" t="n"/>
      <c r="AD44" s="7" t="n"/>
      <c r="AE44" s="7" t="n"/>
    </row>
    <row r="45" ht="60" customHeight="1">
      <c r="A45" s="5" t="n">
        <v>40</v>
      </c>
      <c r="B45" s="6" t="inlineStr">
        <is>
          <t>1.3/84</t>
        </is>
      </c>
      <c r="C45" s="6" t="inlineStr">
        <is>
          <t>Задвижка 30с64нж Ду 300 Ру 25</t>
        </is>
      </c>
      <c r="D45" s="6" t="inlineStr">
        <is>
          <t>ГОСТ 5762-2002</t>
        </is>
      </c>
      <c r="E45" s="6" t="inlineStr">
        <is>
          <t>300</t>
        </is>
      </c>
      <c r="F45" s="6" t="inlineStr">
        <is>
          <t>стандарт</t>
        </is>
      </c>
      <c r="G45" s="6" t="inlineStr">
        <is>
          <t>2.5</t>
        </is>
      </c>
      <c r="H45" s="6" t="inlineStr">
        <is>
          <t>до +425</t>
        </is>
      </c>
      <c r="I45" s="6" t="inlineStr">
        <is>
          <t>вода, пар, нефть, природный газ, жидкие и газообразные неагрессивные нефтепродукты</t>
        </is>
      </c>
      <c r="J45" s="6" t="inlineStr">
        <is>
          <t>сталь 25Л</t>
        </is>
      </c>
      <c r="K45" s="6" t="inlineStr">
        <is>
          <t>У1</t>
        </is>
      </c>
      <c r="L45" s="6" t="inlineStr">
        <is>
          <t>фланцевый</t>
        </is>
      </c>
      <c r="M45" s="6" t="inlineStr">
        <is>
          <t>ручной (маховик)</t>
        </is>
      </c>
      <c r="N45" s="6" t="inlineStr">
        <is>
          <t>-</t>
        </is>
      </c>
      <c r="O45" s="6" t="inlineStr">
        <is>
          <t>любое, кроме маховиком вниз</t>
        </is>
      </c>
      <c r="P45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45" s="6" t="inlineStr"/>
      <c r="R45" s="6" t="inlineStr"/>
      <c r="S45" s="5" t="n">
        <v>3</v>
      </c>
      <c r="T45" s="6" t="inlineStr">
        <is>
          <t>шт</t>
        </is>
      </c>
      <c r="U45" s="7" t="n"/>
      <c r="V45" s="8" t="inlineStr">
        <is>
          <t>ООО «Пермский трубопроводный завод»</t>
        </is>
      </c>
      <c r="W45" s="8" t="inlineStr">
        <is>
          <t>Россия</t>
        </is>
      </c>
      <c r="X45" s="8" t="inlineStr">
        <is>
          <t>10698940</t>
        </is>
      </c>
      <c r="Y45" s="8" t="inlineStr">
        <is>
          <t>17.02.2031</t>
        </is>
      </c>
      <c r="Z45" s="7" t="n"/>
      <c r="AA45" s="9" t="n"/>
      <c r="AB45" s="10">
        <f>AA45*S45</f>
        <v/>
      </c>
      <c r="AC45" s="7" t="n"/>
      <c r="AD45" s="7" t="n"/>
      <c r="AE45" s="7" t="n"/>
    </row>
    <row r="46" ht="60" customHeight="1">
      <c r="A46" s="5" t="n">
        <v>41</v>
      </c>
      <c r="B46" s="6" t="inlineStr">
        <is>
          <t>1.3/85</t>
        </is>
      </c>
      <c r="C46" s="6" t="inlineStr">
        <is>
          <t>Задвижка 30с76нж Ду 200 Ру 63</t>
        </is>
      </c>
      <c r="D46" s="6" t="inlineStr">
        <is>
          <t>ГОСТ 5762-2002</t>
        </is>
      </c>
      <c r="E46" s="6" t="inlineStr">
        <is>
          <t>200</t>
        </is>
      </c>
      <c r="F46" s="6" t="inlineStr">
        <is>
          <t>стандарт</t>
        </is>
      </c>
      <c r="G46" s="6" t="inlineStr">
        <is>
          <t>6.3</t>
        </is>
      </c>
      <c r="H46" s="6" t="inlineStr">
        <is>
          <t>от -40 до + 425</t>
        </is>
      </c>
      <c r="I46" s="6" t="inlineStr">
        <is>
          <t>вода, пар, нефть, природный газ, жидкие и газообразные неагрессивные нефтепродукты</t>
        </is>
      </c>
      <c r="J46" s="6" t="inlineStr">
        <is>
          <t>сталь 25Л</t>
        </is>
      </c>
      <c r="K46" s="6" t="inlineStr">
        <is>
          <t>У1</t>
        </is>
      </c>
      <c r="L46" s="6" t="inlineStr">
        <is>
          <t>фланец-фланец</t>
        </is>
      </c>
      <c r="M46" s="6" t="inlineStr">
        <is>
          <t>ручной (маховик)</t>
        </is>
      </c>
      <c r="N46" s="6" t="inlineStr">
        <is>
          <t>-</t>
        </is>
      </c>
      <c r="O46" s="6" t="inlineStr">
        <is>
          <t>любое, кроме маховиком вниз</t>
        </is>
      </c>
      <c r="P46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46" s="6" t="inlineStr"/>
      <c r="R46" s="6" t="inlineStr"/>
      <c r="S46" s="5" t="n">
        <v>1</v>
      </c>
      <c r="T46" s="6" t="inlineStr">
        <is>
          <t>шт</t>
        </is>
      </c>
      <c r="U46" s="7" t="n"/>
      <c r="V46" s="8" t="inlineStr">
        <is>
          <t>ООО «Пермский трубопроводный завод»</t>
        </is>
      </c>
      <c r="W46" s="8" t="inlineStr">
        <is>
          <t>Россия</t>
        </is>
      </c>
      <c r="X46" s="8" t="inlineStr">
        <is>
          <t>10698940</t>
        </is>
      </c>
      <c r="Y46" s="8" t="inlineStr">
        <is>
          <t>17.02.2031</t>
        </is>
      </c>
      <c r="Z46" s="7" t="n"/>
      <c r="AA46" s="9" t="n"/>
      <c r="AB46" s="10">
        <f>AA46*S46</f>
        <v/>
      </c>
      <c r="AC46" s="7" t="n"/>
      <c r="AD46" s="7" t="n"/>
      <c r="AE46" s="7" t="n"/>
    </row>
    <row r="47" ht="60" customHeight="1">
      <c r="A47" s="5" t="n">
        <v>42</v>
      </c>
      <c r="B47" s="6" t="inlineStr">
        <is>
          <t>1.3/86</t>
        </is>
      </c>
      <c r="C47" s="6" t="inlineStr">
        <is>
          <t>Задвижка 30с927нж Ду 250 Ру 25 с электроприводом</t>
        </is>
      </c>
      <c r="D47" s="6" t="inlineStr">
        <is>
          <t>ТУ-3740-002-99521253-2012.</t>
        </is>
      </c>
      <c r="E47" s="6" t="inlineStr">
        <is>
          <t>250</t>
        </is>
      </c>
      <c r="F47" s="6" t="inlineStr">
        <is>
          <t>полнопроходной</t>
        </is>
      </c>
      <c r="G47" s="6" t="inlineStr">
        <is>
          <t>2.5</t>
        </is>
      </c>
      <c r="H47" s="6" t="inlineStr">
        <is>
          <t>от -40 до + 425°С</t>
        </is>
      </c>
      <c r="I47" s="6" t="inlineStr">
        <is>
          <t>вода, пар,
масло, нефть, жидкие неагрессивные
нефтепродукты, неагрессивные жидкие
среды до</t>
        </is>
      </c>
      <c r="J47" s="6" t="inlineStr">
        <is>
          <t>Сталь 25Л</t>
        </is>
      </c>
      <c r="K47" s="6" t="inlineStr">
        <is>
          <t>У1 по ГОСТ 15150</t>
        </is>
      </c>
      <c r="L47" s="6" t="inlineStr">
        <is>
          <t>фланцевое, исполнение – по ГОСТ 33259.</t>
        </is>
      </c>
      <c r="M47" s="6" t="inlineStr">
        <is>
          <t>электропривод</t>
        </is>
      </c>
      <c r="N47" s="6" t="inlineStr">
        <is>
          <t>Тип присоединеия-Б; Крутящий момент, Нм-100-300</t>
        </is>
      </c>
      <c r="O47" s="6" t="inlineStr">
        <is>
          <t>Арматура, оснащенная электрическим приводом, устанавливается управляющим органом вверх. Допускается монтаж в наклонном положении, кроме «электроприводом вниз» - в этом случае требуется обеспечить опору для снятия нагрузки с бугельного узла.</t>
        </is>
      </c>
      <c r="P47" s="6" t="inlineStr">
        <is>
          <t>Шпиндель  20Х13;
 Прокладка  ТРГ;
Крышка, Маховик  25Л;
Гайка  Ст25;
Сальниковое уплотнение  ТРГ;
Ось, Болт, Шпилька  Ст35;
Втулка сальника  Ст20;
Гайка ходовая  ЛС59-1;
Гайка шлицевая  Ст35;</t>
        </is>
      </c>
      <c r="Q47" s="6" t="inlineStr">
        <is>
          <t>L=450мм; H=700мм без электропривода</t>
        </is>
      </c>
      <c r="R47" s="6" t="inlineStr"/>
      <c r="S47" s="5" t="n">
        <v>2</v>
      </c>
      <c r="T47" s="6" t="inlineStr">
        <is>
          <t>шт</t>
        </is>
      </c>
      <c r="U47" s="7" t="n"/>
      <c r="V47" s="8" t="inlineStr">
        <is>
          <t>ООО «Пермский трубопроводный завод»</t>
        </is>
      </c>
      <c r="W47" s="8" t="inlineStr">
        <is>
          <t>Россия</t>
        </is>
      </c>
      <c r="X47" s="8" t="inlineStr">
        <is>
          <t>10698940</t>
        </is>
      </c>
      <c r="Y47" s="8" t="inlineStr">
        <is>
          <t>17.02.2031</t>
        </is>
      </c>
      <c r="Z47" s="7" t="n"/>
      <c r="AA47" s="9" t="n"/>
      <c r="AB47" s="10">
        <f>AA47*S47</f>
        <v/>
      </c>
      <c r="AC47" s="7" t="n"/>
      <c r="AD47" s="7" t="n"/>
      <c r="AE47" s="7" t="n"/>
    </row>
    <row r="48" ht="60" customHeight="1">
      <c r="A48" s="5" t="n">
        <v>43</v>
      </c>
      <c r="B48" s="6" t="inlineStr">
        <is>
          <t>1.3/87</t>
        </is>
      </c>
      <c r="C48" s="6" t="inlineStr">
        <is>
          <t>Задвижка 30с941нж Ду 150 Ру 16 с электроприводом</t>
        </is>
      </c>
      <c r="D48" s="6" t="inlineStr">
        <is>
          <t>ТУ 28.14.11-001-27709620-2022ТУ 28.14.11-001-27709620-2022</t>
        </is>
      </c>
      <c r="E48" s="6" t="inlineStr">
        <is>
          <t>150</t>
        </is>
      </c>
      <c r="F48" s="6" t="inlineStr">
        <is>
          <t>полнопроходной</t>
        </is>
      </c>
      <c r="G48" s="6" t="inlineStr">
        <is>
          <t>1.6</t>
        </is>
      </c>
      <c r="H48" s="6" t="inlineStr">
        <is>
          <t>от -40 до + 425°С</t>
        </is>
      </c>
      <c r="I48" s="6" t="inlineStr">
        <is>
          <t>вода, пар,
масло, нефть, жидкие неагрессивные
нефтепродукты, неагрессивные жидкие
среды до</t>
        </is>
      </c>
      <c r="J48" s="6" t="inlineStr">
        <is>
          <t>Сталь 35Л ГОСТ
977-88</t>
        </is>
      </c>
      <c r="K48" s="6" t="inlineStr">
        <is>
          <t>ТУ 3714-007-82556046-2007. "У"</t>
        </is>
      </c>
      <c r="L48" s="6" t="inlineStr">
        <is>
          <t>фланцевое</t>
        </is>
      </c>
      <c r="M48" s="6" t="inlineStr">
        <is>
          <t>МНОГООБОРОТНЫЙ ЭЛЕКТРОПРИВОД
ГЗ-А.150</t>
        </is>
      </c>
      <c r="N48" s="6" t="inlineStr">
        <is>
          <t>Условное обозначение:ГЗ-А.150;       Тип присоедин. к арматуре по ОСТ 26-07-763-73 "А";                         Номинальный крутящий момент на выходном валу Нм (кгс*м) 150 (15); Частота вращения вала, об/мин. Стандарт 24,  По заказу 18,36,48; Электродвигатель  Мощность кВт 0,37, Номинальный ток  (А) 2,5 Пусковой ток ( А) 8,84;</t>
        </is>
      </c>
      <c r="O48" s="6" t="inlineStr"/>
      <c r="P48" s="6" t="inlineStr">
        <is>
          <t>Крышка Сталь 35Л ГОСТ
977-88; Клин Сталь 35Л ГОСТ
977-88 ; Шпиндель Сталь 45ГОСТ 1050-88;Уплотнительная
прокладка
терморасширенный
графит (армир); Набивка
уплотнительная
терморасширенный
графит (армир);Крышка
сальника
Сталь 35Л ГОСТ
977-88; Упорная гайка Сталь 20Л ГОСТ
977-88; Пятикулачковая
муфта
Латунь Ц38МЦ2С2
ГОСТ17711-93</t>
        </is>
      </c>
      <c r="Q48" s="6" t="inlineStr">
        <is>
          <t>L=280мм; H=520мм</t>
        </is>
      </c>
      <c r="R48" s="6" t="inlineStr">
        <is>
          <t>нж - уплотнения из нержавеющей стали.</t>
        </is>
      </c>
      <c r="S48" s="5" t="n">
        <v>6</v>
      </c>
      <c r="T48" s="6" t="inlineStr">
        <is>
          <t>шт</t>
        </is>
      </c>
      <c r="U48" s="7" t="n"/>
      <c r="V48" s="8" t="inlineStr">
        <is>
          <t>ООО «Пермский трубопроводный завод»</t>
        </is>
      </c>
      <c r="W48" s="8" t="inlineStr">
        <is>
          <t>Россия</t>
        </is>
      </c>
      <c r="X48" s="8" t="inlineStr">
        <is>
          <t>10698940</t>
        </is>
      </c>
      <c r="Y48" s="8" t="inlineStr">
        <is>
          <t>17.02.2031</t>
        </is>
      </c>
      <c r="Z48" s="7" t="n"/>
      <c r="AA48" s="9" t="n"/>
      <c r="AB48" s="10">
        <f>AA48*S48</f>
        <v/>
      </c>
      <c r="AC48" s="7" t="n"/>
      <c r="AD48" s="7" t="n"/>
      <c r="AE48" s="7" t="n"/>
    </row>
    <row r="49" ht="60" customHeight="1">
      <c r="A49" s="5" t="n">
        <v>44</v>
      </c>
      <c r="B49" s="6" t="inlineStr">
        <is>
          <t>1.3/88</t>
        </is>
      </c>
      <c r="C49" s="6" t="inlineStr">
        <is>
          <t>Задвижка 30с964нж Ду 150 Ру 25 с электроприводом</t>
        </is>
      </c>
      <c r="D49" s="6" t="inlineStr">
        <is>
          <t>ТУ 3741-003-43179794-2009.</t>
        </is>
      </c>
      <c r="E49" s="6" t="inlineStr">
        <is>
          <t>150</t>
        </is>
      </c>
      <c r="F49" s="6" t="inlineStr">
        <is>
          <t>полнопроходной</t>
        </is>
      </c>
      <c r="G49" s="6" t="inlineStr">
        <is>
          <t>2.5</t>
        </is>
      </c>
      <c r="H49" s="6" t="inlineStr">
        <is>
          <t>от -40 до + 425</t>
        </is>
      </c>
      <c r="I49" s="6" t="inlineStr">
        <is>
          <t>Вода , пар, воздух, нгефть, масло,</t>
        </is>
      </c>
      <c r="J49" s="6" t="inlineStr">
        <is>
          <t>сталь 25Л</t>
        </is>
      </c>
      <c r="K49" s="6" t="inlineStr">
        <is>
          <t>по ГОСТ 15150-69. У1</t>
        </is>
      </c>
      <c r="L49" s="6" t="inlineStr">
        <is>
          <t>фланец-фланец</t>
        </is>
      </c>
      <c r="M49" s="6" t="inlineStr">
        <is>
          <t>электропривод DN.ru МТ-100-220, 220В</t>
        </is>
      </c>
      <c r="N49" s="6" t="inlineStr">
        <is>
          <t>тип присоединения электродвигателя-Б;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49" s="6" t="inlineStr">
        <is>
          <t>Электроприводом  вверх, но
допускается отклонение до 90° в любую сторону для задвижек до
DN 150 включительно,</t>
        </is>
      </c>
      <c r="P49" s="6" t="inlineStr">
        <is>
          <t>Шпиндель-20Х13; клин (диски)-сталь25; набивка сальника ТРГ; наплавка на клине-13Х25Т, 10Х17Т;</t>
        </is>
      </c>
      <c r="Q49" s="6" t="inlineStr">
        <is>
          <t>L=403мм; H=576мм</t>
        </is>
      </c>
      <c r="R49" s="6" t="inlineStr"/>
      <c r="S49" s="5" t="n">
        <v>1</v>
      </c>
      <c r="T49" s="6" t="inlineStr">
        <is>
          <t>шт</t>
        </is>
      </c>
      <c r="U49" s="7" t="n"/>
      <c r="V49" s="8" t="inlineStr">
        <is>
          <t>ООО «Пермский трубопроводный завод»</t>
        </is>
      </c>
      <c r="W49" s="8" t="inlineStr">
        <is>
          <t>Россия</t>
        </is>
      </c>
      <c r="X49" s="8" t="inlineStr">
        <is>
          <t>10698940</t>
        </is>
      </c>
      <c r="Y49" s="8" t="inlineStr">
        <is>
          <t>17.02.2031</t>
        </is>
      </c>
      <c r="Z49" s="7" t="n"/>
      <c r="AA49" s="9" t="n"/>
      <c r="AB49" s="10">
        <f>AA49*S49</f>
        <v/>
      </c>
      <c r="AC49" s="7" t="n"/>
      <c r="AD49" s="7" t="n"/>
      <c r="AE49" s="7" t="n"/>
    </row>
    <row r="50" ht="60" customHeight="1">
      <c r="A50" s="5" t="n">
        <v>45</v>
      </c>
      <c r="B50" s="6" t="inlineStr">
        <is>
          <t>1.3/89</t>
        </is>
      </c>
      <c r="C50" s="6" t="inlineStr">
        <is>
          <t>Задвижка 30с964нж Ду 400 Ру 25</t>
        </is>
      </c>
      <c r="D50" s="6" t="inlineStr">
        <is>
          <t>ТУ 28.14.11-001-27709620-2022ТУ 28.14.11-001-27709620-2022</t>
        </is>
      </c>
      <c r="E50" s="6" t="inlineStr">
        <is>
          <t>400</t>
        </is>
      </c>
      <c r="F50" s="6" t="inlineStr">
        <is>
          <t>стандарт</t>
        </is>
      </c>
      <c r="G50" s="6" t="inlineStr">
        <is>
          <t>2.5</t>
        </is>
      </c>
      <c r="H50" s="6" t="inlineStr">
        <is>
          <t>от -40 до + 425</t>
        </is>
      </c>
      <c r="I50" s="6" t="inlineStr">
        <is>
          <t>вода, пар</t>
        </is>
      </c>
      <c r="J50" s="6" t="inlineStr">
        <is>
          <t>сталь 25Л</t>
        </is>
      </c>
      <c r="K50" s="6" t="inlineStr">
        <is>
          <t>У1</t>
        </is>
      </c>
      <c r="L50" s="6" t="inlineStr">
        <is>
          <t>фланец-фланец</t>
        </is>
      </c>
      <c r="M50" s="6" t="inlineStr">
        <is>
          <t>под электропривод</t>
        </is>
      </c>
      <c r="N50" s="6" t="inlineStr">
        <is>
          <t>AUMA SA 16.1-G3 или аналог</t>
        </is>
      </c>
      <c r="O50" s="6" t="inlineStr">
        <is>
          <t>любое</t>
        </is>
      </c>
      <c r="P50" s="6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50" s="6" t="inlineStr">
        <is>
          <t>600*1425</t>
        </is>
      </c>
      <c r="R50" s="6" t="inlineStr">
        <is>
          <t>В комплекте с крепежом и ответными фланцами (с КОФ).Под электропривод AUMA или аналог.</t>
        </is>
      </c>
      <c r="S50" s="5" t="n">
        <v>4</v>
      </c>
      <c r="T50" s="6" t="inlineStr">
        <is>
          <t>шт</t>
        </is>
      </c>
      <c r="U50" s="7" t="n"/>
      <c r="V50" s="8" t="inlineStr">
        <is>
          <t>ООО «Пермский трубопроводный завод»</t>
        </is>
      </c>
      <c r="W50" s="8" t="inlineStr">
        <is>
          <t>Россия</t>
        </is>
      </c>
      <c r="X50" s="8" t="inlineStr">
        <is>
          <t>10698940</t>
        </is>
      </c>
      <c r="Y50" s="8" t="inlineStr">
        <is>
          <t>17.02.2031</t>
        </is>
      </c>
      <c r="Z50" s="7" t="n"/>
      <c r="AA50" s="9" t="n"/>
      <c r="AB50" s="10">
        <f>AA50*S50</f>
        <v/>
      </c>
      <c r="AC50" s="7" t="n"/>
      <c r="AD50" s="7" t="n"/>
      <c r="AE50" s="7" t="n"/>
    </row>
    <row r="51" ht="60" customHeight="1">
      <c r="A51" s="5" t="n">
        <v>46</v>
      </c>
      <c r="B51" s="6" t="inlineStr">
        <is>
          <t>1.3/90</t>
        </is>
      </c>
      <c r="C51" s="6" t="inlineStr">
        <is>
          <t>Задвижка стальная 30с964нж Ду 100 Ру 25 с электроприводом  МТ-100-220, 220В</t>
        </is>
      </c>
      <c r="D51" s="6" t="inlineStr">
        <is>
          <t>ГОСТ3706-93</t>
        </is>
      </c>
      <c r="E51" s="6" t="inlineStr">
        <is>
          <t>100</t>
        </is>
      </c>
      <c r="F51" s="6" t="inlineStr">
        <is>
          <t>полнопроходной</t>
        </is>
      </c>
      <c r="G51" s="6" t="inlineStr">
        <is>
          <t>25</t>
        </is>
      </c>
      <c r="H51" s="6" t="inlineStr">
        <is>
          <t>от -40 до + 425</t>
        </is>
      </c>
      <c r="I51" s="6" t="inlineStr">
        <is>
          <t>Вода , пар, воздух, нгефть, масло,</t>
        </is>
      </c>
      <c r="J51" s="6" t="inlineStr">
        <is>
          <t>сталь 25Л</t>
        </is>
      </c>
      <c r="K51" s="6" t="inlineStr">
        <is>
          <t>по ГОСТ 15150-69.</t>
        </is>
      </c>
      <c r="L51" s="6" t="inlineStr">
        <is>
          <t>фланец-фланец</t>
        </is>
      </c>
      <c r="M51" s="6" t="inlineStr">
        <is>
          <t>МТ-100-220, 220В</t>
        </is>
      </c>
      <c r="N51" s="6" t="inlineStr">
        <is>
          <t>тип присоединения электродвигателя-А;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51" s="6" t="inlineStr">
        <is>
          <t>любое</t>
        </is>
      </c>
      <c r="P51" s="6" t="inlineStr">
        <is>
          <t>Шпиндель-20Х13; клин (диски)-сталь25; набивка сальника ТРГ; наплавка на клине-13Х25Т, 10Х17Т;</t>
        </is>
      </c>
      <c r="Q51" s="6" t="inlineStr"/>
      <c r="R51" s="6" t="inlineStr">
        <is>
          <t>Класс герметичности по ГОСТ 9544-2015 - "A"</t>
        </is>
      </c>
      <c r="S51" s="5" t="n">
        <v>3</v>
      </c>
      <c r="T51" s="6" t="inlineStr">
        <is>
          <t>шт</t>
        </is>
      </c>
      <c r="U51" s="7" t="n"/>
      <c r="V51" s="8" t="inlineStr">
        <is>
          <t>ООО «Пермский трубопроводный завод»</t>
        </is>
      </c>
      <c r="W51" s="8" t="inlineStr">
        <is>
          <t>Россия</t>
        </is>
      </c>
      <c r="X51" s="8" t="inlineStr">
        <is>
          <t>10698940</t>
        </is>
      </c>
      <c r="Y51" s="8" t="inlineStr">
        <is>
          <t>17.02.2031</t>
        </is>
      </c>
      <c r="Z51" s="7" t="n"/>
      <c r="AA51" s="9" t="n"/>
      <c r="AB51" s="10">
        <f>AA51*S51</f>
        <v/>
      </c>
      <c r="AC51" s="7" t="n"/>
      <c r="AD51" s="7" t="n"/>
      <c r="AE51" s="7" t="n"/>
    </row>
    <row r="52" ht="60" customHeight="1">
      <c r="A52" s="5" t="n">
        <v>47</v>
      </c>
      <c r="B52" s="6" t="inlineStr">
        <is>
          <t>1.3/91</t>
        </is>
      </c>
      <c r="C52" s="6" t="inlineStr">
        <is>
          <t>Задвижка 30с99нж Ду 50 Ру 25</t>
        </is>
      </c>
      <c r="D52" s="6" t="inlineStr">
        <is>
          <t>ТУ 26-07-412-87</t>
        </is>
      </c>
      <c r="E52" s="6" t="inlineStr">
        <is>
          <t>50</t>
        </is>
      </c>
      <c r="F52" s="6" t="inlineStr">
        <is>
          <t>полнопроходной</t>
        </is>
      </c>
      <c r="G52" s="6" t="inlineStr">
        <is>
          <t>25</t>
        </is>
      </c>
      <c r="H52" s="6" t="inlineStr">
        <is>
          <t>от -40 до + до 425</t>
        </is>
      </c>
      <c r="I52" s="6" t="inlineStr">
        <is>
          <t>Вода , пар, воздух, нгефть, масло,</t>
        </is>
      </c>
      <c r="J52" s="6" t="inlineStr">
        <is>
          <t>углеродистая сталь (20Л, 25Л по ГОСТ 977-88)</t>
        </is>
      </c>
      <c r="K52" s="6" t="inlineStr">
        <is>
          <t>по ГОСТ 15150-69.</t>
        </is>
      </c>
      <c r="L52" s="6" t="inlineStr">
        <is>
          <t>фланцевое (фланцы по ГОСТ 33259-2015)</t>
        </is>
      </c>
      <c r="M52" s="6" t="inlineStr">
        <is>
          <t>ручное</t>
        </is>
      </c>
      <c r="N52" s="6" t="inlineStr">
        <is>
          <t>маховик</t>
        </is>
      </c>
      <c r="O52" s="6" t="inlineStr">
        <is>
          <t>любое</t>
        </is>
      </c>
      <c r="P52" s="6" t="inlineStr">
        <is>
          <t>Шпиндель-20Х13; клин (диски)-сталь25; набивка сальника ТРГ; наплавка на клинеи в корпусе 20Х13;</t>
        </is>
      </c>
      <c r="Q52" s="6" t="inlineStr">
        <is>
          <t>L=250мм; H=410мм</t>
        </is>
      </c>
      <c r="R52" s="6" t="inlineStr"/>
      <c r="S52" s="5" t="n">
        <v>1</v>
      </c>
      <c r="T52" s="6" t="inlineStr">
        <is>
          <t>шт</t>
        </is>
      </c>
      <c r="U52" s="7" t="n"/>
      <c r="V52" s="8" t="inlineStr">
        <is>
          <t>ООО «Пермский трубопроводный завод»</t>
        </is>
      </c>
      <c r="W52" s="8" t="inlineStr">
        <is>
          <t>Россия</t>
        </is>
      </c>
      <c r="X52" s="8" t="inlineStr">
        <is>
          <t>10698940</t>
        </is>
      </c>
      <c r="Y52" s="8" t="inlineStr">
        <is>
          <t>17.02.2031</t>
        </is>
      </c>
      <c r="Z52" s="7" t="n"/>
      <c r="AA52" s="9" t="n"/>
      <c r="AB52" s="10">
        <f>AA52*S52</f>
        <v/>
      </c>
      <c r="AC52" s="7" t="n"/>
      <c r="AD52" s="7" t="n"/>
      <c r="AE52" s="7" t="n"/>
    </row>
    <row r="53" ht="60" customHeight="1">
      <c r="A53" s="5" t="n">
        <v>48</v>
      </c>
      <c r="B53" s="6" t="inlineStr">
        <is>
          <t>1.3/92</t>
        </is>
      </c>
      <c r="C53" s="6" t="inlineStr">
        <is>
          <t>Задвижка 30с99нж Ду 80 Ру 25</t>
        </is>
      </c>
      <c r="D53" s="6" t="inlineStr">
        <is>
          <t>ТУ 26-07-412-87</t>
        </is>
      </c>
      <c r="E53" s="6" t="inlineStr">
        <is>
          <t>80</t>
        </is>
      </c>
      <c r="F53" s="6" t="inlineStr">
        <is>
          <t>полнопроходной</t>
        </is>
      </c>
      <c r="G53" s="6" t="inlineStr">
        <is>
          <t>25</t>
        </is>
      </c>
      <c r="H53" s="6" t="inlineStr">
        <is>
          <t>от -40 до + до 425</t>
        </is>
      </c>
      <c r="I53" s="6" t="inlineStr">
        <is>
          <t>Вода , пар, воздух, нгефть, масло,</t>
        </is>
      </c>
      <c r="J53" s="6" t="inlineStr">
        <is>
          <t>углеродистая сталь (20Л, 25Л по ГОСТ 977-88)</t>
        </is>
      </c>
      <c r="K53" s="6" t="inlineStr">
        <is>
          <t>по ГОСТ 15150-69.</t>
        </is>
      </c>
      <c r="L53" s="6" t="inlineStr">
        <is>
          <t>фланцевое (фланцы по ГОСТ 33259-2015)</t>
        </is>
      </c>
      <c r="M53" s="6" t="inlineStr">
        <is>
          <t>ручное</t>
        </is>
      </c>
      <c r="N53" s="6" t="inlineStr">
        <is>
          <t>маховик</t>
        </is>
      </c>
      <c r="O53" s="6" t="inlineStr">
        <is>
          <t>любое</t>
        </is>
      </c>
      <c r="P53" s="6" t="inlineStr">
        <is>
          <t>Шпиндель-20Х13; клин (диски)-сталь25; набивка сальника ТРГ; наплавка на клинеи в корпусе 20Х13;</t>
        </is>
      </c>
      <c r="Q53" s="6" t="inlineStr">
        <is>
          <t>L=280мм; H=515мм</t>
        </is>
      </c>
      <c r="R53" s="6" t="inlineStr"/>
      <c r="S53" s="5" t="n">
        <v>1</v>
      </c>
      <c r="T53" s="6" t="inlineStr">
        <is>
          <t>шт</t>
        </is>
      </c>
      <c r="U53" s="7" t="n"/>
      <c r="V53" s="8" t="inlineStr">
        <is>
          <t>ООО «Пермский трубопроводный завод»</t>
        </is>
      </c>
      <c r="W53" s="8" t="inlineStr">
        <is>
          <t>Россия</t>
        </is>
      </c>
      <c r="X53" s="8" t="inlineStr">
        <is>
          <t>10698940</t>
        </is>
      </c>
      <c r="Y53" s="8" t="inlineStr">
        <is>
          <t>17.02.2031</t>
        </is>
      </c>
      <c r="Z53" s="7" t="n"/>
      <c r="AA53" s="9" t="n"/>
      <c r="AB53" s="10">
        <f>AA53*S53</f>
        <v/>
      </c>
      <c r="AC53" s="7" t="n"/>
      <c r="AD53" s="7" t="n"/>
      <c r="AE53" s="7" t="n"/>
    </row>
    <row r="54" ht="60" customHeight="1">
      <c r="A54" s="5" t="n">
        <v>49</v>
      </c>
      <c r="B54" s="6" t="inlineStr">
        <is>
          <t>1.5/2</t>
        </is>
      </c>
      <c r="C54" s="6" t="inlineStr">
        <is>
          <t>Задвижка 30с64нж Ду 50 Ру 25</t>
        </is>
      </c>
      <c r="D54" s="6" t="inlineStr">
        <is>
          <t>ГОСТ 5762-2002</t>
        </is>
      </c>
      <c r="E54" s="6" t="inlineStr">
        <is>
          <t>50</t>
        </is>
      </c>
      <c r="F54" s="6" t="inlineStr">
        <is>
          <t>стандарт</t>
        </is>
      </c>
      <c r="G54" s="6" t="inlineStr">
        <is>
          <t>2.5</t>
        </is>
      </c>
      <c r="H54" s="6" t="inlineStr">
        <is>
          <t>от −40°С  до +425°С</t>
        </is>
      </c>
      <c r="I54" s="6" t="inlineStr">
        <is>
          <t>вода, пар, неагрессивные нефтепродукты</t>
        </is>
      </c>
      <c r="J54" s="6" t="inlineStr">
        <is>
          <t>сталь 25л</t>
        </is>
      </c>
      <c r="K54" s="6" t="inlineStr">
        <is>
          <t>У1</t>
        </is>
      </c>
      <c r="L54" s="6" t="inlineStr">
        <is>
          <t>фланцевый</t>
        </is>
      </c>
      <c r="M54" s="6" t="inlineStr">
        <is>
          <t>ручной</t>
        </is>
      </c>
      <c r="N54" s="6" t="inlineStr">
        <is>
          <t>маховик</t>
        </is>
      </c>
      <c r="O54" s="6" t="inlineStr">
        <is>
          <t>горизонтальное, либо вертикальное</t>
        </is>
      </c>
      <c r="P54" s="6" t="inlineStr">
        <is>
          <t>Крышка, клин Ст25Л, шпиндель Ст20х13</t>
        </is>
      </c>
      <c r="Q54" s="6" t="inlineStr"/>
      <c r="R54" s="6" t="inlineStr"/>
      <c r="S54" s="5" t="n">
        <v>2</v>
      </c>
      <c r="T54" s="6" t="inlineStr">
        <is>
          <t>шт</t>
        </is>
      </c>
      <c r="U54" s="7" t="n"/>
      <c r="V54" s="8" t="inlineStr">
        <is>
          <t>ООО «Пермский трубопроводный завод»</t>
        </is>
      </c>
      <c r="W54" s="8" t="inlineStr">
        <is>
          <t>Россия</t>
        </is>
      </c>
      <c r="X54" s="8" t="inlineStr">
        <is>
          <t>10698940</t>
        </is>
      </c>
      <c r="Y54" s="8" t="inlineStr">
        <is>
          <t>17.02.2031</t>
        </is>
      </c>
      <c r="Z54" s="7" t="n"/>
      <c r="AA54" s="9" t="n"/>
      <c r="AB54" s="10">
        <f>AA54*S54</f>
        <v/>
      </c>
      <c r="AC54" s="7" t="n"/>
      <c r="AD54" s="7" t="n"/>
      <c r="AE54" s="7" t="n"/>
    </row>
    <row r="55" ht="60" customHeight="1">
      <c r="A55" s="5" t="n">
        <v>50</v>
      </c>
      <c r="B55" s="6" t="inlineStr">
        <is>
          <t>1.5/3</t>
        </is>
      </c>
      <c r="C55" s="6" t="inlineStr">
        <is>
          <t>Задвижка 30с64нж Ду 80 Ру 25</t>
        </is>
      </c>
      <c r="D55" s="6" t="inlineStr">
        <is>
          <t>ГОСТ 5762-2002</t>
        </is>
      </c>
      <c r="E55" s="6" t="inlineStr">
        <is>
          <t>80</t>
        </is>
      </c>
      <c r="F55" s="6" t="inlineStr">
        <is>
          <t>стандарт</t>
        </is>
      </c>
      <c r="G55" s="6" t="inlineStr">
        <is>
          <t>2.5</t>
        </is>
      </c>
      <c r="H55" s="6" t="inlineStr">
        <is>
          <t>от −40°С  до +425°С</t>
        </is>
      </c>
      <c r="I55" s="6" t="inlineStr">
        <is>
          <t>вода, пар, неагрессивные нефтепродукты</t>
        </is>
      </c>
      <c r="J55" s="6" t="inlineStr">
        <is>
          <t>сталь 25л</t>
        </is>
      </c>
      <c r="K55" s="6" t="inlineStr">
        <is>
          <t>У1</t>
        </is>
      </c>
      <c r="L55" s="6" t="inlineStr">
        <is>
          <t>фланцевый</t>
        </is>
      </c>
      <c r="M55" s="6" t="inlineStr">
        <is>
          <t>ручной</t>
        </is>
      </c>
      <c r="N55" s="6" t="inlineStr">
        <is>
          <t>маховик</t>
        </is>
      </c>
      <c r="O55" s="6" t="inlineStr">
        <is>
          <t>горизонтальное, либо вертикальное</t>
        </is>
      </c>
      <c r="P55" s="6" t="inlineStr">
        <is>
          <t>Крышка, клин Ст25Л, шпиндель Ст20х13</t>
        </is>
      </c>
      <c r="Q55" s="6" t="inlineStr"/>
      <c r="R55" s="6" t="inlineStr"/>
      <c r="S55" s="5" t="n">
        <v>2</v>
      </c>
      <c r="T55" s="6" t="inlineStr">
        <is>
          <t>шт</t>
        </is>
      </c>
      <c r="U55" s="7" t="n"/>
      <c r="V55" s="8" t="inlineStr">
        <is>
          <t>ООО «Пермский трубопроводный завод»</t>
        </is>
      </c>
      <c r="W55" s="8" t="inlineStr">
        <is>
          <t>Россия</t>
        </is>
      </c>
      <c r="X55" s="8" t="inlineStr">
        <is>
          <t>10698940</t>
        </is>
      </c>
      <c r="Y55" s="8" t="inlineStr">
        <is>
          <t>17.02.2031</t>
        </is>
      </c>
      <c r="Z55" s="7" t="n"/>
      <c r="AA55" s="9" t="n"/>
      <c r="AB55" s="10">
        <f>AA55*S55</f>
        <v/>
      </c>
      <c r="AC55" s="7" t="n"/>
      <c r="AD55" s="7" t="n"/>
      <c r="AE55" s="7" t="n"/>
    </row>
    <row r="56" ht="60" customHeight="1">
      <c r="A56" s="5" t="n">
        <v>51</v>
      </c>
      <c r="B56" s="6" t="inlineStr">
        <is>
          <t>1.6/15</t>
        </is>
      </c>
      <c r="C56" s="6" t="inlineStr">
        <is>
          <t>Клапан 15с18нж Ду 32, Ру 25</t>
        </is>
      </c>
      <c r="D56" s="6" t="inlineStr">
        <is>
          <t>ТУ 3742-005-27844275</t>
        </is>
      </c>
      <c r="E56" s="6" t="inlineStr">
        <is>
          <t>32</t>
        </is>
      </c>
      <c r="F56" s="6" t="inlineStr">
        <is>
          <t>стандарт</t>
        </is>
      </c>
      <c r="G56" s="6" t="inlineStr">
        <is>
          <t>2.5</t>
        </is>
      </c>
      <c r="H56" s="6" t="inlineStr">
        <is>
          <t>от -40°С до +425°С</t>
        </is>
      </c>
      <c r="I56" s="6" t="inlineStr">
        <is>
          <t>Среды жидкие и газообразные по отношению, к которым уплотнения и детали крана коррозиестойки (вода, пар, газообразные смеси, нефтепродукты и т.п.)</t>
        </is>
      </c>
      <c r="J56" s="6" t="inlineStr">
        <is>
          <t>сталь 20Л.</t>
        </is>
      </c>
      <c r="K56" s="6" t="inlineStr">
        <is>
          <t>У1</t>
        </is>
      </c>
      <c r="L56" s="6" t="inlineStr">
        <is>
          <t>фланцевый</t>
        </is>
      </c>
      <c r="M56" s="6" t="inlineStr"/>
      <c r="N56" s="6" t="inlineStr"/>
      <c r="O56" s="6" t="inlineStr">
        <is>
          <t>вертикальное, колпаком вверх</t>
        </is>
      </c>
      <c r="P56" s="6" t="inlineStr">
        <is>
          <t>ручное - маховик (многооборотное)  Корпусные детали: Сталь 20Л, 20ГЛ.
Тарельчатый затвор: Сталь 20Л, 20ГЛ с наплавкой из стали 20Х13.
Уплотнения сальника: ТРГ.
Уплотнения затвора: металл по металлу.
Коэффициент гидравлического сопротивления: не более 5.
Монтаж односторонний по стрелке на корпусе, подача среды под тарельчатый затвор.</t>
        </is>
      </c>
      <c r="Q56" s="6" t="inlineStr"/>
      <c r="R56" s="6" t="inlineStr"/>
      <c r="S56" s="5" t="n">
        <v>1</v>
      </c>
      <c r="T56" s="6" t="inlineStr">
        <is>
          <t>шт</t>
        </is>
      </c>
      <c r="U56" s="7" t="n"/>
      <c r="V56" s="8" t="inlineStr">
        <is>
          <t>ООО «Пермский трубопроводный завод»</t>
        </is>
      </c>
      <c r="W56" s="8" t="inlineStr">
        <is>
          <t>Россия</t>
        </is>
      </c>
      <c r="X56" s="8" t="inlineStr">
        <is>
          <t>10698937</t>
        </is>
      </c>
      <c r="Y56" s="8" t="inlineStr">
        <is>
          <t>17.02.2031</t>
        </is>
      </c>
      <c r="Z56" s="7" t="n"/>
      <c r="AA56" s="9" t="n"/>
      <c r="AB56" s="10">
        <f>AA56*S56</f>
        <v/>
      </c>
      <c r="AC56" s="7" t="n"/>
      <c r="AD56" s="7" t="n"/>
      <c r="AE56" s="7" t="n"/>
    </row>
    <row r="57" ht="60" customHeight="1">
      <c r="A57" s="5" t="n">
        <v>52</v>
      </c>
      <c r="B57" s="6" t="inlineStr">
        <is>
          <t>1.6/26</t>
        </is>
      </c>
      <c r="C57" s="6" t="inlineStr">
        <is>
          <t>Клапан запорный 15нж65нж Ду 80 Ру 16</t>
        </is>
      </c>
      <c r="D57" s="6" t="inlineStr">
        <is>
          <t>ГОСТ 33423-2015</t>
        </is>
      </c>
      <c r="E57" s="6" t="inlineStr">
        <is>
          <t>80</t>
        </is>
      </c>
      <c r="F57" s="6" t="inlineStr">
        <is>
          <t>стандарт</t>
        </is>
      </c>
      <c r="G57" s="6" t="inlineStr">
        <is>
          <t>1.6</t>
        </is>
      </c>
      <c r="H57" s="6" t="inlineStr">
        <is>
          <t>от -60 до +560</t>
        </is>
      </c>
      <c r="I57" s="6" t="inlineStr">
        <is>
          <t>нефть, нефтепродукты, природный и топливный газ, аммиак, вода, пар</t>
        </is>
      </c>
      <c r="J57" s="6" t="inlineStr">
        <is>
          <t>сталь AISI 304</t>
        </is>
      </c>
      <c r="K57" s="6" t="inlineStr">
        <is>
          <t>УХЛ1</t>
        </is>
      </c>
      <c r="L57" s="6" t="inlineStr">
        <is>
          <t>фланцевый</t>
        </is>
      </c>
      <c r="M57" s="6" t="inlineStr">
        <is>
          <t>ручной (маховик)</t>
        </is>
      </c>
      <c r="N57" s="6" t="inlineStr">
        <is>
          <t>-</t>
        </is>
      </c>
      <c r="O57" s="6" t="inlineStr">
        <is>
          <t>управляющим органом вверх</t>
        </is>
      </c>
      <c r="P57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57" s="6" t="inlineStr">
        <is>
          <t>-</t>
        </is>
      </c>
      <c r="R57" s="6" t="inlineStr">
        <is>
          <t>-</t>
        </is>
      </c>
      <c r="S57" s="5" t="n">
        <v>1</v>
      </c>
      <c r="T57" s="6" t="inlineStr">
        <is>
          <t>шт</t>
        </is>
      </c>
      <c r="U57" s="7" t="n"/>
      <c r="V57" s="8" t="inlineStr">
        <is>
          <t>ООО «Пермский трубопроводный завод»</t>
        </is>
      </c>
      <c r="W57" s="8" t="inlineStr">
        <is>
          <t>Россия</t>
        </is>
      </c>
      <c r="X57" s="8" t="inlineStr">
        <is>
          <t>10698937</t>
        </is>
      </c>
      <c r="Y57" s="8" t="inlineStr">
        <is>
          <t>17.02.2031</t>
        </is>
      </c>
      <c r="Z57" s="7" t="n"/>
      <c r="AA57" s="9" t="n"/>
      <c r="AB57" s="10">
        <f>AA57*S57</f>
        <v/>
      </c>
      <c r="AC57" s="7" t="n"/>
      <c r="AD57" s="7" t="n"/>
      <c r="AE57" s="7" t="n"/>
    </row>
    <row r="58" ht="60" customHeight="1">
      <c r="A58" s="5" t="n">
        <v>53</v>
      </c>
      <c r="B58" s="6" t="inlineStr">
        <is>
          <t>1.6/27</t>
        </is>
      </c>
      <c r="C58" s="6" t="inlineStr">
        <is>
          <t>Клапан запорный 15нж65нж Ду 100 Ру 16</t>
        </is>
      </c>
      <c r="D58" s="6" t="inlineStr">
        <is>
          <t>ГОСТ 33423-2015</t>
        </is>
      </c>
      <c r="E58" s="6" t="inlineStr">
        <is>
          <t>100</t>
        </is>
      </c>
      <c r="F58" s="6" t="inlineStr">
        <is>
          <t>стандарт</t>
        </is>
      </c>
      <c r="G58" s="6" t="inlineStr">
        <is>
          <t>1.6</t>
        </is>
      </c>
      <c r="H58" s="6" t="inlineStr">
        <is>
          <t>от -60 до +560</t>
        </is>
      </c>
      <c r="I58" s="6" t="inlineStr">
        <is>
          <t>нефть, нефтепродукты, природный и топливный газ, аммиак, вода, пар</t>
        </is>
      </c>
      <c r="J58" s="6" t="inlineStr">
        <is>
          <t>сталь AISI 304</t>
        </is>
      </c>
      <c r="K58" s="6" t="inlineStr">
        <is>
          <t>УХЛ1</t>
        </is>
      </c>
      <c r="L58" s="6" t="inlineStr">
        <is>
          <t>фланцевый</t>
        </is>
      </c>
      <c r="M58" s="6" t="inlineStr">
        <is>
          <t>ручной (маховик)</t>
        </is>
      </c>
      <c r="N58" s="6" t="inlineStr">
        <is>
          <t>-</t>
        </is>
      </c>
      <c r="O58" s="6" t="inlineStr">
        <is>
          <t>управляющим органом вверх</t>
        </is>
      </c>
      <c r="P58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58" s="6" t="inlineStr">
        <is>
          <t>-</t>
        </is>
      </c>
      <c r="R58" s="6" t="inlineStr">
        <is>
          <t>-</t>
        </is>
      </c>
      <c r="S58" s="5" t="n">
        <v>1</v>
      </c>
      <c r="T58" s="6" t="inlineStr">
        <is>
          <t>шт</t>
        </is>
      </c>
      <c r="U58" s="7" t="n"/>
      <c r="V58" s="8" t="inlineStr">
        <is>
          <t>ООО «Пермский трубопроводный завод»</t>
        </is>
      </c>
      <c r="W58" s="8" t="inlineStr">
        <is>
          <t>Россия</t>
        </is>
      </c>
      <c r="X58" s="8" t="inlineStr">
        <is>
          <t>10698937</t>
        </is>
      </c>
      <c r="Y58" s="8" t="inlineStr">
        <is>
          <t>17.02.2031</t>
        </is>
      </c>
      <c r="Z58" s="7" t="n"/>
      <c r="AA58" s="9" t="n"/>
      <c r="AB58" s="10">
        <f>AA58*S58</f>
        <v/>
      </c>
      <c r="AC58" s="7" t="n"/>
      <c r="AD58" s="7" t="n"/>
      <c r="AE58" s="7" t="n"/>
    </row>
    <row r="59" ht="60" customHeight="1">
      <c r="A59" s="5" t="n">
        <v>54</v>
      </c>
      <c r="B59" s="6" t="inlineStr">
        <is>
          <t>1.6/28</t>
        </is>
      </c>
      <c r="C59" s="6" t="inlineStr">
        <is>
          <t>Клапан запорный 15нж65нж Ду 32 Ру 16</t>
        </is>
      </c>
      <c r="D59" s="6" t="inlineStr">
        <is>
          <t>ГОСТ 33423-2015</t>
        </is>
      </c>
      <c r="E59" s="6" t="inlineStr">
        <is>
          <t>32</t>
        </is>
      </c>
      <c r="F59" s="6" t="inlineStr">
        <is>
          <t>стандарт</t>
        </is>
      </c>
      <c r="G59" s="6" t="inlineStr">
        <is>
          <t>1.6</t>
        </is>
      </c>
      <c r="H59" s="6" t="inlineStr">
        <is>
          <t>от -60 до +560</t>
        </is>
      </c>
      <c r="I59" s="6" t="inlineStr">
        <is>
          <t>нефть, нефтепродукты, природный и топливный газ, аммиак, вода, пар</t>
        </is>
      </c>
      <c r="J59" s="6" t="inlineStr">
        <is>
          <t>сталь AISI 304</t>
        </is>
      </c>
      <c r="K59" s="6" t="inlineStr">
        <is>
          <t>УХЛ1</t>
        </is>
      </c>
      <c r="L59" s="6" t="inlineStr">
        <is>
          <t>фланцевый</t>
        </is>
      </c>
      <c r="M59" s="6" t="inlineStr">
        <is>
          <t>ручной (маховик)</t>
        </is>
      </c>
      <c r="N59" s="6" t="inlineStr">
        <is>
          <t>-</t>
        </is>
      </c>
      <c r="O59" s="6" t="inlineStr">
        <is>
          <t>управляющим органом вверх</t>
        </is>
      </c>
      <c r="P59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59" s="6" t="inlineStr">
        <is>
          <t>-</t>
        </is>
      </c>
      <c r="R59" s="6" t="inlineStr">
        <is>
          <t>-</t>
        </is>
      </c>
      <c r="S59" s="5" t="n">
        <v>1</v>
      </c>
      <c r="T59" s="6" t="inlineStr">
        <is>
          <t>шт</t>
        </is>
      </c>
      <c r="U59" s="7" t="n"/>
      <c r="V59" s="8" t="inlineStr">
        <is>
          <t>ООО «Пермский трубопроводный завод»</t>
        </is>
      </c>
      <c r="W59" s="8" t="inlineStr">
        <is>
          <t>Россия</t>
        </is>
      </c>
      <c r="X59" s="8" t="inlineStr">
        <is>
          <t>10698937</t>
        </is>
      </c>
      <c r="Y59" s="8" t="inlineStr">
        <is>
          <t>17.02.2031</t>
        </is>
      </c>
      <c r="Z59" s="7" t="n"/>
      <c r="AA59" s="9" t="n"/>
      <c r="AB59" s="10">
        <f>AA59*S59</f>
        <v/>
      </c>
      <c r="AC59" s="7" t="n"/>
      <c r="AD59" s="7" t="n"/>
      <c r="AE59" s="7" t="n"/>
    </row>
    <row r="60" ht="60" customHeight="1">
      <c r="A60" s="5" t="n">
        <v>55</v>
      </c>
      <c r="B60" s="6" t="inlineStr">
        <is>
          <t>1.6/29</t>
        </is>
      </c>
      <c r="C60" s="6" t="inlineStr">
        <is>
          <t>Клапан стальной запорный фланцевый 15с18нж Ду 32 Ру 16</t>
        </is>
      </c>
      <c r="D60" s="6" t="inlineStr">
        <is>
          <t>ГОСТ 33423-2015</t>
        </is>
      </c>
      <c r="E60" s="6" t="inlineStr">
        <is>
          <t>32</t>
        </is>
      </c>
      <c r="F60" s="6" t="inlineStr">
        <is>
          <t>стандарт</t>
        </is>
      </c>
      <c r="G60" s="6" t="inlineStr">
        <is>
          <t>1.6</t>
        </is>
      </c>
      <c r="H60" s="6" t="inlineStr">
        <is>
          <t>от -40°С до +425°С</t>
        </is>
      </c>
      <c r="I60" s="6" t="inlineStr">
        <is>
          <t>Жидкие и газообразные среды, в том числе хлорсодержащие с содержанием влаги в хлоре не более 0,04%, по отношению к которым применяемые материалы коррозионностойки</t>
        </is>
      </c>
      <c r="J60" s="6" t="inlineStr">
        <is>
          <t>Углеродистая сталь</t>
        </is>
      </c>
      <c r="K60" s="6" t="inlineStr">
        <is>
          <t>У1</t>
        </is>
      </c>
      <c r="L60" s="6" t="inlineStr">
        <is>
          <t>фланцевый</t>
        </is>
      </c>
      <c r="M60" s="6" t="inlineStr">
        <is>
          <t>ручной (маховик)</t>
        </is>
      </c>
      <c r="N60" s="6" t="inlineStr">
        <is>
          <t>-</t>
        </is>
      </c>
      <c r="O60" s="6" t="inlineStr">
        <is>
          <t>-</t>
        </is>
      </c>
      <c r="P60" s="6" t="inlineStr">
        <is>
          <t>-</t>
        </is>
      </c>
      <c r="Q60" s="6" t="inlineStr"/>
      <c r="R60" s="6" t="inlineStr"/>
      <c r="S60" s="5" t="n">
        <v>2</v>
      </c>
      <c r="T60" s="6" t="inlineStr">
        <is>
          <t>шт</t>
        </is>
      </c>
      <c r="U60" s="7" t="n"/>
      <c r="V60" s="8" t="inlineStr">
        <is>
          <t>ООО «Пермский трубопроводный завод»</t>
        </is>
      </c>
      <c r="W60" s="8" t="inlineStr">
        <is>
          <t>Россия</t>
        </is>
      </c>
      <c r="X60" s="8" t="inlineStr">
        <is>
          <t>10698937</t>
        </is>
      </c>
      <c r="Y60" s="8" t="inlineStr">
        <is>
          <t>17.02.2031</t>
        </is>
      </c>
      <c r="Z60" s="7" t="n"/>
      <c r="AA60" s="9" t="n"/>
      <c r="AB60" s="10">
        <f>AA60*S60</f>
        <v/>
      </c>
      <c r="AC60" s="7" t="n"/>
      <c r="AD60" s="7" t="n"/>
      <c r="AE60" s="7" t="n"/>
    </row>
    <row r="61" ht="60" customHeight="1">
      <c r="A61" s="5" t="n">
        <v>56</v>
      </c>
      <c r="B61" s="6" t="inlineStr">
        <is>
          <t>1.6/30</t>
        </is>
      </c>
      <c r="C61" s="6" t="inlineStr">
        <is>
          <t>Клапан запорный 15с18п Ду 80 Ру 25</t>
        </is>
      </c>
      <c r="D61" s="6" t="inlineStr">
        <is>
          <t>ГОСТ 33423-2015</t>
        </is>
      </c>
      <c r="E61" s="6" t="inlineStr">
        <is>
          <t>80</t>
        </is>
      </c>
      <c r="F61" s="6" t="inlineStr">
        <is>
          <t>стандарт</t>
        </is>
      </c>
      <c r="G61" s="6" t="inlineStr">
        <is>
          <t>2.5</t>
        </is>
      </c>
      <c r="H61" s="6" t="inlineStr">
        <is>
          <t>от -40 до +150 °С</t>
        </is>
      </c>
      <c r="I61" s="6" t="inlineStr">
        <is>
          <t>аммиак при температуре от -40 до +150 °С; топливный газ при температуре до 100°С</t>
        </is>
      </c>
      <c r="J61" s="6" t="inlineStr">
        <is>
          <t>сталь 25Л</t>
        </is>
      </c>
      <c r="K61" s="6" t="inlineStr">
        <is>
          <t>-</t>
        </is>
      </c>
      <c r="L61" s="6" t="inlineStr">
        <is>
          <t>фланцевый</t>
        </is>
      </c>
      <c r="M61" s="6" t="inlineStr">
        <is>
          <t>ручной (маховик)</t>
        </is>
      </c>
      <c r="N61" s="6" t="inlineStr">
        <is>
          <t>-</t>
        </is>
      </c>
      <c r="O61" s="6" t="inlineStr">
        <is>
          <t>-</t>
        </is>
      </c>
      <c r="P61" s="6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61" s="6" t="inlineStr"/>
      <c r="R61" s="6" t="inlineStr"/>
      <c r="S61" s="5" t="n">
        <v>1</v>
      </c>
      <c r="T61" s="6" t="inlineStr">
        <is>
          <t>шт</t>
        </is>
      </c>
      <c r="U61" s="7" t="n"/>
      <c r="V61" s="8" t="inlineStr">
        <is>
          <t>ООО «Пермский трубопроводный завод»</t>
        </is>
      </c>
      <c r="W61" s="8" t="inlineStr">
        <is>
          <t>Россия</t>
        </is>
      </c>
      <c r="X61" s="8" t="inlineStr">
        <is>
          <t>10698937</t>
        </is>
      </c>
      <c r="Y61" s="8" t="inlineStr">
        <is>
          <t>17.02.2031</t>
        </is>
      </c>
      <c r="Z61" s="7" t="n"/>
      <c r="AA61" s="9" t="n"/>
      <c r="AB61" s="10">
        <f>AA61*S61</f>
        <v/>
      </c>
      <c r="AC61" s="7" t="n"/>
      <c r="AD61" s="7" t="n"/>
      <c r="AE61" s="7" t="n"/>
    </row>
    <row r="62" ht="60" customHeight="1">
      <c r="A62" s="5" t="n">
        <v>57</v>
      </c>
      <c r="B62" s="6" t="inlineStr">
        <is>
          <t>1.6/31</t>
        </is>
      </c>
      <c r="C62" s="6" t="inlineStr">
        <is>
          <t>Клапан запорный 15с18п Ду 100 Ру 25</t>
        </is>
      </c>
      <c r="D62" s="6" t="inlineStr">
        <is>
          <t>ГОСТ 33423-2015</t>
        </is>
      </c>
      <c r="E62" s="6" t="inlineStr">
        <is>
          <t>100</t>
        </is>
      </c>
      <c r="F62" s="6" t="inlineStr">
        <is>
          <t>стандарт</t>
        </is>
      </c>
      <c r="G62" s="6" t="inlineStr">
        <is>
          <t>2.5</t>
        </is>
      </c>
      <c r="H62" s="6" t="inlineStr">
        <is>
          <t>от -40 до +150 °С</t>
        </is>
      </c>
      <c r="I62" s="6" t="inlineStr">
        <is>
          <t>аммиак при температуре от -40 до +150 °С; топливный газ при температуре до 100°С</t>
        </is>
      </c>
      <c r="J62" s="6" t="inlineStr">
        <is>
          <t>сталь 25Л</t>
        </is>
      </c>
      <c r="K62" s="6" t="inlineStr">
        <is>
          <t>-</t>
        </is>
      </c>
      <c r="L62" s="6" t="inlineStr">
        <is>
          <t>фланцевый</t>
        </is>
      </c>
      <c r="M62" s="6" t="inlineStr">
        <is>
          <t>ручной (маховик)</t>
        </is>
      </c>
      <c r="N62" s="6" t="inlineStr">
        <is>
          <t>-</t>
        </is>
      </c>
      <c r="O62" s="6" t="inlineStr">
        <is>
          <t>-</t>
        </is>
      </c>
      <c r="P62" s="6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62" s="6" t="inlineStr"/>
      <c r="R62" s="6" t="inlineStr"/>
      <c r="S62" s="5" t="n">
        <v>1</v>
      </c>
      <c r="T62" s="6" t="inlineStr">
        <is>
          <t>шт</t>
        </is>
      </c>
      <c r="U62" s="7" t="n"/>
      <c r="V62" s="8" t="inlineStr">
        <is>
          <t>ООО «Пермский трубопроводный завод»</t>
        </is>
      </c>
      <c r="W62" s="8" t="inlineStr">
        <is>
          <t>Россия</t>
        </is>
      </c>
      <c r="X62" s="8" t="inlineStr">
        <is>
          <t>10698937</t>
        </is>
      </c>
      <c r="Y62" s="8" t="inlineStr">
        <is>
          <t>17.02.2031</t>
        </is>
      </c>
      <c r="Z62" s="7" t="n"/>
      <c r="AA62" s="9" t="n"/>
      <c r="AB62" s="10">
        <f>AA62*S62</f>
        <v/>
      </c>
      <c r="AC62" s="7" t="n"/>
      <c r="AD62" s="7" t="n"/>
      <c r="AE62" s="7" t="n"/>
    </row>
    <row r="63" ht="60" customHeight="1">
      <c r="A63" s="5" t="n">
        <v>58</v>
      </c>
      <c r="B63" s="6" t="inlineStr">
        <is>
          <t>1.6/32</t>
        </is>
      </c>
      <c r="C63" s="6" t="inlineStr">
        <is>
          <t>Клапан запорный 15с22нж Ду 25 Ру 40</t>
        </is>
      </c>
      <c r="D63" s="6" t="inlineStr">
        <is>
          <t>ТУ 3740-002-30995032-2014</t>
        </is>
      </c>
      <c r="E63" s="6" t="inlineStr">
        <is>
          <t>25</t>
        </is>
      </c>
      <c r="F63" s="6" t="inlineStr">
        <is>
          <t>стандарт</t>
        </is>
      </c>
      <c r="G63" s="6" t="inlineStr">
        <is>
          <t>4</t>
        </is>
      </c>
      <c r="H63" s="6" t="inlineStr">
        <is>
          <t>до +425</t>
        </is>
      </c>
      <c r="I63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63" s="6" t="inlineStr">
        <is>
          <t>сталь 25Л</t>
        </is>
      </c>
      <c r="K63" s="6" t="inlineStr">
        <is>
          <t>Температура окружающей среды от -40 до +40 °C</t>
        </is>
      </c>
      <c r="L63" s="6" t="inlineStr">
        <is>
          <t>фланцевый</t>
        </is>
      </c>
      <c r="M63" s="6" t="inlineStr">
        <is>
          <t>ручной (маховик)</t>
        </is>
      </c>
      <c r="N63" s="6" t="inlineStr">
        <is>
          <t>-</t>
        </is>
      </c>
      <c r="O63" s="6" t="inlineStr">
        <is>
          <t>любое</t>
        </is>
      </c>
      <c r="P63" s="6" t="inlineStr">
        <is>
          <t>Золотник: Сталь 20Х13
Шпиндель: Сталь 20Х13
Контргайка: Сталь 35
Маховик: Сталь 25Л</t>
        </is>
      </c>
      <c r="Q63" s="6" t="inlineStr">
        <is>
          <t>-</t>
        </is>
      </c>
      <c r="R63" s="6" t="inlineStr">
        <is>
          <t>-</t>
        </is>
      </c>
      <c r="S63" s="5" t="n">
        <v>1</v>
      </c>
      <c r="T63" s="6" t="inlineStr">
        <is>
          <t>шт</t>
        </is>
      </c>
      <c r="U63" s="7" t="n"/>
      <c r="V63" s="8" t="inlineStr">
        <is>
          <t>ООО «Пермский трубопроводный завод»</t>
        </is>
      </c>
      <c r="W63" s="8" t="inlineStr">
        <is>
          <t>Россия</t>
        </is>
      </c>
      <c r="X63" s="8" t="inlineStr">
        <is>
          <t>10698937</t>
        </is>
      </c>
      <c r="Y63" s="8" t="inlineStr">
        <is>
          <t>17.02.2031</t>
        </is>
      </c>
      <c r="Z63" s="7" t="n"/>
      <c r="AA63" s="9" t="n"/>
      <c r="AB63" s="10">
        <f>AA63*S63</f>
        <v/>
      </c>
      <c r="AC63" s="7" t="n"/>
      <c r="AD63" s="7" t="n"/>
      <c r="AE63" s="7" t="n"/>
    </row>
    <row r="64" ht="60" customHeight="1">
      <c r="A64" s="5" t="n">
        <v>59</v>
      </c>
      <c r="B64" s="6" t="inlineStr">
        <is>
          <t>1.6/33</t>
        </is>
      </c>
      <c r="C64" s="6" t="inlineStr">
        <is>
          <t>Клапан запорный 15с22нж Ду 32 Ру 40</t>
        </is>
      </c>
      <c r="D64" s="6" t="inlineStr">
        <is>
          <t>ТУ 3740-002-30995032-2014</t>
        </is>
      </c>
      <c r="E64" s="6" t="inlineStr">
        <is>
          <t>32</t>
        </is>
      </c>
      <c r="F64" s="6" t="inlineStr">
        <is>
          <t>стандарт</t>
        </is>
      </c>
      <c r="G64" s="6" t="inlineStr">
        <is>
          <t>4</t>
        </is>
      </c>
      <c r="H64" s="6" t="inlineStr">
        <is>
          <t>до +425</t>
        </is>
      </c>
      <c r="I64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64" s="6" t="inlineStr">
        <is>
          <t>сталь 25Л</t>
        </is>
      </c>
      <c r="K64" s="6" t="inlineStr">
        <is>
          <t>Температура окружающей среды от -40 до +40 °C</t>
        </is>
      </c>
      <c r="L64" s="6" t="inlineStr">
        <is>
          <t>фланцевый</t>
        </is>
      </c>
      <c r="M64" s="6" t="inlineStr">
        <is>
          <t>ручной (маховик)</t>
        </is>
      </c>
      <c r="N64" s="6" t="inlineStr">
        <is>
          <t>-</t>
        </is>
      </c>
      <c r="O64" s="6" t="inlineStr">
        <is>
          <t>любое</t>
        </is>
      </c>
      <c r="P64" s="6" t="inlineStr">
        <is>
          <t>Золотник: Сталь 20Х13
Шпиндель: Сталь 20Х13
Контргайка: Сталь 35
Маховик: Сталь 25Л</t>
        </is>
      </c>
      <c r="Q64" s="6" t="inlineStr">
        <is>
          <t>-</t>
        </is>
      </c>
      <c r="R64" s="6" t="inlineStr">
        <is>
          <t>-</t>
        </is>
      </c>
      <c r="S64" s="5" t="n">
        <v>5</v>
      </c>
      <c r="T64" s="6" t="inlineStr">
        <is>
          <t>шт</t>
        </is>
      </c>
      <c r="U64" s="7" t="n"/>
      <c r="V64" s="8" t="inlineStr">
        <is>
          <t>ООО «Пермский трубопроводный завод»</t>
        </is>
      </c>
      <c r="W64" s="8" t="inlineStr">
        <is>
          <t>Россия</t>
        </is>
      </c>
      <c r="X64" s="8" t="inlineStr">
        <is>
          <t>10698937</t>
        </is>
      </c>
      <c r="Y64" s="8" t="inlineStr">
        <is>
          <t>17.02.2031</t>
        </is>
      </c>
      <c r="Z64" s="7" t="n"/>
      <c r="AA64" s="9" t="n"/>
      <c r="AB64" s="10">
        <f>AA64*S64</f>
        <v/>
      </c>
      <c r="AC64" s="7" t="n"/>
      <c r="AD64" s="7" t="n"/>
      <c r="AE64" s="7" t="n"/>
    </row>
    <row r="65" ht="60" customHeight="1">
      <c r="A65" s="5" t="n">
        <v>60</v>
      </c>
      <c r="B65" s="6" t="inlineStr">
        <is>
          <t>1.6/34</t>
        </is>
      </c>
      <c r="C65" s="6" t="inlineStr">
        <is>
          <t>Клапан запорный 15с22нж Ду 40 Ру 40</t>
        </is>
      </c>
      <c r="D65" s="6" t="inlineStr">
        <is>
          <t>ТУ 3740-002-30995032-2014</t>
        </is>
      </c>
      <c r="E65" s="6" t="inlineStr">
        <is>
          <t>40</t>
        </is>
      </c>
      <c r="F65" s="6" t="inlineStr">
        <is>
          <t>стандарт</t>
        </is>
      </c>
      <c r="G65" s="6" t="inlineStr">
        <is>
          <t>4</t>
        </is>
      </c>
      <c r="H65" s="6" t="inlineStr">
        <is>
          <t>до +425</t>
        </is>
      </c>
      <c r="I65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65" s="6" t="inlineStr">
        <is>
          <t>сталь 25Л</t>
        </is>
      </c>
      <c r="K65" s="6" t="inlineStr">
        <is>
          <t>Температура окружающей среды от -40 до +40 °C</t>
        </is>
      </c>
      <c r="L65" s="6" t="inlineStr">
        <is>
          <t>фланцевый</t>
        </is>
      </c>
      <c r="M65" s="6" t="inlineStr">
        <is>
          <t>ручной (маховик)</t>
        </is>
      </c>
      <c r="N65" s="6" t="inlineStr">
        <is>
          <t>-</t>
        </is>
      </c>
      <c r="O65" s="6" t="inlineStr">
        <is>
          <t>любое</t>
        </is>
      </c>
      <c r="P65" s="6" t="inlineStr">
        <is>
          <t>Золотник: Сталь 20Х13
Шпиндель: Сталь 20Х13
Контргайка: Сталь 35
Маховик: Сталь 25Л</t>
        </is>
      </c>
      <c r="Q65" s="6" t="inlineStr">
        <is>
          <t>-</t>
        </is>
      </c>
      <c r="R65" s="6" t="inlineStr">
        <is>
          <t>-</t>
        </is>
      </c>
      <c r="S65" s="5" t="n">
        <v>2</v>
      </c>
      <c r="T65" s="6" t="inlineStr">
        <is>
          <t>шт</t>
        </is>
      </c>
      <c r="U65" s="7" t="n"/>
      <c r="V65" s="8" t="inlineStr">
        <is>
          <t>ООО «Пермский трубопроводный завод»</t>
        </is>
      </c>
      <c r="W65" s="8" t="inlineStr">
        <is>
          <t>Россия</t>
        </is>
      </c>
      <c r="X65" s="8" t="inlineStr">
        <is>
          <t>10698937</t>
        </is>
      </c>
      <c r="Y65" s="8" t="inlineStr">
        <is>
          <t>17.02.2031</t>
        </is>
      </c>
      <c r="Z65" s="7" t="n"/>
      <c r="AA65" s="9" t="n"/>
      <c r="AB65" s="10">
        <f>AA65*S65</f>
        <v/>
      </c>
      <c r="AC65" s="7" t="n"/>
      <c r="AD65" s="7" t="n"/>
      <c r="AE65" s="7" t="n"/>
    </row>
    <row r="66" ht="60" customHeight="1">
      <c r="A66" s="5" t="n">
        <v>61</v>
      </c>
      <c r="B66" s="6" t="inlineStr">
        <is>
          <t>1.6/35</t>
        </is>
      </c>
      <c r="C66" s="6" t="inlineStr">
        <is>
          <t>Клапан запорный 15с22нж Ду 50 Ру 40</t>
        </is>
      </c>
      <c r="D66" s="6" t="inlineStr">
        <is>
          <t>ТУ 3740-002-30995032-2014</t>
        </is>
      </c>
      <c r="E66" s="6" t="inlineStr">
        <is>
          <t>50</t>
        </is>
      </c>
      <c r="F66" s="6" t="inlineStr">
        <is>
          <t>стандарт</t>
        </is>
      </c>
      <c r="G66" s="6" t="inlineStr">
        <is>
          <t>4</t>
        </is>
      </c>
      <c r="H66" s="6" t="inlineStr">
        <is>
          <t>до +425</t>
        </is>
      </c>
      <c r="I66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66" s="6" t="inlineStr">
        <is>
          <t>сталь 25Л</t>
        </is>
      </c>
      <c r="K66" s="6" t="inlineStr">
        <is>
          <t>Температура окружающей среды от -40 до +40 °C</t>
        </is>
      </c>
      <c r="L66" s="6" t="inlineStr">
        <is>
          <t>фланцевый</t>
        </is>
      </c>
      <c r="M66" s="6" t="inlineStr">
        <is>
          <t>ручной (маховик)</t>
        </is>
      </c>
      <c r="N66" s="6" t="inlineStr">
        <is>
          <t>-</t>
        </is>
      </c>
      <c r="O66" s="6" t="inlineStr">
        <is>
          <t>любое</t>
        </is>
      </c>
      <c r="P66" s="6" t="inlineStr">
        <is>
          <t>Золотник: Сталь 20Х13
Шпиндель: Сталь 20Х13
Контргайка: Сталь 35
Маховик: Сталь 25Л</t>
        </is>
      </c>
      <c r="Q66" s="6" t="inlineStr">
        <is>
          <t>-</t>
        </is>
      </c>
      <c r="R66" s="6" t="inlineStr">
        <is>
          <t>-</t>
        </is>
      </c>
      <c r="S66" s="5" t="n">
        <v>4</v>
      </c>
      <c r="T66" s="6" t="inlineStr">
        <is>
          <t>шт</t>
        </is>
      </c>
      <c r="U66" s="7" t="n"/>
      <c r="V66" s="8" t="inlineStr">
        <is>
          <t>ООО «Пермский трубопроводный завод»</t>
        </is>
      </c>
      <c r="W66" s="8" t="inlineStr">
        <is>
          <t>Россия</t>
        </is>
      </c>
      <c r="X66" s="8" t="inlineStr">
        <is>
          <t>10698937</t>
        </is>
      </c>
      <c r="Y66" s="8" t="inlineStr">
        <is>
          <t>17.02.2031</t>
        </is>
      </c>
      <c r="Z66" s="7" t="n"/>
      <c r="AA66" s="9" t="n"/>
      <c r="AB66" s="10">
        <f>AA66*S66</f>
        <v/>
      </c>
      <c r="AC66" s="7" t="n"/>
      <c r="AD66" s="7" t="n"/>
      <c r="AE66" s="7" t="n"/>
    </row>
    <row r="67" ht="60" customHeight="1">
      <c r="A67" s="5" t="n">
        <v>62</v>
      </c>
      <c r="B67" s="6" t="inlineStr">
        <is>
          <t>1.6/36</t>
        </is>
      </c>
      <c r="C67" s="6" t="inlineStr">
        <is>
          <t>Клапан запорный 15с22нж Ду 80 Ру 40</t>
        </is>
      </c>
      <c r="D67" s="6" t="inlineStr">
        <is>
          <t>ТУ 3740-002-30995032-2014</t>
        </is>
      </c>
      <c r="E67" s="6" t="inlineStr">
        <is>
          <t>80</t>
        </is>
      </c>
      <c r="F67" s="6" t="inlineStr">
        <is>
          <t>стандарт</t>
        </is>
      </c>
      <c r="G67" s="6" t="inlineStr">
        <is>
          <t>4</t>
        </is>
      </c>
      <c r="H67" s="6" t="inlineStr">
        <is>
          <t>до +425</t>
        </is>
      </c>
      <c r="I67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67" s="6" t="inlineStr">
        <is>
          <t>сталь 25Л</t>
        </is>
      </c>
      <c r="K67" s="6" t="inlineStr">
        <is>
          <t>Температура окружающей среды от -40 до +40 °C</t>
        </is>
      </c>
      <c r="L67" s="6" t="inlineStr">
        <is>
          <t>фланцевый</t>
        </is>
      </c>
      <c r="M67" s="6" t="inlineStr">
        <is>
          <t>ручной (маховик)</t>
        </is>
      </c>
      <c r="N67" s="6" t="inlineStr">
        <is>
          <t>-</t>
        </is>
      </c>
      <c r="O67" s="6" t="inlineStr">
        <is>
          <t>любое</t>
        </is>
      </c>
      <c r="P67" s="6" t="inlineStr">
        <is>
          <t>Золотник: Сталь 20Х13
Шпиндель: Сталь 20Х13
Контргайка: Сталь 35
Маховик: Сталь 25Л</t>
        </is>
      </c>
      <c r="Q67" s="6" t="inlineStr">
        <is>
          <t>-</t>
        </is>
      </c>
      <c r="R67" s="6" t="inlineStr">
        <is>
          <t>-</t>
        </is>
      </c>
      <c r="S67" s="5" t="n">
        <v>2</v>
      </c>
      <c r="T67" s="6" t="inlineStr">
        <is>
          <t>шт</t>
        </is>
      </c>
      <c r="U67" s="7" t="n"/>
      <c r="V67" s="8" t="inlineStr">
        <is>
          <t>ООО «Пермский трубопроводный завод»</t>
        </is>
      </c>
      <c r="W67" s="8" t="inlineStr">
        <is>
          <t>Россия</t>
        </is>
      </c>
      <c r="X67" s="8" t="inlineStr">
        <is>
          <t>10698937</t>
        </is>
      </c>
      <c r="Y67" s="8" t="inlineStr">
        <is>
          <t>17.02.2031</t>
        </is>
      </c>
      <c r="Z67" s="7" t="n"/>
      <c r="AA67" s="9" t="n"/>
      <c r="AB67" s="10">
        <f>AA67*S67</f>
        <v/>
      </c>
      <c r="AC67" s="7" t="n"/>
      <c r="AD67" s="7" t="n"/>
      <c r="AE67" s="7" t="n"/>
    </row>
    <row r="68" ht="60" customHeight="1">
      <c r="A68" s="5" t="n">
        <v>63</v>
      </c>
      <c r="B68" s="6" t="inlineStr">
        <is>
          <t>1.6/37</t>
        </is>
      </c>
      <c r="C68" s="6" t="inlineStr">
        <is>
          <t>Клапан запорный 15с65нж Ду 100 Ру 16 с КОФ</t>
        </is>
      </c>
      <c r="D68" s="6" t="inlineStr">
        <is>
          <t>ТУ У 32200218325-004-94</t>
        </is>
      </c>
      <c r="E68" s="6" t="inlineStr">
        <is>
          <t>100</t>
        </is>
      </c>
      <c r="F68" s="6" t="inlineStr">
        <is>
          <t>стандарт</t>
        </is>
      </c>
      <c r="G68" s="6" t="inlineStr">
        <is>
          <t>1.6</t>
        </is>
      </c>
      <c r="H68" s="6" t="inlineStr">
        <is>
          <t>от -40 до +425</t>
        </is>
      </c>
      <c r="I68" s="6" t="inlineStr">
        <is>
          <t>вода, пар, неагрессивные среды</t>
        </is>
      </c>
      <c r="J68" s="6" t="inlineStr">
        <is>
          <t>сталь 25Л</t>
        </is>
      </c>
      <c r="K68" s="6" t="inlineStr">
        <is>
          <t>У1</t>
        </is>
      </c>
      <c r="L68" s="6" t="inlineStr">
        <is>
          <t>фланцевый</t>
        </is>
      </c>
      <c r="M68" s="6" t="inlineStr">
        <is>
          <t>ручной (маховик)</t>
        </is>
      </c>
      <c r="N68" s="6" t="inlineStr">
        <is>
          <t>-</t>
        </is>
      </c>
      <c r="O68" s="6" t="inlineStr">
        <is>
          <t>любое</t>
        </is>
      </c>
      <c r="P68" s="6" t="inlineStr">
        <is>
          <t>-</t>
        </is>
      </c>
      <c r="Q68" s="6" t="inlineStr">
        <is>
          <t>-</t>
        </is>
      </c>
      <c r="R68" s="6" t="inlineStr">
        <is>
          <t>с комплектом ответных фланцев</t>
        </is>
      </c>
      <c r="S68" s="5" t="n">
        <v>1</v>
      </c>
      <c r="T68" s="6" t="inlineStr">
        <is>
          <t>шт</t>
        </is>
      </c>
      <c r="U68" s="7" t="n"/>
      <c r="V68" s="8" t="inlineStr">
        <is>
          <t>ООО «Пермский трубопроводный завод»</t>
        </is>
      </c>
      <c r="W68" s="8" t="inlineStr">
        <is>
          <t>Россия</t>
        </is>
      </c>
      <c r="X68" s="8" t="inlineStr">
        <is>
          <t>10698937</t>
        </is>
      </c>
      <c r="Y68" s="8" t="inlineStr">
        <is>
          <t>17.02.2031</t>
        </is>
      </c>
      <c r="Z68" s="7" t="n"/>
      <c r="AA68" s="9" t="n"/>
      <c r="AB68" s="10">
        <f>AA68*S68</f>
        <v/>
      </c>
      <c r="AC68" s="7" t="n"/>
      <c r="AD68" s="7" t="n"/>
      <c r="AE68" s="7" t="n"/>
    </row>
    <row r="69" ht="60" customHeight="1">
      <c r="A69" s="5" t="n">
        <v>64</v>
      </c>
      <c r="B69" s="6" t="inlineStr">
        <is>
          <t>1.6/38</t>
        </is>
      </c>
      <c r="C69" s="6" t="inlineStr">
        <is>
          <t>Клапан запорный 15с65нж Ду 25 Ру 16 с КОФ</t>
        </is>
      </c>
      <c r="D69" s="6" t="inlineStr">
        <is>
          <t>ТУ У 32200218325-004-94</t>
        </is>
      </c>
      <c r="E69" s="6" t="inlineStr">
        <is>
          <t>25</t>
        </is>
      </c>
      <c r="F69" s="6" t="inlineStr">
        <is>
          <t>стандарт</t>
        </is>
      </c>
      <c r="G69" s="6" t="inlineStr">
        <is>
          <t>1.6</t>
        </is>
      </c>
      <c r="H69" s="6" t="inlineStr">
        <is>
          <t>от -40 до +425</t>
        </is>
      </c>
      <c r="I69" s="6" t="inlineStr">
        <is>
          <t>вода, пар, неагрессивные среды</t>
        </is>
      </c>
      <c r="J69" s="6" t="inlineStr">
        <is>
          <t>сталь 25Л</t>
        </is>
      </c>
      <c r="K69" s="6" t="inlineStr">
        <is>
          <t>У1</t>
        </is>
      </c>
      <c r="L69" s="6" t="inlineStr">
        <is>
          <t>фланцевый</t>
        </is>
      </c>
      <c r="M69" s="6" t="inlineStr">
        <is>
          <t>ручной (маховик)</t>
        </is>
      </c>
      <c r="N69" s="6" t="inlineStr">
        <is>
          <t>-</t>
        </is>
      </c>
      <c r="O69" s="6" t="inlineStr">
        <is>
          <t>любое</t>
        </is>
      </c>
      <c r="P69" s="6" t="inlineStr">
        <is>
          <t>-</t>
        </is>
      </c>
      <c r="Q69" s="6" t="inlineStr">
        <is>
          <t>-</t>
        </is>
      </c>
      <c r="R69" s="6" t="inlineStr">
        <is>
          <t>с комплектом ответных фланцев</t>
        </is>
      </c>
      <c r="S69" s="5" t="n">
        <v>1</v>
      </c>
      <c r="T69" s="6" t="inlineStr">
        <is>
          <t>шт</t>
        </is>
      </c>
      <c r="U69" s="7" t="n"/>
      <c r="V69" s="8" t="inlineStr">
        <is>
          <t>ООО «Пермский трубопроводный завод»</t>
        </is>
      </c>
      <c r="W69" s="8" t="inlineStr">
        <is>
          <t>Россия</t>
        </is>
      </c>
      <c r="X69" s="8" t="inlineStr">
        <is>
          <t>10698937</t>
        </is>
      </c>
      <c r="Y69" s="8" t="inlineStr">
        <is>
          <t>17.02.2031</t>
        </is>
      </c>
      <c r="Z69" s="7" t="n"/>
      <c r="AA69" s="9" t="n"/>
      <c r="AB69" s="10">
        <f>AA69*S69</f>
        <v/>
      </c>
      <c r="AC69" s="7" t="n"/>
      <c r="AD69" s="7" t="n"/>
      <c r="AE69" s="7" t="n"/>
    </row>
    <row r="70" ht="60" customHeight="1">
      <c r="A70" s="5" t="n">
        <v>65</v>
      </c>
      <c r="B70" s="6" t="inlineStr">
        <is>
          <t>1.6/39</t>
        </is>
      </c>
      <c r="C70" s="6" t="inlineStr">
        <is>
          <t>Клапан запорный 15с65нж Ду 40 Ру 16 с КОФ</t>
        </is>
      </c>
      <c r="D70" s="6" t="inlineStr">
        <is>
          <t>ТУ У 32200218325-004-94</t>
        </is>
      </c>
      <c r="E70" s="6" t="inlineStr">
        <is>
          <t>40</t>
        </is>
      </c>
      <c r="F70" s="6" t="inlineStr">
        <is>
          <t>стандарт</t>
        </is>
      </c>
      <c r="G70" s="6" t="inlineStr">
        <is>
          <t>1.6</t>
        </is>
      </c>
      <c r="H70" s="6" t="inlineStr">
        <is>
          <t>от -40 до +425</t>
        </is>
      </c>
      <c r="I70" s="6" t="inlineStr">
        <is>
          <t>вода, пар, неагрессивные среды</t>
        </is>
      </c>
      <c r="J70" s="6" t="inlineStr">
        <is>
          <t>сталь 25Л</t>
        </is>
      </c>
      <c r="K70" s="6" t="inlineStr">
        <is>
          <t>У1</t>
        </is>
      </c>
      <c r="L70" s="6" t="inlineStr">
        <is>
          <t>фланцевый</t>
        </is>
      </c>
      <c r="M70" s="6" t="inlineStr">
        <is>
          <t>ручной (маховик)</t>
        </is>
      </c>
      <c r="N70" s="6" t="inlineStr">
        <is>
          <t>-</t>
        </is>
      </c>
      <c r="O70" s="6" t="inlineStr">
        <is>
          <t>любое</t>
        </is>
      </c>
      <c r="P70" s="6" t="inlineStr">
        <is>
          <t>-</t>
        </is>
      </c>
      <c r="Q70" s="6" t="inlineStr">
        <is>
          <t>-</t>
        </is>
      </c>
      <c r="R70" s="6" t="inlineStr">
        <is>
          <t>с комплектом ответных фланцев</t>
        </is>
      </c>
      <c r="S70" s="5" t="n">
        <v>1</v>
      </c>
      <c r="T70" s="6" t="inlineStr">
        <is>
          <t>шт</t>
        </is>
      </c>
      <c r="U70" s="7" t="n"/>
      <c r="V70" s="8" t="inlineStr">
        <is>
          <t>ООО «Пермский трубопроводный завод»</t>
        </is>
      </c>
      <c r="W70" s="8" t="inlineStr">
        <is>
          <t>Россия</t>
        </is>
      </c>
      <c r="X70" s="8" t="inlineStr">
        <is>
          <t>10698937</t>
        </is>
      </c>
      <c r="Y70" s="8" t="inlineStr">
        <is>
          <t>17.02.2031</t>
        </is>
      </c>
      <c r="Z70" s="7" t="n"/>
      <c r="AA70" s="9" t="n"/>
      <c r="AB70" s="10">
        <f>AA70*S70</f>
        <v/>
      </c>
      <c r="AC70" s="7" t="n"/>
      <c r="AD70" s="7" t="n"/>
      <c r="AE70" s="7" t="n"/>
    </row>
    <row r="71" ht="60" customHeight="1">
      <c r="A71" s="5" t="n">
        <v>66</v>
      </c>
      <c r="B71" s="6" t="inlineStr">
        <is>
          <t>1.6/40</t>
        </is>
      </c>
      <c r="C71" s="6" t="inlineStr">
        <is>
          <t>Клапан запорный 15с65нж Ду 50 Ру 16 с КОФ</t>
        </is>
      </c>
      <c r="D71" s="6" t="inlineStr">
        <is>
          <t>ТУ У 32200218325-004-94</t>
        </is>
      </c>
      <c r="E71" s="6" t="inlineStr">
        <is>
          <t>50</t>
        </is>
      </c>
      <c r="F71" s="6" t="inlineStr">
        <is>
          <t>стандарт</t>
        </is>
      </c>
      <c r="G71" s="6" t="inlineStr">
        <is>
          <t>1.6</t>
        </is>
      </c>
      <c r="H71" s="6" t="inlineStr">
        <is>
          <t>от -40 до +425</t>
        </is>
      </c>
      <c r="I71" s="6" t="inlineStr">
        <is>
          <t>вода, пар, неагрессивные среды</t>
        </is>
      </c>
      <c r="J71" s="6" t="inlineStr">
        <is>
          <t>сталь 25Л</t>
        </is>
      </c>
      <c r="K71" s="6" t="inlineStr">
        <is>
          <t>У1</t>
        </is>
      </c>
      <c r="L71" s="6" t="inlineStr">
        <is>
          <t>фланцевый</t>
        </is>
      </c>
      <c r="M71" s="6" t="inlineStr">
        <is>
          <t>ручной (маховик)</t>
        </is>
      </c>
      <c r="N71" s="6" t="inlineStr">
        <is>
          <t>-</t>
        </is>
      </c>
      <c r="O71" s="6" t="inlineStr">
        <is>
          <t>любое</t>
        </is>
      </c>
      <c r="P71" s="6" t="inlineStr">
        <is>
          <t>-</t>
        </is>
      </c>
      <c r="Q71" s="6" t="inlineStr">
        <is>
          <t>-</t>
        </is>
      </c>
      <c r="R71" s="6" t="inlineStr">
        <is>
          <t>с комплектом ответных фланцев</t>
        </is>
      </c>
      <c r="S71" s="5" t="n">
        <v>2</v>
      </c>
      <c r="T71" s="6" t="inlineStr">
        <is>
          <t>шт</t>
        </is>
      </c>
      <c r="U71" s="7" t="n"/>
      <c r="V71" s="8" t="inlineStr">
        <is>
          <t>ООО «Пермский трубопроводный завод»</t>
        </is>
      </c>
      <c r="W71" s="8" t="inlineStr">
        <is>
          <t>Россия</t>
        </is>
      </c>
      <c r="X71" s="8" t="inlineStr">
        <is>
          <t>10698937</t>
        </is>
      </c>
      <c r="Y71" s="8" t="inlineStr">
        <is>
          <t>17.02.2031</t>
        </is>
      </c>
      <c r="Z71" s="7" t="n"/>
      <c r="AA71" s="9" t="n"/>
      <c r="AB71" s="10">
        <f>AA71*S71</f>
        <v/>
      </c>
      <c r="AC71" s="7" t="n"/>
      <c r="AD71" s="7" t="n"/>
      <c r="AE71" s="7" t="n"/>
    </row>
    <row r="72" ht="60" customHeight="1">
      <c r="A72" s="5" t="n">
        <v>67</v>
      </c>
      <c r="B72" s="6" t="inlineStr">
        <is>
          <t>1.6/41</t>
        </is>
      </c>
      <c r="C72" s="6" t="inlineStr">
        <is>
          <t>Задвижка 30нж41нж Ду 80 Ру 16 1исп. САЗ</t>
        </is>
      </c>
      <c r="D72" s="6" t="inlineStr">
        <is>
          <t>ГОСТ 5762-2002</t>
        </is>
      </c>
      <c r="E72" s="6" t="inlineStr">
        <is>
          <t>80</t>
        </is>
      </c>
      <c r="F72" s="6" t="inlineStr">
        <is>
          <t>стандарт</t>
        </is>
      </c>
      <c r="G72" s="6" t="inlineStr">
        <is>
          <t>1.6</t>
        </is>
      </c>
      <c r="H72" s="6" t="inlineStr">
        <is>
          <t>от -60 до +560</t>
        </is>
      </c>
      <c r="I72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72" s="6" t="inlineStr">
        <is>
          <t>сталь 12Х18Н9ТЛ</t>
        </is>
      </c>
      <c r="K72" s="6" t="inlineStr">
        <is>
          <t>УХЛ1</t>
        </is>
      </c>
      <c r="L72" s="6" t="inlineStr">
        <is>
          <t>фланцевый</t>
        </is>
      </c>
      <c r="M72" s="6" t="inlineStr">
        <is>
          <t>ручной (маховик)</t>
        </is>
      </c>
      <c r="N72" s="6" t="inlineStr">
        <is>
          <t>-</t>
        </is>
      </c>
      <c r="O72" s="6" t="inlineStr">
        <is>
          <t>любое</t>
        </is>
      </c>
      <c r="P72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72" s="6" t="inlineStr">
        <is>
          <t>-</t>
        </is>
      </c>
      <c r="R72" s="6" t="inlineStr">
        <is>
          <t>1 исп. САЗ</t>
        </is>
      </c>
      <c r="S72" s="5" t="n">
        <v>1</v>
      </c>
      <c r="T72" s="6" t="inlineStr">
        <is>
          <t>шт</t>
        </is>
      </c>
      <c r="U72" s="7" t="n"/>
      <c r="V72" s="8" t="inlineStr">
        <is>
          <t>ООО «Пермский трубопроводный завод»</t>
        </is>
      </c>
      <c r="W72" s="8" t="inlineStr">
        <is>
          <t>Россия</t>
        </is>
      </c>
      <c r="X72" s="8" t="inlineStr">
        <is>
          <t>10698940</t>
        </is>
      </c>
      <c r="Y72" s="8" t="inlineStr">
        <is>
          <t>17.02.2031</t>
        </is>
      </c>
      <c r="Z72" s="7" t="n"/>
      <c r="AA72" s="9" t="n"/>
      <c r="AB72" s="10">
        <f>AA72*S72</f>
        <v/>
      </c>
      <c r="AC72" s="7" t="n"/>
      <c r="AD72" s="7" t="n"/>
      <c r="AE72" s="7" t="n"/>
    </row>
    <row r="73" ht="60" customHeight="1">
      <c r="A73" s="5" t="n">
        <v>68</v>
      </c>
      <c r="B73" s="6" t="inlineStr">
        <is>
          <t>1.6/42</t>
        </is>
      </c>
      <c r="C73" s="6" t="inlineStr">
        <is>
          <t>Задвижка 30с41нж Ду 50 Ру 16</t>
        </is>
      </c>
      <c r="D73" s="6" t="inlineStr">
        <is>
          <t>ТУ 3741–001–24380482–2016</t>
        </is>
      </c>
      <c r="E73" s="6" t="inlineStr">
        <is>
          <t>50</t>
        </is>
      </c>
      <c r="F73" s="6" t="inlineStr">
        <is>
          <t>стандарт</t>
        </is>
      </c>
      <c r="G73" s="6" t="inlineStr">
        <is>
          <t>1.6</t>
        </is>
      </c>
      <c r="H73" s="6" t="inlineStr">
        <is>
          <t>до +425</t>
        </is>
      </c>
      <c r="I73" s="6" t="inlineStr">
        <is>
          <t>вода, пар, жидкие неагрессивные среды</t>
        </is>
      </c>
      <c r="J73" s="6" t="inlineStr">
        <is>
          <t>сталь 25Л</t>
        </is>
      </c>
      <c r="K73" s="6" t="inlineStr">
        <is>
          <t>У1</t>
        </is>
      </c>
      <c r="L73" s="6" t="inlineStr">
        <is>
          <t>фланцевый</t>
        </is>
      </c>
      <c r="M73" s="6" t="inlineStr">
        <is>
          <t>ручной (маховик)</t>
        </is>
      </c>
      <c r="N73" s="6" t="inlineStr">
        <is>
          <t>-</t>
        </is>
      </c>
      <c r="O73" s="6" t="inlineStr">
        <is>
          <t>маховиком вверх</t>
        </is>
      </c>
      <c r="P73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3" s="6" t="inlineStr">
        <is>
          <t>-</t>
        </is>
      </c>
      <c r="R73" s="6" t="inlineStr">
        <is>
          <t>-</t>
        </is>
      </c>
      <c r="S73" s="5" t="n">
        <v>14</v>
      </c>
      <c r="T73" s="6" t="inlineStr">
        <is>
          <t>шт</t>
        </is>
      </c>
      <c r="U73" s="7" t="n"/>
      <c r="V73" s="8" t="inlineStr">
        <is>
          <t>ООО «Пермский трубопроводный завод»</t>
        </is>
      </c>
      <c r="W73" s="8" t="inlineStr">
        <is>
          <t>Россия</t>
        </is>
      </c>
      <c r="X73" s="8" t="inlineStr">
        <is>
          <t>10698940</t>
        </is>
      </c>
      <c r="Y73" s="8" t="inlineStr">
        <is>
          <t>17.02.2031</t>
        </is>
      </c>
      <c r="Z73" s="7" t="n"/>
      <c r="AA73" s="9" t="n"/>
      <c r="AB73" s="10">
        <f>AA73*S73</f>
        <v/>
      </c>
      <c r="AC73" s="7" t="n"/>
      <c r="AD73" s="7" t="n"/>
      <c r="AE73" s="7" t="n"/>
    </row>
    <row r="74" ht="60" customHeight="1">
      <c r="A74" s="5" t="n">
        <v>69</v>
      </c>
      <c r="B74" s="6" t="inlineStr">
        <is>
          <t>1.6/43</t>
        </is>
      </c>
      <c r="C74" s="6" t="inlineStr">
        <is>
          <t>Задвижка 30с41нж Ду 80 Ру 16</t>
        </is>
      </c>
      <c r="D74" s="6" t="inlineStr">
        <is>
          <t>ТУ 3741–001–24380482–2016</t>
        </is>
      </c>
      <c r="E74" s="6" t="inlineStr">
        <is>
          <t>80</t>
        </is>
      </c>
      <c r="F74" s="6" t="inlineStr">
        <is>
          <t>стандарт</t>
        </is>
      </c>
      <c r="G74" s="6" t="inlineStr">
        <is>
          <t>1.6</t>
        </is>
      </c>
      <c r="H74" s="6" t="inlineStr">
        <is>
          <t>до +425</t>
        </is>
      </c>
      <c r="I74" s="6" t="inlineStr">
        <is>
          <t>вода, пар, жидкие неагрессивные среды</t>
        </is>
      </c>
      <c r="J74" s="6" t="inlineStr">
        <is>
          <t>сталь 25Л</t>
        </is>
      </c>
      <c r="K74" s="6" t="inlineStr">
        <is>
          <t>У1</t>
        </is>
      </c>
      <c r="L74" s="6" t="inlineStr">
        <is>
          <t>фланцевый</t>
        </is>
      </c>
      <c r="M74" s="6" t="inlineStr">
        <is>
          <t>ручной (маховик)</t>
        </is>
      </c>
      <c r="N74" s="6" t="inlineStr">
        <is>
          <t>-</t>
        </is>
      </c>
      <c r="O74" s="6" t="inlineStr">
        <is>
          <t>маховиком вверх</t>
        </is>
      </c>
      <c r="P74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4" s="6" t="inlineStr">
        <is>
          <t>-</t>
        </is>
      </c>
      <c r="R74" s="6" t="inlineStr">
        <is>
          <t>-</t>
        </is>
      </c>
      <c r="S74" s="5" t="n">
        <v>11</v>
      </c>
      <c r="T74" s="6" t="inlineStr">
        <is>
          <t>шт</t>
        </is>
      </c>
      <c r="U74" s="7" t="n"/>
      <c r="V74" s="8" t="inlineStr">
        <is>
          <t>ООО «Пермский трубопроводный завод»</t>
        </is>
      </c>
      <c r="W74" s="8" t="inlineStr">
        <is>
          <t>Россия</t>
        </is>
      </c>
      <c r="X74" s="8" t="inlineStr">
        <is>
          <t>10698940</t>
        </is>
      </c>
      <c r="Y74" s="8" t="inlineStr">
        <is>
          <t>17.02.2031</t>
        </is>
      </c>
      <c r="Z74" s="7" t="n"/>
      <c r="AA74" s="9" t="n"/>
      <c r="AB74" s="10">
        <f>AA74*S74</f>
        <v/>
      </c>
      <c r="AC74" s="7" t="n"/>
      <c r="AD74" s="7" t="n"/>
      <c r="AE74" s="7" t="n"/>
    </row>
    <row r="75" ht="60" customHeight="1">
      <c r="A75" s="5" t="n">
        <v>70</v>
      </c>
      <c r="B75" s="6" t="inlineStr">
        <is>
          <t>1.6/44</t>
        </is>
      </c>
      <c r="C75" s="6" t="inlineStr">
        <is>
          <t>Задвижка 30с41нж Ду 100 Ру 16</t>
        </is>
      </c>
      <c r="D75" s="6" t="inlineStr">
        <is>
          <t>ТУ 3741–001–24380482–2016</t>
        </is>
      </c>
      <c r="E75" s="6" t="inlineStr">
        <is>
          <t>100</t>
        </is>
      </c>
      <c r="F75" s="6" t="inlineStr">
        <is>
          <t>стандарт</t>
        </is>
      </c>
      <c r="G75" s="6" t="inlineStr">
        <is>
          <t>1.6</t>
        </is>
      </c>
      <c r="H75" s="6" t="inlineStr">
        <is>
          <t>до +425</t>
        </is>
      </c>
      <c r="I75" s="6" t="inlineStr">
        <is>
          <t>вода, пар, жидкие неагрессивные среды</t>
        </is>
      </c>
      <c r="J75" s="6" t="inlineStr">
        <is>
          <t>сталь 25Л</t>
        </is>
      </c>
      <c r="K75" s="6" t="inlineStr">
        <is>
          <t>У1</t>
        </is>
      </c>
      <c r="L75" s="6" t="inlineStr">
        <is>
          <t>фланцевый</t>
        </is>
      </c>
      <c r="M75" s="6" t="inlineStr">
        <is>
          <t>ручной (маховик)</t>
        </is>
      </c>
      <c r="N75" s="6" t="inlineStr">
        <is>
          <t>-</t>
        </is>
      </c>
      <c r="O75" s="6" t="inlineStr">
        <is>
          <t>маховиком вверх</t>
        </is>
      </c>
      <c r="P75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5" s="6" t="inlineStr">
        <is>
          <t>-</t>
        </is>
      </c>
      <c r="R75" s="6" t="inlineStr">
        <is>
          <t>-</t>
        </is>
      </c>
      <c r="S75" s="5" t="n">
        <v>10</v>
      </c>
      <c r="T75" s="6" t="inlineStr">
        <is>
          <t>шт</t>
        </is>
      </c>
      <c r="U75" s="7" t="n"/>
      <c r="V75" s="8" t="inlineStr">
        <is>
          <t>ООО «Пермский трубопроводный завод»</t>
        </is>
      </c>
      <c r="W75" s="8" t="inlineStr">
        <is>
          <t>Россия</t>
        </is>
      </c>
      <c r="X75" s="8" t="inlineStr">
        <is>
          <t>10698940</t>
        </is>
      </c>
      <c r="Y75" s="8" t="inlineStr">
        <is>
          <t>17.02.2031</t>
        </is>
      </c>
      <c r="Z75" s="7" t="n"/>
      <c r="AA75" s="9" t="n"/>
      <c r="AB75" s="10">
        <f>AA75*S75</f>
        <v/>
      </c>
      <c r="AC75" s="7" t="n"/>
      <c r="AD75" s="7" t="n"/>
      <c r="AE75" s="7" t="n"/>
    </row>
    <row r="76" ht="60" customHeight="1">
      <c r="A76" s="5" t="n">
        <v>71</v>
      </c>
      <c r="B76" s="6" t="inlineStr">
        <is>
          <t>1.6/45</t>
        </is>
      </c>
      <c r="C76" s="6" t="inlineStr">
        <is>
          <t>Задвижка 30с41нж Ду 150 Ру 16</t>
        </is>
      </c>
      <c r="D76" s="6" t="inlineStr">
        <is>
          <t>ТУ 3741–001–24380482–2016</t>
        </is>
      </c>
      <c r="E76" s="6" t="inlineStr">
        <is>
          <t>150</t>
        </is>
      </c>
      <c r="F76" s="6" t="inlineStr">
        <is>
          <t>стандарт</t>
        </is>
      </c>
      <c r="G76" s="6" t="inlineStr">
        <is>
          <t>1.6</t>
        </is>
      </c>
      <c r="H76" s="6" t="inlineStr">
        <is>
          <t>до +425</t>
        </is>
      </c>
      <c r="I76" s="6" t="inlineStr">
        <is>
          <t>вода, пар, жидкие неагрессивные среды</t>
        </is>
      </c>
      <c r="J76" s="6" t="inlineStr">
        <is>
          <t>сталь 25Л</t>
        </is>
      </c>
      <c r="K76" s="6" t="inlineStr">
        <is>
          <t>У1</t>
        </is>
      </c>
      <c r="L76" s="6" t="inlineStr">
        <is>
          <t>фланцевый</t>
        </is>
      </c>
      <c r="M76" s="6" t="inlineStr">
        <is>
          <t>ручной (маховик)</t>
        </is>
      </c>
      <c r="N76" s="6" t="inlineStr">
        <is>
          <t>-</t>
        </is>
      </c>
      <c r="O76" s="6" t="inlineStr">
        <is>
          <t>маховиком вверх</t>
        </is>
      </c>
      <c r="P76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6" s="6" t="inlineStr">
        <is>
          <t>-</t>
        </is>
      </c>
      <c r="R76" s="6" t="inlineStr">
        <is>
          <t>-</t>
        </is>
      </c>
      <c r="S76" s="5" t="n">
        <v>7</v>
      </c>
      <c r="T76" s="6" t="inlineStr">
        <is>
          <t>шт</t>
        </is>
      </c>
      <c r="U76" s="7" t="n"/>
      <c r="V76" s="8" t="inlineStr">
        <is>
          <t>ООО «Пермский трубопроводный завод»</t>
        </is>
      </c>
      <c r="W76" s="8" t="inlineStr">
        <is>
          <t>Россия</t>
        </is>
      </c>
      <c r="X76" s="8" t="inlineStr">
        <is>
          <t>10698940</t>
        </is>
      </c>
      <c r="Y76" s="8" t="inlineStr">
        <is>
          <t>17.02.2031</t>
        </is>
      </c>
      <c r="Z76" s="7" t="n"/>
      <c r="AA76" s="9" t="n"/>
      <c r="AB76" s="10">
        <f>AA76*S76</f>
        <v/>
      </c>
      <c r="AC76" s="7" t="n"/>
      <c r="AD76" s="7" t="n"/>
      <c r="AE76" s="7" t="n"/>
    </row>
    <row r="77" ht="60" customHeight="1">
      <c r="A77" s="5" t="n">
        <v>72</v>
      </c>
      <c r="B77" s="6" t="inlineStr">
        <is>
          <t>1.6/46</t>
        </is>
      </c>
      <c r="C77" s="6" t="inlineStr">
        <is>
          <t>Задвижка 30с41нж Ду 200 Ру 16</t>
        </is>
      </c>
      <c r="D77" s="6" t="inlineStr">
        <is>
          <t>ТУ 3741–001–24380482–2016</t>
        </is>
      </c>
      <c r="E77" s="6" t="inlineStr">
        <is>
          <t>200</t>
        </is>
      </c>
      <c r="F77" s="6" t="inlineStr">
        <is>
          <t>стандарт</t>
        </is>
      </c>
      <c r="G77" s="6" t="inlineStr">
        <is>
          <t>1.6</t>
        </is>
      </c>
      <c r="H77" s="6" t="inlineStr">
        <is>
          <t>до +425</t>
        </is>
      </c>
      <c r="I77" s="6" t="inlineStr">
        <is>
          <t>вода, пар, жидкие неагрессивные среды</t>
        </is>
      </c>
      <c r="J77" s="6" t="inlineStr">
        <is>
          <t>сталь 25Л</t>
        </is>
      </c>
      <c r="K77" s="6" t="inlineStr">
        <is>
          <t>У1</t>
        </is>
      </c>
      <c r="L77" s="6" t="inlineStr">
        <is>
          <t>фланцевый</t>
        </is>
      </c>
      <c r="M77" s="6" t="inlineStr">
        <is>
          <t>ручной (маховик)</t>
        </is>
      </c>
      <c r="N77" s="6" t="inlineStr">
        <is>
          <t>-</t>
        </is>
      </c>
      <c r="O77" s="6" t="inlineStr">
        <is>
          <t>маховиком вверх</t>
        </is>
      </c>
      <c r="P77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7" s="6" t="inlineStr">
        <is>
          <t>-</t>
        </is>
      </c>
      <c r="R77" s="6" t="inlineStr">
        <is>
          <t>-</t>
        </is>
      </c>
      <c r="S77" s="5" t="n">
        <v>2</v>
      </c>
      <c r="T77" s="6" t="inlineStr">
        <is>
          <t>шт</t>
        </is>
      </c>
      <c r="U77" s="7" t="n"/>
      <c r="V77" s="8" t="inlineStr">
        <is>
          <t>ООО «Пермский трубопроводный завод»</t>
        </is>
      </c>
      <c r="W77" s="8" t="inlineStr">
        <is>
          <t>Россия</t>
        </is>
      </c>
      <c r="X77" s="8" t="inlineStr">
        <is>
          <t>10698940</t>
        </is>
      </c>
      <c r="Y77" s="8" t="inlineStr">
        <is>
          <t>17.02.2031</t>
        </is>
      </c>
      <c r="Z77" s="7" t="n"/>
      <c r="AA77" s="9" t="n"/>
      <c r="AB77" s="10">
        <f>AA77*S77</f>
        <v/>
      </c>
      <c r="AC77" s="7" t="n"/>
      <c r="AD77" s="7" t="n"/>
      <c r="AE77" s="7" t="n"/>
    </row>
    <row r="78" ht="60" customHeight="1">
      <c r="A78" s="5" t="n">
        <v>73</v>
      </c>
      <c r="B78" s="6" t="inlineStr">
        <is>
          <t>1.8/1</t>
        </is>
      </c>
      <c r="C78" s="6" t="inlineStr">
        <is>
          <t>Задвижка 30нж41нж Ду 80 Ру 16 1исп. САЗ</t>
        </is>
      </c>
      <c r="D78" s="6" t="inlineStr">
        <is>
          <t>ТУ 3741-001-22294686-2008</t>
        </is>
      </c>
      <c r="E78" s="6" t="inlineStr">
        <is>
          <t>80</t>
        </is>
      </c>
      <c r="F78" s="6" t="inlineStr">
        <is>
          <t>стандарт</t>
        </is>
      </c>
      <c r="G78" s="6" t="inlineStr">
        <is>
          <t>1.6</t>
        </is>
      </c>
      <c r="H78" s="6" t="inlineStr">
        <is>
          <t>до +200°С</t>
        </is>
      </c>
      <c r="I78" s="6" t="inlineStr">
        <is>
          <t>Вода, пар</t>
        </is>
      </c>
      <c r="J78" s="6" t="inlineStr">
        <is>
          <t>углеродистая сталь</t>
        </is>
      </c>
      <c r="K78" s="6" t="inlineStr">
        <is>
          <t>УХЛ1</t>
        </is>
      </c>
      <c r="L78" s="6" t="inlineStr">
        <is>
          <t>Фланец-фланец  по ГОСТ 33259-2015</t>
        </is>
      </c>
      <c r="M78" s="6" t="inlineStr">
        <is>
          <t>Ручное</t>
        </is>
      </c>
      <c r="N78" s="6" t="inlineStr">
        <is>
          <t>Рукоятка</t>
        </is>
      </c>
      <c r="O78" s="6" t="inlineStr">
        <is>
          <t>любое</t>
        </is>
      </c>
      <c r="P78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78" s="6" t="inlineStr"/>
      <c r="R78" s="6" t="inlineStr"/>
      <c r="S78" s="5" t="n">
        <v>1</v>
      </c>
      <c r="T78" s="6" t="inlineStr">
        <is>
          <t>шт</t>
        </is>
      </c>
      <c r="U78" s="7" t="n"/>
      <c r="V78" s="8" t="inlineStr">
        <is>
          <t>ООО «Пермский трубопроводный завод»</t>
        </is>
      </c>
      <c r="W78" s="8" t="inlineStr">
        <is>
          <t>Россия</t>
        </is>
      </c>
      <c r="X78" s="8" t="inlineStr">
        <is>
          <t>10698940</t>
        </is>
      </c>
      <c r="Y78" s="8" t="inlineStr">
        <is>
          <t>17.02.2031</t>
        </is>
      </c>
      <c r="Z78" s="7" t="n"/>
      <c r="AA78" s="9" t="n"/>
      <c r="AB78" s="10">
        <f>AA78*S78</f>
        <v/>
      </c>
      <c r="AC78" s="7" t="n"/>
      <c r="AD78" s="7" t="n"/>
      <c r="AE78" s="7" t="n"/>
    </row>
    <row r="79" ht="60" customHeight="1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  <c r="X79" s="11" t="inlineStr"/>
      <c r="Y79" s="11" t="inlineStr"/>
      <c r="Z79" s="11" t="inlineStr"/>
      <c r="AA79" s="11" t="inlineStr">
        <is>
          <t>ИТОГО</t>
        </is>
      </c>
      <c r="AB79" s="12">
        <f>SUM(AB6:AB78)</f>
        <v/>
      </c>
      <c r="AC79" s="2" t="n"/>
      <c r="AD79" s="2" t="n"/>
      <c r="AE7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