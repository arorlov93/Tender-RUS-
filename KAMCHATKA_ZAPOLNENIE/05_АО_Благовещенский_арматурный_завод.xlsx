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Заполнить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&quot; ₽&quot;"/>
  </numFmts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BF8F00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/>
    </xf>
    <xf numFmtId="164" fontId="0" fillId="4" borderId="1" applyAlignment="1" pivotButton="0" quotePrefix="0" xfId="0">
      <alignment vertical="center"/>
    </xf>
    <xf numFmtId="164" fontId="0" fillId="4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164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E15"/>
  <sheetViews>
    <sheetView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9" customWidth="1" min="2" max="2"/>
    <col width="34" customWidth="1" min="3" max="3"/>
    <col width="14" customWidth="1" min="4" max="4"/>
    <col width="7" customWidth="1" min="5" max="5"/>
    <col width="10" customWidth="1" min="6" max="6"/>
    <col width="9" customWidth="1" min="7" max="7"/>
    <col width="12" customWidth="1" min="8" max="8"/>
    <col width="14" customWidth="1" min="9" max="9"/>
    <col width="14" customWidth="1" min="10" max="10"/>
    <col width="10" customWidth="1" min="11" max="11"/>
    <col width="14" customWidth="1" min="12" max="12"/>
    <col width="14" customWidth="1" min="13" max="13"/>
    <col width="16" customWidth="1" min="14" max="14"/>
    <col width="10" customWidth="1" min="15" max="15"/>
    <col width="22" customWidth="1" min="16" max="16"/>
    <col width="12" customWidth="1" min="17" max="17"/>
    <col width="14" customWidth="1" min="18" max="18"/>
    <col width="7" customWidth="1" min="19" max="19"/>
    <col width="5" customWidth="1" min="20" max="20"/>
    <col width="22" customWidth="1" min="21" max="21"/>
    <col width="24" customWidth="1" min="22" max="22"/>
    <col width="14" customWidth="1" min="23" max="23"/>
    <col width="26" customWidth="1" min="24" max="24"/>
    <col width="13" customWidth="1" min="25" max="25"/>
    <col width="24" customWidth="1" min="26" max="26"/>
    <col width="13" customWidth="1" min="27" max="27"/>
    <col width="14" customWidth="1" min="28" max="28"/>
    <col width="12" customWidth="1" min="29" max="29"/>
    <col width="14" customWidth="1" min="30" max="30"/>
    <col width="20" customWidth="1" min="31" max="31"/>
  </cols>
  <sheetData>
    <row r="1" ht="18" customHeight="1">
      <c r="A1" s="1" t="inlineStr">
        <is>
          <t>Запрос КП — ООО «ГИДРОПАС» (ИНН 9729231965) для ПАО «Камчатскэнерго», закупка 32616346943. Получатель: АО «Благовещенский арматурный завод» (БАЗ)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</row>
    <row r="2" ht="18" customHeight="1">
      <c r="A2" s="2" t="inlineStr">
        <is>
          <t>Просим заполнить жёлтые графы по каждой позиции. Характеристики — дословно из технических требований заказчика; при отличии — указать в графе «Соответствие ТЗ».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</row>
    <row r="3" ht="18" customHeight="1">
      <c r="A3" s="2" t="inlineStr">
        <is>
          <t>Графы марка / производитель / страна / № записи частично ПРЕДЗАПОЛНЕНЫ нами по вашему КП и открытым данным — проверьте и исправьте, если не так.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</row>
    <row r="4" ht="18" customHeight="1">
      <c r="A4" s="2" t="inlineStr">
        <is>
          <t>Нацрежим ПП 1875 (ограничение): обязательны производитель, страна и ДЕЙСТВУЮЩИЙ номер реестровой записи ПП 719 (для ЕАЭС — евразийский реестр). Приложите выписку из ГИСП и сертификаты. Доставка — до Петропавловска-Камчатского (укажите вес).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</row>
    <row r="5" ht="66" customHeight="1">
      <c r="A5" s="3" t="inlineStr">
        <is>
          <t>№</t>
        </is>
      </c>
      <c r="B5" s="3" t="inlineStr">
        <is>
          <t>Табл./№ ТЗ</t>
        </is>
      </c>
      <c r="C5" s="3" t="inlineStr">
        <is>
          <t>Наименование</t>
        </is>
      </c>
      <c r="D5" s="3" t="inlineStr">
        <is>
          <t>ГОСТ/ТУ</t>
        </is>
      </c>
      <c r="E5" s="3" t="inlineStr">
        <is>
          <t>Ду, мм</t>
        </is>
      </c>
      <c r="F5" s="3" t="inlineStr">
        <is>
          <t>Проход</t>
        </is>
      </c>
      <c r="G5" s="3" t="inlineStr">
        <is>
          <t>Давление, МПа</t>
        </is>
      </c>
      <c r="H5" s="3" t="inlineStr">
        <is>
          <t>Температура, °С</t>
        </is>
      </c>
      <c r="I5" s="3" t="inlineStr">
        <is>
          <t>Среда</t>
        </is>
      </c>
      <c r="J5" s="3" t="inlineStr">
        <is>
          <t>Материал корпуса</t>
        </is>
      </c>
      <c r="K5" s="3" t="inlineStr">
        <is>
          <t>Климатическое исполнение</t>
        </is>
      </c>
      <c r="L5" s="3" t="inlineStr">
        <is>
          <t>Присоединение</t>
        </is>
      </c>
      <c r="M5" s="3" t="inlineStr">
        <is>
          <t>Приводное устройство: наименование</t>
        </is>
      </c>
      <c r="N5" s="3" t="inlineStr">
        <is>
          <t>Приводное устройство: технические характеристики</t>
        </is>
      </c>
      <c r="O5" s="3" t="inlineStr">
        <is>
          <t>Установочное положение</t>
        </is>
      </c>
      <c r="P5" s="3" t="inlineStr">
        <is>
          <t>Материал штока, шара, уплотнений</t>
        </is>
      </c>
      <c r="Q5" s="3" t="inlineStr">
        <is>
          <t>Габариты</t>
        </is>
      </c>
      <c r="R5" s="3" t="inlineStr">
        <is>
          <t>Примечание</t>
        </is>
      </c>
      <c r="S5" s="3" t="inlineStr">
        <is>
          <t>Кол-во</t>
        </is>
      </c>
      <c r="T5" s="3" t="inlineStr">
        <is>
          <t>Ед.</t>
        </is>
      </c>
      <c r="U5" s="4" t="inlineStr">
        <is>
          <t>Предлагаемая марка / обозначение</t>
        </is>
      </c>
      <c r="V5" s="4" t="inlineStr">
        <is>
          <t>Производитель (завод)</t>
        </is>
      </c>
      <c r="W5" s="4" t="inlineStr">
        <is>
          <t>Страна происхождения</t>
        </is>
      </c>
      <c r="X5" s="4" t="inlineStr">
        <is>
          <t>№ реестровой записи (ПП 719) или евразийского реестра</t>
        </is>
      </c>
      <c r="Y5" s="4" t="inlineStr">
        <is>
          <t>Срок действия записи</t>
        </is>
      </c>
      <c r="Z5" s="4" t="inlineStr">
        <is>
          <t>Соответствие ТЗ: «да» или отличия</t>
        </is>
      </c>
      <c r="AA5" s="4" t="inlineStr">
        <is>
          <t>Цена за ед. с НДС, ₽</t>
        </is>
      </c>
      <c r="AB5" s="4" t="inlineStr">
        <is>
          <t>Сумма с НДС, ₽</t>
        </is>
      </c>
      <c r="AC5" s="4" t="inlineStr">
        <is>
          <t>Срок отгрузки</t>
        </is>
      </c>
      <c r="AD5" s="4" t="inlineStr">
        <is>
          <t>Вес ед., кг / габариты</t>
        </is>
      </c>
      <c r="AE5" s="4" t="inlineStr">
        <is>
          <t>Сертификат / декларация ТР ТС №</t>
        </is>
      </c>
    </row>
    <row r="6" ht="60" customHeight="1">
      <c r="A6" s="5" t="n">
        <v>1</v>
      </c>
      <c r="B6" s="6" t="inlineStr">
        <is>
          <t>1.1/2</t>
        </is>
      </c>
      <c r="C6" s="6" t="inlineStr">
        <is>
          <t>Клапан запорный 15нж65нж Ду 200 Ру 16</t>
        </is>
      </c>
      <c r="D6" s="6" t="inlineStr">
        <is>
          <t>ТУ 3700-001-66364836-2010</t>
        </is>
      </c>
      <c r="E6" s="6" t="inlineStr">
        <is>
          <t>200</t>
        </is>
      </c>
      <c r="F6" s="6" t="inlineStr">
        <is>
          <t>Полнопроходной</t>
        </is>
      </c>
      <c r="G6" s="6" t="inlineStr">
        <is>
          <t>1.6</t>
        </is>
      </c>
      <c r="H6" s="6" t="inlineStr">
        <is>
          <t>до +6000С</t>
        </is>
      </c>
      <c r="I6" s="6" t="inlineStr">
        <is>
          <t>вода, пар</t>
        </is>
      </c>
      <c r="J6" s="6" t="inlineStr">
        <is>
          <t>12Х18Н10Т</t>
        </is>
      </c>
      <c r="K6" s="6" t="inlineStr">
        <is>
          <t>УХЛ1</t>
        </is>
      </c>
      <c r="L6" s="6" t="inlineStr">
        <is>
          <t>Фланцевое</t>
        </is>
      </c>
      <c r="M6" s="6" t="inlineStr">
        <is>
          <t>Ручное</t>
        </is>
      </c>
      <c r="N6" s="6" t="inlineStr">
        <is>
          <t>Маховик (штурвал)</t>
        </is>
      </c>
      <c r="O6" s="6" t="inlineStr">
        <is>
          <t>любое</t>
        </is>
      </c>
      <c r="P6" s="6" t="inlineStr">
        <is>
          <t>Крышка — 12Х18Н10Т; седло — 12Х18Н10Т; шпиндель — 12Х18Н10Т; диск (золотник) — 12Х18Н10Т; набивка сальниковая (сальник) — ТРГ</t>
        </is>
      </c>
      <c r="Q6" s="6" t="inlineStr">
        <is>
          <t>-</t>
        </is>
      </c>
      <c r="R6" s="6" t="inlineStr">
        <is>
          <t>Класс герметичности по ГОСТ 9544-2015 «А» Поставка клапана с ответными фланцами 12Х18Н10Т</t>
        </is>
      </c>
      <c r="S6" s="5" t="n">
        <v>4</v>
      </c>
      <c r="T6" s="6" t="inlineStr">
        <is>
          <t>шт</t>
        </is>
      </c>
      <c r="U6" s="7" t="n"/>
      <c r="V6" s="7" t="n"/>
      <c r="W6" s="7" t="n"/>
      <c r="X6" s="7" t="n"/>
      <c r="Y6" s="7" t="n"/>
      <c r="Z6" s="7" t="n"/>
      <c r="AA6" s="8" t="n"/>
      <c r="AB6" s="9">
        <f>AA6*S6</f>
        <v/>
      </c>
      <c r="AC6" s="7" t="n"/>
      <c r="AD6" s="7" t="n"/>
      <c r="AE6" s="7" t="n"/>
    </row>
    <row r="7" ht="60" customHeight="1">
      <c r="A7" s="5" t="n">
        <v>2</v>
      </c>
      <c r="B7" s="6" t="inlineStr">
        <is>
          <t>1.1/4</t>
        </is>
      </c>
      <c r="C7" s="6" t="inlineStr">
        <is>
          <t>Клапан запорный15с52нж11 Ду 32 Ру 63 под приварку</t>
        </is>
      </c>
      <c r="D7" s="6" t="inlineStr">
        <is>
          <t>ГОСТ 12.2.063-2015</t>
        </is>
      </c>
      <c r="E7" s="6" t="inlineStr">
        <is>
          <t>32</t>
        </is>
      </c>
      <c r="F7" s="6" t="inlineStr">
        <is>
          <t>стандарт</t>
        </is>
      </c>
      <c r="G7" s="6" t="inlineStr">
        <is>
          <t>6.3</t>
        </is>
      </c>
      <c r="H7" s="6" t="inlineStr">
        <is>
          <t>До +400</t>
        </is>
      </c>
      <c r="I7" s="6" t="inlineStr">
        <is>
          <t>вода пар газ и другие  рабочие среды, неагрессивные к деталям задвижки</t>
        </is>
      </c>
      <c r="J7" s="6" t="inlineStr">
        <is>
          <t>Сталь 20</t>
        </is>
      </c>
      <c r="K7" s="6" t="inlineStr">
        <is>
          <t>У1</t>
        </is>
      </c>
      <c r="L7" s="6" t="inlineStr">
        <is>
          <t>под приварку</t>
        </is>
      </c>
      <c r="M7" s="6" t="inlineStr">
        <is>
          <t>ручное</t>
        </is>
      </c>
      <c r="N7" s="6" t="inlineStr">
        <is>
          <t>рукоятка</t>
        </is>
      </c>
      <c r="O7" s="6" t="inlineStr">
        <is>
          <t>направленная</t>
        </is>
      </c>
      <c r="P7" s="6" t="inlineStr">
        <is>
          <t>корпус сталь 20     золотник сталь 20х13   шпиндель сталь35 сальниковая набивка АГИ</t>
        </is>
      </c>
      <c r="Q7" s="6" t="inlineStr"/>
      <c r="R7" s="6" t="inlineStr"/>
      <c r="S7" s="5" t="n">
        <v>12</v>
      </c>
      <c r="T7" s="6" t="inlineStr">
        <is>
          <t>шт</t>
        </is>
      </c>
      <c r="U7" s="7" t="n"/>
      <c r="V7" s="7" t="n"/>
      <c r="W7" s="7" t="n"/>
      <c r="X7" s="7" t="n"/>
      <c r="Y7" s="7" t="n"/>
      <c r="Z7" s="7" t="n"/>
      <c r="AA7" s="8" t="n"/>
      <c r="AB7" s="9">
        <f>AA7*S7</f>
        <v/>
      </c>
      <c r="AC7" s="7" t="n"/>
      <c r="AD7" s="7" t="n"/>
      <c r="AE7" s="7" t="n"/>
    </row>
    <row r="8" ht="60" customHeight="1">
      <c r="A8" s="5" t="n">
        <v>3</v>
      </c>
      <c r="B8" s="6" t="inlineStr">
        <is>
          <t>1.3/41</t>
        </is>
      </c>
      <c r="C8" s="6" t="inlineStr">
        <is>
          <t>Клапан ВДХ Ду 80 Ру 10</t>
        </is>
      </c>
      <c r="D8" s="6" t="inlineStr">
        <is>
          <t>Класс герметичности по ГОСТ 54808"А"</t>
        </is>
      </c>
      <c r="E8" s="6" t="inlineStr">
        <is>
          <t>80</t>
        </is>
      </c>
      <c r="F8" s="6" t="inlineStr">
        <is>
          <t>стандарт</t>
        </is>
      </c>
      <c r="G8" s="6" t="inlineStr">
        <is>
          <t>1.6</t>
        </is>
      </c>
      <c r="H8" s="6" t="inlineStr">
        <is>
          <t>До + 60°С</t>
        </is>
      </c>
      <c r="I8" s="6" t="inlineStr">
        <is>
          <t>Вода; раствор NaOH 30%; Н2SO4 93%</t>
        </is>
      </c>
      <c r="J8" s="6" t="inlineStr">
        <is>
          <t>углеродистая сталь</t>
        </is>
      </c>
      <c r="K8" s="6" t="inlineStr">
        <is>
          <t>У</t>
        </is>
      </c>
      <c r="L8" s="6" t="inlineStr">
        <is>
          <t>Присоединение фланцевое по ГОСТ 12815-80</t>
        </is>
      </c>
      <c r="M8" s="6" t="inlineStr">
        <is>
          <t>Ручное</t>
        </is>
      </c>
      <c r="N8" s="6" t="inlineStr">
        <is>
          <t>маховик</t>
        </is>
      </c>
      <c r="O8" s="6" t="inlineStr">
        <is>
          <t>-</t>
        </is>
      </c>
      <c r="P8" s="6" t="inlineStr">
        <is>
          <t>Материал защитного покрытия-фторопласт Ф-4МБ. Мембраны-фторопласт</t>
        </is>
      </c>
      <c r="Q8" s="6" t="inlineStr">
        <is>
          <t>строительная длина  310 мм</t>
        </is>
      </c>
      <c r="R8" s="6" t="inlineStr"/>
      <c r="S8" s="5" t="n">
        <v>2</v>
      </c>
      <c r="T8" s="6" t="inlineStr">
        <is>
          <t>шт</t>
        </is>
      </c>
      <c r="U8" s="7" t="n"/>
      <c r="V8" s="7" t="n"/>
      <c r="W8" s="7" t="n"/>
      <c r="X8" s="7" t="n"/>
      <c r="Y8" s="7" t="n"/>
      <c r="Z8" s="7" t="n"/>
      <c r="AA8" s="8" t="n"/>
      <c r="AB8" s="9">
        <f>AA8*S8</f>
        <v/>
      </c>
      <c r="AC8" s="7" t="n"/>
      <c r="AD8" s="7" t="n"/>
      <c r="AE8" s="7" t="n"/>
    </row>
    <row r="9" ht="60" customHeight="1">
      <c r="A9" s="5" t="n">
        <v>4</v>
      </c>
      <c r="B9" s="6" t="inlineStr">
        <is>
          <t>1.3/42</t>
        </is>
      </c>
      <c r="C9" s="6" t="inlineStr">
        <is>
          <t>Клапан диафрагменный химический ВДХ Ду 150 Ру 16</t>
        </is>
      </c>
      <c r="D9" s="6" t="inlineStr">
        <is>
          <t>Класс герметичности по ГОСТ 54808"А"</t>
        </is>
      </c>
      <c r="E9" s="6" t="inlineStr">
        <is>
          <t>150</t>
        </is>
      </c>
      <c r="F9" s="6" t="inlineStr">
        <is>
          <t>стандарт</t>
        </is>
      </c>
      <c r="G9" s="6" t="inlineStr">
        <is>
          <t>1.6</t>
        </is>
      </c>
      <c r="H9" s="6" t="inlineStr">
        <is>
          <t>До + 60°С</t>
        </is>
      </c>
      <c r="I9" s="6" t="inlineStr">
        <is>
          <t>Вода; раствор NaOH 30%; Н2SO4 93%</t>
        </is>
      </c>
      <c r="J9" s="6" t="inlineStr">
        <is>
          <t>углеродистая сталь</t>
        </is>
      </c>
      <c r="K9" s="6" t="inlineStr">
        <is>
          <t>У</t>
        </is>
      </c>
      <c r="L9" s="6" t="inlineStr">
        <is>
          <t>Присоединение фланцевое по ГОСТ 12815-80</t>
        </is>
      </c>
      <c r="M9" s="6" t="inlineStr">
        <is>
          <t>Ручное</t>
        </is>
      </c>
      <c r="N9" s="6" t="inlineStr">
        <is>
          <t>маховик</t>
        </is>
      </c>
      <c r="O9" s="6" t="inlineStr">
        <is>
          <t>-</t>
        </is>
      </c>
      <c r="P9" s="6" t="inlineStr">
        <is>
          <t>Материал защитного покрытия-фторопласт Ф-4МБ. Мембраны-фторопласт</t>
        </is>
      </c>
      <c r="Q9" s="6" t="inlineStr">
        <is>
          <t>строительная длина  460 мм</t>
        </is>
      </c>
      <c r="R9" s="6" t="inlineStr"/>
      <c r="S9" s="5" t="n">
        <v>1</v>
      </c>
      <c r="T9" s="6" t="inlineStr">
        <is>
          <t>шт</t>
        </is>
      </c>
      <c r="U9" s="7" t="n"/>
      <c r="V9" s="7" t="n"/>
      <c r="W9" s="7" t="n"/>
      <c r="X9" s="7" t="n"/>
      <c r="Y9" s="7" t="n"/>
      <c r="Z9" s="7" t="n"/>
      <c r="AA9" s="8" t="n"/>
      <c r="AB9" s="9">
        <f>AA9*S9</f>
        <v/>
      </c>
      <c r="AC9" s="7" t="n"/>
      <c r="AD9" s="7" t="n"/>
      <c r="AE9" s="7" t="n"/>
    </row>
    <row r="10" ht="60" customHeight="1">
      <c r="A10" s="5" t="n">
        <v>5</v>
      </c>
      <c r="B10" s="6" t="inlineStr">
        <is>
          <t>1.3/43</t>
        </is>
      </c>
      <c r="C10" s="6" t="inlineStr">
        <is>
          <t>Клапан диафрагменный химический ВДХ Ду 50, Ру 16</t>
        </is>
      </c>
      <c r="D10" s="6" t="inlineStr">
        <is>
          <t>Класс герметичности по ГОСТ 54808"А"</t>
        </is>
      </c>
      <c r="E10" s="6" t="inlineStr">
        <is>
          <t>50</t>
        </is>
      </c>
      <c r="F10" s="6" t="inlineStr">
        <is>
          <t>стандарт</t>
        </is>
      </c>
      <c r="G10" s="6" t="inlineStr">
        <is>
          <t>1.6</t>
        </is>
      </c>
      <c r="H10" s="6" t="inlineStr">
        <is>
          <t>от -50 до +150°С</t>
        </is>
      </c>
      <c r="I10" s="6" t="inlineStr">
        <is>
          <t>любые жидкие реагенты и химические среды.</t>
        </is>
      </c>
      <c r="J10" s="6" t="inlineStr">
        <is>
          <t>углеродистая сталь</t>
        </is>
      </c>
      <c r="K10" s="6" t="inlineStr">
        <is>
          <t>У</t>
        </is>
      </c>
      <c r="L10" s="6" t="inlineStr">
        <is>
          <t>Присоединение фланцевое по ГОСТ 12815-80</t>
        </is>
      </c>
      <c r="M10" s="6" t="inlineStr">
        <is>
          <t>Ручное</t>
        </is>
      </c>
      <c r="N10" s="6" t="inlineStr">
        <is>
          <t>маховик</t>
        </is>
      </c>
      <c r="O10" s="6" t="inlineStr">
        <is>
          <t>-</t>
        </is>
      </c>
      <c r="P10" s="6" t="inlineStr">
        <is>
          <t>Материал защитного покрытия-фторопласт Ф-4МБ. Мембраны-фторопласт</t>
        </is>
      </c>
      <c r="Q10" s="6" t="inlineStr">
        <is>
          <t>строительная длина  210 мм,</t>
        </is>
      </c>
      <c r="R10" s="6" t="inlineStr"/>
      <c r="S10" s="5" t="n">
        <v>1</v>
      </c>
      <c r="T10" s="6" t="inlineStr">
        <is>
          <t>шт</t>
        </is>
      </c>
      <c r="U10" s="7" t="n"/>
      <c r="V10" s="7" t="n"/>
      <c r="W10" s="7" t="n"/>
      <c r="X10" s="7" t="n"/>
      <c r="Y10" s="7" t="n"/>
      <c r="Z10" s="7" t="n"/>
      <c r="AA10" s="8" t="n"/>
      <c r="AB10" s="9">
        <f>AA10*S10</f>
        <v/>
      </c>
      <c r="AC10" s="7" t="n"/>
      <c r="AD10" s="7" t="n"/>
      <c r="AE10" s="7" t="n"/>
    </row>
    <row r="11" ht="60" customHeight="1">
      <c r="A11" s="5" t="n">
        <v>6</v>
      </c>
      <c r="B11" s="6" t="inlineStr">
        <is>
          <t>1.3/44</t>
        </is>
      </c>
      <c r="C11" s="6" t="inlineStr">
        <is>
          <t>Клапан диафрагменный химический ВДХ Ду 80 Ру 16</t>
        </is>
      </c>
      <c r="D11" s="6" t="inlineStr">
        <is>
          <t>Класс герметичности по ГОСТ 54808"А"</t>
        </is>
      </c>
      <c r="E11" s="6" t="inlineStr">
        <is>
          <t>80</t>
        </is>
      </c>
      <c r="F11" s="6" t="inlineStr">
        <is>
          <t>стандарт</t>
        </is>
      </c>
      <c r="G11" s="6" t="inlineStr">
        <is>
          <t>1.6</t>
        </is>
      </c>
      <c r="H11" s="6" t="inlineStr">
        <is>
          <t>от -50 до +150°С</t>
        </is>
      </c>
      <c r="I11" s="6" t="inlineStr">
        <is>
          <t>любые жидкие реагенты и химические среды.</t>
        </is>
      </c>
      <c r="J11" s="6" t="inlineStr">
        <is>
          <t>углеродистая сталь</t>
        </is>
      </c>
      <c r="K11" s="6" t="inlineStr">
        <is>
          <t>У</t>
        </is>
      </c>
      <c r="L11" s="6" t="inlineStr">
        <is>
          <t>Присоединение фланцевое по ГОСТ 12815-80</t>
        </is>
      </c>
      <c r="M11" s="6" t="inlineStr">
        <is>
          <t>Ручное</t>
        </is>
      </c>
      <c r="N11" s="6" t="inlineStr">
        <is>
          <t>маховик</t>
        </is>
      </c>
      <c r="O11" s="6" t="inlineStr">
        <is>
          <t>-</t>
        </is>
      </c>
      <c r="P11" s="6" t="inlineStr">
        <is>
          <t>Материал защитного покрытия-фторопласт Ф-4МБ. Мембраны-фторопласт</t>
        </is>
      </c>
      <c r="Q11" s="6" t="inlineStr">
        <is>
          <t>строительная длина  310 мм,</t>
        </is>
      </c>
      <c r="R11" s="6" t="inlineStr"/>
      <c r="S11" s="5" t="n">
        <v>3</v>
      </c>
      <c r="T11" s="6" t="inlineStr">
        <is>
          <t>шт</t>
        </is>
      </c>
      <c r="U11" s="7" t="n"/>
      <c r="V11" s="7" t="n"/>
      <c r="W11" s="7" t="n"/>
      <c r="X11" s="7" t="n"/>
      <c r="Y11" s="7" t="n"/>
      <c r="Z11" s="7" t="n"/>
      <c r="AA11" s="8" t="n"/>
      <c r="AB11" s="9">
        <f>AA11*S11</f>
        <v/>
      </c>
      <c r="AC11" s="7" t="n"/>
      <c r="AD11" s="7" t="n"/>
      <c r="AE11" s="7" t="n"/>
    </row>
    <row r="12" ht="60" customHeight="1">
      <c r="A12" s="5" t="n">
        <v>7</v>
      </c>
      <c r="B12" s="6" t="inlineStr">
        <is>
          <t>1.3/63</t>
        </is>
      </c>
      <c r="C12" s="6" t="inlineStr">
        <is>
          <t>Клапан запорный 15с52нж11 Ду 20 Ру 63 под приварку</t>
        </is>
      </c>
      <c r="D12" s="6" t="inlineStr">
        <is>
          <t>ГОСТ 9697-87</t>
        </is>
      </c>
      <c r="E12" s="6" t="inlineStr">
        <is>
          <t>20</t>
        </is>
      </c>
      <c r="F12" s="6" t="inlineStr">
        <is>
          <t>стандарт</t>
        </is>
      </c>
      <c r="G12" s="6" t="inlineStr">
        <is>
          <t>6.3</t>
        </is>
      </c>
      <c r="H12" s="6" t="inlineStr">
        <is>
          <t>до + 425°С</t>
        </is>
      </c>
      <c r="I12" s="6" t="inlineStr">
        <is>
          <t>вода, слабоагрессивные жидкие среды</t>
        </is>
      </c>
      <c r="J12" s="6" t="inlineStr">
        <is>
          <t>Сталь 25 Л</t>
        </is>
      </c>
      <c r="K12" s="6" t="inlineStr">
        <is>
          <t>У1</t>
        </is>
      </c>
      <c r="L12" s="6" t="inlineStr">
        <is>
          <t>под приварку</t>
        </is>
      </c>
      <c r="M12" s="6" t="inlineStr">
        <is>
          <t>ручное</t>
        </is>
      </c>
      <c r="N12" s="6" t="inlineStr">
        <is>
          <t>маховик, рукоятка</t>
        </is>
      </c>
      <c r="O12" s="6" t="inlineStr">
        <is>
          <t>любом рабочем положении</t>
        </is>
      </c>
      <c r="P12" s="6" t="inlineStr">
        <is>
          <t>Материал корпуса, диска, крышки: сталь 25
Материал седла, шпинделя: нержавеющая сталь</t>
        </is>
      </c>
      <c r="Q12" s="6" t="inlineStr">
        <is>
          <t>-</t>
        </is>
      </c>
      <c r="R12" s="6" t="inlineStr"/>
      <c r="S12" s="5" t="n">
        <v>6</v>
      </c>
      <c r="T12" s="6" t="inlineStr">
        <is>
          <t>шт</t>
        </is>
      </c>
      <c r="U12" s="7" t="n"/>
      <c r="V12" s="7" t="n"/>
      <c r="W12" s="7" t="n"/>
      <c r="X12" s="7" t="n"/>
      <c r="Y12" s="7" t="n"/>
      <c r="Z12" s="7" t="n"/>
      <c r="AA12" s="8" t="n"/>
      <c r="AB12" s="9">
        <f>AA12*S12</f>
        <v/>
      </c>
      <c r="AC12" s="7" t="n"/>
      <c r="AD12" s="7" t="n"/>
      <c r="AE12" s="7" t="n"/>
    </row>
    <row r="13" ht="60" customHeight="1">
      <c r="A13" s="5" t="n">
        <v>8</v>
      </c>
      <c r="B13" s="6" t="inlineStr">
        <is>
          <t>1.3/67</t>
        </is>
      </c>
      <c r="C13" s="6" t="inlineStr">
        <is>
          <t>Клапан запорный 15ч93эм Ду 20 Ру 16</t>
        </is>
      </c>
      <c r="D13" s="6" t="inlineStr">
        <is>
          <t>ТУ 26-07-1051-84</t>
        </is>
      </c>
      <c r="E13" s="6" t="inlineStr">
        <is>
          <t>20</t>
        </is>
      </c>
      <c r="F13" s="6" t="inlineStr">
        <is>
          <t>стандарт</t>
        </is>
      </c>
      <c r="G13" s="6" t="inlineStr">
        <is>
          <t>1.6</t>
        </is>
      </c>
      <c r="H13" s="6" t="inlineStr">
        <is>
          <t>От -15°С до +120°С</t>
        </is>
      </c>
      <c r="I13" s="6" t="inlineStr">
        <is>
          <t>Агрессивная</t>
        </is>
      </c>
      <c r="J13" s="6" t="inlineStr">
        <is>
          <t>Серый чугун СЧ18</t>
        </is>
      </c>
      <c r="K13" s="6" t="inlineStr">
        <is>
          <t>УХЛ4</t>
        </is>
      </c>
      <c r="L13" s="6" t="inlineStr">
        <is>
          <t>фланец-фланец</t>
        </is>
      </c>
      <c r="M13" s="6" t="inlineStr">
        <is>
          <t>ручное</t>
        </is>
      </c>
      <c r="N13" s="6" t="inlineStr">
        <is>
          <t>маховик</t>
        </is>
      </c>
      <c r="O13" s="6" t="inlineStr">
        <is>
          <t>любое</t>
        </is>
      </c>
      <c r="P13" s="6" t="inlineStr">
        <is>
          <t>Корпус: чугун.
Крышка: чугун.
Шпиндель: сталь.
Крестовина: чугун.
Диафрагма: фторопласт-4.</t>
        </is>
      </c>
      <c r="Q13" s="6" t="inlineStr">
        <is>
          <t>L-150мм, Н-146мм</t>
        </is>
      </c>
      <c r="R13" s="6" t="inlineStr"/>
      <c r="S13" s="5" t="n">
        <v>2</v>
      </c>
      <c r="T13" s="6" t="inlineStr">
        <is>
          <t>шт</t>
        </is>
      </c>
      <c r="U13" s="7" t="n"/>
      <c r="V13" s="7" t="n"/>
      <c r="W13" s="7" t="n"/>
      <c r="X13" s="7" t="n"/>
      <c r="Y13" s="7" t="n"/>
      <c r="Z13" s="7" t="n"/>
      <c r="AA13" s="8" t="n"/>
      <c r="AB13" s="9">
        <f>AA13*S13</f>
        <v/>
      </c>
      <c r="AC13" s="7" t="n"/>
      <c r="AD13" s="7" t="n"/>
      <c r="AE13" s="7" t="n"/>
    </row>
    <row r="14" ht="60" customHeight="1">
      <c r="A14" s="5" t="n">
        <v>9</v>
      </c>
      <c r="B14" s="6" t="inlineStr">
        <is>
          <t>1.6/20</t>
        </is>
      </c>
      <c r="C14" s="6" t="inlineStr">
        <is>
          <t>Клапан запорный 15кч12пМ Ду 25 Ру 25</t>
        </is>
      </c>
      <c r="D14" s="6" t="inlineStr">
        <is>
          <t>ТУ 3732-001-00218137-94</t>
        </is>
      </c>
      <c r="E14" s="6" t="inlineStr">
        <is>
          <t>25</t>
        </is>
      </c>
      <c r="F14" s="6" t="inlineStr">
        <is>
          <t>стандарт</t>
        </is>
      </c>
      <c r="G14" s="6" t="inlineStr">
        <is>
          <t>2.5</t>
        </is>
      </c>
      <c r="H14" s="6" t="inlineStr">
        <is>
          <t>от -40 до +150</t>
        </is>
      </c>
      <c r="I14" s="6" t="inlineStr">
        <is>
          <t>Хладон, аммиак, вода, пар</t>
        </is>
      </c>
      <c r="J14" s="6" t="inlineStr">
        <is>
          <t>ковкий чугун КЧ 30-6</t>
        </is>
      </c>
      <c r="K14" s="6" t="inlineStr">
        <is>
          <t>УХЛ4 Температура окружающей среды от - 30 до +50</t>
        </is>
      </c>
      <c r="L14" s="6" t="inlineStr">
        <is>
          <t>фланцевый</t>
        </is>
      </c>
      <c r="M14" s="6" t="inlineStr">
        <is>
          <t>ручной (маховик)</t>
        </is>
      </c>
      <c r="N14" s="6" t="inlineStr">
        <is>
          <t>-</t>
        </is>
      </c>
      <c r="O14" s="6" t="inlineStr">
        <is>
          <t>любое</t>
        </is>
      </c>
      <c r="P14" s="6" t="inlineStr">
        <is>
          <t>Золотник, шпиндель - сталь;
Уплотнение - Фторопласт-4</t>
        </is>
      </c>
      <c r="Q14" s="6" t="inlineStr">
        <is>
          <t>-</t>
        </is>
      </c>
      <c r="R14" s="6" t="inlineStr">
        <is>
          <t>-</t>
        </is>
      </c>
      <c r="S14" s="5" t="n">
        <v>1</v>
      </c>
      <c r="T14" s="6" t="inlineStr">
        <is>
          <t>шт</t>
        </is>
      </c>
      <c r="U14" s="7" t="n"/>
      <c r="V14" s="7" t="n"/>
      <c r="W14" s="7" t="n"/>
      <c r="X14" s="7" t="n"/>
      <c r="Y14" s="7" t="n"/>
      <c r="Z14" s="7" t="n"/>
      <c r="AA14" s="8" t="n"/>
      <c r="AB14" s="9">
        <f>AA14*S14</f>
        <v/>
      </c>
      <c r="AC14" s="7" t="n"/>
      <c r="AD14" s="7" t="n"/>
      <c r="AE14" s="7" t="n"/>
    </row>
    <row r="15" ht="60" customHeight="1">
      <c r="A15" s="10" t="inlineStr"/>
      <c r="B15" s="10" t="inlineStr"/>
      <c r="C15" s="10" t="inlineStr"/>
      <c r="D15" s="10" t="inlineStr"/>
      <c r="E15" s="10" t="inlineStr"/>
      <c r="F15" s="10" t="inlineStr"/>
      <c r="G15" s="10" t="inlineStr"/>
      <c r="H15" s="10" t="inlineStr"/>
      <c r="I15" s="10" t="inlineStr"/>
      <c r="J15" s="10" t="inlineStr"/>
      <c r="K15" s="10" t="inlineStr"/>
      <c r="L15" s="10" t="inlineStr"/>
      <c r="M15" s="10" t="inlineStr"/>
      <c r="N15" s="10" t="inlineStr"/>
      <c r="O15" s="10" t="inlineStr"/>
      <c r="P15" s="10" t="inlineStr"/>
      <c r="Q15" s="10" t="inlineStr"/>
      <c r="R15" s="10" t="inlineStr"/>
      <c r="S15" s="10" t="inlineStr"/>
      <c r="T15" s="10" t="inlineStr"/>
      <c r="U15" s="10" t="inlineStr"/>
      <c r="V15" s="10" t="inlineStr"/>
      <c r="W15" s="10" t="inlineStr"/>
      <c r="X15" s="10" t="inlineStr"/>
      <c r="Y15" s="10" t="inlineStr"/>
      <c r="Z15" s="10" t="inlineStr"/>
      <c r="AA15" s="10" t="inlineStr">
        <is>
          <t>ИТОГО</t>
        </is>
      </c>
      <c r="AB15" s="11">
        <f>SUM(AB6:AB14)</f>
        <v/>
      </c>
      <c r="AC15" s="2" t="n"/>
      <c r="AD15" s="2" t="n"/>
      <c r="AE15" s="2" t="n"/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2026-10-27T16:43:32Z</dcterms:created>
  <dcterms:modified xmlns:dcterms="http://purl.org/dc/terms/" xmlns:xsi="http://www.w3.org/2001/XMLSchema-instance" xsi:type="dcterms:W3CDTF">2026-10-27T16:43:32Z</dcterms:modified>
</cp:coreProperties>
</file>