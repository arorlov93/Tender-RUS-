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(БАЗ)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1.1/2</t>
        </is>
      </c>
      <c r="C6" s="6" t="inlineStr">
        <is>
          <t>Клапан запорный 15нж65нж Ду 200 Ру 16</t>
        </is>
      </c>
      <c r="D6" s="6" t="inlineStr">
        <is>
          <t>ТУ 3700-001-66364836-2010</t>
        </is>
      </c>
      <c r="E6" s="6" t="inlineStr">
        <is>
          <t>200</t>
        </is>
      </c>
      <c r="F6" s="6" t="inlineStr">
        <is>
          <t>Полнопроходной</t>
        </is>
      </c>
      <c r="G6" s="6" t="inlineStr">
        <is>
          <t>1.6</t>
        </is>
      </c>
      <c r="H6" s="6" t="inlineStr">
        <is>
          <t>до +6000С</t>
        </is>
      </c>
      <c r="I6" s="6" t="inlineStr">
        <is>
          <t>вода, пар</t>
        </is>
      </c>
      <c r="J6" s="6" t="inlineStr">
        <is>
          <t>12Х18Н10Т</t>
        </is>
      </c>
      <c r="K6" s="6" t="inlineStr">
        <is>
          <t>УХЛ1</t>
        </is>
      </c>
      <c r="L6" s="6" t="inlineStr">
        <is>
          <t>Фланцевое</t>
        </is>
      </c>
      <c r="M6" s="6" t="inlineStr">
        <is>
          <t>Ручное</t>
        </is>
      </c>
      <c r="N6" s="6" t="inlineStr">
        <is>
          <t>Маховик (штурвал)</t>
        </is>
      </c>
      <c r="O6" s="6" t="inlineStr">
        <is>
          <t>любое</t>
        </is>
      </c>
      <c r="P6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6" t="inlineStr">
        <is>
          <t>-</t>
        </is>
      </c>
      <c r="R6" s="6" t="inlineStr">
        <is>
          <t>Класс герметичности по ГОСТ 9544-2015 «А» Поставка клапана с ответными фланцами 12Х18Н10Т</t>
        </is>
      </c>
      <c r="S6" s="5" t="n">
        <v>4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1.1/4</t>
        </is>
      </c>
      <c r="C7" s="6" t="inlineStr">
        <is>
          <t>Клапан запорный15с52нж11 Ду 32 Ру 63 под приварку</t>
        </is>
      </c>
      <c r="D7" s="6" t="inlineStr">
        <is>
          <t>ГОСТ 12.2.063-2015</t>
        </is>
      </c>
      <c r="E7" s="6" t="inlineStr">
        <is>
          <t>32</t>
        </is>
      </c>
      <c r="F7" s="6" t="inlineStr">
        <is>
          <t>стандарт</t>
        </is>
      </c>
      <c r="G7" s="6" t="inlineStr">
        <is>
          <t>6.3</t>
        </is>
      </c>
      <c r="H7" s="6" t="inlineStr">
        <is>
          <t>До +400</t>
        </is>
      </c>
      <c r="I7" s="6" t="inlineStr">
        <is>
          <t>вода пар газ и другие  рабочие среды, неагрессивные к деталям задвижки</t>
        </is>
      </c>
      <c r="J7" s="6" t="inlineStr">
        <is>
          <t>Сталь 20</t>
        </is>
      </c>
      <c r="K7" s="6" t="inlineStr">
        <is>
          <t>У1</t>
        </is>
      </c>
      <c r="L7" s="6" t="inlineStr">
        <is>
          <t>под приварку</t>
        </is>
      </c>
      <c r="M7" s="6" t="inlineStr">
        <is>
          <t>ручное</t>
        </is>
      </c>
      <c r="N7" s="6" t="inlineStr">
        <is>
          <t>рукоятка</t>
        </is>
      </c>
      <c r="O7" s="6" t="inlineStr">
        <is>
          <t>направленная</t>
        </is>
      </c>
      <c r="P7" s="6" t="inlineStr">
        <is>
          <t>корпус сталь 20     золотник сталь 20х13   шпиндель сталь35 сальниковая набивка АГИ</t>
        </is>
      </c>
      <c r="Q7" s="6" t="inlineStr"/>
      <c r="R7" s="6" t="inlineStr"/>
      <c r="S7" s="5" t="n">
        <v>12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1.3/41</t>
        </is>
      </c>
      <c r="C8" s="6" t="inlineStr">
        <is>
          <t>Клапан ВДХ Ду 80 Ру 10</t>
        </is>
      </c>
      <c r="D8" s="6" t="inlineStr">
        <is>
          <t>Класс герметичности по ГОСТ 54808"А"</t>
        </is>
      </c>
      <c r="E8" s="6" t="inlineStr">
        <is>
          <t>80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+ 60°С</t>
        </is>
      </c>
      <c r="I8" s="6" t="inlineStr">
        <is>
          <t>Вода; раствор NaOH 30%; Н2SO4 93%</t>
        </is>
      </c>
      <c r="J8" s="6" t="inlineStr">
        <is>
          <t>углеродистая сталь</t>
        </is>
      </c>
      <c r="K8" s="6" t="inlineStr">
        <is>
          <t>У</t>
        </is>
      </c>
      <c r="L8" s="6" t="inlineStr">
        <is>
          <t>Присоединение фланцевое по ГОСТ 12815-80</t>
        </is>
      </c>
      <c r="M8" s="6" t="inlineStr">
        <is>
          <t>Ручное</t>
        </is>
      </c>
      <c r="N8" s="6" t="inlineStr">
        <is>
          <t>маховик</t>
        </is>
      </c>
      <c r="O8" s="6" t="inlineStr">
        <is>
          <t>-</t>
        </is>
      </c>
      <c r="P8" s="6" t="inlineStr">
        <is>
          <t>Материал защитного покрытия-фторопласт Ф-4МБ. Мембраны-фторопласт</t>
        </is>
      </c>
      <c r="Q8" s="6" t="inlineStr">
        <is>
          <t>строительная длина  310 мм</t>
        </is>
      </c>
      <c r="R8" s="6" t="inlineStr"/>
      <c r="S8" s="5" t="n">
        <v>2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1.3/42</t>
        </is>
      </c>
      <c r="C9" s="6" t="inlineStr">
        <is>
          <t>Клапан диафрагменный химический ВДХ Ду 150 Ру 16</t>
        </is>
      </c>
      <c r="D9" s="6" t="inlineStr">
        <is>
          <t>Класс герметичности по ГОСТ 54808"А"</t>
        </is>
      </c>
      <c r="E9" s="6" t="inlineStr">
        <is>
          <t>150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+ 60°С</t>
        </is>
      </c>
      <c r="I9" s="6" t="inlineStr">
        <is>
          <t>Вода; раствор NaOH 30%; Н2SO4 93%</t>
        </is>
      </c>
      <c r="J9" s="6" t="inlineStr">
        <is>
          <t>углеродистая сталь</t>
        </is>
      </c>
      <c r="K9" s="6" t="inlineStr">
        <is>
          <t>У</t>
        </is>
      </c>
      <c r="L9" s="6" t="inlineStr">
        <is>
          <t>Присоединение фланцевое по ГОСТ 12815-80</t>
        </is>
      </c>
      <c r="M9" s="6" t="inlineStr">
        <is>
          <t>Ручное</t>
        </is>
      </c>
      <c r="N9" s="6" t="inlineStr">
        <is>
          <t>маховик</t>
        </is>
      </c>
      <c r="O9" s="6" t="inlineStr">
        <is>
          <t>-</t>
        </is>
      </c>
      <c r="P9" s="6" t="inlineStr">
        <is>
          <t>Материал защитного покрытия-фторопласт Ф-4МБ. Мембраны-фторопласт</t>
        </is>
      </c>
      <c r="Q9" s="6" t="inlineStr">
        <is>
          <t>строительная длина  460 мм</t>
        </is>
      </c>
      <c r="R9" s="6" t="inlineStr"/>
      <c r="S9" s="5" t="n">
        <v>1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1.3/43</t>
        </is>
      </c>
      <c r="C10" s="6" t="inlineStr">
        <is>
          <t>Клапан диафрагменный химический ВДХ Ду 50, Ру 16</t>
        </is>
      </c>
      <c r="D10" s="6" t="inlineStr">
        <is>
          <t>Класс герметичности по ГОСТ 54808"А"</t>
        </is>
      </c>
      <c r="E10" s="6" t="inlineStr">
        <is>
          <t>50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от -50 до +150°С</t>
        </is>
      </c>
      <c r="I10" s="6" t="inlineStr">
        <is>
          <t>любые жидкие реагенты и химические среды.</t>
        </is>
      </c>
      <c r="J10" s="6" t="inlineStr">
        <is>
          <t>углеродистая сталь</t>
        </is>
      </c>
      <c r="K10" s="6" t="inlineStr">
        <is>
          <t>У</t>
        </is>
      </c>
      <c r="L10" s="6" t="inlineStr">
        <is>
          <t>Присоединение фланцевое по ГОСТ 12815-80</t>
        </is>
      </c>
      <c r="M10" s="6" t="inlineStr">
        <is>
          <t>Ручное</t>
        </is>
      </c>
      <c r="N10" s="6" t="inlineStr">
        <is>
          <t>маховик</t>
        </is>
      </c>
      <c r="O10" s="6" t="inlineStr">
        <is>
          <t>-</t>
        </is>
      </c>
      <c r="P10" s="6" t="inlineStr">
        <is>
          <t>Материал защитного покрытия-фторопласт Ф-4МБ. Мембраны-фторопласт</t>
        </is>
      </c>
      <c r="Q10" s="6" t="inlineStr">
        <is>
          <t>строительная длина  210 мм,</t>
        </is>
      </c>
      <c r="R10" s="6" t="inlineStr"/>
      <c r="S10" s="5" t="n">
        <v>1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6</v>
      </c>
      <c r="B11" s="6" t="inlineStr">
        <is>
          <t>1.3/44</t>
        </is>
      </c>
      <c r="C11" s="6" t="inlineStr">
        <is>
          <t>Клапан диафрагменный химический ВДХ Ду 80 Ру 16</t>
        </is>
      </c>
      <c r="D11" s="6" t="inlineStr">
        <is>
          <t>Класс герметичности по ГОСТ 54808"А"</t>
        </is>
      </c>
      <c r="E11" s="6" t="inlineStr">
        <is>
          <t>80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от -50 до +150°С</t>
        </is>
      </c>
      <c r="I11" s="6" t="inlineStr">
        <is>
          <t>любые жидкие реагенты и химические среды.</t>
        </is>
      </c>
      <c r="J11" s="6" t="inlineStr">
        <is>
          <t>углеродистая сталь</t>
        </is>
      </c>
      <c r="K11" s="6" t="inlineStr">
        <is>
          <t>У</t>
        </is>
      </c>
      <c r="L11" s="6" t="inlineStr">
        <is>
          <t>Присоединение фланцевое по ГОСТ 12815-80</t>
        </is>
      </c>
      <c r="M11" s="6" t="inlineStr">
        <is>
          <t>Ручное</t>
        </is>
      </c>
      <c r="N11" s="6" t="inlineStr">
        <is>
          <t>маховик</t>
        </is>
      </c>
      <c r="O11" s="6" t="inlineStr">
        <is>
          <t>-</t>
        </is>
      </c>
      <c r="P11" s="6" t="inlineStr">
        <is>
          <t>Материал защитного покрытия-фторопласт Ф-4МБ. Мембраны-фторопласт</t>
        </is>
      </c>
      <c r="Q11" s="6" t="inlineStr">
        <is>
          <t>строительная длина  310 мм,</t>
        </is>
      </c>
      <c r="R11" s="6" t="inlineStr"/>
      <c r="S11" s="5" t="n">
        <v>3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7</v>
      </c>
      <c r="B12" s="6" t="inlineStr">
        <is>
          <t>1.3/63</t>
        </is>
      </c>
      <c r="C12" s="6" t="inlineStr">
        <is>
          <t>Клапан запорный 15с52нж11 Ду 20 Ру 63 под приварку</t>
        </is>
      </c>
      <c r="D12" s="6" t="inlineStr">
        <is>
          <t>ГОСТ 9697-87</t>
        </is>
      </c>
      <c r="E12" s="6" t="inlineStr">
        <is>
          <t>20</t>
        </is>
      </c>
      <c r="F12" s="6" t="inlineStr">
        <is>
          <t>стандарт</t>
        </is>
      </c>
      <c r="G12" s="6" t="inlineStr">
        <is>
          <t>6.3</t>
        </is>
      </c>
      <c r="H12" s="6" t="inlineStr">
        <is>
          <t>до + 425°С</t>
        </is>
      </c>
      <c r="I12" s="6" t="inlineStr">
        <is>
          <t>вода, слабоагрессивные жидкие среды</t>
        </is>
      </c>
      <c r="J12" s="6" t="inlineStr">
        <is>
          <t>Сталь 25 Л</t>
        </is>
      </c>
      <c r="K12" s="6" t="inlineStr">
        <is>
          <t>У1</t>
        </is>
      </c>
      <c r="L12" s="6" t="inlineStr">
        <is>
          <t>под приварку</t>
        </is>
      </c>
      <c r="M12" s="6" t="inlineStr">
        <is>
          <t>ручное</t>
        </is>
      </c>
      <c r="N12" s="6" t="inlineStr">
        <is>
          <t>маховик, рукоятка</t>
        </is>
      </c>
      <c r="O12" s="6" t="inlineStr">
        <is>
          <t>любом рабочем положении</t>
        </is>
      </c>
      <c r="P12" s="6" t="inlineStr">
        <is>
          <t>Материал корпуса, диска, крышки: сталь 25
Материал седла, шпинделя: нержавеющая сталь</t>
        </is>
      </c>
      <c r="Q12" s="6" t="inlineStr">
        <is>
          <t>-</t>
        </is>
      </c>
      <c r="R12" s="6" t="inlineStr"/>
      <c r="S12" s="5" t="n">
        <v>6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8</v>
      </c>
      <c r="B13" s="6" t="inlineStr">
        <is>
          <t>1.3/67</t>
        </is>
      </c>
      <c r="C13" s="6" t="inlineStr">
        <is>
          <t>Клапан запорный 15ч93эм Ду 20 Ру 16</t>
        </is>
      </c>
      <c r="D13" s="6" t="inlineStr">
        <is>
          <t>ТУ 26-07-1051-84</t>
        </is>
      </c>
      <c r="E13" s="6" t="inlineStr">
        <is>
          <t>20</t>
        </is>
      </c>
      <c r="F13" s="6" t="inlineStr">
        <is>
          <t>стандарт</t>
        </is>
      </c>
      <c r="G13" s="6" t="inlineStr">
        <is>
          <t>1.6</t>
        </is>
      </c>
      <c r="H13" s="6" t="inlineStr">
        <is>
          <t>От -15°С до +120°С</t>
        </is>
      </c>
      <c r="I13" s="6" t="inlineStr">
        <is>
          <t>Агрессивная</t>
        </is>
      </c>
      <c r="J13" s="6" t="inlineStr">
        <is>
          <t>Серый чугун СЧ18</t>
        </is>
      </c>
      <c r="K13" s="6" t="inlineStr">
        <is>
          <t>УХЛ4</t>
        </is>
      </c>
      <c r="L13" s="6" t="inlineStr">
        <is>
          <t>фланец-фланец</t>
        </is>
      </c>
      <c r="M13" s="6" t="inlineStr">
        <is>
          <t>ручное</t>
        </is>
      </c>
      <c r="N13" s="6" t="inlineStr">
        <is>
          <t>маховик</t>
        </is>
      </c>
      <c r="O13" s="6" t="inlineStr">
        <is>
          <t>любое</t>
        </is>
      </c>
      <c r="P13" s="6" t="inlineStr">
        <is>
          <t>Корпус: чугун.
Крышка: чугун.
Шпиндель: сталь.
Крестовина: чугун.
Диафрагма: фторопласт-4.</t>
        </is>
      </c>
      <c r="Q13" s="6" t="inlineStr">
        <is>
          <t>L-150мм, Н-146мм</t>
        </is>
      </c>
      <c r="R13" s="6" t="inlineStr"/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9</v>
      </c>
      <c r="B14" s="6" t="inlineStr">
        <is>
          <t>1.6/20</t>
        </is>
      </c>
      <c r="C14" s="6" t="inlineStr">
        <is>
          <t>Клапан запорный 15кч12пМ Ду 25 Ру 25</t>
        </is>
      </c>
      <c r="D14" s="6" t="inlineStr">
        <is>
          <t>ТУ 3732-001-00218137-94</t>
        </is>
      </c>
      <c r="E14" s="6" t="inlineStr">
        <is>
          <t>25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-40 до +150</t>
        </is>
      </c>
      <c r="I14" s="6" t="inlineStr">
        <is>
          <t>Хладон, аммиак, вода, пар</t>
        </is>
      </c>
      <c r="J14" s="6" t="inlineStr">
        <is>
          <t>ковкий чугун КЧ 30-6</t>
        </is>
      </c>
      <c r="K14" s="6" t="inlineStr">
        <is>
          <t>УХЛ4 Температура окружающей среды от - 30 до +50</t>
        </is>
      </c>
      <c r="L14" s="6" t="inlineStr">
        <is>
          <t>фланцевый</t>
        </is>
      </c>
      <c r="M14" s="6" t="inlineStr">
        <is>
          <t>ручной (маховик)</t>
        </is>
      </c>
      <c r="N14" s="6" t="inlineStr">
        <is>
          <t>-</t>
        </is>
      </c>
      <c r="O14" s="6" t="inlineStr">
        <is>
          <t>любое</t>
        </is>
      </c>
      <c r="P14" s="6" t="inlineStr">
        <is>
          <t>Золотник, шпиндель - сталь;
Уплотнение - Фторопласт-4</t>
        </is>
      </c>
      <c r="Q14" s="6" t="inlineStr">
        <is>
          <t>-</t>
        </is>
      </c>
      <c r="R14" s="6" t="inlineStr">
        <is>
          <t>-</t>
        </is>
      </c>
      <c r="S14" s="5" t="n">
        <v>1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  <c r="P15" s="10" t="inlineStr"/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10" t="inlineStr"/>
      <c r="Y15" s="10" t="inlineStr"/>
      <c r="Z15" s="10" t="inlineStr"/>
      <c r="AA15" s="10" t="inlineStr">
        <is>
          <t>ИТОГО</t>
        </is>
      </c>
      <c r="AB15" s="11">
        <f>SUM(AB6:AB14)</f>
        <v/>
      </c>
      <c r="AC15" s="2" t="n"/>
      <c r="AD15" s="2" t="n"/>
      <c r="AE15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