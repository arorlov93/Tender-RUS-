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«Пензапромарматура» (КИПИКА), Хрипунова Светлана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1.3/39</t>
        </is>
      </c>
      <c r="C6" s="6" t="inlineStr">
        <is>
          <t>Кран для манометра трехходовой Ду 15 Ру 16</t>
        </is>
      </c>
      <c r="D6" s="6" t="inlineStr">
        <is>
          <t>ГОСТ 12.2.063-2015</t>
        </is>
      </c>
      <c r="E6" s="6" t="inlineStr">
        <is>
          <t>15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от -50 до +150 C</t>
        </is>
      </c>
      <c r="I6" s="6" t="inlineStr">
        <is>
          <t>вода, пар, воздух</t>
        </is>
      </c>
      <c r="J6" s="6" t="inlineStr">
        <is>
          <t>латунь ЛЦ40Сд</t>
        </is>
      </c>
      <c r="K6" s="6" t="inlineStr">
        <is>
          <t>У1</t>
        </is>
      </c>
      <c r="L6" s="6" t="inlineStr">
        <is>
          <t>внутренняя резьба</t>
        </is>
      </c>
      <c r="M6" s="6" t="inlineStr">
        <is>
          <t>флажок/рычаг</t>
        </is>
      </c>
      <c r="N6" s="6" t="inlineStr">
        <is>
          <t>ручное</t>
        </is>
      </c>
      <c r="O6" s="6" t="inlineStr">
        <is>
          <t>любое</t>
        </is>
      </c>
      <c r="P6" s="6" t="inlineStr">
        <is>
          <t>Материал штока — Латунь ЛЦ40СД
Материал пробки — латунь ЛЦ40СД
Уплотнение пробки — фторопласт</t>
        </is>
      </c>
      <c r="Q6" s="6" t="inlineStr">
        <is>
          <t>Длина 50 мм</t>
        </is>
      </c>
      <c r="R6" s="6" t="inlineStr"/>
      <c r="S6" s="5" t="n">
        <v>34</v>
      </c>
      <c r="T6" s="6" t="inlineStr">
        <is>
          <t>шт</t>
        </is>
      </c>
      <c r="U6" s="7" t="inlineStr">
        <is>
          <t>Кран трёхходовой для манометра с контр. фланцем 11б18бк(ф)1 Ру16 Ду15 G1/2×M20×1,5 с рукояткой (арт. 013011211)</t>
        </is>
      </c>
      <c r="V6" s="7" t="inlineStr">
        <is>
          <t>ООО «Пензапромарматура» (КИПИКА)</t>
        </is>
      </c>
      <c r="W6" s="7" t="inlineStr">
        <is>
          <t>Россия</t>
        </is>
      </c>
      <c r="X6" s="8" t="n"/>
      <c r="Y6" s="8" t="n"/>
      <c r="Z6" s="8" t="n"/>
      <c r="AA6" s="9" t="n"/>
      <c r="AB6" s="10">
        <f>AA6*S6</f>
        <v/>
      </c>
      <c r="AC6" s="8" t="n"/>
      <c r="AD6" s="8" t="n"/>
      <c r="AE6" s="8" t="n"/>
    </row>
    <row r="7" ht="60" customHeight="1">
      <c r="A7" s="5" t="n">
        <v>2</v>
      </c>
      <c r="B7" s="6" t="inlineStr">
        <is>
          <t>1.3/100</t>
        </is>
      </c>
      <c r="C7" s="6" t="inlineStr">
        <is>
          <t>Кран 11б27п(м) Ду 15 Ру 16 3-х ходовой для манометров</t>
        </is>
      </c>
      <c r="D7" s="6" t="inlineStr">
        <is>
          <t>ГОСТ 12.2.063-2015</t>
        </is>
      </c>
      <c r="E7" s="6" t="inlineStr">
        <is>
          <t>15</t>
        </is>
      </c>
      <c r="F7" s="6" t="inlineStr">
        <is>
          <t>стандарт</t>
        </is>
      </c>
      <c r="G7" s="6" t="inlineStr">
        <is>
          <t>1.6</t>
        </is>
      </c>
      <c r="H7" s="6" t="inlineStr">
        <is>
          <t>от -50 до +150 C</t>
        </is>
      </c>
      <c r="I7" s="6" t="inlineStr">
        <is>
          <t>вода, пар, воздух</t>
        </is>
      </c>
      <c r="J7" s="6" t="inlineStr">
        <is>
          <t>латунь ЛЦ40Сд</t>
        </is>
      </c>
      <c r="K7" s="6" t="inlineStr">
        <is>
          <t>У1</t>
        </is>
      </c>
      <c r="L7" s="6" t="inlineStr">
        <is>
          <t>внутренняя резьба</t>
        </is>
      </c>
      <c r="M7" s="6" t="inlineStr">
        <is>
          <t>флажок/рычаг</t>
        </is>
      </c>
      <c r="N7" s="6" t="inlineStr">
        <is>
          <t>ручное</t>
        </is>
      </c>
      <c r="O7" s="6" t="inlineStr">
        <is>
          <t>любое</t>
        </is>
      </c>
      <c r="P7" s="6" t="inlineStr">
        <is>
          <t>Материал штока — Латунь ЛЦ40СД
Материал пробки — латунь ЛЦ40СД
Уплотнение пробки — фторопласт</t>
        </is>
      </c>
      <c r="Q7" s="6" t="inlineStr">
        <is>
          <t>Длина 50 мм</t>
        </is>
      </c>
      <c r="R7" s="6" t="inlineStr"/>
      <c r="S7" s="5" t="n">
        <v>4</v>
      </c>
      <c r="T7" s="6" t="inlineStr">
        <is>
          <t>шт</t>
        </is>
      </c>
      <c r="U7" s="7" t="inlineStr">
        <is>
          <t>Кран шаровый трёхходовой для манометра 11б27пм.1 Ру16 Ду15 G1/2×M20×1,5 (арт. 021011011)</t>
        </is>
      </c>
      <c r="V7" s="7" t="inlineStr">
        <is>
          <t>ООО «Пензапромарматура» (КИПИКА)</t>
        </is>
      </c>
      <c r="W7" s="7" t="inlineStr">
        <is>
          <t>Россия</t>
        </is>
      </c>
      <c r="X7" s="8" t="n"/>
      <c r="Y7" s="8" t="n"/>
      <c r="Z7" s="8" t="n"/>
      <c r="AA7" s="9" t="n"/>
      <c r="AB7" s="10">
        <f>AA7*S7</f>
        <v/>
      </c>
      <c r="AC7" s="8" t="n"/>
      <c r="AD7" s="8" t="n"/>
      <c r="AE7" s="8" t="n"/>
    </row>
    <row r="8" ht="60" customHeight="1">
      <c r="A8" s="5" t="n">
        <v>3</v>
      </c>
      <c r="B8" s="6" t="inlineStr">
        <is>
          <t>1.6/16</t>
        </is>
      </c>
      <c r="C8" s="6" t="inlineStr">
        <is>
          <t>Кран для манометра трехходовой Ду 15 Ру 16</t>
        </is>
      </c>
      <c r="D8" s="6" t="inlineStr">
        <is>
          <t>Нормы герметичности затвора: ГОСТ 9544-2015</t>
        </is>
      </c>
      <c r="E8" s="6" t="inlineStr">
        <is>
          <t>15</t>
        </is>
      </c>
      <c r="F8" s="6" t="inlineStr">
        <is>
          <t>полный</t>
        </is>
      </c>
      <c r="G8" s="6" t="inlineStr">
        <is>
          <t>1.6</t>
        </is>
      </c>
      <c r="H8" s="6" t="inlineStr">
        <is>
          <t>до +225</t>
        </is>
      </c>
      <c r="I8" s="6" t="inlineStr">
        <is>
          <t>вода, пар</t>
        </is>
      </c>
      <c r="J8" s="6" t="inlineStr">
        <is>
          <t>латунь ЛЦ40Сд</t>
        </is>
      </c>
      <c r="K8" s="6" t="inlineStr">
        <is>
          <t>У1</t>
        </is>
      </c>
      <c r="L8" s="6" t="inlineStr">
        <is>
          <t>муфтовый</t>
        </is>
      </c>
      <c r="M8" s="6" t="inlineStr">
        <is>
          <t>ручной (рукоятка)</t>
        </is>
      </c>
      <c r="N8" s="6" t="inlineStr">
        <is>
          <t>-</t>
        </is>
      </c>
      <c r="O8" s="6" t="inlineStr">
        <is>
          <t>любое</t>
        </is>
      </c>
      <c r="P8" s="6" t="inlineStr">
        <is>
          <t>шаровая пробка - хромированная латунь ЛЦ40Сд; уплотнительные кольца - фторопласт-4</t>
        </is>
      </c>
      <c r="Q8" s="6" t="inlineStr">
        <is>
          <t>-</t>
        </is>
      </c>
      <c r="R8" s="6" t="inlineStr">
        <is>
          <t>-</t>
        </is>
      </c>
      <c r="S8" s="5" t="n">
        <v>2</v>
      </c>
      <c r="T8" s="6" t="inlineStr">
        <is>
          <t>шт</t>
        </is>
      </c>
      <c r="U8" s="7" t="inlineStr">
        <is>
          <t>Кран шаровый трёхходовой для манометра 11б27пм.1 Ру16 Ду15 G1/2×M20×1,5 (арт. 021011011)</t>
        </is>
      </c>
      <c r="V8" s="7" t="inlineStr">
        <is>
          <t>ООО «Пензапромарматура» (КИПИКА)</t>
        </is>
      </c>
      <c r="W8" s="7" t="inlineStr">
        <is>
          <t>Россия</t>
        </is>
      </c>
      <c r="X8" s="8" t="n"/>
      <c r="Y8" s="8" t="n"/>
      <c r="Z8" s="8" t="n"/>
      <c r="AA8" s="9" t="n"/>
      <c r="AB8" s="10">
        <f>AA8*S8</f>
        <v/>
      </c>
      <c r="AC8" s="8" t="n"/>
      <c r="AD8" s="8" t="n"/>
      <c r="AE8" s="8" t="n"/>
    </row>
    <row r="9" ht="60" customHeight="1">
      <c r="A9" s="5" t="n">
        <v>4</v>
      </c>
      <c r="B9" s="6" t="inlineStr">
        <is>
          <t>1.6/50</t>
        </is>
      </c>
      <c r="C9" s="6" t="inlineStr">
        <is>
          <t>Кран шаровой 11б27п(м) Ду 015 Ру16 3-х ходовой для манометров</t>
        </is>
      </c>
      <c r="D9" s="6" t="inlineStr">
        <is>
          <t>Нормы герметичности затвора: ГОСТ 9544-2015</t>
        </is>
      </c>
      <c r="E9" s="6" t="inlineStr">
        <is>
          <t>15</t>
        </is>
      </c>
      <c r="F9" s="6" t="inlineStr">
        <is>
          <t>полный</t>
        </is>
      </c>
      <c r="G9" s="6" t="inlineStr">
        <is>
          <t>1.6</t>
        </is>
      </c>
      <c r="H9" s="6" t="inlineStr">
        <is>
          <t>до +225</t>
        </is>
      </c>
      <c r="I9" s="6" t="inlineStr">
        <is>
          <t>вода, пар</t>
        </is>
      </c>
      <c r="J9" s="6" t="inlineStr">
        <is>
          <t>латунь ЛЦ40Сд</t>
        </is>
      </c>
      <c r="K9" s="6" t="inlineStr">
        <is>
          <t>У1</t>
        </is>
      </c>
      <c r="L9" s="6" t="inlineStr">
        <is>
          <t>муфтовый</t>
        </is>
      </c>
      <c r="M9" s="6" t="inlineStr">
        <is>
          <t>ручной (рукоятка)</t>
        </is>
      </c>
      <c r="N9" s="6" t="inlineStr">
        <is>
          <t>-</t>
        </is>
      </c>
      <c r="O9" s="6" t="inlineStr">
        <is>
          <t>любое</t>
        </is>
      </c>
      <c r="P9" s="6" t="inlineStr">
        <is>
          <t>шаровая пробка - хромированная латунь ЛЦ40Сд; уплотнительные кольца - фторопласт-4</t>
        </is>
      </c>
      <c r="Q9" s="6" t="inlineStr">
        <is>
          <t>-</t>
        </is>
      </c>
      <c r="R9" s="6" t="inlineStr">
        <is>
          <t>-</t>
        </is>
      </c>
      <c r="S9" s="5" t="n">
        <v>132</v>
      </c>
      <c r="T9" s="6" t="inlineStr">
        <is>
          <t>шт</t>
        </is>
      </c>
      <c r="U9" s="7" t="inlineStr">
        <is>
          <t>Кран шаровый трёхходовой для манометра 11б27пм.1 Ру16 Ду15 G1/2×M20×1,5 (арт. 021011011)</t>
        </is>
      </c>
      <c r="V9" s="7" t="inlineStr">
        <is>
          <t>ООО «Пензапромарматура» (КИПИКА)</t>
        </is>
      </c>
      <c r="W9" s="7" t="inlineStr">
        <is>
          <t>Россия</t>
        </is>
      </c>
      <c r="X9" s="8" t="n"/>
      <c r="Y9" s="8" t="n"/>
      <c r="Z9" s="8" t="n"/>
      <c r="AA9" s="9" t="n"/>
      <c r="AB9" s="10">
        <f>AA9*S9</f>
        <v/>
      </c>
      <c r="AC9" s="8" t="n"/>
      <c r="AD9" s="8" t="n"/>
      <c r="AE9" s="8" t="n"/>
    </row>
    <row r="10" ht="6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>
        <is>
          <t>ИТОГО</t>
        </is>
      </c>
      <c r="AB10" s="12">
        <f>SUM(AB6:AB9)</f>
        <v/>
      </c>
      <c r="AC10" s="2" t="n"/>
      <c r="AD10" s="2" t="n"/>
      <c r="AE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