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12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34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22" customWidth="1" min="21" max="21"/>
    <col width="24" customWidth="1" min="22" max="22"/>
    <col width="14" customWidth="1" min="23" max="23"/>
    <col width="26" customWidth="1" min="24" max="24"/>
    <col width="13" customWidth="1" min="25" max="25"/>
    <col width="24" customWidth="1" min="26" max="26"/>
    <col width="13" customWidth="1" min="27" max="27"/>
    <col width="14" customWidth="1" min="28" max="28"/>
    <col width="12" customWidth="1" min="29" max="29"/>
    <col width="14" customWidth="1" min="30" max="30"/>
    <col width="20" customWidth="1" min="31" max="31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ООО «ДН.РУ» (ИНН 7724452117)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2" t="inlineStr">
        <is>
          <t>Просим заполнить жёлтые графы по каждой позиции. Характеристики — дословно из технических требований заказчика; при отличии — указать в графе «Соответствие ТЗ».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8" customHeight="1">
      <c r="A3" s="2" t="inlineStr">
        <is>
          <t>Графы марка / производитель / страна / № записи частично ПРЕДЗАПОЛНЕНЫ нами по вашему КП и открытым данным — проверьте и исправьте, если не так.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18" customHeight="1">
      <c r="A4" s="2" t="inlineStr">
        <is>
          <t>Нацрежим ПП 1875 (ограничение): обязательны производитель, страна и ДЕЙСТВУЮЩИЙ номер реестровой записи ПП 719 (для ЕАЭС — евразийский реестр). Приложите выписку из ГИСП и сертификаты. Доставка — до Петропавловска-Камчатского (укажите вес).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66" customHeight="1">
      <c r="A5" s="3" t="inlineStr">
        <is>
          <t>№</t>
        </is>
      </c>
      <c r="B5" s="3" t="inlineStr">
        <is>
          <t>Табл./№ ТЗ</t>
        </is>
      </c>
      <c r="C5" s="3" t="inlineStr">
        <is>
          <t>Наименование</t>
        </is>
      </c>
      <c r="D5" s="3" t="inlineStr">
        <is>
          <t>ГОСТ/ТУ</t>
        </is>
      </c>
      <c r="E5" s="3" t="inlineStr">
        <is>
          <t>Ду, мм</t>
        </is>
      </c>
      <c r="F5" s="3" t="inlineStr">
        <is>
          <t>Проход</t>
        </is>
      </c>
      <c r="G5" s="3" t="inlineStr">
        <is>
          <t>Давление, МПа</t>
        </is>
      </c>
      <c r="H5" s="3" t="inlineStr">
        <is>
          <t>Температура, °С</t>
        </is>
      </c>
      <c r="I5" s="3" t="inlineStr">
        <is>
          <t>Среда</t>
        </is>
      </c>
      <c r="J5" s="3" t="inlineStr">
        <is>
          <t>Материал корпуса</t>
        </is>
      </c>
      <c r="K5" s="3" t="inlineStr">
        <is>
          <t>Климатическое исполнение</t>
        </is>
      </c>
      <c r="L5" s="3" t="inlineStr">
        <is>
          <t>Присоединение</t>
        </is>
      </c>
      <c r="M5" s="3" t="inlineStr">
        <is>
          <t>Приводное устройство: наименование</t>
        </is>
      </c>
      <c r="N5" s="3" t="inlineStr">
        <is>
          <t>Приводное устройство: технические характеристики</t>
        </is>
      </c>
      <c r="O5" s="3" t="inlineStr">
        <is>
          <t>Установочное положение</t>
        </is>
      </c>
      <c r="P5" s="3" t="inlineStr">
        <is>
          <t>Материал штока, шара, уплотнений</t>
        </is>
      </c>
      <c r="Q5" s="3" t="inlineStr">
        <is>
          <t>Габариты</t>
        </is>
      </c>
      <c r="R5" s="3" t="inlineStr">
        <is>
          <t>Примечание</t>
        </is>
      </c>
      <c r="S5" s="3" t="inlineStr">
        <is>
          <t>Кол-во</t>
        </is>
      </c>
      <c r="T5" s="3" t="inlineStr">
        <is>
          <t>Ед.</t>
        </is>
      </c>
      <c r="U5" s="4" t="inlineStr">
        <is>
          <t>Предлагаемая марка / обозначение</t>
        </is>
      </c>
      <c r="V5" s="4" t="inlineStr">
        <is>
          <t>Производитель (завод)</t>
        </is>
      </c>
      <c r="W5" s="4" t="inlineStr">
        <is>
          <t>Страна происхождения</t>
        </is>
      </c>
      <c r="X5" s="4" t="inlineStr">
        <is>
          <t>№ реестровой записи (ПП 719) или евразийского реестра</t>
        </is>
      </c>
      <c r="Y5" s="4" t="inlineStr">
        <is>
          <t>Срок действия записи</t>
        </is>
      </c>
      <c r="Z5" s="4" t="inlineStr">
        <is>
          <t>Соответствие ТЗ: «да» или отличия</t>
        </is>
      </c>
      <c r="AA5" s="4" t="inlineStr">
        <is>
          <t>Цена за ед. с НДС, ₽</t>
        </is>
      </c>
      <c r="AB5" s="4" t="inlineStr">
        <is>
          <t>Сумма с НДС, ₽</t>
        </is>
      </c>
      <c r="AC5" s="4" t="inlineStr">
        <is>
          <t>Срок отгрузки</t>
        </is>
      </c>
      <c r="AD5" s="4" t="inlineStr">
        <is>
          <t>Вес ед., кг / габариты</t>
        </is>
      </c>
      <c r="AE5" s="4" t="inlineStr">
        <is>
          <t>Сертификат / декларация ТР ТС №</t>
        </is>
      </c>
    </row>
    <row r="6" ht="60" customHeight="1">
      <c r="A6" s="5" t="n">
        <v>1</v>
      </c>
      <c r="B6" s="6" t="inlineStr">
        <is>
          <t>1.1/1</t>
        </is>
      </c>
      <c r="C6" s="6" t="inlineStr">
        <is>
          <t>Клапан предохранительный 17лс17нж Ду 200-300  Ру 16-6 полноподъемный пружинный фланцевый</t>
        </is>
      </c>
      <c r="D6" s="6" t="inlineStr">
        <is>
          <t>ТУ 3742-001-09212465-2016; ГОСТ 5761-2005, ГОСТ 9544-2015, ГОСТ 16587-71, ГОСТ 356-80</t>
        </is>
      </c>
      <c r="E6" s="6" t="inlineStr">
        <is>
          <t>200</t>
        </is>
      </c>
      <c r="F6" s="6" t="inlineStr">
        <is>
          <t>стандарт</t>
        </is>
      </c>
      <c r="G6" s="6" t="inlineStr">
        <is>
          <t>1.6</t>
        </is>
      </c>
      <c r="H6" s="6" t="inlineStr">
        <is>
          <t>От -40 °C до +225°С</t>
        </is>
      </c>
      <c r="I6" s="6" t="inlineStr">
        <is>
          <t>Жидкая и газообразная в которой скорость коррозии сталей не превышает 0,1 мм/год</t>
        </is>
      </c>
      <c r="J6" s="6" t="inlineStr">
        <is>
          <t>Корпус — сталь 20ГЛ ГОСТ 977-88;  Крышка — ст.20</t>
        </is>
      </c>
      <c r="K6" s="6" t="inlineStr">
        <is>
          <t>У1</t>
        </is>
      </c>
      <c r="L6" s="6" t="inlineStr">
        <is>
          <t>фланец-фланец</t>
        </is>
      </c>
      <c r="M6" s="6" t="inlineStr">
        <is>
          <t>автоматическое/ручное</t>
        </is>
      </c>
      <c r="N6" s="6" t="inlineStr">
        <is>
          <t>Рукоятка</t>
        </is>
      </c>
      <c r="O6" s="6" t="inlineStr">
        <is>
          <t>вертикально, колпаком вверх с подачей среды под золотник</t>
        </is>
      </c>
      <c r="P6" s="6" t="inlineStr">
        <is>
          <t>Седло — ст.20Х13; Золотник — ст.30Х13, Шток — ст.20Х13, Пружина — 50ХФА или 51ХФА. Площадь седла F - 15836 мм2;</t>
        </is>
      </c>
      <c r="Q6" s="6" t="inlineStr">
        <is>
          <t>Строительная длина L/L1 мм — 280/320</t>
        </is>
      </c>
      <c r="R6" s="6" t="inlineStr"/>
      <c r="S6" s="5" t="n">
        <v>1</v>
      </c>
      <c r="T6" s="6" t="inlineStr">
        <is>
          <t>шт</t>
        </is>
      </c>
      <c r="U6" s="7" t="inlineStr">
        <is>
          <t>Клапан предохранительный Авангард 17лс17нж Ду200-300 Ру16-6 полноподъемный пружинный 1 шт фланцевый</t>
        </is>
      </c>
      <c r="V6" s="7" t="inlineStr">
        <is>
          <t>АО «Авангард» / САЗ (Старый Оскол)</t>
        </is>
      </c>
      <c r="W6" s="7" t="inlineStr">
        <is>
          <t>Россия</t>
        </is>
      </c>
      <c r="X6" s="8" t="n"/>
      <c r="Y6" s="8" t="n"/>
      <c r="Z6" s="8" t="n"/>
      <c r="AA6" s="9" t="n"/>
      <c r="AB6" s="10">
        <f>AA6*S6</f>
        <v/>
      </c>
      <c r="AC6" s="8" t="n"/>
      <c r="AD6" s="8" t="n"/>
      <c r="AE6" s="8" t="n"/>
    </row>
    <row r="7" ht="60" customHeight="1">
      <c r="A7" s="5" t="n">
        <v>2</v>
      </c>
      <c r="B7" s="6" t="inlineStr">
        <is>
          <t>1.1/3</t>
        </is>
      </c>
      <c r="C7" s="6" t="inlineStr">
        <is>
          <t>Клапан запорный15нж65нж Ду 50 Ру 16</t>
        </is>
      </c>
      <c r="D7" s="6" t="inlineStr">
        <is>
          <t>ТУ 3700-001-66364836-2010</t>
        </is>
      </c>
      <c r="E7" s="6" t="inlineStr">
        <is>
          <t>50</t>
        </is>
      </c>
      <c r="F7" s="6" t="inlineStr">
        <is>
          <t>Полнопроходной</t>
        </is>
      </c>
      <c r="G7" s="6" t="inlineStr">
        <is>
          <t>1.6</t>
        </is>
      </c>
      <c r="H7" s="6" t="inlineStr">
        <is>
          <t>до +6000С</t>
        </is>
      </c>
      <c r="I7" s="6" t="inlineStr">
        <is>
          <t>вода, пар</t>
        </is>
      </c>
      <c r="J7" s="6" t="inlineStr">
        <is>
          <t>12Х18Н10Т</t>
        </is>
      </c>
      <c r="K7" s="6" t="inlineStr">
        <is>
          <t>УХЛ1</t>
        </is>
      </c>
      <c r="L7" s="6" t="inlineStr">
        <is>
          <t>Фланцевое</t>
        </is>
      </c>
      <c r="M7" s="6" t="inlineStr">
        <is>
          <t>Ручное</t>
        </is>
      </c>
      <c r="N7" s="6" t="inlineStr">
        <is>
          <t>Маховик (штурвал)</t>
        </is>
      </c>
      <c r="O7" s="6" t="inlineStr">
        <is>
          <t>любое</t>
        </is>
      </c>
      <c r="P7" s="6" t="inlineStr">
        <is>
          <t>Крышка — 12Х18Н10Т; седло — 12Х18Н10Т; шпиндель — 12Х18Н10Т; диск (золотник) — 12Х18Н10Т; набивка сальниковая (сальник) — ТРГ</t>
        </is>
      </c>
      <c r="Q7" s="6" t="inlineStr">
        <is>
          <t>-</t>
        </is>
      </c>
      <c r="R7" s="6" t="inlineStr">
        <is>
          <t>Класс герметичности по ГОСТ 9544-2015 «А» Поставка клапана с ответными фланцами 12Х18Н10Т</t>
        </is>
      </c>
      <c r="S7" s="5" t="n">
        <v>3</v>
      </c>
      <c r="T7" s="6" t="inlineStr">
        <is>
          <t>шт</t>
        </is>
      </c>
      <c r="U7" s="8" t="n"/>
      <c r="V7" s="8" t="n"/>
      <c r="W7" s="8" t="n"/>
      <c r="X7" s="8" t="n"/>
      <c r="Y7" s="8" t="n"/>
      <c r="Z7" s="8" t="n"/>
      <c r="AA7" s="9" t="n"/>
      <c r="AB7" s="10">
        <f>AA7*S7</f>
        <v/>
      </c>
      <c r="AC7" s="8" t="n"/>
      <c r="AD7" s="8" t="n"/>
      <c r="AE7" s="8" t="n"/>
    </row>
    <row r="8" ht="60" customHeight="1">
      <c r="A8" s="5" t="n">
        <v>3</v>
      </c>
      <c r="B8" s="6" t="inlineStr">
        <is>
          <t>1.1/5</t>
        </is>
      </c>
      <c r="C8" s="6" t="inlineStr">
        <is>
          <t>Задвижка 30нж41нж Ду 150 Ру 16 1исп. САЗ</t>
        </is>
      </c>
      <c r="D8" s="6" t="inlineStr">
        <is>
          <t>ГОСТ 5762-2002</t>
        </is>
      </c>
      <c r="E8" s="6" t="inlineStr">
        <is>
          <t>150</t>
        </is>
      </c>
      <c r="F8" s="6" t="inlineStr">
        <is>
          <t>стандартный</t>
        </is>
      </c>
      <c r="G8" s="6" t="inlineStr">
        <is>
          <t>1.6</t>
        </is>
      </c>
      <c r="H8" s="6" t="inlineStr">
        <is>
          <t>от -60 до +560</t>
        </is>
      </c>
      <c r="I8" s="6" t="inlineStr">
        <is>
          <t>Жидкие и газообразные углеводороды, нефть, нефтепродукты, природный газ, газоконденсат, вода пар и другие жидкости и газы</t>
        </is>
      </c>
      <c r="J8" s="6" t="inlineStr">
        <is>
          <t>сталь 12Х18Н9ТЛ</t>
        </is>
      </c>
      <c r="K8" s="6" t="inlineStr">
        <is>
          <t>УХЛ1</t>
        </is>
      </c>
      <c r="L8" s="6" t="inlineStr">
        <is>
          <t>фланцевый</t>
        </is>
      </c>
      <c r="M8" s="6" t="inlineStr">
        <is>
          <t>ручной (маховик)</t>
        </is>
      </c>
      <c r="N8" s="6" t="inlineStr">
        <is>
          <t>-</t>
        </is>
      </c>
      <c r="O8" s="6" t="inlineStr">
        <is>
          <t>любое</t>
        </is>
      </c>
      <c r="P8" s="6" t="inlineStr">
        <is>
          <t>1) Диски-12Х18Н9ТЛ; 2) Шпиндель-12Х18Н9Т; 3) Прокладка-Паронит ПМБ; 4) Крышка-12Х18Н9ТЛ; 5) Гайка-12Х18Н9Т; 6) Шпилька 45Х14Н14В2М; 7) Набивка сальника-ТРГ; 8)Сальник-12Х18Н9ТЛ; 9) Болт откидной-45Х14Н14В2М; 10) Втулка резьбовая-Лц 40С; 11)Маховик-20ГЛ; 12) Контргайка-35Х; 13)Шпонка-40Х; 14) Ось-2Х18Н9</t>
        </is>
      </c>
      <c r="Q8" s="6" t="inlineStr"/>
      <c r="R8" s="6" t="inlineStr"/>
      <c r="S8" s="5" t="n">
        <v>1</v>
      </c>
      <c r="T8" s="6" t="inlineStr">
        <is>
          <t>шт</t>
        </is>
      </c>
      <c r="U8" s="8" t="n"/>
      <c r="V8" s="8" t="n"/>
      <c r="W8" s="8" t="n"/>
      <c r="X8" s="8" t="n"/>
      <c r="Y8" s="8" t="n"/>
      <c r="Z8" s="8" t="n"/>
      <c r="AA8" s="9" t="n"/>
      <c r="AB8" s="10">
        <f>AA8*S8</f>
        <v/>
      </c>
      <c r="AC8" s="8" t="n"/>
      <c r="AD8" s="8" t="n"/>
      <c r="AE8" s="8" t="n"/>
    </row>
    <row r="9" ht="60" customHeight="1">
      <c r="A9" s="5" t="n">
        <v>4</v>
      </c>
      <c r="B9" s="6" t="inlineStr">
        <is>
          <t>1.1/7</t>
        </is>
      </c>
      <c r="C9" s="6" t="inlineStr">
        <is>
          <t>Задвижка 30с41нж Ду 50 Ру 16</t>
        </is>
      </c>
      <c r="D9" s="6" t="inlineStr">
        <is>
          <t>ТУ 3741–001–24380482–2016</t>
        </is>
      </c>
      <c r="E9" s="6" t="inlineStr">
        <is>
          <t>50</t>
        </is>
      </c>
      <c r="F9" s="6" t="inlineStr">
        <is>
          <t>стандарт</t>
        </is>
      </c>
      <c r="G9" s="6" t="inlineStr">
        <is>
          <t>1.6</t>
        </is>
      </c>
      <c r="H9" s="6" t="inlineStr">
        <is>
          <t>до +425</t>
        </is>
      </c>
      <c r="I9" s="6" t="inlineStr">
        <is>
          <t>Вода</t>
        </is>
      </c>
      <c r="J9" s="6" t="inlineStr">
        <is>
          <t>Сталь 25 Л</t>
        </is>
      </c>
      <c r="K9" s="6" t="inlineStr">
        <is>
          <t>У1</t>
        </is>
      </c>
      <c r="L9" s="6" t="inlineStr">
        <is>
          <t>фланец-фланец по ГОСТ 33259-2015</t>
        </is>
      </c>
      <c r="M9" s="6" t="inlineStr">
        <is>
          <t>Ручное</t>
        </is>
      </c>
      <c r="N9" s="6" t="inlineStr">
        <is>
          <t>штурвал</t>
        </is>
      </c>
      <c r="O9" s="6" t="inlineStr">
        <is>
          <t>Любое</t>
        </is>
      </c>
      <c r="P9" s="6" t="inlineStr">
        <is>
          <t>Корпус, крышка, клин, маховик - сталь 25Л ГОСТ 977
шпиндель - сталь 20Х13 ГОСТ 5632
прокладка и уплотнение сальниковое - ТРГ
наплавка на кольце в корпусе и клине - тип 20Х13</t>
        </is>
      </c>
      <c r="Q9" s="6" t="inlineStr">
        <is>
          <t>180 *281</t>
        </is>
      </c>
      <c r="R9" s="6" t="inlineStr"/>
      <c r="S9" s="5" t="n">
        <v>10</v>
      </c>
      <c r="T9" s="6" t="inlineStr">
        <is>
          <t>шт</t>
        </is>
      </c>
      <c r="U9" s="8" t="n"/>
      <c r="V9" s="8" t="n"/>
      <c r="W9" s="8" t="n"/>
      <c r="X9" s="8" t="n"/>
      <c r="Y9" s="8" t="n"/>
      <c r="Z9" s="8" t="n"/>
      <c r="AA9" s="9" t="n"/>
      <c r="AB9" s="10">
        <f>AA9*S9</f>
        <v/>
      </c>
      <c r="AC9" s="8" t="n"/>
      <c r="AD9" s="8" t="n"/>
      <c r="AE9" s="8" t="n"/>
    </row>
    <row r="10" ht="60" customHeight="1">
      <c r="A10" s="5" t="n">
        <v>5</v>
      </c>
      <c r="B10" s="6" t="inlineStr">
        <is>
          <t>1.1/8</t>
        </is>
      </c>
      <c r="C10" s="6" t="inlineStr">
        <is>
          <t>Задвижка 30с41нж Ду 100 Ру 16</t>
        </is>
      </c>
      <c r="D10" s="6" t="inlineStr">
        <is>
          <t>ТУ 3741–001–24380482–2016</t>
        </is>
      </c>
      <c r="E10" s="6" t="inlineStr">
        <is>
          <t>100</t>
        </is>
      </c>
      <c r="F10" s="6" t="inlineStr">
        <is>
          <t>стандарт</t>
        </is>
      </c>
      <c r="G10" s="6" t="inlineStr">
        <is>
          <t>1.6</t>
        </is>
      </c>
      <c r="H10" s="6" t="inlineStr">
        <is>
          <t>до +425</t>
        </is>
      </c>
      <c r="I10" s="6" t="inlineStr">
        <is>
          <t>вода, пар, жидкие неагрессивные среды</t>
        </is>
      </c>
      <c r="J10" s="6" t="inlineStr">
        <is>
          <t>сталь 25Л</t>
        </is>
      </c>
      <c r="K10" s="6" t="inlineStr">
        <is>
          <t>У1</t>
        </is>
      </c>
      <c r="L10" s="6" t="inlineStr">
        <is>
          <t>фланцевый</t>
        </is>
      </c>
      <c r="M10" s="6" t="inlineStr">
        <is>
          <t>ручной (маховик)</t>
        </is>
      </c>
      <c r="N10" s="6" t="inlineStr">
        <is>
          <t>-</t>
        </is>
      </c>
      <c r="O10" s="6" t="inlineStr">
        <is>
          <t>маховиком вверх</t>
        </is>
      </c>
      <c r="P10" s="6" t="inlineStr">
        <is>
          <t>Корпус, крышка, клин, маховик - сталь 25Л ГОСТ 977
шпиндель - сталь 20Х13 ГОСТ 5632
прокладка и уплотнение сальниковое - ТРГ
наплавка на кольце в корпусе и клине - тип 20Х13</t>
        </is>
      </c>
      <c r="Q10" s="6" t="inlineStr">
        <is>
          <t>-</t>
        </is>
      </c>
      <c r="R10" s="6" t="inlineStr">
        <is>
          <t>-</t>
        </is>
      </c>
      <c r="S10" s="5" t="n">
        <v>7</v>
      </c>
      <c r="T10" s="6" t="inlineStr">
        <is>
          <t>шт</t>
        </is>
      </c>
      <c r="U10" s="8" t="n"/>
      <c r="V10" s="8" t="n"/>
      <c r="W10" s="8" t="n"/>
      <c r="X10" s="8" t="n"/>
      <c r="Y10" s="8" t="n"/>
      <c r="Z10" s="8" t="n"/>
      <c r="AA10" s="9" t="n"/>
      <c r="AB10" s="10">
        <f>AA10*S10</f>
        <v/>
      </c>
      <c r="AC10" s="8" t="n"/>
      <c r="AD10" s="8" t="n"/>
      <c r="AE10" s="8" t="n"/>
    </row>
    <row r="11" ht="60" customHeight="1">
      <c r="A11" s="5" t="n">
        <v>6</v>
      </c>
      <c r="B11" s="6" t="inlineStr">
        <is>
          <t>1.1/9</t>
        </is>
      </c>
      <c r="C11" s="6" t="inlineStr">
        <is>
          <t>Задвижка 30с41нж Ду 150 Ру 16</t>
        </is>
      </c>
      <c r="D11" s="6" t="inlineStr">
        <is>
          <t>ТУ 3741–001–24380482–2016</t>
        </is>
      </c>
      <c r="E11" s="6" t="inlineStr">
        <is>
          <t>150</t>
        </is>
      </c>
      <c r="F11" s="6" t="inlineStr">
        <is>
          <t>стандарт</t>
        </is>
      </c>
      <c r="G11" s="6" t="inlineStr">
        <is>
          <t>1.6</t>
        </is>
      </c>
      <c r="H11" s="6" t="inlineStr">
        <is>
          <t>до +425</t>
        </is>
      </c>
      <c r="I11" s="6" t="inlineStr">
        <is>
          <t>вода, пар, жидкие неагрессивные среды</t>
        </is>
      </c>
      <c r="J11" s="6" t="inlineStr">
        <is>
          <t>сталь 25Л</t>
        </is>
      </c>
      <c r="K11" s="6" t="inlineStr">
        <is>
          <t>У1</t>
        </is>
      </c>
      <c r="L11" s="6" t="inlineStr">
        <is>
          <t>фланцевый</t>
        </is>
      </c>
      <c r="M11" s="6" t="inlineStr">
        <is>
          <t>ручной (маховик)</t>
        </is>
      </c>
      <c r="N11" s="6" t="inlineStr">
        <is>
          <t>-</t>
        </is>
      </c>
      <c r="O11" s="6" t="inlineStr">
        <is>
          <t>маховиком вверх</t>
        </is>
      </c>
      <c r="P11" s="6" t="inlineStr">
        <is>
          <t>Корпус, крышка, клин, маховик - сталь 25Л ГОСТ 977
шпиндель - сталь 20Х13 ГОСТ 5632
прокладка и уплотнение сальниковое - ТРГ
наплавка на кольце в корпусе и клине - тип 20Х13</t>
        </is>
      </c>
      <c r="Q11" s="6" t="inlineStr">
        <is>
          <t>-</t>
        </is>
      </c>
      <c r="R11" s="6" t="inlineStr">
        <is>
          <t>-</t>
        </is>
      </c>
      <c r="S11" s="5" t="n">
        <v>10</v>
      </c>
      <c r="T11" s="6" t="inlineStr">
        <is>
          <t>шт</t>
        </is>
      </c>
      <c r="U11" s="8" t="n"/>
      <c r="V11" s="8" t="n"/>
      <c r="W11" s="8" t="n"/>
      <c r="X11" s="8" t="n"/>
      <c r="Y11" s="8" t="n"/>
      <c r="Z11" s="8" t="n"/>
      <c r="AA11" s="9" t="n"/>
      <c r="AB11" s="10">
        <f>AA11*S11</f>
        <v/>
      </c>
      <c r="AC11" s="8" t="n"/>
      <c r="AD11" s="8" t="n"/>
      <c r="AE11" s="8" t="n"/>
    </row>
    <row r="12" ht="60" customHeight="1">
      <c r="A12" s="5" t="n">
        <v>7</v>
      </c>
      <c r="B12" s="6" t="inlineStr">
        <is>
          <t>1.1/10</t>
        </is>
      </c>
      <c r="C12" s="6" t="inlineStr">
        <is>
          <t>Задвижка клиновая фланцевая 30с41нж Ду 300 Ру 16 с КОФ</t>
        </is>
      </c>
      <c r="D12" s="6" t="inlineStr">
        <is>
          <t>ТУ3741–001–27104101–2014</t>
        </is>
      </c>
      <c r="E12" s="6" t="inlineStr">
        <is>
          <t>300</t>
        </is>
      </c>
      <c r="F12" s="6" t="inlineStr">
        <is>
          <t>стандарт</t>
        </is>
      </c>
      <c r="G12" s="6" t="inlineStr">
        <is>
          <t>1.6</t>
        </is>
      </c>
      <c r="H12" s="6" t="inlineStr">
        <is>
          <t>до +425</t>
        </is>
      </c>
      <c r="I12" s="6" t="inlineStr">
        <is>
          <t>вода / пар/ газы</t>
        </is>
      </c>
      <c r="J12" s="6" t="inlineStr">
        <is>
          <t>сталь 25Л</t>
        </is>
      </c>
      <c r="K12" s="6" t="inlineStr">
        <is>
          <t>У1</t>
        </is>
      </c>
      <c r="L12" s="6" t="inlineStr">
        <is>
          <t>фланец-фланец</t>
        </is>
      </c>
      <c r="M12" s="6" t="inlineStr">
        <is>
          <t>Ручное</t>
        </is>
      </c>
      <c r="N12" s="6" t="inlineStr">
        <is>
          <t>штурвал</t>
        </is>
      </c>
      <c r="O12" s="6" t="inlineStr">
        <is>
          <t>Любое</t>
        </is>
      </c>
      <c r="P12" s="6" t="inlineStr">
        <is>
          <t>Материал корпуса — Сталь 25Л;                        Материал клина - Нержавеющая сталь;         Уплотнение - Металл по металлу.</t>
        </is>
      </c>
      <c r="Q12" s="6" t="inlineStr">
        <is>
          <t>Габариты ДхШхВ, мм: 500х460х1375       Строительная длина: L 500 мм; Высота 1145 мм</t>
        </is>
      </c>
      <c r="R12" s="6" t="inlineStr"/>
      <c r="S12" s="5" t="n">
        <v>2</v>
      </c>
      <c r="T12" s="6" t="inlineStr">
        <is>
          <t>шт</t>
        </is>
      </c>
      <c r="U12" s="8" t="n"/>
      <c r="V12" s="8" t="n"/>
      <c r="W12" s="8" t="n"/>
      <c r="X12" s="8" t="n"/>
      <c r="Y12" s="8" t="n"/>
      <c r="Z12" s="8" t="n"/>
      <c r="AA12" s="9" t="n"/>
      <c r="AB12" s="10">
        <f>AA12*S12</f>
        <v/>
      </c>
      <c r="AC12" s="8" t="n"/>
      <c r="AD12" s="8" t="n"/>
      <c r="AE12" s="8" t="n"/>
    </row>
    <row r="13" ht="60" customHeight="1">
      <c r="A13" s="5" t="n">
        <v>8</v>
      </c>
      <c r="B13" s="6" t="inlineStr">
        <is>
          <t>1.1/12</t>
        </is>
      </c>
      <c r="C13" s="6" t="inlineStr">
        <is>
          <t>Задвижка клиновая фланцевая 30с941нж Ду 500 Ру 16 с КОФ под электропривод Bernard ST-30</t>
        </is>
      </c>
      <c r="D13" s="6" t="inlineStr">
        <is>
          <t>ТУ 28.14.11-001-27709620-2022ТУ 28.14.11-001-27709620-2022</t>
        </is>
      </c>
      <c r="E13" s="6" t="inlineStr">
        <is>
          <t>500</t>
        </is>
      </c>
      <c r="F13" s="6" t="inlineStr">
        <is>
          <t>стандарт</t>
        </is>
      </c>
      <c r="G13" s="6" t="inlineStr">
        <is>
          <t>1,6 МПа</t>
        </is>
      </c>
      <c r="H13" s="6" t="inlineStr">
        <is>
          <t>до +425</t>
        </is>
      </c>
      <c r="I13" s="6" t="inlineStr">
        <is>
          <t>вода / пар/ газы</t>
        </is>
      </c>
      <c r="J13" s="6" t="inlineStr">
        <is>
          <t>сталь 25Л</t>
        </is>
      </c>
      <c r="K13" s="6" t="inlineStr">
        <is>
          <t>У1</t>
        </is>
      </c>
      <c r="L13" s="6" t="inlineStr">
        <is>
          <t>фланец-фланец</t>
        </is>
      </c>
      <c r="M13" s="6" t="inlineStr">
        <is>
          <t>под электропривод</t>
        </is>
      </c>
      <c r="N13" s="6" t="inlineStr">
        <is>
          <t>Bernard ST-30</t>
        </is>
      </c>
      <c r="O13" s="6" t="inlineStr">
        <is>
          <t>Любое</t>
        </is>
      </c>
      <c r="P13" s="6" t="inlineStr">
        <is>
          <t>Крышка: сталь 25Л Клин (диски): сталь 25Л  Шпиндель: 20Х13 Гайка шпинделя: латунь ЛС59-1 Гайка: углеродистая сталь ГОСТ 1050—88 класс прочности не ниже 5.6 по ГОСТ 1759.5—87 Шпилька, болт: углеродистая сталь ГОСТ 1050—88 класс прочности не ниже 5.6 по ГОСТ 1759.5—87 Болт откидной: сталь 35 Уплотнение между корпусом и крышкой (прокладка, кольцо): паронит, ТРГ Набивка сальника: АГИ, ТРГ Подшипник: шариковый упорный Наплавка на кольце в корпусе: 07Х25Н13, 08Х21Н10Г6 Наплавка на клине: 13Х25Т, 10Х17Т</t>
        </is>
      </c>
      <c r="Q13" s="6" t="inlineStr">
        <is>
          <t>700 * 1545</t>
        </is>
      </c>
      <c r="R13" s="6" t="inlineStr">
        <is>
          <t>Тип присоединения электропривода» — «F16»</t>
        </is>
      </c>
      <c r="S13" s="5" t="n">
        <v>1</v>
      </c>
      <c r="T13" s="6" t="inlineStr">
        <is>
          <t>шт</t>
        </is>
      </c>
      <c r="U13" s="7" t="inlineStr">
        <is>
          <t>Задвижка клиновая 30с941нж СибЗТА Ду500 Ру16 фланцевая, клин - двухдисковый, шпиндель - выдвижной, 10 - 15 раб. корпус -</t>
        </is>
      </c>
      <c r="V13" s="7" t="inlineStr">
        <is>
          <t>ООО «Сибирский завод трубопроводной арматуры» (Новосибирск)</t>
        </is>
      </c>
      <c r="W13" s="7" t="inlineStr">
        <is>
          <t>Россия</t>
        </is>
      </c>
      <c r="X13" s="8" t="n"/>
      <c r="Y13" s="8" t="n"/>
      <c r="Z13" s="8" t="n"/>
      <c r="AA13" s="9" t="n"/>
      <c r="AB13" s="10">
        <f>AA13*S13</f>
        <v/>
      </c>
      <c r="AC13" s="8" t="n"/>
      <c r="AD13" s="8" t="n"/>
      <c r="AE13" s="8" t="n"/>
    </row>
    <row r="14" ht="60" customHeight="1">
      <c r="A14" s="5" t="n">
        <v>9</v>
      </c>
      <c r="B14" s="6" t="inlineStr">
        <is>
          <t>1.1/13</t>
        </is>
      </c>
      <c r="C14" s="6" t="inlineStr">
        <is>
          <t>Задвижка 30с964нж Ду 300 Ру 25</t>
        </is>
      </c>
      <c r="D14" s="6" t="inlineStr">
        <is>
          <t>ТУ 3740-002-30995032-2014</t>
        </is>
      </c>
      <c r="E14" s="6" t="inlineStr">
        <is>
          <t>300</t>
        </is>
      </c>
      <c r="F14" s="6" t="inlineStr">
        <is>
          <t>стандарт</t>
        </is>
      </c>
      <c r="G14" s="6" t="inlineStr">
        <is>
          <t>2.5</t>
        </is>
      </c>
      <c r="H14" s="6" t="inlineStr">
        <is>
          <t>от −40°С до + 425°С</t>
        </is>
      </c>
      <c r="I14" s="6" t="inlineStr">
        <is>
          <t>вода, пар</t>
        </is>
      </c>
      <c r="J14" s="6" t="inlineStr">
        <is>
          <t>Сталь 25Л</t>
        </is>
      </c>
      <c r="K14" s="6" t="inlineStr">
        <is>
          <t>У1</t>
        </is>
      </c>
      <c r="L14" s="6" t="inlineStr">
        <is>
          <t>Под приварку</t>
        </is>
      </c>
      <c r="M14" s="6" t="inlineStr">
        <is>
          <t>Под привод, ручное</t>
        </is>
      </c>
      <c r="N14" s="6" t="inlineStr">
        <is>
          <t>Фланец тип В (ЦКБА 062-2009)</t>
        </is>
      </c>
      <c r="O14" s="6" t="inlineStr">
        <is>
          <t>Любое, кроме положения электроприводом вниз</t>
        </is>
      </c>
      <c r="P14" s="6" t="inlineStr">
        <is>
          <t>Крышка — 25Л; клин — 25Л; шпиндель — 20Х13; набивка сальниковая (сальник) — ТРГ</t>
        </is>
      </c>
      <c r="Q14" s="6" t="inlineStr">
        <is>
          <t>-</t>
        </is>
      </c>
      <c r="R14" s="6" t="inlineStr">
        <is>
          <t>Класс герметичности по ГОСТ 9544-2015 «А» Под электропривод Н-В-02 У2, фланец тип В (ЦКБА 062-2009)</t>
        </is>
      </c>
      <c r="S14" s="5" t="n">
        <v>1</v>
      </c>
      <c r="T14" s="6" t="inlineStr">
        <is>
          <t>шт</t>
        </is>
      </c>
      <c r="U14" s="7" t="inlineStr">
        <is>
          <t>Задвижка клиновая 30с964нж СибЗТА Ду300 Ру25 фланцевая, клин - двухдисковый, корпус - сталь WCB, 10 - 15 раб. шпиндель -</t>
        </is>
      </c>
      <c r="V14" s="7" t="inlineStr">
        <is>
          <t>ООО «Сибирский завод трубопроводной арматуры» (Новосибирск)</t>
        </is>
      </c>
      <c r="W14" s="7" t="inlineStr">
        <is>
          <t>Россия</t>
        </is>
      </c>
      <c r="X14" s="8" t="n"/>
      <c r="Y14" s="8" t="n"/>
      <c r="Z14" s="8" t="n"/>
      <c r="AA14" s="9" t="n"/>
      <c r="AB14" s="10">
        <f>AA14*S14</f>
        <v/>
      </c>
      <c r="AC14" s="8" t="n"/>
      <c r="AD14" s="8" t="n"/>
      <c r="AE14" s="8" t="n"/>
    </row>
    <row r="15" ht="60" customHeight="1">
      <c r="A15" s="5" t="n">
        <v>10</v>
      </c>
      <c r="B15" s="6" t="inlineStr">
        <is>
          <t>1.3/1</t>
        </is>
      </c>
      <c r="C15" s="6" t="inlineStr">
        <is>
          <t>Клапан регулирующий 25с947нж Ду 50 Ру 25 с ЭИМ</t>
        </is>
      </c>
      <c r="D15" s="6" t="inlineStr">
        <is>
          <t>ГОСТ 33259-2015 ТУ 3722-002-22294686-2005</t>
        </is>
      </c>
      <c r="E15" s="6" t="inlineStr">
        <is>
          <t>50</t>
        </is>
      </c>
      <c r="F15" s="6" t="inlineStr">
        <is>
          <t>стандарт</t>
        </is>
      </c>
      <c r="G15" s="6" t="inlineStr">
        <is>
          <t>2.5</t>
        </is>
      </c>
      <c r="H15" s="6" t="inlineStr">
        <is>
          <t>до    +425С</t>
        </is>
      </c>
      <c r="I15" s="6" t="inlineStr">
        <is>
          <t>вода</t>
        </is>
      </c>
      <c r="J15" s="6" t="inlineStr">
        <is>
          <t>Сталь марки 25Л ГОСТ 977-88</t>
        </is>
      </c>
      <c r="K15" s="6" t="inlineStr">
        <is>
          <t>У1</t>
        </is>
      </c>
      <c r="L15" s="6" t="inlineStr">
        <is>
          <t>фланец-фланец</t>
        </is>
      </c>
      <c r="M15" s="6" t="inlineStr">
        <is>
          <t>электропривод</t>
        </is>
      </c>
      <c r="N15" s="6" t="inlineStr">
        <is>
          <t>для автоматического регулирования технологических процессов</t>
        </is>
      </c>
      <c r="O15" s="6" t="inlineStr">
        <is>
          <t>горизонтальное       (ЭИМ вверх)</t>
        </is>
      </c>
      <c r="P15" s="6" t="inlineStr">
        <is>
          <t>плунжер, седло - Сталь 20Х13 ГОСТ 5632-2014 уплотнение в затворе - «металл по металлу» уплотнение сальника - ТРГ</t>
        </is>
      </c>
      <c r="Q15" s="6" t="inlineStr">
        <is>
          <t>L=160мм.</t>
        </is>
      </c>
      <c r="R15" s="6" t="inlineStr"/>
      <c r="S15" s="5" t="n">
        <v>1</v>
      </c>
      <c r="T15" s="6" t="inlineStr">
        <is>
          <t>шт</t>
        </is>
      </c>
      <c r="U15" s="7" t="inlineStr">
        <is>
          <t>Клапан регулирующий Авангард КР 25с947нж Ду50 Ру25 односедельный неразгруженный, присоединение фланцевое, корпус - сталь</t>
        </is>
      </c>
      <c r="V15" s="7" t="inlineStr">
        <is>
          <t>АО «Авангард» / САЗ (Старый Оскол)</t>
        </is>
      </c>
      <c r="W15" s="7" t="inlineStr">
        <is>
          <t>Россия</t>
        </is>
      </c>
      <c r="X15" s="8" t="n"/>
      <c r="Y15" s="8" t="n"/>
      <c r="Z15" s="8" t="n"/>
      <c r="AA15" s="9" t="n"/>
      <c r="AB15" s="10">
        <f>AA15*S15</f>
        <v/>
      </c>
      <c r="AC15" s="8" t="n"/>
      <c r="AD15" s="8" t="n"/>
      <c r="AE15" s="8" t="n"/>
    </row>
    <row r="16" ht="60" customHeight="1">
      <c r="A16" s="5" t="n">
        <v>11</v>
      </c>
      <c r="B16" s="6" t="inlineStr">
        <is>
          <t>1.3/6</t>
        </is>
      </c>
      <c r="C16" s="6" t="inlineStr">
        <is>
          <t>Регулирующий клапан Ридан VFG-2R Ду 100, Kvs 125, Ру 16</t>
        </is>
      </c>
      <c r="D16" s="6" t="inlineStr">
        <is>
          <t>ТУ 28.14.11-002-72323163-2022</t>
        </is>
      </c>
      <c r="E16" s="6" t="inlineStr">
        <is>
          <t>100</t>
        </is>
      </c>
      <c r="F16" s="6" t="inlineStr"/>
      <c r="G16" s="6" t="inlineStr">
        <is>
          <t>1.6</t>
        </is>
      </c>
      <c r="H16" s="6" t="inlineStr">
        <is>
          <t>от 2–150 °С</t>
        </is>
      </c>
      <c r="I16" s="6" t="inlineStr">
        <is>
          <t>Вода или 30% водный раствор гликоля</t>
        </is>
      </c>
      <c r="J16" s="6" t="inlineStr">
        <is>
          <t>Углеродистая сталь WCB</t>
        </is>
      </c>
      <c r="K16" s="6" t="inlineStr"/>
      <c r="L16" s="6" t="inlineStr">
        <is>
          <t>фланцевое болтовое</t>
        </is>
      </c>
      <c r="M16" s="6" t="inlineStr"/>
      <c r="N16" s="6" t="inlineStr"/>
      <c r="O16" s="6" t="inlineStr">
        <is>
          <t>горизонтальное</t>
        </is>
      </c>
      <c r="P16" s="6" t="inlineStr">
        <is>
          <t>Номинальный диаметр (DN), мм 100
Номинальное давление (PN), бар 16
Климатическое исполнение Категория 3 по ГОСТ 15150-69
L, мм 350
Запорный элемент (шар, диск, золотник) Нержавеющая сталь
Рабочая среда Вода или 30% водный раствор гликоля
Температура рабочей среды, °С 2–150 °С
Коэффициент начала кавитации 0,4
Масса, кг, не более 60
Уплотнение нет уплотнения по штоку
B, мм 380
Шток Cталь
Седло Нержавеющая сталь
Пропускная способность Kvs, м³/ч 125
Герметичность затвора (объем протечки / класс герметичности) 0,04%Kvs
Тип присоединения к трубопроводу фланцы по ГОСТ 33259
Вид привода или регулирующего блока AFP-R; AFD-R; AFA-R; AFPA-R; AFT-06R; AFT-17R.
Корпус Углеродистая сталь WCB</t>
        </is>
      </c>
      <c r="Q16" s="6" t="inlineStr">
        <is>
          <t>строительная длинна, 350 мм</t>
        </is>
      </c>
      <c r="R16" s="6" t="inlineStr">
        <is>
          <t>каталожный  № 065B2396R</t>
        </is>
      </c>
      <c r="S16" s="5" t="n">
        <v>2</v>
      </c>
      <c r="T16" s="6" t="inlineStr">
        <is>
          <t>шт</t>
        </is>
      </c>
      <c r="U16" s="7" t="inlineStr">
        <is>
          <t>Клапан регулирующий двухходовой Ридан VFG-2R Ду100 Ру25 универсальный, фланцевый, Kv=125м3/ 101 ч, корпус - углеродистая</t>
        </is>
      </c>
      <c r="V16" s="7" t="inlineStr">
        <is>
          <t>ООО «Ридан»</t>
        </is>
      </c>
      <c r="W16" s="7" t="inlineStr">
        <is>
          <t>Россия</t>
        </is>
      </c>
      <c r="X16" s="8" t="n"/>
      <c r="Y16" s="8" t="n"/>
      <c r="Z16" s="8" t="n"/>
      <c r="AA16" s="9" t="n"/>
      <c r="AB16" s="10">
        <f>AA16*S16</f>
        <v/>
      </c>
      <c r="AC16" s="8" t="n"/>
      <c r="AD16" s="8" t="n"/>
      <c r="AE16" s="8" t="n"/>
    </row>
    <row r="17" ht="60" customHeight="1">
      <c r="A17" s="5" t="n">
        <v>12</v>
      </c>
      <c r="B17" s="6" t="inlineStr">
        <is>
          <t>1.3/7</t>
        </is>
      </c>
      <c r="C17" s="6" t="inlineStr">
        <is>
          <t>Регулирующий клапан Ридан VFG-2R Ду 32, Kvs 16,  Ру 16</t>
        </is>
      </c>
      <c r="D17" s="6" t="inlineStr">
        <is>
          <t>ТУ 28.14.11-002-72323163-2022</t>
        </is>
      </c>
      <c r="E17" s="6" t="inlineStr">
        <is>
          <t>32</t>
        </is>
      </c>
      <c r="F17" s="6" t="inlineStr"/>
      <c r="G17" s="6" t="inlineStr">
        <is>
          <t>1.6</t>
        </is>
      </c>
      <c r="H17" s="6" t="inlineStr">
        <is>
          <t>от 2–150 °С</t>
        </is>
      </c>
      <c r="I17" s="6" t="inlineStr">
        <is>
          <t>Вода или 30% водный раствор гликоля</t>
        </is>
      </c>
      <c r="J17" s="6" t="inlineStr">
        <is>
          <t>Углеродистая сталь WCB</t>
        </is>
      </c>
      <c r="K17" s="6" t="inlineStr"/>
      <c r="L17" s="6" t="inlineStr">
        <is>
          <t>фланцевое болтовое</t>
        </is>
      </c>
      <c r="M17" s="6" t="inlineStr"/>
      <c r="N17" s="6" t="inlineStr"/>
      <c r="O17" s="6" t="inlineStr">
        <is>
          <t>горизонтальное</t>
        </is>
      </c>
      <c r="P17" s="6" t="inlineStr">
        <is>
          <t>Номинальный диаметр (DN), мм 32
Номинальное давление (PN), бар 16
Пропускная способность Kvs, м³/ч 16
Рабочая среда Вода или 30% водный раствор гликоля
Температура рабочей среды, °С 2–150 °С
Герметичность затвора (объем протечки / класс
герметичности)
0,04%Kvs
Климатическое исполнение Категория 3 по ГОСТ 15150-69
Тип присоединения к трубопроводу фланцы по ГОСТ 33259
Коэффициент начала кавитации 0,55
Вид привода или регулирующего блока AFP-R; AFD-R; AFA-R; AFPA-R; AFT-06R; AFT17R.
Масса, кг, не более 13
Запорный элемент (шар, диск, золотник) Нержавеющая сталь
Седло Нержавеющая сталь
Уплотнение нет уплотнения по штоку
Корпус Углеродистая сталь WCB
Шток Cталь</t>
        </is>
      </c>
      <c r="Q17" s="6" t="inlineStr">
        <is>
          <t>строительная длинна, 180 мм</t>
        </is>
      </c>
      <c r="R17" s="6" t="inlineStr">
        <is>
          <t>каталожный  № 065B2391R</t>
        </is>
      </c>
      <c r="S17" s="5" t="n">
        <v>4</v>
      </c>
      <c r="T17" s="6" t="inlineStr">
        <is>
          <t>шт</t>
        </is>
      </c>
      <c r="U17" s="7" t="inlineStr">
        <is>
          <t>Клапан регулирующий двухходовой Ридан VFG-2R Ду32 Ру16 универсальный, фланцевый, Kv=16м3/ч, 102 корпус - углеродистая ст</t>
        </is>
      </c>
      <c r="V17" s="7" t="inlineStr">
        <is>
          <t>ООО «Ридан»</t>
        </is>
      </c>
      <c r="W17" s="7" t="inlineStr">
        <is>
          <t>Россия</t>
        </is>
      </c>
      <c r="X17" s="8" t="n"/>
      <c r="Y17" s="8" t="n"/>
      <c r="Z17" s="8" t="n"/>
      <c r="AA17" s="9" t="n"/>
      <c r="AB17" s="10">
        <f>AA17*S17</f>
        <v/>
      </c>
      <c r="AC17" s="8" t="n"/>
      <c r="AD17" s="8" t="n"/>
      <c r="AE17" s="8" t="n"/>
    </row>
    <row r="18" ht="60" customHeight="1">
      <c r="A18" s="5" t="n">
        <v>13</v>
      </c>
      <c r="B18" s="6" t="inlineStr">
        <is>
          <t>1.3/8</t>
        </is>
      </c>
      <c r="C18" s="6" t="inlineStr">
        <is>
          <t>регулирующий клапан Ридан VFG-2R Ду 80, Kvs 80,  Ру 16</t>
        </is>
      </c>
      <c r="D18" s="6" t="inlineStr">
        <is>
          <t>ТУ 28.14.11-002-72323163-2022</t>
        </is>
      </c>
      <c r="E18" s="6" t="inlineStr">
        <is>
          <t>80</t>
        </is>
      </c>
      <c r="F18" s="6" t="inlineStr"/>
      <c r="G18" s="6" t="inlineStr">
        <is>
          <t>1.6</t>
        </is>
      </c>
      <c r="H18" s="6" t="inlineStr">
        <is>
          <t>от 2–150 °С</t>
        </is>
      </c>
      <c r="I18" s="6" t="inlineStr">
        <is>
          <t>Вода или 30% водный раствор гликоля</t>
        </is>
      </c>
      <c r="J18" s="6" t="inlineStr">
        <is>
          <t>Углеродистая сталь WCB</t>
        </is>
      </c>
      <c r="K18" s="6" t="inlineStr"/>
      <c r="L18" s="6" t="inlineStr">
        <is>
          <t>фланцевое болтовое</t>
        </is>
      </c>
      <c r="M18" s="6" t="inlineStr"/>
      <c r="N18" s="6" t="inlineStr"/>
      <c r="O18" s="6" t="inlineStr">
        <is>
          <t>горизонтальное</t>
        </is>
      </c>
      <c r="P18" s="6" t="inlineStr">
        <is>
          <t>Номинальный диаметр (DN), мм 80
Номинальное давление (PN), бар 16
Климатическое исполнение Категория 3 по ГОСТ 15150-69
L, мм 310
Запорный элемент (шар, диск, золотник) Нержавеющая сталь
Рабочая среда Вода или 30% водный раствор гликоля
Температура рабочей среды, °С 2–150 °С
Коэффициент начала кавитации 0,45
Масса, кг, не более 33
Уплотнение нет уплотнения по штоку
B, мм 275
Шток Cталь
Седло Нержавеющая сталь
Пропускная способность Kvs, м³/ч 80
Герметичность затвора (объем протечки / класс герметичности) 0,04%Kvs
Тип присоединения к трубопроводу фланцы по ГОСТ 33259
Вид привода или регулирующего блока AFP-R; AFD-R; AFA-R; AFPA-R; AFT-06R; AFT-17R.
Корпус Углеродистая сталь WCB</t>
        </is>
      </c>
      <c r="Q18" s="6" t="inlineStr">
        <is>
          <t>строительная длинна, 310 мм</t>
        </is>
      </c>
      <c r="R18" s="6" t="inlineStr">
        <is>
          <t>каталожный номер 065B2395R</t>
        </is>
      </c>
      <c r="S18" s="5" t="n">
        <v>2</v>
      </c>
      <c r="T18" s="6" t="inlineStr">
        <is>
          <t>шт</t>
        </is>
      </c>
      <c r="U18" s="7" t="inlineStr">
        <is>
          <t>Клапан регулирующий двухходовой Ридан VFG-2R Ду80 Ру16 универсальный, фланцевый, Kv=80м3/ч, 103 корпус - углеродистая ст</t>
        </is>
      </c>
      <c r="V18" s="7" t="inlineStr">
        <is>
          <t>ООО «Ридан»</t>
        </is>
      </c>
      <c r="W18" s="7" t="inlineStr">
        <is>
          <t>Россия</t>
        </is>
      </c>
      <c r="X18" s="8" t="n"/>
      <c r="Y18" s="8" t="n"/>
      <c r="Z18" s="8" t="n"/>
      <c r="AA18" s="9" t="n"/>
      <c r="AB18" s="10">
        <f>AA18*S18</f>
        <v/>
      </c>
      <c r="AC18" s="8" t="n"/>
      <c r="AD18" s="8" t="n"/>
      <c r="AE18" s="8" t="n"/>
    </row>
    <row r="19" ht="60" customHeight="1">
      <c r="A19" s="5" t="n">
        <v>14</v>
      </c>
      <c r="B19" s="6" t="inlineStr">
        <is>
          <t>1.3/9</t>
        </is>
      </c>
      <c r="C19" s="6" t="inlineStr">
        <is>
          <t>Регулятор давления РД-НО (Нормально открытый) Ду 25 Ру 16</t>
        </is>
      </c>
      <c r="D19" s="6" t="inlineStr">
        <is>
          <t>СНИЦ.423.117.013ТУ</t>
        </is>
      </c>
      <c r="E19" s="6" t="inlineStr">
        <is>
          <t>25</t>
        </is>
      </c>
      <c r="F19" s="6" t="inlineStr">
        <is>
          <t>полнопроходной</t>
        </is>
      </c>
      <c r="G19" s="6" t="inlineStr">
        <is>
          <t>1.6</t>
        </is>
      </c>
      <c r="H19" s="6" t="inlineStr">
        <is>
          <t>от 00С до    +180С</t>
        </is>
      </c>
      <c r="I19" s="6" t="inlineStr">
        <is>
          <t>вода</t>
        </is>
      </c>
      <c r="J19" s="6" t="inlineStr">
        <is>
          <t>чугун СЧ20 ГОСТ1412</t>
        </is>
      </c>
      <c r="K19" s="6" t="inlineStr">
        <is>
          <t>В условиях У по ГОСТ 15150-69 при соблюдении условий, установленных ГОСТ Р 52931-2008 для группы В4</t>
        </is>
      </c>
      <c r="L19" s="6" t="inlineStr">
        <is>
          <t>фланцевое</t>
        </is>
      </c>
      <c r="M19" s="6" t="inlineStr">
        <is>
          <t>автоматически действующая трубопроводная арматура</t>
        </is>
      </c>
      <c r="N19" s="6" t="inlineStr">
        <is>
          <t>поддержание заданного давления</t>
        </is>
      </c>
      <c r="O19" s="6" t="inlineStr">
        <is>
          <t>вертикальное, мембранным узлом вверх</t>
        </is>
      </c>
      <c r="P19" s="6" t="inlineStr">
        <is>
          <t>стакан-бронза; клапан (поршень)-сталь 20Х13; шток-сталь 20Х13; мембрана-EPDM; пружина настройки-сталь; сильфон-36НХТЮ; дублирующее кольцо-фторопласт</t>
        </is>
      </c>
      <c r="Q19" s="6" t="inlineStr">
        <is>
          <t>L=160мм.</t>
        </is>
      </c>
      <c r="R19" s="6" t="inlineStr">
        <is>
          <t>Пропускная способность — 6м3
Предел регулирования - 0,1...0,63 Мпа
Уплотнение — сальникоковое</t>
        </is>
      </c>
      <c r="S19" s="5" t="n">
        <v>2</v>
      </c>
      <c r="T19" s="6" t="inlineStr">
        <is>
          <t>шт</t>
        </is>
      </c>
      <c r="U19" s="8" t="n"/>
      <c r="V19" s="8" t="n"/>
      <c r="W19" s="8" t="n"/>
      <c r="X19" s="8" t="n"/>
      <c r="Y19" s="8" t="n"/>
      <c r="Z19" s="8" t="n"/>
      <c r="AA19" s="9" t="n"/>
      <c r="AB19" s="10">
        <f>AA19*S19</f>
        <v/>
      </c>
      <c r="AC19" s="8" t="n"/>
      <c r="AD19" s="8" t="n"/>
      <c r="AE19" s="8" t="n"/>
    </row>
    <row r="20" ht="60" customHeight="1">
      <c r="A20" s="5" t="n">
        <v>15</v>
      </c>
      <c r="B20" s="6" t="inlineStr">
        <is>
          <t>1.3/10</t>
        </is>
      </c>
      <c r="C20" s="6" t="inlineStr">
        <is>
          <t>Регулятор давления РД-НО (Нормально открытый) Ду 32 Ру 16</t>
        </is>
      </c>
      <c r="D20" s="6" t="inlineStr">
        <is>
          <t>СНИЦ.423.117.013 ТУ</t>
        </is>
      </c>
      <c r="E20" s="6" t="inlineStr">
        <is>
          <t>32</t>
        </is>
      </c>
      <c r="F20" s="6" t="inlineStr">
        <is>
          <t>полнопроходной</t>
        </is>
      </c>
      <c r="G20" s="6" t="inlineStr">
        <is>
          <t>1.6</t>
        </is>
      </c>
      <c r="H20" s="6" t="inlineStr">
        <is>
          <t>До +95°С</t>
        </is>
      </c>
      <c r="I20" s="6" t="inlineStr">
        <is>
          <t>вода</t>
        </is>
      </c>
      <c r="J20" s="6" t="inlineStr">
        <is>
          <t>чугун СЧ20 ГОСТ1412</t>
        </is>
      </c>
      <c r="K20" s="6" t="inlineStr">
        <is>
          <t>В условиях У по ГОСТ 15150-69 при соблюдении условий, установленных ГОСТ Р 52931-2008 для группы В4</t>
        </is>
      </c>
      <c r="L20" s="6" t="inlineStr">
        <is>
          <t>фланцевое</t>
        </is>
      </c>
      <c r="M20" s="6" t="inlineStr">
        <is>
          <t>автоматический</t>
        </is>
      </c>
      <c r="N20" s="6" t="inlineStr">
        <is>
          <t>поддержание заданного давления</t>
        </is>
      </c>
      <c r="O20" s="6" t="inlineStr">
        <is>
          <t>Вертикальное, мембраной вверх</t>
        </is>
      </c>
      <c r="P20" s="6" t="inlineStr">
        <is>
          <t>Седло-ВЧ40 ГОСТ7293-85, шток-сталь 20Л ГОСТ977-88, исполнительный орган-12Х18Н9ТЛ ГОСТ977-88.</t>
        </is>
      </c>
      <c r="Q20" s="6" t="inlineStr">
        <is>
          <t>◦H = 630 мм
◦L = 180 мм (строительная длина)</t>
        </is>
      </c>
      <c r="R20" s="6" t="inlineStr">
        <is>
          <t>Пропускная способность - 16м3
Предел регулирования - 0,1...0,63 Мпа
Уплотнение - сальниковое
Габаритный размер — Н=620мм</t>
        </is>
      </c>
      <c r="S20" s="5" t="n">
        <v>1</v>
      </c>
      <c r="T20" s="6" t="inlineStr">
        <is>
          <t>шт</t>
        </is>
      </c>
      <c r="U20" s="8" t="n"/>
      <c r="V20" s="8" t="n"/>
      <c r="W20" s="8" t="n"/>
      <c r="X20" s="8" t="n"/>
      <c r="Y20" s="8" t="n"/>
      <c r="Z20" s="8" t="n"/>
      <c r="AA20" s="9" t="n"/>
      <c r="AB20" s="10">
        <f>AA20*S20</f>
        <v/>
      </c>
      <c r="AC20" s="8" t="n"/>
      <c r="AD20" s="8" t="n"/>
      <c r="AE20" s="8" t="n"/>
    </row>
    <row r="21" ht="60" customHeight="1">
      <c r="A21" s="5" t="n">
        <v>16</v>
      </c>
      <c r="B21" s="6" t="inlineStr">
        <is>
          <t>1.3/11</t>
        </is>
      </c>
      <c r="C21" s="6" t="inlineStr">
        <is>
          <t>Регулятор давления РД-НО (Нормально открытый) Ду 50 Ру 16</t>
        </is>
      </c>
      <c r="D21" s="6" t="inlineStr">
        <is>
          <t>СНИЦ.423.117.013 ТУ</t>
        </is>
      </c>
      <c r="E21" s="6" t="inlineStr">
        <is>
          <t>50</t>
        </is>
      </c>
      <c r="F21" s="6" t="inlineStr">
        <is>
          <t>полнопроходной</t>
        </is>
      </c>
      <c r="G21" s="6" t="inlineStr">
        <is>
          <t>1.6</t>
        </is>
      </c>
      <c r="H21" s="6" t="inlineStr">
        <is>
          <t>До +95°С</t>
        </is>
      </c>
      <c r="I21" s="6" t="inlineStr">
        <is>
          <t>вода</t>
        </is>
      </c>
      <c r="J21" s="6" t="inlineStr">
        <is>
          <t>чугун СЧ20 ГОСТ1412</t>
        </is>
      </c>
      <c r="K21" s="6" t="inlineStr">
        <is>
          <t>В условиях У по ГОСТ 15150-69 при соблюдении условий, установленных ГОСТ Р 52931-2008 для группы В4</t>
        </is>
      </c>
      <c r="L21" s="6" t="inlineStr">
        <is>
          <t>фланцевое</t>
        </is>
      </c>
      <c r="M21" s="6" t="inlineStr">
        <is>
          <t>автоматический</t>
        </is>
      </c>
      <c r="N21" s="6" t="inlineStr">
        <is>
          <t>поддержание заданного давления</t>
        </is>
      </c>
      <c r="O21" s="6" t="inlineStr">
        <is>
          <t>Вертикальное, мембраной вверх</t>
        </is>
      </c>
      <c r="P21" s="6" t="inlineStr">
        <is>
          <t>Седло-ВЧ40 ГОСТ7293-85, шток-сталь 20Л ГОСТ977-88, исполнительный орган-12Х18Н9ТЛ ГОСТ977-88.</t>
        </is>
      </c>
      <c r="Q21" s="6" t="inlineStr">
        <is>
          <t>◦H = 650 мм
◦L = 230 мм (строительная длина)</t>
        </is>
      </c>
      <c r="R21" s="6" t="inlineStr">
        <is>
          <t>Пропускная способность - 20м3
Предел регулирования - 0,1...0,63 Мпа
Уплотнение - сальниковое</t>
        </is>
      </c>
      <c r="S21" s="5" t="n">
        <v>3</v>
      </c>
      <c r="T21" s="6" t="inlineStr">
        <is>
          <t>шт</t>
        </is>
      </c>
      <c r="U21" s="8" t="n"/>
      <c r="V21" s="8" t="n"/>
      <c r="W21" s="8" t="n"/>
      <c r="X21" s="8" t="n"/>
      <c r="Y21" s="8" t="n"/>
      <c r="Z21" s="8" t="n"/>
      <c r="AA21" s="9" t="n"/>
      <c r="AB21" s="10">
        <f>AA21*S21</f>
        <v/>
      </c>
      <c r="AC21" s="8" t="n"/>
      <c r="AD21" s="8" t="n"/>
      <c r="AE21" s="8" t="n"/>
    </row>
    <row r="22" ht="60" customHeight="1">
      <c r="A22" s="5" t="n">
        <v>17</v>
      </c>
      <c r="B22" s="6" t="inlineStr">
        <is>
          <t>1.3/12</t>
        </is>
      </c>
      <c r="C22" s="6" t="inlineStr">
        <is>
          <t>Регулятор давления РД-НО (Нормально открытый) Ду 80 Ру 16</t>
        </is>
      </c>
      <c r="D22" s="6" t="inlineStr">
        <is>
          <t>СНИЦ.423.117.013 ТУ</t>
        </is>
      </c>
      <c r="E22" s="6" t="inlineStr">
        <is>
          <t>80</t>
        </is>
      </c>
      <c r="F22" s="6" t="inlineStr">
        <is>
          <t>полнопроходной</t>
        </is>
      </c>
      <c r="G22" s="6" t="inlineStr">
        <is>
          <t>1.6</t>
        </is>
      </c>
      <c r="H22" s="6" t="inlineStr">
        <is>
          <t>До +180°С</t>
        </is>
      </c>
      <c r="I22" s="6" t="inlineStr">
        <is>
          <t>вода</t>
        </is>
      </c>
      <c r="J22" s="6" t="inlineStr">
        <is>
          <t>Сталь марки 20</t>
        </is>
      </c>
      <c r="K22" s="6" t="inlineStr">
        <is>
          <t>в условиях У по ГОСТ 15150-69 при соблюдении условий, установленных ГОСТ Р 52931-2008 для группы В4</t>
        </is>
      </c>
      <c r="L22" s="6" t="inlineStr">
        <is>
          <t>фланцевое</t>
        </is>
      </c>
      <c r="M22" s="6" t="inlineStr">
        <is>
          <t>автоматический</t>
        </is>
      </c>
      <c r="N22" s="6" t="inlineStr">
        <is>
          <t>поддержание заданного давления</t>
        </is>
      </c>
      <c r="O22" s="6" t="inlineStr">
        <is>
          <t>мембраной вверх</t>
        </is>
      </c>
      <c r="P22" s="6" t="inlineStr">
        <is>
          <t>Седло-ВЧ40 ГОСТ7293-85, шток-сталь 20Л ГОСТ977-88, исполнительный орган-12Х18Н9ТЛ ГОСТ977-88.</t>
        </is>
      </c>
      <c r="Q22" s="6" t="inlineStr">
        <is>
          <t>◦H = 800 мм
◦D1 = 133 мм
◦D2 = 160 мм
◦D3 = 195 мм
◦D4 = 18 мм
◦L = 310 мм (строительная длина)
◦B = 310 мм
◦n = 4 мм</t>
        </is>
      </c>
      <c r="R22" s="6" t="inlineStr">
        <is>
          <t>Пропускная способность:  40 м3, 
уплотнение: сальниковое;
пределы регулирования от 0,1 до 0,63 МПа..</t>
        </is>
      </c>
      <c r="S22" s="5" t="n">
        <v>3</v>
      </c>
      <c r="T22" s="6" t="inlineStr">
        <is>
          <t>шт</t>
        </is>
      </c>
      <c r="U22" s="8" t="n"/>
      <c r="V22" s="8" t="n"/>
      <c r="W22" s="8" t="n"/>
      <c r="X22" s="8" t="n"/>
      <c r="Y22" s="8" t="n"/>
      <c r="Z22" s="8" t="n"/>
      <c r="AA22" s="9" t="n"/>
      <c r="AB22" s="10">
        <f>AA22*S22</f>
        <v/>
      </c>
      <c r="AC22" s="8" t="n"/>
      <c r="AD22" s="8" t="n"/>
      <c r="AE22" s="8" t="n"/>
    </row>
    <row r="23" ht="60" customHeight="1">
      <c r="A23" s="5" t="n">
        <v>18</v>
      </c>
      <c r="B23" s="6" t="inlineStr">
        <is>
          <t>1.3/13</t>
        </is>
      </c>
      <c r="C23" s="6" t="inlineStr">
        <is>
          <t>Регулирующий блок после себя AFD Ду 15-250 с диапазоном настройки Ру 25</t>
        </is>
      </c>
      <c r="D23" s="6" t="inlineStr"/>
      <c r="E23" s="6" t="inlineStr">
        <is>
          <t>15-250</t>
        </is>
      </c>
      <c r="F23" s="6" t="inlineStr">
        <is>
          <t>отсутствует</t>
        </is>
      </c>
      <c r="G23" s="6" t="inlineStr">
        <is>
          <t>Условное давление датчика (PN), погружная
гильза,
2,5</t>
        </is>
      </c>
      <c r="H23" s="6" t="inlineStr">
        <is>
          <t>от 2–150 °С</t>
        </is>
      </c>
      <c r="I23" s="6" t="inlineStr">
        <is>
          <t>Вода или 30% водный раствор гликоля</t>
        </is>
      </c>
      <c r="J23" s="6" t="inlineStr">
        <is>
          <t>Нержавеющая сталь</t>
        </is>
      </c>
      <c r="K23" s="6" t="inlineStr">
        <is>
          <t>Категория 3 по ГОСТ 15150-69</t>
        </is>
      </c>
      <c r="L23" s="6" t="inlineStr">
        <is>
          <t>отсутствует</t>
        </is>
      </c>
      <c r="M23" s="6" t="inlineStr">
        <is>
          <t>отсутствует</t>
        </is>
      </c>
      <c r="N23" s="6" t="inlineStr">
        <is>
          <t>-</t>
        </is>
      </c>
      <c r="O23" s="6" t="inlineStr">
        <is>
          <t>вертикальное</t>
        </is>
      </c>
      <c r="P23" s="6" t="inlineStr">
        <is>
          <t>Номинальный диаметр (DN), мм 15-250
Условное давление датчика (PN), погружная
гильза, бар
25
Рабочая среда см. характеристики регулирующего клапана
Диапазон регулируемого давления ΔPрег., бар 1–6
Вид регулирующего клапана VFG-2R
Площадь регулирующей диафрагмы, см2 80
Цвет пружины красный
Климатическое исполнение Категория 3 по ГОСТ 15150-69
Корпус регулирующего блока Нержавеющая сталь
Регулирующая диафрагма EPDM</t>
        </is>
      </c>
      <c r="Q23" s="6" t="inlineStr">
        <is>
          <t>H, мм
430</t>
        </is>
      </c>
      <c r="R23" s="6" t="inlineStr">
        <is>
          <t>Каталожный номер 003G1002R</t>
        </is>
      </c>
      <c r="S23" s="5" t="n">
        <v>2</v>
      </c>
      <c r="T23" s="6" t="inlineStr">
        <is>
          <t>шт</t>
        </is>
      </c>
      <c r="U23" s="7" t="inlineStr">
        <is>
          <t>Регулирующий блок после себя Ридан AFD-R Ру25 с диапазоном настройки 0.15-1.5бар, площадь регулирующей 12-15 108 диафраг</t>
        </is>
      </c>
      <c r="V23" s="7" t="inlineStr">
        <is>
          <t>ООО «Ридан»</t>
        </is>
      </c>
      <c r="W23" s="7" t="inlineStr">
        <is>
          <t>Россия</t>
        </is>
      </c>
      <c r="X23" s="8" t="n"/>
      <c r="Y23" s="8" t="n"/>
      <c r="Z23" s="8" t="n"/>
      <c r="AA23" s="9" t="n"/>
      <c r="AB23" s="10">
        <f>AA23*S23</f>
        <v/>
      </c>
      <c r="AC23" s="8" t="n"/>
      <c r="AD23" s="8" t="n"/>
      <c r="AE23" s="8" t="n"/>
    </row>
    <row r="24" ht="60" customHeight="1">
      <c r="A24" s="5" t="n">
        <v>19</v>
      </c>
      <c r="B24" s="6" t="inlineStr">
        <is>
          <t>1.3/14</t>
        </is>
      </c>
      <c r="C24" s="6" t="inlineStr">
        <is>
          <t>Клапан обратный 19с53нж Ду 80 Ру 40</t>
        </is>
      </c>
      <c r="D24" s="6" t="inlineStr"/>
      <c r="E24" s="6" t="inlineStr">
        <is>
          <t>80</t>
        </is>
      </c>
      <c r="F24" s="6" t="inlineStr"/>
      <c r="G24" s="6" t="inlineStr">
        <is>
          <t>4</t>
        </is>
      </c>
      <c r="H24" s="6" t="inlineStr">
        <is>
          <t>От -29 до    +425С</t>
        </is>
      </c>
      <c r="I24" s="6" t="inlineStr">
        <is>
          <t>Вода</t>
        </is>
      </c>
      <c r="J24" s="6" t="inlineStr">
        <is>
          <t>Углеродистая сталь</t>
        </is>
      </c>
      <c r="K24" s="6" t="inlineStr">
        <is>
          <t>У</t>
        </is>
      </c>
      <c r="L24" s="6" t="inlineStr">
        <is>
          <t>Фланцевое</t>
        </is>
      </c>
      <c r="M24" s="6" t="inlineStr"/>
      <c r="N24" s="6" t="inlineStr"/>
      <c r="O24" s="6" t="inlineStr"/>
      <c r="P24" s="6" t="inlineStr">
        <is>
          <t>Материа запорного органа - Сталь (A216 WCB + 13Cr), Тип уплотнения - Графит+нержавеющая сталь</t>
        </is>
      </c>
      <c r="Q24" s="6" t="inlineStr"/>
      <c r="R24" s="6" t="inlineStr"/>
      <c r="S24" s="5" t="n">
        <v>2</v>
      </c>
      <c r="T24" s="6" t="inlineStr">
        <is>
          <t>шт</t>
        </is>
      </c>
      <c r="U24" s="8" t="n"/>
      <c r="V24" s="8" t="n"/>
      <c r="W24" s="8" t="n"/>
      <c r="X24" s="8" t="n"/>
      <c r="Y24" s="8" t="n"/>
      <c r="Z24" s="8" t="n"/>
      <c r="AA24" s="9" t="n"/>
      <c r="AB24" s="10">
        <f>AA24*S24</f>
        <v/>
      </c>
      <c r="AC24" s="8" t="n"/>
      <c r="AD24" s="8" t="n"/>
      <c r="AE24" s="8" t="n"/>
    </row>
    <row r="25" ht="60" customHeight="1">
      <c r="A25" s="5" t="n">
        <v>20</v>
      </c>
      <c r="B25" s="6" t="inlineStr">
        <is>
          <t>1.3/15</t>
        </is>
      </c>
      <c r="C25" s="6" t="inlineStr">
        <is>
          <t>Клапан обратный 19с53нж Ду 150 Ру 40</t>
        </is>
      </c>
      <c r="D25" s="6" t="inlineStr"/>
      <c r="E25" s="6" t="inlineStr">
        <is>
          <t>150</t>
        </is>
      </c>
      <c r="F25" s="6" t="inlineStr"/>
      <c r="G25" s="6" t="inlineStr">
        <is>
          <t>4</t>
        </is>
      </c>
      <c r="H25" s="6" t="inlineStr">
        <is>
          <t>От -29 до    +425С</t>
        </is>
      </c>
      <c r="I25" s="6" t="inlineStr">
        <is>
          <t>Вода</t>
        </is>
      </c>
      <c r="J25" s="6" t="inlineStr">
        <is>
          <t>Углеродистая сталь</t>
        </is>
      </c>
      <c r="K25" s="6" t="inlineStr">
        <is>
          <t>У</t>
        </is>
      </c>
      <c r="L25" s="6" t="inlineStr">
        <is>
          <t>Фланцевое</t>
        </is>
      </c>
      <c r="M25" s="6" t="inlineStr"/>
      <c r="N25" s="6" t="inlineStr"/>
      <c r="O25" s="6" t="inlineStr"/>
      <c r="P25" s="6" t="inlineStr">
        <is>
          <t>Материа запорного органа - Сталь (A216 WCB + 13Cr), Тип уплотнения - Графит+нержавеющая сталь</t>
        </is>
      </c>
      <c r="Q25" s="6" t="inlineStr"/>
      <c r="R25" s="6" t="inlineStr"/>
      <c r="S25" s="5" t="n">
        <v>2</v>
      </c>
      <c r="T25" s="6" t="inlineStr">
        <is>
          <t>шт</t>
        </is>
      </c>
      <c r="U25" s="8" t="n"/>
      <c r="V25" s="8" t="n"/>
      <c r="W25" s="8" t="n"/>
      <c r="X25" s="8" t="n"/>
      <c r="Y25" s="8" t="n"/>
      <c r="Z25" s="8" t="n"/>
      <c r="AA25" s="9" t="n"/>
      <c r="AB25" s="10">
        <f>AA25*S25</f>
        <v/>
      </c>
      <c r="AC25" s="8" t="n"/>
      <c r="AD25" s="8" t="n"/>
      <c r="AE25" s="8" t="n"/>
    </row>
    <row r="26" ht="60" customHeight="1">
      <c r="A26" s="5" t="n">
        <v>21</v>
      </c>
      <c r="B26" s="6" t="inlineStr">
        <is>
          <t>1.3/16</t>
        </is>
      </c>
      <c r="C26" s="6" t="inlineStr">
        <is>
          <t>Клапан обратный межфланцевый 19ч21бр Ду 100 Ру 16</t>
        </is>
      </c>
      <c r="D26" s="6" t="inlineStr">
        <is>
          <t>ТУ 372240-001-48140495-05</t>
        </is>
      </c>
      <c r="E26" s="6" t="inlineStr">
        <is>
          <t>100</t>
        </is>
      </c>
      <c r="F26" s="6" t="inlineStr">
        <is>
          <t>полнопроходной</t>
        </is>
      </c>
      <c r="G26" s="6" t="inlineStr">
        <is>
          <t>1.6</t>
        </is>
      </c>
      <c r="H26" s="6" t="inlineStr">
        <is>
          <t>До +225°С</t>
        </is>
      </c>
      <c r="I26" s="6" t="inlineStr">
        <is>
          <t>вода</t>
        </is>
      </c>
      <c r="J26" s="6" t="inlineStr">
        <is>
          <t>чугун СЧ18</t>
        </is>
      </c>
      <c r="K26" s="6" t="inlineStr">
        <is>
          <t>У1</t>
        </is>
      </c>
      <c r="L26" s="6" t="inlineStr">
        <is>
          <t>межфланцевое</t>
        </is>
      </c>
      <c r="M26" s="6" t="inlineStr">
        <is>
          <t>автоматический</t>
        </is>
      </c>
      <c r="N26" s="6" t="inlineStr">
        <is>
          <t>компенсация гидроударов</t>
        </is>
      </c>
      <c r="O26" s="6" t="inlineStr">
        <is>
          <t>любое</t>
        </is>
      </c>
      <c r="P26" s="6" t="inlineStr">
        <is>
          <t>Корпус: Сч18 Захлопка: Сч18 Ось: Сталь 20х13 Уплотнение: Латунь ЛЦ40С</t>
        </is>
      </c>
      <c r="Q26" s="6" t="inlineStr">
        <is>
          <t>строительная длинна 80мм</t>
        </is>
      </c>
      <c r="R26" s="6" t="inlineStr"/>
      <c r="S26" s="5" t="n">
        <v>4</v>
      </c>
      <c r="T26" s="6" t="inlineStr">
        <is>
          <t>шт</t>
        </is>
      </c>
      <c r="U26" s="7" t="inlineStr">
        <is>
          <t>Клапан обратный ЛМЗ 19Ч21БР Ду100 Ру16 поворотный, межфланцевый, материал - чугун, диск - чугун</t>
        </is>
      </c>
      <c r="V26" s="7" t="inlineStr">
        <is>
          <t>ОАО «Литейно-механический завод»</t>
        </is>
      </c>
      <c r="W26" s="7" t="inlineStr">
        <is>
          <t>Россия</t>
        </is>
      </c>
      <c r="X26" s="8" t="n"/>
      <c r="Y26" s="8" t="n"/>
      <c r="Z26" s="8" t="n"/>
      <c r="AA26" s="9" t="n"/>
      <c r="AB26" s="10">
        <f>AA26*S26</f>
        <v/>
      </c>
      <c r="AC26" s="8" t="n"/>
      <c r="AD26" s="8" t="n"/>
      <c r="AE26" s="8" t="n"/>
    </row>
    <row r="27" ht="60" customHeight="1">
      <c r="A27" s="5" t="n">
        <v>22</v>
      </c>
      <c r="B27" s="6" t="inlineStr">
        <is>
          <t>1.3/17</t>
        </is>
      </c>
      <c r="C27" s="6" t="inlineStr">
        <is>
          <t>Клапан обратный межфланцевый 19ч21бр Ду 50 Ру 16</t>
        </is>
      </c>
      <c r="D27" s="6" t="inlineStr">
        <is>
          <t>ТУ 372240-001-48140495-05</t>
        </is>
      </c>
      <c r="E27" s="6" t="inlineStr">
        <is>
          <t>50</t>
        </is>
      </c>
      <c r="F27" s="6" t="inlineStr">
        <is>
          <t>полнопроходной</t>
        </is>
      </c>
      <c r="G27" s="6" t="inlineStr">
        <is>
          <t>1.6</t>
        </is>
      </c>
      <c r="H27" s="6" t="inlineStr">
        <is>
          <t>До +225°С</t>
        </is>
      </c>
      <c r="I27" s="6" t="inlineStr">
        <is>
          <t>вода</t>
        </is>
      </c>
      <c r="J27" s="6" t="inlineStr">
        <is>
          <t>чугун СЧ18</t>
        </is>
      </c>
      <c r="K27" s="6" t="inlineStr">
        <is>
          <t>У1</t>
        </is>
      </c>
      <c r="L27" s="6" t="inlineStr">
        <is>
          <t>межфланцевое</t>
        </is>
      </c>
      <c r="M27" s="6" t="inlineStr">
        <is>
          <t>автоматический</t>
        </is>
      </c>
      <c r="N27" s="6" t="inlineStr">
        <is>
          <t>компенсация гидроударов</t>
        </is>
      </c>
      <c r="O27" s="6" t="inlineStr">
        <is>
          <t>любое</t>
        </is>
      </c>
      <c r="P27" s="6" t="inlineStr">
        <is>
          <t>Корпус: Сч18 Захлопка: Сч18 Ось: Сталь 20х13 Уплотнение: Латунь ЛЦ40С</t>
        </is>
      </c>
      <c r="Q27" s="6" t="inlineStr">
        <is>
          <t>строительная длинна 60мм</t>
        </is>
      </c>
      <c r="R27" s="6" t="inlineStr"/>
      <c r="S27" s="5" t="n">
        <v>6</v>
      </c>
      <c r="T27" s="6" t="inlineStr">
        <is>
          <t>шт</t>
        </is>
      </c>
      <c r="U27" s="7" t="inlineStr">
        <is>
          <t>Клапан обратный ЛМЗ 19Ч21БР Ду50 Ру16 поворотный, межфланцевый, материал - чугун, диск - чугун</t>
        </is>
      </c>
      <c r="V27" s="7" t="inlineStr">
        <is>
          <t>ОАО «Литейно-механический завод»</t>
        </is>
      </c>
      <c r="W27" s="7" t="inlineStr">
        <is>
          <t>Россия</t>
        </is>
      </c>
      <c r="X27" s="8" t="n"/>
      <c r="Y27" s="8" t="n"/>
      <c r="Z27" s="8" t="n"/>
      <c r="AA27" s="9" t="n"/>
      <c r="AB27" s="10">
        <f>AA27*S27</f>
        <v/>
      </c>
      <c r="AC27" s="8" t="n"/>
      <c r="AD27" s="8" t="n"/>
      <c r="AE27" s="8" t="n"/>
    </row>
    <row r="28" ht="60" customHeight="1">
      <c r="A28" s="5" t="n">
        <v>23</v>
      </c>
      <c r="B28" s="6" t="inlineStr">
        <is>
          <t>1.3/18</t>
        </is>
      </c>
      <c r="C28" s="6" t="inlineStr">
        <is>
          <t>Клапан обратный межфланцевый 19ч21бр Ду 80 Ру 16</t>
        </is>
      </c>
      <c r="D28" s="6" t="inlineStr">
        <is>
          <t>ТУ 372240-001-48140495-05</t>
        </is>
      </c>
      <c r="E28" s="6" t="inlineStr">
        <is>
          <t>80</t>
        </is>
      </c>
      <c r="F28" s="6" t="inlineStr">
        <is>
          <t>полнопроходной</t>
        </is>
      </c>
      <c r="G28" s="6" t="inlineStr">
        <is>
          <t>1.6</t>
        </is>
      </c>
      <c r="H28" s="6" t="inlineStr">
        <is>
          <t>До +225°С</t>
        </is>
      </c>
      <c r="I28" s="6" t="inlineStr">
        <is>
          <t>вода</t>
        </is>
      </c>
      <c r="J28" s="6" t="inlineStr">
        <is>
          <t>чугун СЧ18</t>
        </is>
      </c>
      <c r="K28" s="6" t="inlineStr">
        <is>
          <t>У1</t>
        </is>
      </c>
      <c r="L28" s="6" t="inlineStr">
        <is>
          <t>межфланцевое</t>
        </is>
      </c>
      <c r="M28" s="6" t="inlineStr">
        <is>
          <t>автоматический</t>
        </is>
      </c>
      <c r="N28" s="6" t="inlineStr">
        <is>
          <t>компенсация гидроударов</t>
        </is>
      </c>
      <c r="O28" s="6" t="inlineStr">
        <is>
          <t>любое</t>
        </is>
      </c>
      <c r="P28" s="6" t="inlineStr">
        <is>
          <t>Корпус: Сч18 Захлопка: Сч18 Ось: Сталь 20х13 Уплотнение: Латунь ЛЦ40С</t>
        </is>
      </c>
      <c r="Q28" s="6" t="inlineStr">
        <is>
          <t>строительная длинна 70мм</t>
        </is>
      </c>
      <c r="R28" s="6" t="inlineStr"/>
      <c r="S28" s="5" t="n">
        <v>7</v>
      </c>
      <c r="T28" s="6" t="inlineStr">
        <is>
          <t>шт</t>
        </is>
      </c>
      <c r="U28" s="7" t="inlineStr">
        <is>
          <t>Клапан обратный ЛМЗ 19Ч21БР Ду80 Ру16 поворотный, межфланцевый, материал - чугун, диск - чугун</t>
        </is>
      </c>
      <c r="V28" s="7" t="inlineStr">
        <is>
          <t>ОАО «Литейно-механический завод»</t>
        </is>
      </c>
      <c r="W28" s="7" t="inlineStr">
        <is>
          <t>Россия</t>
        </is>
      </c>
      <c r="X28" s="8" t="n"/>
      <c r="Y28" s="8" t="n"/>
      <c r="Z28" s="8" t="n"/>
      <c r="AA28" s="9" t="n"/>
      <c r="AB28" s="10">
        <f>AA28*S28</f>
        <v/>
      </c>
      <c r="AC28" s="8" t="n"/>
      <c r="AD28" s="8" t="n"/>
      <c r="AE28" s="8" t="n"/>
    </row>
    <row r="29" ht="60" customHeight="1">
      <c r="A29" s="5" t="n">
        <v>24</v>
      </c>
      <c r="B29" s="6" t="inlineStr">
        <is>
          <t>1.3/20</t>
        </is>
      </c>
      <c r="C29" s="6" t="inlineStr">
        <is>
          <t>Клапан обратный двухстворчатый DENDOR 010C Ду 200 Ру 16</t>
        </is>
      </c>
      <c r="D29" s="6" t="inlineStr">
        <is>
          <t>ТУ 3732-023-62977923-2015</t>
        </is>
      </c>
      <c r="E29" s="6" t="inlineStr">
        <is>
          <t>200</t>
        </is>
      </c>
      <c r="F29" s="6" t="inlineStr">
        <is>
          <t>стандартное</t>
        </is>
      </c>
      <c r="G29" s="6" t="inlineStr">
        <is>
          <t>1.6</t>
        </is>
      </c>
      <c r="H29" s="6" t="inlineStr">
        <is>
          <t>До +130°С</t>
        </is>
      </c>
      <c r="I29" s="6" t="inlineStr">
        <is>
          <t>вода</t>
        </is>
      </c>
      <c r="J29" s="6" t="inlineStr">
        <is>
          <t>Чугун EN-GJS-400-15</t>
        </is>
      </c>
      <c r="K29" s="6" t="inlineStr">
        <is>
          <t>У3</t>
        </is>
      </c>
      <c r="L29" s="6" t="inlineStr">
        <is>
          <t>межфланцевое</t>
        </is>
      </c>
      <c r="M29" s="6" t="inlineStr">
        <is>
          <t>-</t>
        </is>
      </c>
      <c r="N29" s="6" t="inlineStr">
        <is>
          <t>-</t>
        </is>
      </c>
      <c r="O29" s="6" t="inlineStr">
        <is>
          <t>любое</t>
        </is>
      </c>
      <c r="P29" s="6" t="inlineStr">
        <is>
          <t>Корпус-ковкий чугун EN-GJS-400-15 с термообработанным эпоксидным покрытием; Диск-ковкий чугун EN-GJS-400-15 покрытый никелем/ нержавеющая сталь; Шток-нержавеющая сталь; Пружина-нержавеющая сталь; Уплотнение-EPDM</t>
        </is>
      </c>
      <c r="Q29" s="6" t="inlineStr"/>
      <c r="R29" s="6" t="inlineStr"/>
      <c r="S29" s="5" t="n">
        <v>5</v>
      </c>
      <c r="T29" s="6" t="inlineStr">
        <is>
          <t>шт</t>
        </is>
      </c>
      <c r="U29" s="8" t="n"/>
      <c r="V29" s="8" t="n"/>
      <c r="W29" s="8" t="n"/>
      <c r="X29" s="8" t="n"/>
      <c r="Y29" s="8" t="n"/>
      <c r="Z29" s="8" t="n"/>
      <c r="AA29" s="9" t="n"/>
      <c r="AB29" s="10">
        <f>AA29*S29</f>
        <v/>
      </c>
      <c r="AC29" s="8" t="n"/>
      <c r="AD29" s="8" t="n"/>
      <c r="AE29" s="8" t="n"/>
    </row>
    <row r="30" ht="60" customHeight="1">
      <c r="A30" s="5" t="n">
        <v>25</v>
      </c>
      <c r="B30" s="6" t="inlineStr">
        <is>
          <t>1.3/21</t>
        </is>
      </c>
      <c r="C30" s="6" t="inlineStr">
        <is>
          <t>Клапан обратный фланцевый Ду 50 Ру 40</t>
        </is>
      </c>
      <c r="D30" s="6" t="inlineStr"/>
      <c r="E30" s="6" t="inlineStr">
        <is>
          <t>50</t>
        </is>
      </c>
      <c r="F30" s="6" t="inlineStr"/>
      <c r="G30" s="6" t="inlineStr">
        <is>
          <t>4</t>
        </is>
      </c>
      <c r="H30" s="6" t="inlineStr">
        <is>
          <t>От -29 до    +425С</t>
        </is>
      </c>
      <c r="I30" s="6" t="inlineStr">
        <is>
          <t>Вода</t>
        </is>
      </c>
      <c r="J30" s="6" t="inlineStr">
        <is>
          <t>Углеродистая сталь</t>
        </is>
      </c>
      <c r="K30" s="6" t="inlineStr"/>
      <c r="L30" s="6" t="inlineStr">
        <is>
          <t>Фланцевое</t>
        </is>
      </c>
      <c r="M30" s="6" t="inlineStr"/>
      <c r="N30" s="6" t="inlineStr"/>
      <c r="O30" s="6" t="inlineStr"/>
      <c r="P30" s="6" t="inlineStr">
        <is>
          <t>Материа запорного органа - Сталь (A216 WCB + 13Cr), Тип уплотнения - Графит+нержавеющая сталь</t>
        </is>
      </c>
      <c r="Q30" s="6" t="inlineStr"/>
      <c r="R30" s="6" t="inlineStr"/>
      <c r="S30" s="5" t="n">
        <v>1</v>
      </c>
      <c r="T30" s="6" t="inlineStr">
        <is>
          <t>шт</t>
        </is>
      </c>
      <c r="U30" s="8" t="n"/>
      <c r="V30" s="8" t="n"/>
      <c r="W30" s="8" t="n"/>
      <c r="X30" s="8" t="n"/>
      <c r="Y30" s="8" t="n"/>
      <c r="Z30" s="8" t="n"/>
      <c r="AA30" s="9" t="n"/>
      <c r="AB30" s="10">
        <f>AA30*S30</f>
        <v/>
      </c>
      <c r="AC30" s="8" t="n"/>
      <c r="AD30" s="8" t="n"/>
      <c r="AE30" s="8" t="n"/>
    </row>
    <row r="31" ht="60" customHeight="1">
      <c r="A31" s="5" t="n">
        <v>26</v>
      </c>
      <c r="B31" s="6" t="inlineStr">
        <is>
          <t>1.3/22</t>
        </is>
      </c>
      <c r="C31" s="6" t="inlineStr">
        <is>
          <t>Обратный клапан «Гранлок» серии CV16 Ду 150 Ру 16</t>
        </is>
      </c>
      <c r="D31" s="6" t="inlineStr">
        <is>
          <t>ТУ 3700-005-81673229-2009</t>
        </is>
      </c>
      <c r="E31" s="6" t="inlineStr">
        <is>
          <t>150</t>
        </is>
      </c>
      <c r="F31" s="6" t="inlineStr">
        <is>
          <t>стандартное</t>
        </is>
      </c>
      <c r="G31" s="6" t="inlineStr">
        <is>
          <t>1.6</t>
        </is>
      </c>
      <c r="H31" s="6" t="inlineStr">
        <is>
          <t>До +110°С</t>
        </is>
      </c>
      <c r="I31" s="6" t="inlineStr">
        <is>
          <t>вода</t>
        </is>
      </c>
      <c r="J31" s="6" t="inlineStr">
        <is>
          <t>чугун GG25</t>
        </is>
      </c>
      <c r="K31" s="6" t="inlineStr">
        <is>
          <t>У3</t>
        </is>
      </c>
      <c r="L31" s="6" t="inlineStr">
        <is>
          <t>межфланцевое</t>
        </is>
      </c>
      <c r="M31" s="6" t="inlineStr">
        <is>
          <t>-</t>
        </is>
      </c>
      <c r="N31" s="6" t="inlineStr">
        <is>
          <t>-</t>
        </is>
      </c>
      <c r="O31" s="6" t="inlineStr">
        <is>
          <t>любое</t>
        </is>
      </c>
      <c r="P31" s="6" t="inlineStr">
        <is>
          <t>клапан двухстворчатый</t>
        </is>
      </c>
      <c r="Q31" s="6" t="inlineStr"/>
      <c r="R31" s="6" t="inlineStr"/>
      <c r="S31" s="5" t="n">
        <v>4</v>
      </c>
      <c r="T31" s="6" t="inlineStr">
        <is>
          <t>шт</t>
        </is>
      </c>
      <c r="U31" s="7" t="inlineStr">
        <is>
          <t>Клапан обратный АДЛ Гранлок CV16 Ду150 Ру16 межфланцевый, двухстворчатый, корпус - чугун, диск - нержавеющая сталь, упло</t>
        </is>
      </c>
      <c r="V31" s="7" t="inlineStr">
        <is>
          <t>ООО «ТД АДЛ» (Гранвэл/Гранлок, производство Лыткарино)</t>
        </is>
      </c>
      <c r="W31" s="7" t="inlineStr">
        <is>
          <t>Россия</t>
        </is>
      </c>
      <c r="X31" s="8" t="n"/>
      <c r="Y31" s="8" t="n"/>
      <c r="Z31" s="8" t="n"/>
      <c r="AA31" s="9" t="n"/>
      <c r="AB31" s="10">
        <f>AA31*S31</f>
        <v/>
      </c>
      <c r="AC31" s="8" t="n"/>
      <c r="AD31" s="8" t="n"/>
      <c r="AE31" s="8" t="n"/>
    </row>
    <row r="32" ht="60" customHeight="1">
      <c r="A32" s="5" t="n">
        <v>27</v>
      </c>
      <c r="B32" s="6" t="inlineStr">
        <is>
          <t>1.3/25</t>
        </is>
      </c>
      <c r="C32" s="6" t="inlineStr">
        <is>
          <t>Клапан обратный 16ч42р Ду 100 Ру 2,5</t>
        </is>
      </c>
      <c r="D32" s="6" t="inlineStr">
        <is>
          <t>ГОСТ 33423-2015</t>
        </is>
      </c>
      <c r="E32" s="6" t="inlineStr">
        <is>
          <t>100</t>
        </is>
      </c>
      <c r="F32" s="6" t="inlineStr">
        <is>
          <t>стандарт</t>
        </is>
      </c>
      <c r="G32" s="6" t="inlineStr">
        <is>
          <t>0.25</t>
        </is>
      </c>
      <c r="H32" s="6" t="inlineStr">
        <is>
          <t>до +50°С</t>
        </is>
      </c>
      <c r="I32" s="6" t="inlineStr">
        <is>
          <t>Вода</t>
        </is>
      </c>
      <c r="J32" s="6" t="inlineStr">
        <is>
          <t>Чугун СЧ 15, СЧ20</t>
        </is>
      </c>
      <c r="K32" s="6" t="inlineStr">
        <is>
          <t>УХЛ1</t>
        </is>
      </c>
      <c r="L32" s="6" t="inlineStr">
        <is>
          <t>фланец-фланец</t>
        </is>
      </c>
      <c r="M32" s="6" t="inlineStr">
        <is>
          <t>нет</t>
        </is>
      </c>
      <c r="N32" s="6" t="inlineStr"/>
      <c r="O32" s="6" t="inlineStr">
        <is>
          <t>любое</t>
        </is>
      </c>
      <c r="P32" s="6" t="inlineStr">
        <is>
          <t>тарелка: чугун СЧ 15, СЧ20;     крестовина: алюминиевый сплав Ал-2;     уплотнение: резина-пластина ЗМБ-А-С;     сетка: сталь 3;</t>
        </is>
      </c>
      <c r="Q32" s="6" t="inlineStr"/>
      <c r="R32" s="6" t="inlineStr"/>
      <c r="S32" s="5" t="n">
        <v>3</v>
      </c>
      <c r="T32" s="6" t="inlineStr">
        <is>
          <t>шт</t>
        </is>
      </c>
      <c r="U32" s="8" t="n"/>
      <c r="V32" s="8" t="n"/>
      <c r="W32" s="8" t="n"/>
      <c r="X32" s="8" t="n"/>
      <c r="Y32" s="8" t="n"/>
      <c r="Z32" s="8" t="n"/>
      <c r="AA32" s="9" t="n"/>
      <c r="AB32" s="10">
        <f>AA32*S32</f>
        <v/>
      </c>
      <c r="AC32" s="8" t="n"/>
      <c r="AD32" s="8" t="n"/>
      <c r="AE32" s="8" t="n"/>
    </row>
    <row r="33" ht="60" customHeight="1">
      <c r="A33" s="5" t="n">
        <v>28</v>
      </c>
      <c r="B33" s="6" t="inlineStr">
        <is>
          <t>1.3/26</t>
        </is>
      </c>
      <c r="C33" s="6" t="inlineStr">
        <is>
          <t>Клапан обратный 19нж76нж Ду 100 Ру 16</t>
        </is>
      </c>
      <c r="D33" s="6" t="inlineStr">
        <is>
          <t>ГОСТ 9697-87</t>
        </is>
      </c>
      <c r="E33" s="6" t="inlineStr">
        <is>
          <t>100</t>
        </is>
      </c>
      <c r="F33" s="6" t="inlineStr">
        <is>
          <t>стандарт</t>
        </is>
      </c>
      <c r="G33" s="6" t="inlineStr">
        <is>
          <t>1.6</t>
        </is>
      </c>
      <c r="H33" s="6" t="inlineStr">
        <is>
          <t>от -60 до +600°С</t>
        </is>
      </c>
      <c r="I33" s="6" t="inlineStr">
        <is>
          <t>агрессивные жидкие среды</t>
        </is>
      </c>
      <c r="J33" s="6" t="inlineStr">
        <is>
          <t>12Х18Н9ТЛ</t>
        </is>
      </c>
      <c r="K33" s="6" t="inlineStr">
        <is>
          <t>УХЛ1</t>
        </is>
      </c>
      <c r="L33" s="6" t="inlineStr">
        <is>
          <t>фланец-фланец</t>
        </is>
      </c>
      <c r="M33" s="6" t="inlineStr">
        <is>
          <t>ручное</t>
        </is>
      </c>
      <c r="N33" s="6" t="inlineStr">
        <is>
          <t>штурвал</t>
        </is>
      </c>
      <c r="O33" s="6" t="inlineStr">
        <is>
          <t>Монтаж вентиля односторонний по маркировке на корпусе управляющим органом вверх, допускается отклонение на горизонтальном трубопроводе на 45º в любую сторону.</t>
        </is>
      </c>
      <c r="P33" s="6" t="inlineStr">
        <is>
          <t>Материал изделия (корпус, крышка): сталь 12Х18Н9ТЛ;</t>
        </is>
      </c>
      <c r="Q33" s="6" t="inlineStr"/>
      <c r="R33" s="6" t="inlineStr"/>
      <c r="S33" s="5" t="n">
        <v>2</v>
      </c>
      <c r="T33" s="6" t="inlineStr">
        <is>
          <t>шт</t>
        </is>
      </c>
      <c r="U33" s="8" t="n"/>
      <c r="V33" s="8" t="n"/>
      <c r="W33" s="8" t="n"/>
      <c r="X33" s="8" t="n"/>
      <c r="Y33" s="8" t="n"/>
      <c r="Z33" s="8" t="n"/>
      <c r="AA33" s="9" t="n"/>
      <c r="AB33" s="10">
        <f>AA33*S33</f>
        <v/>
      </c>
      <c r="AC33" s="8" t="n"/>
      <c r="AD33" s="8" t="n"/>
      <c r="AE33" s="8" t="n"/>
    </row>
    <row r="34" ht="60" customHeight="1">
      <c r="A34" s="5" t="n">
        <v>29</v>
      </c>
      <c r="B34" s="6" t="inlineStr">
        <is>
          <t>1.3/28</t>
        </is>
      </c>
      <c r="C34" s="6" t="inlineStr">
        <is>
          <t>Клапан обратный 19с76нж Ду 100 Ру 16</t>
        </is>
      </c>
      <c r="D34" s="6" t="inlineStr">
        <is>
          <t>ГОСТ 33423-2015</t>
        </is>
      </c>
      <c r="E34" s="6" t="inlineStr">
        <is>
          <t>100</t>
        </is>
      </c>
      <c r="F34" s="6" t="inlineStr">
        <is>
          <t>стандарт</t>
        </is>
      </c>
      <c r="G34" s="6" t="inlineStr">
        <is>
          <t>1.6</t>
        </is>
      </c>
      <c r="H34" s="6" t="inlineStr">
        <is>
          <t>- до 425 ºC</t>
        </is>
      </c>
      <c r="I34" s="6" t="inlineStr">
        <is>
          <t>вода</t>
        </is>
      </c>
      <c r="J34" s="6" t="inlineStr">
        <is>
          <t>сталь 25Л, 20, 20Х13</t>
        </is>
      </c>
      <c r="K34" s="6" t="inlineStr">
        <is>
          <t>У1</t>
        </is>
      </c>
      <c r="L34" s="6" t="inlineStr">
        <is>
          <t>Фланец-фланец</t>
        </is>
      </c>
      <c r="M34" s="6" t="inlineStr">
        <is>
          <t>нет</t>
        </is>
      </c>
      <c r="N34" s="6" t="inlineStr"/>
      <c r="O34" s="6" t="inlineStr">
        <is>
          <t>на горизонтальном трубопроводе крышкой вверх; на вертикальном – входным патрубком вверх</t>
        </is>
      </c>
      <c r="P34" s="6" t="inlineStr"/>
      <c r="Q34" s="6" t="inlineStr"/>
      <c r="R34" s="6" t="inlineStr"/>
      <c r="S34" s="5" t="n">
        <v>2</v>
      </c>
      <c r="T34" s="6" t="inlineStr">
        <is>
          <t>шт</t>
        </is>
      </c>
      <c r="U34" s="8" t="n"/>
      <c r="V34" s="8" t="n"/>
      <c r="W34" s="8" t="n"/>
      <c r="X34" s="8" t="n"/>
      <c r="Y34" s="8" t="n"/>
      <c r="Z34" s="8" t="n"/>
      <c r="AA34" s="9" t="n"/>
      <c r="AB34" s="10">
        <f>AA34*S34</f>
        <v/>
      </c>
      <c r="AC34" s="8" t="n"/>
      <c r="AD34" s="8" t="n"/>
      <c r="AE34" s="8" t="n"/>
    </row>
    <row r="35" ht="60" customHeight="1">
      <c r="A35" s="5" t="n">
        <v>30</v>
      </c>
      <c r="B35" s="6" t="inlineStr">
        <is>
          <t>1.3/29</t>
        </is>
      </c>
      <c r="C35" s="6" t="inlineStr">
        <is>
          <t>Клапан обратный 19с76нж Ду 50 Ру 16</t>
        </is>
      </c>
      <c r="D35" s="6" t="inlineStr">
        <is>
          <t>ГОСТ 33423-2015</t>
        </is>
      </c>
      <c r="E35" s="6" t="inlineStr">
        <is>
          <t>50</t>
        </is>
      </c>
      <c r="F35" s="6" t="inlineStr">
        <is>
          <t>стандарт</t>
        </is>
      </c>
      <c r="G35" s="6" t="inlineStr">
        <is>
          <t>1.6</t>
        </is>
      </c>
      <c r="H35" s="6" t="inlineStr">
        <is>
          <t>- до 425 ºC</t>
        </is>
      </c>
      <c r="I35" s="6" t="inlineStr">
        <is>
          <t>вода</t>
        </is>
      </c>
      <c r="J35" s="6" t="inlineStr">
        <is>
          <t>сталь 25Л, 20, 20Х13</t>
        </is>
      </c>
      <c r="K35" s="6" t="inlineStr">
        <is>
          <t>У1</t>
        </is>
      </c>
      <c r="L35" s="6" t="inlineStr">
        <is>
          <t>Фланец-фланец</t>
        </is>
      </c>
      <c r="M35" s="6" t="inlineStr">
        <is>
          <t>нет</t>
        </is>
      </c>
      <c r="N35" s="6" t="inlineStr"/>
      <c r="O35" s="6" t="inlineStr">
        <is>
          <t>на горизонтальном трубопроводе крышкой вверх; на вертикальном – входным патрубком вверх</t>
        </is>
      </c>
      <c r="P35" s="6" t="inlineStr">
        <is>
          <t>Крышка  Ст.20 Захлопка  Ст. 20 Серьга  Ст.20Л-30Л Кронштейн, ось  Ст. 20Х13 Уплотнение затвора  Наплавленная коррозионно-стойкая сталь 08Х20Н9Г7Т</t>
        </is>
      </c>
      <c r="Q35" s="6" t="inlineStr"/>
      <c r="R35" s="6" t="inlineStr"/>
      <c r="S35" s="5" t="n">
        <v>2</v>
      </c>
      <c r="T35" s="6" t="inlineStr">
        <is>
          <t>шт</t>
        </is>
      </c>
      <c r="U35" s="8" t="n"/>
      <c r="V35" s="8" t="n"/>
      <c r="W35" s="8" t="n"/>
      <c r="X35" s="8" t="n"/>
      <c r="Y35" s="8" t="n"/>
      <c r="Z35" s="8" t="n"/>
      <c r="AA35" s="9" t="n"/>
      <c r="AB35" s="10">
        <f>AA35*S35</f>
        <v/>
      </c>
      <c r="AC35" s="8" t="n"/>
      <c r="AD35" s="8" t="n"/>
      <c r="AE35" s="8" t="n"/>
    </row>
    <row r="36" ht="60" customHeight="1">
      <c r="A36" s="5" t="n">
        <v>31</v>
      </c>
      <c r="B36" s="6" t="inlineStr">
        <is>
          <t>1.3/30</t>
        </is>
      </c>
      <c r="C36" s="6" t="inlineStr">
        <is>
          <t>Клапан обратный межфланцевый пружинный тарельчатый NVD-802R Ду 125 Ру 16</t>
        </is>
      </c>
      <c r="D36" s="6" t="inlineStr">
        <is>
          <t>ТУ 28.14.11-014-72323163-2022</t>
        </is>
      </c>
      <c r="E36" s="6" t="inlineStr">
        <is>
          <t>125</t>
        </is>
      </c>
      <c r="F36" s="6" t="inlineStr"/>
      <c r="G36" s="6" t="inlineStr">
        <is>
          <t>1.6</t>
        </is>
      </c>
      <c r="H36" s="6" t="inlineStr">
        <is>
          <t>от -15 до +100</t>
        </is>
      </c>
      <c r="I36" s="6" t="inlineStr">
        <is>
          <t>Вода, гликолевые растворы до 50%</t>
        </is>
      </c>
      <c r="J36" s="6" t="inlineStr">
        <is>
          <t>серый чугун</t>
        </is>
      </c>
      <c r="K36" s="6" t="inlineStr"/>
      <c r="L36" s="6" t="inlineStr">
        <is>
          <t>межфланцевое</t>
        </is>
      </c>
      <c r="M36" s="6" t="inlineStr"/>
      <c r="N36" s="6" t="inlineStr"/>
      <c r="O36" s="6" t="inlineStr">
        <is>
          <t>любое</t>
        </is>
      </c>
      <c r="P36" s="6" t="inlineStr">
        <is>
          <t>Номинальный диаметр (DN), мм 125
Уплотнение EPDM
Масса, кг, не более 10
Рабочая среда Вода, гликолевые растворы до 50%Вода для систем отопления, ГВС, ХВС, гликолевые р-ры до 50%.(жидкости группы 1 и 2 согласно ТР ТС 032/2013).
Тип присоединения к трубопроводу Межфланцевое
C, мм 218
Номинальное давление (PN),бар 16
Температура окружающей среды, °С от -20 до +70
A, мм 106</t>
        </is>
      </c>
      <c r="Q36" s="6" t="inlineStr">
        <is>
          <t>Строительный размер 90 мм</t>
        </is>
      </c>
      <c r="R36" s="6" t="inlineStr">
        <is>
          <t>каталожный номер 065B7526</t>
        </is>
      </c>
      <c r="S36" s="5" t="n">
        <v>2</v>
      </c>
      <c r="T36" s="6" t="inlineStr">
        <is>
          <t>шт</t>
        </is>
      </c>
      <c r="U36" s="7" t="inlineStr">
        <is>
          <t>Клапан обратный Ридан NVD-802R Ду125 Ру16 межфланцевый, пружинный, корпус - чугун, диск - сталь, уплотнение - 1 шт EPDM</t>
        </is>
      </c>
      <c r="V36" s="7" t="inlineStr">
        <is>
          <t>ООО «Ридан»</t>
        </is>
      </c>
      <c r="W36" s="7" t="inlineStr">
        <is>
          <t>Россия</t>
        </is>
      </c>
      <c r="X36" s="8" t="n"/>
      <c r="Y36" s="8" t="n"/>
      <c r="Z36" s="8" t="n"/>
      <c r="AA36" s="9" t="n"/>
      <c r="AB36" s="10">
        <f>AA36*S36</f>
        <v/>
      </c>
      <c r="AC36" s="8" t="n"/>
      <c r="AD36" s="8" t="n"/>
      <c r="AE36" s="8" t="n"/>
    </row>
    <row r="37" ht="60" customHeight="1">
      <c r="A37" s="5" t="n">
        <v>32</v>
      </c>
      <c r="B37" s="6" t="inlineStr">
        <is>
          <t>1.3/31</t>
        </is>
      </c>
      <c r="C37" s="6" t="inlineStr">
        <is>
          <t>Клапан обратный межфланцевый пружинный тарельчатый NVD-802R Ду 150 Ру 16</t>
        </is>
      </c>
      <c r="D37" s="6" t="inlineStr">
        <is>
          <t>ТУ 28.14.11-014-72323163-2022</t>
        </is>
      </c>
      <c r="E37" s="6" t="inlineStr">
        <is>
          <t>150</t>
        </is>
      </c>
      <c r="F37" s="6" t="inlineStr"/>
      <c r="G37" s="6" t="inlineStr">
        <is>
          <t>1.6</t>
        </is>
      </c>
      <c r="H37" s="6" t="inlineStr">
        <is>
          <t>от -15 до +100</t>
        </is>
      </c>
      <c r="I37" s="6" t="inlineStr">
        <is>
          <t>Вода, гликолевые растворы до 50%</t>
        </is>
      </c>
      <c r="J37" s="6" t="inlineStr">
        <is>
          <t>серый чугун</t>
        </is>
      </c>
      <c r="K37" s="6" t="inlineStr"/>
      <c r="L37" s="6" t="inlineStr">
        <is>
          <t>межфланцевое</t>
        </is>
      </c>
      <c r="M37" s="6" t="inlineStr"/>
      <c r="N37" s="6" t="inlineStr"/>
      <c r="O37" s="6" t="inlineStr">
        <is>
          <t>любое</t>
        </is>
      </c>
      <c r="P37" s="6" t="inlineStr">
        <is>
          <t>Номинальный диаметр (DN), мм 150
Уплотнение EPDM
Масса, кг, не более 10
Рабочая среда Вода, гликолевые растворы до 50%Вода для систем отопления, ГВС, ХВС, гликолевые р-ры до 50%.(жидкости группы 1 и 2 согласно ТР ТС 032/2013).
Тип присоединения к трубопроводу Межфланцевое
C, мм 218
Номинальное давление (PN),бар 16
Температура окружающей среды, °С от -20 до +70
A, мм 106</t>
        </is>
      </c>
      <c r="Q37" s="6" t="inlineStr">
        <is>
          <t>Строительный размер 106мм</t>
        </is>
      </c>
      <c r="R37" s="6" t="inlineStr">
        <is>
          <t>каталожный № 082X8527R</t>
        </is>
      </c>
      <c r="S37" s="5" t="n">
        <v>10</v>
      </c>
      <c r="T37" s="6" t="inlineStr">
        <is>
          <t>шт</t>
        </is>
      </c>
      <c r="U37" s="8" t="n"/>
      <c r="V37" s="8" t="n"/>
      <c r="W37" s="8" t="n"/>
      <c r="X37" s="8" t="n"/>
      <c r="Y37" s="8" t="n"/>
      <c r="Z37" s="8" t="n"/>
      <c r="AA37" s="9" t="n"/>
      <c r="AB37" s="10">
        <f>AA37*S37</f>
        <v/>
      </c>
      <c r="AC37" s="8" t="n"/>
      <c r="AD37" s="8" t="n"/>
      <c r="AE37" s="8" t="n"/>
    </row>
    <row r="38" ht="60" customHeight="1">
      <c r="A38" s="5" t="n">
        <v>33</v>
      </c>
      <c r="B38" s="6" t="inlineStr">
        <is>
          <t>1.3/36</t>
        </is>
      </c>
      <c r="C38" s="6" t="inlineStr">
        <is>
          <t>Предохранительный клапан ARI-SAFE 12.903 Ду 32/50 Ру 16</t>
        </is>
      </c>
      <c r="D38" s="6" t="inlineStr"/>
      <c r="E38" s="6" t="inlineStr">
        <is>
          <t>32/50</t>
        </is>
      </c>
      <c r="F38" s="6" t="inlineStr">
        <is>
          <t>32/50</t>
        </is>
      </c>
      <c r="G38" s="6" t="inlineStr">
        <is>
          <t>1.6</t>
        </is>
      </c>
      <c r="H38" s="6" t="inlineStr"/>
      <c r="I38" s="6" t="inlineStr">
        <is>
          <t>вода</t>
        </is>
      </c>
      <c r="J38" s="6" t="inlineStr">
        <is>
          <t>серый чугун</t>
        </is>
      </c>
      <c r="K38" s="6" t="inlineStr"/>
      <c r="L38" s="6" t="inlineStr">
        <is>
          <t>фланцевое</t>
        </is>
      </c>
      <c r="M38" s="6" t="inlineStr"/>
      <c r="N38" s="6" t="inlineStr"/>
      <c r="O38" s="6" t="inlineStr"/>
      <c r="P38" s="6" t="inlineStr"/>
      <c r="Q38" s="6" t="inlineStr">
        <is>
          <t>Габариты: L-110 мм (расстояние от середины нижнего фланца до конца бокового фланца); L1-115 мм (расстояние от середины бокового фланца до конца нижнего фланца)</t>
        </is>
      </c>
      <c r="R38" s="6" t="inlineStr">
        <is>
          <t>Рабочий диапазон пружины:3,7-5,0 кгс/см2.</t>
        </is>
      </c>
      <c r="S38" s="5" t="n">
        <v>2</v>
      </c>
      <c r="T38" s="6" t="inlineStr">
        <is>
          <t>шт</t>
        </is>
      </c>
      <c r="U38" s="7" t="inlineStr">
        <is>
          <t>Клапан предохранительный Авангард 17с28нж Ду32-50 Ру16-6 полноподъемный пружинный 1 шт фланцевый</t>
        </is>
      </c>
      <c r="V38" s="7" t="inlineStr">
        <is>
          <t>АО «Авангард» / САЗ (Старый Оскол)</t>
        </is>
      </c>
      <c r="W38" s="7" t="inlineStr">
        <is>
          <t>Россия</t>
        </is>
      </c>
      <c r="X38" s="8" t="n"/>
      <c r="Y38" s="8" t="n"/>
      <c r="Z38" s="8" t="n"/>
      <c r="AA38" s="9" t="n"/>
      <c r="AB38" s="10">
        <f>AA38*S38</f>
        <v/>
      </c>
      <c r="AC38" s="8" t="n"/>
      <c r="AD38" s="8" t="n"/>
      <c r="AE38" s="8" t="n"/>
    </row>
    <row r="39" ht="60" customHeight="1">
      <c r="A39" s="5" t="n">
        <v>34</v>
      </c>
      <c r="B39" s="6" t="inlineStr">
        <is>
          <t>1.3/37</t>
        </is>
      </c>
      <c r="C39" s="6" t="inlineStr">
        <is>
          <t>Предохранительный клапан ARI-SAFE 12.903 Ду 25/40 Ру 16</t>
        </is>
      </c>
      <c r="D39" s="6" t="inlineStr"/>
      <c r="E39" s="6" t="inlineStr">
        <is>
          <t>25/40</t>
        </is>
      </c>
      <c r="F39" s="6" t="inlineStr">
        <is>
          <t>25/40</t>
        </is>
      </c>
      <c r="G39" s="6" t="inlineStr">
        <is>
          <t>1.6</t>
        </is>
      </c>
      <c r="H39" s="6" t="inlineStr"/>
      <c r="I39" s="6" t="inlineStr">
        <is>
          <t>вода</t>
        </is>
      </c>
      <c r="J39" s="6" t="inlineStr">
        <is>
          <t>серый чугун</t>
        </is>
      </c>
      <c r="K39" s="6" t="inlineStr"/>
      <c r="L39" s="6" t="inlineStr">
        <is>
          <t>фланцевое</t>
        </is>
      </c>
      <c r="M39" s="6" t="inlineStr"/>
      <c r="N39" s="6" t="inlineStr"/>
      <c r="O39" s="6" t="inlineStr"/>
      <c r="P39" s="6" t="inlineStr"/>
      <c r="Q39" s="6" t="inlineStr">
        <is>
          <t>L-100 мм (расстояние от середины нижнего фланца до конца бокового фланца); L1-105 мм (расстояние от середины бокового фланца до конца нижнего фланца)</t>
        </is>
      </c>
      <c r="R39" s="6" t="inlineStr">
        <is>
          <t>Рабочий диапазон пружины:2,75-3,6 кгс/см2</t>
        </is>
      </c>
      <c r="S39" s="5" t="n">
        <v>2</v>
      </c>
      <c r="T39" s="6" t="inlineStr">
        <is>
          <t>шт</t>
        </is>
      </c>
      <c r="U39" s="7" t="inlineStr">
        <is>
          <t>Клапан предохранительный Авангард 17с28нж Ду25-40 Ру16-6 полноподъемный пружинный 1 шт фланцевый</t>
        </is>
      </c>
      <c r="V39" s="7" t="inlineStr">
        <is>
          <t>АО «Авангард» / САЗ (Старый Оскол)</t>
        </is>
      </c>
      <c r="W39" s="7" t="inlineStr">
        <is>
          <t>Россия</t>
        </is>
      </c>
      <c r="X39" s="8" t="n"/>
      <c r="Y39" s="8" t="n"/>
      <c r="Z39" s="8" t="n"/>
      <c r="AA39" s="9" t="n"/>
      <c r="AB39" s="10">
        <f>AA39*S39</f>
        <v/>
      </c>
      <c r="AC39" s="8" t="n"/>
      <c r="AD39" s="8" t="n"/>
      <c r="AE39" s="8" t="n"/>
    </row>
    <row r="40" ht="60" customHeight="1">
      <c r="A40" s="5" t="n">
        <v>35</v>
      </c>
      <c r="B40" s="6" t="inlineStr">
        <is>
          <t>1.3/38</t>
        </is>
      </c>
      <c r="C40" s="6" t="inlineStr">
        <is>
          <t>Предохранительный клапан ARI-SAFE 12.903 Ду 25/40 Ру 16</t>
        </is>
      </c>
      <c r="D40" s="6" t="inlineStr"/>
      <c r="E40" s="6" t="inlineStr">
        <is>
          <t>25/40</t>
        </is>
      </c>
      <c r="F40" s="6" t="inlineStr">
        <is>
          <t>25/40</t>
        </is>
      </c>
      <c r="G40" s="6" t="inlineStr">
        <is>
          <t>1.6</t>
        </is>
      </c>
      <c r="H40" s="6" t="inlineStr"/>
      <c r="I40" s="6" t="inlineStr">
        <is>
          <t>вода</t>
        </is>
      </c>
      <c r="J40" s="6" t="inlineStr">
        <is>
          <t>серый чугун</t>
        </is>
      </c>
      <c r="K40" s="6" t="inlineStr"/>
      <c r="L40" s="6" t="inlineStr">
        <is>
          <t>фланцевое</t>
        </is>
      </c>
      <c r="M40" s="6" t="inlineStr"/>
      <c r="N40" s="6" t="inlineStr"/>
      <c r="O40" s="6" t="inlineStr"/>
      <c r="P40" s="6" t="inlineStr"/>
      <c r="Q40" s="6" t="inlineStr">
        <is>
          <t>Габариты: L-100 мм (расстояние от середины нижнего фланца до конца бокового фланца); L1-105 мм (расстояние от середины бокового фланца до конца нижнего фланца)</t>
        </is>
      </c>
      <c r="R40" s="6" t="inlineStr">
        <is>
          <t>Рабочий диапазон пружины:2,05-2,7 кгс/см2.</t>
        </is>
      </c>
      <c r="S40" s="5" t="n">
        <v>2</v>
      </c>
      <c r="T40" s="6" t="inlineStr">
        <is>
          <t>шт</t>
        </is>
      </c>
      <c r="U40" s="7" t="inlineStr">
        <is>
          <t>Клапан предохранительный Авангард 17с28нж Ду25-40 Ру16-6 полноподъемный пружинный 1 шт фланцевый</t>
        </is>
      </c>
      <c r="V40" s="7" t="inlineStr">
        <is>
          <t>АО «Авангард» / САЗ (Старый Оскол)</t>
        </is>
      </c>
      <c r="W40" s="7" t="inlineStr">
        <is>
          <t>Россия</t>
        </is>
      </c>
      <c r="X40" s="8" t="n"/>
      <c r="Y40" s="8" t="n"/>
      <c r="Z40" s="8" t="n"/>
      <c r="AA40" s="9" t="n"/>
      <c r="AB40" s="10">
        <f>AA40*S40</f>
        <v/>
      </c>
      <c r="AC40" s="8" t="n"/>
      <c r="AD40" s="8" t="n"/>
      <c r="AE40" s="8" t="n"/>
    </row>
    <row r="41" ht="60" customHeight="1">
      <c r="A41" s="5" t="n">
        <v>36</v>
      </c>
      <c r="B41" s="6" t="inlineStr">
        <is>
          <t>1.3/48</t>
        </is>
      </c>
      <c r="C41" s="6" t="inlineStr">
        <is>
          <t>Клапан запорный 15б1п Ду 15 Ру16</t>
        </is>
      </c>
      <c r="D41" s="6" t="inlineStr">
        <is>
          <t>ТУ 3712-001-04606952-2011</t>
        </is>
      </c>
      <c r="E41" s="6" t="inlineStr">
        <is>
          <t>15</t>
        </is>
      </c>
      <c r="F41" s="6" t="inlineStr"/>
      <c r="G41" s="6" t="inlineStr">
        <is>
          <t>1.6</t>
        </is>
      </c>
      <c r="H41" s="6" t="inlineStr">
        <is>
          <t>до +200°С</t>
        </is>
      </c>
      <c r="I41" s="6" t="inlineStr">
        <is>
          <t>Жидкость, пар, воздух, .</t>
        </is>
      </c>
      <c r="J41" s="6" t="inlineStr">
        <is>
          <t>латунь ЛС59-1 ГОСТ 15527-2004</t>
        </is>
      </c>
      <c r="K41" s="6" t="inlineStr">
        <is>
          <t>УХЛ 4 ГОСТ 15150-69</t>
        </is>
      </c>
      <c r="L41" s="6" t="inlineStr">
        <is>
          <t>внутренняя резьба G1/2-В</t>
        </is>
      </c>
      <c r="M41" s="6" t="inlineStr">
        <is>
          <t>Ручной</t>
        </is>
      </c>
      <c r="N41" s="6" t="inlineStr">
        <is>
          <t>маховик</t>
        </is>
      </c>
      <c r="O41" s="6" t="inlineStr">
        <is>
          <t>любое</t>
        </is>
      </c>
      <c r="P41" s="6" t="inlineStr">
        <is>
          <t>латунь ЛС59-1 ГОСТ 15527-2004</t>
        </is>
      </c>
      <c r="Q41" s="6" t="inlineStr">
        <is>
          <t>Длина-55мм, высота-63мм</t>
        </is>
      </c>
      <c r="R41" s="6" t="inlineStr"/>
      <c r="S41" s="5" t="n">
        <v>45</v>
      </c>
      <c r="T41" s="6" t="inlineStr">
        <is>
          <t>шт</t>
        </is>
      </c>
      <c r="U41" s="8" t="n"/>
      <c r="V41" s="8" t="n"/>
      <c r="W41" s="8" t="n"/>
      <c r="X41" s="8" t="n"/>
      <c r="Y41" s="8" t="n"/>
      <c r="Z41" s="8" t="n"/>
      <c r="AA41" s="9" t="n"/>
      <c r="AB41" s="10">
        <f>AA41*S41</f>
        <v/>
      </c>
      <c r="AC41" s="8" t="n"/>
      <c r="AD41" s="8" t="n"/>
      <c r="AE41" s="8" t="n"/>
    </row>
    <row r="42" ht="60" customHeight="1">
      <c r="A42" s="5" t="n">
        <v>37</v>
      </c>
      <c r="B42" s="6" t="inlineStr">
        <is>
          <t>1.3/49</t>
        </is>
      </c>
      <c r="C42" s="6" t="inlineStr">
        <is>
          <t>Клапан запорный 15б1п Ду 20 Ру16</t>
        </is>
      </c>
      <c r="D42" s="6" t="inlineStr">
        <is>
          <t>ТУ 3712-001-04606952-2011</t>
        </is>
      </c>
      <c r="E42" s="6" t="inlineStr">
        <is>
          <t>20</t>
        </is>
      </c>
      <c r="F42" s="6" t="inlineStr"/>
      <c r="G42" s="6" t="inlineStr">
        <is>
          <t>1.6</t>
        </is>
      </c>
      <c r="H42" s="6" t="inlineStr">
        <is>
          <t>до +200°С</t>
        </is>
      </c>
      <c r="I42" s="6" t="inlineStr">
        <is>
          <t>Жидкость, пар, воздух, .</t>
        </is>
      </c>
      <c r="J42" s="6" t="inlineStr">
        <is>
          <t>латунь ЛС59-1 ГОСТ 15527-2004</t>
        </is>
      </c>
      <c r="K42" s="6" t="inlineStr">
        <is>
          <t>УХЛ 4 ГОСТ 15150-69</t>
        </is>
      </c>
      <c r="L42" s="6" t="inlineStr">
        <is>
          <t>внутренняя резьба G3/4-В</t>
        </is>
      </c>
      <c r="M42" s="6" t="inlineStr">
        <is>
          <t>Ручной</t>
        </is>
      </c>
      <c r="N42" s="6" t="inlineStr">
        <is>
          <t>маховик</t>
        </is>
      </c>
      <c r="O42" s="6" t="inlineStr">
        <is>
          <t>любое</t>
        </is>
      </c>
      <c r="P42" s="6" t="inlineStr">
        <is>
          <t>латунь ЛС59-1 ГОСТ 15527-2004</t>
        </is>
      </c>
      <c r="Q42" s="6" t="inlineStr">
        <is>
          <t>Длина-65мм, высота-63мм</t>
        </is>
      </c>
      <c r="R42" s="6" t="inlineStr"/>
      <c r="S42" s="5" t="n">
        <v>15</v>
      </c>
      <c r="T42" s="6" t="inlineStr">
        <is>
          <t>шт</t>
        </is>
      </c>
      <c r="U42" s="8" t="n"/>
      <c r="V42" s="8" t="n"/>
      <c r="W42" s="8" t="n"/>
      <c r="X42" s="8" t="n"/>
      <c r="Y42" s="8" t="n"/>
      <c r="Z42" s="8" t="n"/>
      <c r="AA42" s="9" t="n"/>
      <c r="AB42" s="10">
        <f>AA42*S42</f>
        <v/>
      </c>
      <c r="AC42" s="8" t="n"/>
      <c r="AD42" s="8" t="n"/>
      <c r="AE42" s="8" t="n"/>
    </row>
    <row r="43" ht="60" customHeight="1">
      <c r="A43" s="5" t="n">
        <v>38</v>
      </c>
      <c r="B43" s="6" t="inlineStr">
        <is>
          <t>1.3/50</t>
        </is>
      </c>
      <c r="C43" s="6" t="inlineStr">
        <is>
          <t>Клапан запорный 15б1п Ду 25 Ру16</t>
        </is>
      </c>
      <c r="D43" s="6" t="inlineStr">
        <is>
          <t>ТУ 3712-001-04606952-2011</t>
        </is>
      </c>
      <c r="E43" s="6" t="inlineStr">
        <is>
          <t>25</t>
        </is>
      </c>
      <c r="F43" s="6" t="inlineStr"/>
      <c r="G43" s="6" t="inlineStr">
        <is>
          <t>1.6</t>
        </is>
      </c>
      <c r="H43" s="6" t="inlineStr">
        <is>
          <t>до +200°С</t>
        </is>
      </c>
      <c r="I43" s="6" t="inlineStr">
        <is>
          <t>Жидкость, пар, воздух, .</t>
        </is>
      </c>
      <c r="J43" s="6" t="inlineStr">
        <is>
          <t>латунь ЛС59-1 ГОСТ 15527-2004</t>
        </is>
      </c>
      <c r="K43" s="6" t="inlineStr">
        <is>
          <t>УХЛ 4 ГОСТ 15150-69</t>
        </is>
      </c>
      <c r="L43" s="6" t="inlineStr">
        <is>
          <t>внутренняя резьба G1-В</t>
        </is>
      </c>
      <c r="M43" s="6" t="inlineStr">
        <is>
          <t>Ручной</t>
        </is>
      </c>
      <c r="N43" s="6" t="inlineStr">
        <is>
          <t>маховик</t>
        </is>
      </c>
      <c r="O43" s="6" t="inlineStr">
        <is>
          <t>любое</t>
        </is>
      </c>
      <c r="P43" s="6" t="inlineStr">
        <is>
          <t>латунь ЛС59-1 ГОСТ 15527-2004</t>
        </is>
      </c>
      <c r="Q43" s="6" t="inlineStr">
        <is>
          <t>Длина-80мм, высота-80мм</t>
        </is>
      </c>
      <c r="R43" s="6" t="inlineStr"/>
      <c r="S43" s="5" t="n">
        <v>10</v>
      </c>
      <c r="T43" s="6" t="inlineStr">
        <is>
          <t>шт</t>
        </is>
      </c>
      <c r="U43" s="8" t="n"/>
      <c r="V43" s="8" t="n"/>
      <c r="W43" s="8" t="n"/>
      <c r="X43" s="8" t="n"/>
      <c r="Y43" s="8" t="n"/>
      <c r="Z43" s="8" t="n"/>
      <c r="AA43" s="9" t="n"/>
      <c r="AB43" s="10">
        <f>AA43*S43</f>
        <v/>
      </c>
      <c r="AC43" s="8" t="n"/>
      <c r="AD43" s="8" t="n"/>
      <c r="AE43" s="8" t="n"/>
    </row>
    <row r="44" ht="60" customHeight="1">
      <c r="A44" s="5" t="n">
        <v>39</v>
      </c>
      <c r="B44" s="6" t="inlineStr">
        <is>
          <t>1.3/51</t>
        </is>
      </c>
      <c r="C44" s="6" t="inlineStr">
        <is>
          <t>Клапан запорный 15б1п Ду 32 Ру16</t>
        </is>
      </c>
      <c r="D44" s="6" t="inlineStr">
        <is>
          <t>ТУ 3712-001-04606952-2011</t>
        </is>
      </c>
      <c r="E44" s="6" t="inlineStr">
        <is>
          <t>32</t>
        </is>
      </c>
      <c r="F44" s="6" t="inlineStr"/>
      <c r="G44" s="6" t="inlineStr">
        <is>
          <t>1.6</t>
        </is>
      </c>
      <c r="H44" s="6" t="inlineStr">
        <is>
          <t>до +200°С</t>
        </is>
      </c>
      <c r="I44" s="6" t="inlineStr">
        <is>
          <t>Жидкость, пар, воздух, .</t>
        </is>
      </c>
      <c r="J44" s="6" t="inlineStr">
        <is>
          <t>латунь ЛС59-1 ГОСТ 15527-2004</t>
        </is>
      </c>
      <c r="K44" s="6" t="inlineStr">
        <is>
          <t>УХЛ 4 ГОСТ 15150-69</t>
        </is>
      </c>
      <c r="L44" s="6" t="inlineStr">
        <is>
          <t>внутренняя резьба G1 1/4-В</t>
        </is>
      </c>
      <c r="M44" s="6" t="inlineStr">
        <is>
          <t>Ручной</t>
        </is>
      </c>
      <c r="N44" s="6" t="inlineStr">
        <is>
          <t>маховик</t>
        </is>
      </c>
      <c r="O44" s="6" t="inlineStr">
        <is>
          <t>любое</t>
        </is>
      </c>
      <c r="P44" s="6" t="inlineStr">
        <is>
          <t>латунь ЛС59-1 ГОСТ 15527-2004</t>
        </is>
      </c>
      <c r="Q44" s="6" t="inlineStr">
        <is>
          <t>Длина-95мм, высота-84мм</t>
        </is>
      </c>
      <c r="R44" s="6" t="inlineStr"/>
      <c r="S44" s="5" t="n">
        <v>10</v>
      </c>
      <c r="T44" s="6" t="inlineStr">
        <is>
          <t>шт</t>
        </is>
      </c>
      <c r="U44" s="8" t="n"/>
      <c r="V44" s="8" t="n"/>
      <c r="W44" s="8" t="n"/>
      <c r="X44" s="8" t="n"/>
      <c r="Y44" s="8" t="n"/>
      <c r="Z44" s="8" t="n"/>
      <c r="AA44" s="9" t="n"/>
      <c r="AB44" s="10">
        <f>AA44*S44</f>
        <v/>
      </c>
      <c r="AC44" s="8" t="n"/>
      <c r="AD44" s="8" t="n"/>
      <c r="AE44" s="8" t="n"/>
    </row>
    <row r="45" ht="60" customHeight="1">
      <c r="A45" s="5" t="n">
        <v>40</v>
      </c>
      <c r="B45" s="6" t="inlineStr">
        <is>
          <t>1.3/52</t>
        </is>
      </c>
      <c r="C45" s="6" t="inlineStr">
        <is>
          <t>Клапан запорный 15б1п Ду 40 Ру16</t>
        </is>
      </c>
      <c r="D45" s="6" t="inlineStr">
        <is>
          <t>ТУ 3712-001-04606952-2011</t>
        </is>
      </c>
      <c r="E45" s="6" t="inlineStr">
        <is>
          <t>40</t>
        </is>
      </c>
      <c r="F45" s="6" t="inlineStr"/>
      <c r="G45" s="6" t="inlineStr">
        <is>
          <t>1.6</t>
        </is>
      </c>
      <c r="H45" s="6" t="inlineStr">
        <is>
          <t>до +200°С</t>
        </is>
      </c>
      <c r="I45" s="6" t="inlineStr">
        <is>
          <t>Жидкость, пар, воздух, .</t>
        </is>
      </c>
      <c r="J45" s="6" t="inlineStr">
        <is>
          <t>латунь ЛС59-1 ГОСТ 15527-2004</t>
        </is>
      </c>
      <c r="K45" s="6" t="inlineStr">
        <is>
          <t>УХЛ 4 ГОСТ 15150-69</t>
        </is>
      </c>
      <c r="L45" s="6" t="inlineStr">
        <is>
          <t>внутренняя резьба G1 1/2-В</t>
        </is>
      </c>
      <c r="M45" s="6" t="inlineStr">
        <is>
          <t>Ручной</t>
        </is>
      </c>
      <c r="N45" s="6" t="inlineStr">
        <is>
          <t>маховик</t>
        </is>
      </c>
      <c r="O45" s="6" t="inlineStr">
        <is>
          <t>любое</t>
        </is>
      </c>
      <c r="P45" s="6" t="inlineStr">
        <is>
          <t>латунь ЛС59-1 ГОСТ 15527-2004</t>
        </is>
      </c>
      <c r="Q45" s="6" t="inlineStr">
        <is>
          <t>Длина-110мм, высота-115мм</t>
        </is>
      </c>
      <c r="R45" s="6" t="inlineStr"/>
      <c r="S45" s="5" t="n">
        <v>5</v>
      </c>
      <c r="T45" s="6" t="inlineStr">
        <is>
          <t>шт</t>
        </is>
      </c>
      <c r="U45" s="7" t="inlineStr">
        <is>
          <t>Клапан запорный Цветлит 15б1п 1 1/2" Ду40 Ру16 латунный, внутренняя резьба, штурвал</t>
        </is>
      </c>
      <c r="V45" s="7" t="inlineStr">
        <is>
          <t>УП «Цветлит»</t>
        </is>
      </c>
      <c r="W45" s="7" t="inlineStr">
        <is>
          <t>Беларусь (ЕАЭС)</t>
        </is>
      </c>
      <c r="X45" s="8" t="n"/>
      <c r="Y45" s="8" t="n"/>
      <c r="Z45" s="8" t="n"/>
      <c r="AA45" s="9" t="n"/>
      <c r="AB45" s="10">
        <f>AA45*S45</f>
        <v/>
      </c>
      <c r="AC45" s="8" t="n"/>
      <c r="AD45" s="8" t="n"/>
      <c r="AE45" s="8" t="n"/>
    </row>
    <row r="46" ht="60" customHeight="1">
      <c r="A46" s="5" t="n">
        <v>41</v>
      </c>
      <c r="B46" s="6" t="inlineStr">
        <is>
          <t>1.3/53</t>
        </is>
      </c>
      <c r="C46" s="6" t="inlineStr">
        <is>
          <t>Клапан запорный 15б1п Ду 50 Ру16</t>
        </is>
      </c>
      <c r="D46" s="6" t="inlineStr">
        <is>
          <t>ТУ 3712-001-04606952-2011</t>
        </is>
      </c>
      <c r="E46" s="6" t="inlineStr">
        <is>
          <t>50</t>
        </is>
      </c>
      <c r="F46" s="6" t="inlineStr"/>
      <c r="G46" s="6" t="inlineStr">
        <is>
          <t>1.6</t>
        </is>
      </c>
      <c r="H46" s="6" t="inlineStr">
        <is>
          <t>до +200°С</t>
        </is>
      </c>
      <c r="I46" s="6" t="inlineStr">
        <is>
          <t>Жидкость, пар, воздух, .</t>
        </is>
      </c>
      <c r="J46" s="6" t="inlineStr">
        <is>
          <t>латунь ЛС59-1 ГОСТ 15527-2004</t>
        </is>
      </c>
      <c r="K46" s="6" t="inlineStr">
        <is>
          <t>УХЛ 4 ГОСТ 15150-69</t>
        </is>
      </c>
      <c r="L46" s="6" t="inlineStr">
        <is>
          <t>внутренняя резьба G2 -В</t>
        </is>
      </c>
      <c r="M46" s="6" t="inlineStr">
        <is>
          <t>Ручной</t>
        </is>
      </c>
      <c r="N46" s="6" t="inlineStr">
        <is>
          <t>маховик</t>
        </is>
      </c>
      <c r="O46" s="6" t="inlineStr">
        <is>
          <t>любое</t>
        </is>
      </c>
      <c r="P46" s="6" t="inlineStr">
        <is>
          <t>латунь ЛС59-1 ГОСТ 15527-2004</t>
        </is>
      </c>
      <c r="Q46" s="6" t="inlineStr">
        <is>
          <t>Длина-132мм, высота-115мм</t>
        </is>
      </c>
      <c r="R46" s="6" t="inlineStr"/>
      <c r="S46" s="5" t="n">
        <v>7</v>
      </c>
      <c r="T46" s="6" t="inlineStr">
        <is>
          <t>шт</t>
        </is>
      </c>
      <c r="U46" s="8" t="n"/>
      <c r="V46" s="8" t="n"/>
      <c r="W46" s="8" t="n"/>
      <c r="X46" s="8" t="n"/>
      <c r="Y46" s="8" t="n"/>
      <c r="Z46" s="8" t="n"/>
      <c r="AA46" s="9" t="n"/>
      <c r="AB46" s="10">
        <f>AA46*S46</f>
        <v/>
      </c>
      <c r="AC46" s="8" t="n"/>
      <c r="AD46" s="8" t="n"/>
      <c r="AE46" s="8" t="n"/>
    </row>
    <row r="47" ht="60" customHeight="1">
      <c r="A47" s="5" t="n">
        <v>42</v>
      </c>
      <c r="B47" s="6" t="inlineStr">
        <is>
          <t>1.3/54</t>
        </is>
      </c>
      <c r="C47" s="6" t="inlineStr">
        <is>
          <t>Клапан запорны 15нж65нж Ду 80 Ру 16 фланцевый</t>
        </is>
      </c>
      <c r="D47" s="6" t="inlineStr">
        <is>
          <t>ГОСТ 9697-87</t>
        </is>
      </c>
      <c r="E47" s="6" t="inlineStr">
        <is>
          <t>80</t>
        </is>
      </c>
      <c r="F47" s="6" t="inlineStr">
        <is>
          <t>стандарт</t>
        </is>
      </c>
      <c r="G47" s="6" t="inlineStr">
        <is>
          <t>1.6</t>
        </is>
      </c>
      <c r="H47" s="6" t="inlineStr">
        <is>
          <t>от -60 до +600°С</t>
        </is>
      </c>
      <c r="I47" s="6" t="inlineStr">
        <is>
          <t>агрессивные жидкие среды</t>
        </is>
      </c>
      <c r="J47" s="6" t="inlineStr">
        <is>
          <t>12Х18Н9ТЛ</t>
        </is>
      </c>
      <c r="K47" s="6" t="inlineStr">
        <is>
          <t>УХЛ1</t>
        </is>
      </c>
      <c r="L47" s="6" t="inlineStr">
        <is>
          <t>фланец-фланец</t>
        </is>
      </c>
      <c r="M47" s="6" t="inlineStr">
        <is>
          <t>ручное</t>
        </is>
      </c>
      <c r="N47" s="6" t="inlineStr">
        <is>
          <t>штурвал</t>
        </is>
      </c>
      <c r="O47" s="6" t="inlineStr">
        <is>
          <t>Монтаж клапана односторонний по маркировке на корпусе управляющим органом вверх, допускается отклонение на горизонтальном трубопроводе на 45º в любую сторону.</t>
        </is>
      </c>
      <c r="P47" s="6" t="inlineStr">
        <is>
          <t>Материал изделия (корпус, крышка): сталь 12Х18Н9ТЛ;</t>
        </is>
      </c>
      <c r="Q47" s="6" t="inlineStr">
        <is>
          <t>-</t>
        </is>
      </c>
      <c r="R47" s="6" t="inlineStr">
        <is>
          <t>С комплектом ответных фланцев (С КОФ)</t>
        </is>
      </c>
      <c r="S47" s="5" t="n">
        <v>2</v>
      </c>
      <c r="T47" s="6" t="inlineStr">
        <is>
          <t>шт</t>
        </is>
      </c>
      <c r="U47" s="8" t="n"/>
      <c r="V47" s="8" t="n"/>
      <c r="W47" s="8" t="n"/>
      <c r="X47" s="8" t="n"/>
      <c r="Y47" s="8" t="n"/>
      <c r="Z47" s="8" t="n"/>
      <c r="AA47" s="9" t="n"/>
      <c r="AB47" s="10">
        <f>AA47*S47</f>
        <v/>
      </c>
      <c r="AC47" s="8" t="n"/>
      <c r="AD47" s="8" t="n"/>
      <c r="AE47" s="8" t="n"/>
    </row>
    <row r="48" ht="60" customHeight="1">
      <c r="A48" s="5" t="n">
        <v>43</v>
      </c>
      <c r="B48" s="6" t="inlineStr">
        <is>
          <t>1.3/55</t>
        </is>
      </c>
      <c r="C48" s="6" t="inlineStr">
        <is>
          <t>Клапан запорны 15нж65нж Ду 100 Ру 16 фланцевый</t>
        </is>
      </c>
      <c r="D48" s="6" t="inlineStr">
        <is>
          <t>ГОСТ 9697-87</t>
        </is>
      </c>
      <c r="E48" s="6" t="inlineStr">
        <is>
          <t>100</t>
        </is>
      </c>
      <c r="F48" s="6" t="inlineStr">
        <is>
          <t>стандарт</t>
        </is>
      </c>
      <c r="G48" s="6" t="inlineStr">
        <is>
          <t>1.6</t>
        </is>
      </c>
      <c r="H48" s="6" t="inlineStr">
        <is>
          <t>от -60 до +600°С</t>
        </is>
      </c>
      <c r="I48" s="6" t="inlineStr">
        <is>
          <t>агрессивные жидкие среды</t>
        </is>
      </c>
      <c r="J48" s="6" t="inlineStr">
        <is>
          <t>12Х18Н9ТЛ</t>
        </is>
      </c>
      <c r="K48" s="6" t="inlineStr">
        <is>
          <t>УХЛ1</t>
        </is>
      </c>
      <c r="L48" s="6" t="inlineStr">
        <is>
          <t>фланец-фланец</t>
        </is>
      </c>
      <c r="M48" s="6" t="inlineStr">
        <is>
          <t>ручное</t>
        </is>
      </c>
      <c r="N48" s="6" t="inlineStr">
        <is>
          <t>штурвал</t>
        </is>
      </c>
      <c r="O48" s="6" t="inlineStr">
        <is>
          <t>Монтаж клапана односторонний по маркировке на корпусе управляющим органом вверх, допускается отклонение на горизонтальном трубопроводе на 45º в любую сторону.</t>
        </is>
      </c>
      <c r="P48" s="6" t="inlineStr">
        <is>
          <t>Материал изделия (корпус, крышка): сталь 12Х18Н9ТЛ;</t>
        </is>
      </c>
      <c r="Q48" s="6" t="inlineStr"/>
      <c r="R48" s="6" t="inlineStr"/>
      <c r="S48" s="5" t="n">
        <v>9</v>
      </c>
      <c r="T48" s="6" t="inlineStr">
        <is>
          <t>шт</t>
        </is>
      </c>
      <c r="U48" s="8" t="n"/>
      <c r="V48" s="8" t="n"/>
      <c r="W48" s="8" t="n"/>
      <c r="X48" s="8" t="n"/>
      <c r="Y48" s="8" t="n"/>
      <c r="Z48" s="8" t="n"/>
      <c r="AA48" s="9" t="n"/>
      <c r="AB48" s="10">
        <f>AA48*S48</f>
        <v/>
      </c>
      <c r="AC48" s="8" t="n"/>
      <c r="AD48" s="8" t="n"/>
      <c r="AE48" s="8" t="n"/>
    </row>
    <row r="49" ht="60" customHeight="1">
      <c r="A49" s="5" t="n">
        <v>44</v>
      </c>
      <c r="B49" s="6" t="inlineStr">
        <is>
          <t>1.3/58</t>
        </is>
      </c>
      <c r="C49" s="6" t="inlineStr">
        <is>
          <t>Клапан запорны 15нж65нж Ду 32 Ру 16 фланцевый</t>
        </is>
      </c>
      <c r="D49" s="6" t="inlineStr">
        <is>
          <t>ГОСТ 9697-87</t>
        </is>
      </c>
      <c r="E49" s="6" t="inlineStr">
        <is>
          <t>32</t>
        </is>
      </c>
      <c r="F49" s="6" t="inlineStr">
        <is>
          <t>стандарт</t>
        </is>
      </c>
      <c r="G49" s="6" t="inlineStr">
        <is>
          <t>1.6</t>
        </is>
      </c>
      <c r="H49" s="6" t="inlineStr">
        <is>
          <t>от -60 до +600°С</t>
        </is>
      </c>
      <c r="I49" s="6" t="inlineStr">
        <is>
          <t>агрессивные жидкие среды</t>
        </is>
      </c>
      <c r="J49" s="6" t="inlineStr">
        <is>
          <t>12Х18Н9ТЛ</t>
        </is>
      </c>
      <c r="K49" s="6" t="inlineStr">
        <is>
          <t>УХЛ1</t>
        </is>
      </c>
      <c r="L49" s="6" t="inlineStr">
        <is>
          <t>фланец-фланец</t>
        </is>
      </c>
      <c r="M49" s="6" t="inlineStr">
        <is>
          <t>ручное</t>
        </is>
      </c>
      <c r="N49" s="6" t="inlineStr">
        <is>
          <t>штурвал</t>
        </is>
      </c>
      <c r="O49" s="6" t="inlineStr">
        <is>
          <t>Монтаж клапана односторонний по маркировке на корпусе управляющим органом вверх, допускается отклонение на горизонтальном трубопроводе на 45º в любую сторону.</t>
        </is>
      </c>
      <c r="P49" s="6" t="inlineStr">
        <is>
          <t>Материал изделия (корпус, крышка): сталь 12Х18Н9ТЛ;</t>
        </is>
      </c>
      <c r="Q49" s="6" t="inlineStr"/>
      <c r="R49" s="6" t="inlineStr"/>
      <c r="S49" s="5" t="n">
        <v>4</v>
      </c>
      <c r="T49" s="6" t="inlineStr">
        <is>
          <t>шт</t>
        </is>
      </c>
      <c r="U49" s="8" t="n"/>
      <c r="V49" s="8" t="n"/>
      <c r="W49" s="8" t="n"/>
      <c r="X49" s="8" t="n"/>
      <c r="Y49" s="8" t="n"/>
      <c r="Z49" s="8" t="n"/>
      <c r="AA49" s="9" t="n"/>
      <c r="AB49" s="10">
        <f>AA49*S49</f>
        <v/>
      </c>
      <c r="AC49" s="8" t="n"/>
      <c r="AD49" s="8" t="n"/>
      <c r="AE49" s="8" t="n"/>
    </row>
    <row r="50" ht="60" customHeight="1">
      <c r="A50" s="5" t="n">
        <v>45</v>
      </c>
      <c r="B50" s="6" t="inlineStr">
        <is>
          <t>1.3/59</t>
        </is>
      </c>
      <c r="C50" s="6" t="inlineStr">
        <is>
          <t>Клапан запорны 15нж65нж Ду 50 Ру 16 фланцевый</t>
        </is>
      </c>
      <c r="D50" s="6" t="inlineStr">
        <is>
          <t>ГОСТ 9697-87</t>
        </is>
      </c>
      <c r="E50" s="6" t="inlineStr">
        <is>
          <t>50</t>
        </is>
      </c>
      <c r="F50" s="6" t="inlineStr">
        <is>
          <t>стандарт</t>
        </is>
      </c>
      <c r="G50" s="6" t="inlineStr">
        <is>
          <t>1.6</t>
        </is>
      </c>
      <c r="H50" s="6" t="inlineStr">
        <is>
          <t>от -60 до +600°С</t>
        </is>
      </c>
      <c r="I50" s="6" t="inlineStr">
        <is>
          <t>агрессивные жидкие среды</t>
        </is>
      </c>
      <c r="J50" s="6" t="inlineStr">
        <is>
          <t>12Х18Н9ТЛ</t>
        </is>
      </c>
      <c r="K50" s="6" t="inlineStr">
        <is>
          <t>УХЛ1</t>
        </is>
      </c>
      <c r="L50" s="6" t="inlineStr">
        <is>
          <t>фланец-фланец</t>
        </is>
      </c>
      <c r="M50" s="6" t="inlineStr">
        <is>
          <t>ручное</t>
        </is>
      </c>
      <c r="N50" s="6" t="inlineStr">
        <is>
          <t>штурвал</t>
        </is>
      </c>
      <c r="O50" s="6" t="inlineStr">
        <is>
          <t>Монтаж клапана односторонний по маркировке на корпусе управляющим органом вверх, допускается отклонение на горизонтальном трубопроводе на 45º в любую сторону.</t>
        </is>
      </c>
      <c r="P50" s="6" t="inlineStr">
        <is>
          <t>Материал изделия (корпус, крышка): сталь 12Х18Н9ТЛ;</t>
        </is>
      </c>
      <c r="Q50" s="6" t="inlineStr"/>
      <c r="R50" s="6" t="inlineStr"/>
      <c r="S50" s="5" t="n">
        <v>4</v>
      </c>
      <c r="T50" s="6" t="inlineStr">
        <is>
          <t>шт</t>
        </is>
      </c>
      <c r="U50" s="8" t="n"/>
      <c r="V50" s="8" t="n"/>
      <c r="W50" s="8" t="n"/>
      <c r="X50" s="8" t="n"/>
      <c r="Y50" s="8" t="n"/>
      <c r="Z50" s="8" t="n"/>
      <c r="AA50" s="9" t="n"/>
      <c r="AB50" s="10">
        <f>AA50*S50</f>
        <v/>
      </c>
      <c r="AC50" s="8" t="n"/>
      <c r="AD50" s="8" t="n"/>
      <c r="AE50" s="8" t="n"/>
    </row>
    <row r="51" ht="60" customHeight="1">
      <c r="A51" s="5" t="n">
        <v>46</v>
      </c>
      <c r="B51" s="6" t="inlineStr">
        <is>
          <t>1.3/60</t>
        </is>
      </c>
      <c r="C51" s="6" t="inlineStr">
        <is>
          <t>Клапан запорный 15с22нж Ду 32 Ру 40</t>
        </is>
      </c>
      <c r="D51" s="6" t="inlineStr">
        <is>
          <t>ТУ 3740-002-30995032-2014</t>
        </is>
      </c>
      <c r="E51" s="6" t="inlineStr">
        <is>
          <t>32</t>
        </is>
      </c>
      <c r="F51" s="6" t="inlineStr">
        <is>
          <t>стандарт</t>
        </is>
      </c>
      <c r="G51" s="6" t="inlineStr">
        <is>
          <t>4</t>
        </is>
      </c>
      <c r="H51" s="6" t="inlineStr">
        <is>
          <t>до +425</t>
        </is>
      </c>
      <c r="I51" s="6" t="inlineStr">
        <is>
          <t>Вода, пар, аммиак, жидкие и газообразные углеводороды, нефть, нефтепродукты, топливный и природный газ, воздух и другие жидкости и газы.</t>
        </is>
      </c>
      <c r="J51" s="6" t="inlineStr">
        <is>
          <t>сталь 25Л</t>
        </is>
      </c>
      <c r="K51" s="6" t="inlineStr">
        <is>
          <t>У1</t>
        </is>
      </c>
      <c r="L51" s="6" t="inlineStr">
        <is>
          <t>фланец-фланец</t>
        </is>
      </c>
      <c r="M51" s="6" t="inlineStr">
        <is>
          <t>ручное</t>
        </is>
      </c>
      <c r="N51" s="6" t="inlineStr">
        <is>
          <t>маховик</t>
        </is>
      </c>
      <c r="O51" s="6" t="inlineStr">
        <is>
          <t>любое</t>
        </is>
      </c>
      <c r="P51" s="6" t="inlineStr">
        <is>
          <t>Корпус: Сталь 25Л. Крышка имеющая сальниковое уплотнение по штоку шпинделя: Сталь 25Л. Золотник: Сталь 20Х13. Шпиндель: Сталь 20Х13 Контргайка: Сталь 35. Маховик: Сталь 25Л</t>
        </is>
      </c>
      <c r="Q51" s="6" t="inlineStr"/>
      <c r="R51" s="6" t="inlineStr"/>
      <c r="S51" s="5" t="n">
        <v>2</v>
      </c>
      <c r="T51" s="6" t="inlineStr">
        <is>
          <t>шт</t>
        </is>
      </c>
      <c r="U51" s="8" t="n"/>
      <c r="V51" s="8" t="n"/>
      <c r="W51" s="8" t="n"/>
      <c r="X51" s="8" t="n"/>
      <c r="Y51" s="8" t="n"/>
      <c r="Z51" s="8" t="n"/>
      <c r="AA51" s="9" t="n"/>
      <c r="AB51" s="10">
        <f>AA51*S51</f>
        <v/>
      </c>
      <c r="AC51" s="8" t="n"/>
      <c r="AD51" s="8" t="n"/>
      <c r="AE51" s="8" t="n"/>
    </row>
    <row r="52" ht="60" customHeight="1">
      <c r="A52" s="5" t="n">
        <v>47</v>
      </c>
      <c r="B52" s="6" t="inlineStr">
        <is>
          <t>1.3/61</t>
        </is>
      </c>
      <c r="C52" s="6" t="inlineStr">
        <is>
          <t>Клапан запорный 15с22нж Ду 50 Ру 40</t>
        </is>
      </c>
      <c r="D52" s="6" t="inlineStr">
        <is>
          <t>ТУ 3740-002-30995032-2014</t>
        </is>
      </c>
      <c r="E52" s="6" t="inlineStr">
        <is>
          <t>50</t>
        </is>
      </c>
      <c r="F52" s="6" t="inlineStr">
        <is>
          <t>стандартный</t>
        </is>
      </c>
      <c r="G52" s="6" t="inlineStr">
        <is>
          <t>4</t>
        </is>
      </c>
      <c r="H52" s="6" t="inlineStr">
        <is>
          <t>до +425</t>
        </is>
      </c>
      <c r="I52" s="6" t="inlineStr">
        <is>
          <t>Вода, пар, аммиак, жидкие и газообразные углеводороды, нефть, нефтепродукты, топливный и природный газ, воздух и другие жидкости и газы.</t>
        </is>
      </c>
      <c r="J52" s="6" t="inlineStr">
        <is>
          <t>сталь 25Л</t>
        </is>
      </c>
      <c r="K52" s="6" t="inlineStr">
        <is>
          <t>У1</t>
        </is>
      </c>
      <c r="L52" s="6" t="inlineStr">
        <is>
          <t>фланцевый</t>
        </is>
      </c>
      <c r="M52" s="6" t="inlineStr">
        <is>
          <t>ручной (маховик)</t>
        </is>
      </c>
      <c r="N52" s="6" t="inlineStr">
        <is>
          <t>-</t>
        </is>
      </c>
      <c r="O52" s="6" t="inlineStr">
        <is>
          <t>любое</t>
        </is>
      </c>
      <c r="P52" s="6" t="inlineStr">
        <is>
          <t>Корпус: Сталь 25Л. Крышка имеющая сальниковое уплотнение по штоку шпинделя: Сталь 25Л. Золотник: Сталь 20Х13. Шпиндель: Сталь 20Х13 Контргайка: Сталь 35. Маховик: Сталь 25Л</t>
        </is>
      </c>
      <c r="Q52" s="6" t="inlineStr">
        <is>
          <t>строительная длина 230 мм,</t>
        </is>
      </c>
      <c r="R52" s="6" t="inlineStr"/>
      <c r="S52" s="5" t="n">
        <v>9</v>
      </c>
      <c r="T52" s="6" t="inlineStr">
        <is>
          <t>шт</t>
        </is>
      </c>
      <c r="U52" s="8" t="n"/>
      <c r="V52" s="8" t="n"/>
      <c r="W52" s="8" t="n"/>
      <c r="X52" s="8" t="n"/>
      <c r="Y52" s="8" t="n"/>
      <c r="Z52" s="8" t="n"/>
      <c r="AA52" s="9" t="n"/>
      <c r="AB52" s="10">
        <f>AA52*S52</f>
        <v/>
      </c>
      <c r="AC52" s="8" t="n"/>
      <c r="AD52" s="8" t="n"/>
      <c r="AE52" s="8" t="n"/>
    </row>
    <row r="53" ht="60" customHeight="1">
      <c r="A53" s="5" t="n">
        <v>48</v>
      </c>
      <c r="B53" s="6" t="inlineStr">
        <is>
          <t>1.3/62</t>
        </is>
      </c>
      <c r="C53" s="6" t="inlineStr">
        <is>
          <t>Клапан запорный 15с22нж Ду 80 Ру 40</t>
        </is>
      </c>
      <c r="D53" s="6" t="inlineStr">
        <is>
          <t>ТУ 3740-002-30995032-2014</t>
        </is>
      </c>
      <c r="E53" s="6" t="inlineStr">
        <is>
          <t>80</t>
        </is>
      </c>
      <c r="F53" s="6" t="inlineStr">
        <is>
          <t>стандарт</t>
        </is>
      </c>
      <c r="G53" s="6" t="inlineStr">
        <is>
          <t>4</t>
        </is>
      </c>
      <c r="H53" s="6" t="inlineStr">
        <is>
          <t>до +425</t>
        </is>
      </c>
      <c r="I53" s="6" t="inlineStr">
        <is>
          <t>Вода, пар, аммиак, жидкие и газообразные углеводороды, нефть, нефтепродукты, топливный и природный газ, воздух и другие жидкости и газы.</t>
        </is>
      </c>
      <c r="J53" s="6" t="inlineStr">
        <is>
          <t>сталь 25Л</t>
        </is>
      </c>
      <c r="K53" s="6" t="inlineStr">
        <is>
          <t>Температура окружающей среды от -40 до +40 °C</t>
        </is>
      </c>
      <c r="L53" s="6" t="inlineStr">
        <is>
          <t>фланцевый</t>
        </is>
      </c>
      <c r="M53" s="6" t="inlineStr">
        <is>
          <t>ручной (маховик)</t>
        </is>
      </c>
      <c r="N53" s="6" t="inlineStr">
        <is>
          <t>-</t>
        </is>
      </c>
      <c r="O53" s="6" t="inlineStr">
        <is>
          <t>любое</t>
        </is>
      </c>
      <c r="P53" s="6" t="inlineStr">
        <is>
          <t>Золотник: Сталь 20Х13 Шпиндель: Сталь 20Х13 Контргайка: Сталь 35 Маховик: Сталь 25Л</t>
        </is>
      </c>
      <c r="Q53" s="6" t="inlineStr"/>
      <c r="R53" s="6" t="inlineStr"/>
      <c r="S53" s="5" t="n">
        <v>6</v>
      </c>
      <c r="T53" s="6" t="inlineStr">
        <is>
          <t>шт</t>
        </is>
      </c>
      <c r="U53" s="8" t="n"/>
      <c r="V53" s="8" t="n"/>
      <c r="W53" s="8" t="n"/>
      <c r="X53" s="8" t="n"/>
      <c r="Y53" s="8" t="n"/>
      <c r="Z53" s="8" t="n"/>
      <c r="AA53" s="9" t="n"/>
      <c r="AB53" s="10">
        <f>AA53*S53</f>
        <v/>
      </c>
      <c r="AC53" s="8" t="n"/>
      <c r="AD53" s="8" t="n"/>
      <c r="AE53" s="8" t="n"/>
    </row>
    <row r="54" ht="60" customHeight="1">
      <c r="A54" s="5" t="n">
        <v>49</v>
      </c>
      <c r="B54" s="6" t="inlineStr">
        <is>
          <t>1.3/64</t>
        </is>
      </c>
      <c r="C54" s="6" t="inlineStr">
        <is>
          <t>Клапан запорный 15ч75п2 Ду 25 Ру10</t>
        </is>
      </c>
      <c r="D54" s="6" t="inlineStr">
        <is>
          <t>ГОСТ 33423-2015</t>
        </is>
      </c>
      <c r="E54" s="6" t="inlineStr">
        <is>
          <t>25</t>
        </is>
      </c>
      <c r="F54" s="6" t="inlineStr">
        <is>
          <t>стандарт</t>
        </is>
      </c>
      <c r="G54" s="6" t="inlineStr">
        <is>
          <t>1</t>
        </is>
      </c>
      <c r="H54" s="6" t="inlineStr">
        <is>
          <t>до +125°С</t>
        </is>
      </c>
      <c r="I54" s="6" t="inlineStr">
        <is>
          <t>Коррозионная</t>
        </is>
      </c>
      <c r="J54" s="6" t="inlineStr">
        <is>
          <t>Серый чугун</t>
        </is>
      </c>
      <c r="K54" s="6" t="inlineStr">
        <is>
          <t>УХЛ4</t>
        </is>
      </c>
      <c r="L54" s="6" t="inlineStr">
        <is>
          <t>фланец-фланец</t>
        </is>
      </c>
      <c r="M54" s="6" t="inlineStr">
        <is>
          <t>ручное</t>
        </is>
      </c>
      <c r="N54" s="6" t="inlineStr">
        <is>
          <t>маховик</t>
        </is>
      </c>
      <c r="O54" s="6" t="inlineStr">
        <is>
          <t>любое</t>
        </is>
      </c>
      <c r="P54" s="6" t="inlineStr">
        <is>
          <t>•Корпус : серый чугун
•Шток : сталь 20Х13
•Материал футеровки : фторопласт 2М-Ж
•Материал мембраны : фторопласт Ф-4</t>
        </is>
      </c>
      <c r="Q54" s="6" t="inlineStr"/>
      <c r="R54" s="6" t="inlineStr"/>
      <c r="S54" s="5" t="n">
        <v>3</v>
      </c>
      <c r="T54" s="6" t="inlineStr">
        <is>
          <t>шт</t>
        </is>
      </c>
      <c r="U54" s="8" t="n"/>
      <c r="V54" s="8" t="n"/>
      <c r="W54" s="8" t="n"/>
      <c r="X54" s="8" t="n"/>
      <c r="Y54" s="8" t="n"/>
      <c r="Z54" s="8" t="n"/>
      <c r="AA54" s="9" t="n"/>
      <c r="AB54" s="10">
        <f>AA54*S54</f>
        <v/>
      </c>
      <c r="AC54" s="8" t="n"/>
      <c r="AD54" s="8" t="n"/>
      <c r="AE54" s="8" t="n"/>
    </row>
    <row r="55" ht="60" customHeight="1">
      <c r="A55" s="5" t="n">
        <v>50</v>
      </c>
      <c r="B55" s="6" t="inlineStr">
        <is>
          <t>1.3/65</t>
        </is>
      </c>
      <c r="C55" s="6" t="inlineStr">
        <is>
          <t>Клапан запорный 15ч75п2 Ду 50 Ру10</t>
        </is>
      </c>
      <c r="D55" s="6" t="inlineStr">
        <is>
          <t>ГОСТ 33423-2015</t>
        </is>
      </c>
      <c r="E55" s="6" t="inlineStr">
        <is>
          <t>50</t>
        </is>
      </c>
      <c r="F55" s="6" t="inlineStr">
        <is>
          <t>стандарт</t>
        </is>
      </c>
      <c r="G55" s="6" t="inlineStr">
        <is>
          <t>1</t>
        </is>
      </c>
      <c r="H55" s="6" t="inlineStr">
        <is>
          <t>до +125°С</t>
        </is>
      </c>
      <c r="I55" s="6" t="inlineStr">
        <is>
          <t>Коррозионная</t>
        </is>
      </c>
      <c r="J55" s="6" t="inlineStr">
        <is>
          <t>Серый чугун</t>
        </is>
      </c>
      <c r="K55" s="6" t="inlineStr">
        <is>
          <t>УХЛ4</t>
        </is>
      </c>
      <c r="L55" s="6" t="inlineStr">
        <is>
          <t>фланец-фланец</t>
        </is>
      </c>
      <c r="M55" s="6" t="inlineStr">
        <is>
          <t>ручное</t>
        </is>
      </c>
      <c r="N55" s="6" t="inlineStr">
        <is>
          <t>маховик</t>
        </is>
      </c>
      <c r="O55" s="6" t="inlineStr">
        <is>
          <t>любое</t>
        </is>
      </c>
      <c r="P55" s="6" t="inlineStr">
        <is>
          <t>•Корпус : серый чугун
•Шток : сталь 20Х13
•Материал футеровки : фторопласт 2М-Ж
•Материал мембраны : фторопласт Ф-4</t>
        </is>
      </c>
      <c r="Q55" s="6" t="inlineStr">
        <is>
          <t>-</t>
        </is>
      </c>
      <c r="R55" s="6" t="inlineStr">
        <is>
          <t>-</t>
        </is>
      </c>
      <c r="S55" s="5" t="n">
        <v>9</v>
      </c>
      <c r="T55" s="6" t="inlineStr">
        <is>
          <t>шт</t>
        </is>
      </c>
      <c r="U55" s="8" t="n"/>
      <c r="V55" s="8" t="n"/>
      <c r="W55" s="8" t="n"/>
      <c r="X55" s="8" t="n"/>
      <c r="Y55" s="8" t="n"/>
      <c r="Z55" s="8" t="n"/>
      <c r="AA55" s="9" t="n"/>
      <c r="AB55" s="10">
        <f>AA55*S55</f>
        <v/>
      </c>
      <c r="AC55" s="8" t="n"/>
      <c r="AD55" s="8" t="n"/>
      <c r="AE55" s="8" t="n"/>
    </row>
    <row r="56" ht="60" customHeight="1">
      <c r="A56" s="5" t="n">
        <v>51</v>
      </c>
      <c r="B56" s="6" t="inlineStr">
        <is>
          <t>1.3/66</t>
        </is>
      </c>
      <c r="C56" s="6" t="inlineStr">
        <is>
          <t>Клапан запорный 15ч76п2 Ду 80 Ру 6,3</t>
        </is>
      </c>
      <c r="D56" s="6" t="inlineStr">
        <is>
          <t>ГОСТ 33423-2015</t>
        </is>
      </c>
      <c r="E56" s="6" t="inlineStr">
        <is>
          <t>80</t>
        </is>
      </c>
      <c r="F56" s="6" t="inlineStr">
        <is>
          <t>стандарт</t>
        </is>
      </c>
      <c r="G56" s="6" t="inlineStr">
        <is>
          <t>0.63</t>
        </is>
      </c>
      <c r="H56" s="6" t="inlineStr">
        <is>
          <t>до +125°С</t>
        </is>
      </c>
      <c r="I56" s="6" t="inlineStr">
        <is>
          <t>Коррозионная</t>
        </is>
      </c>
      <c r="J56" s="6" t="inlineStr">
        <is>
          <t>Чугун СЧ 15, СЧ20</t>
        </is>
      </c>
      <c r="K56" s="6" t="inlineStr">
        <is>
          <t>УХЛ4</t>
        </is>
      </c>
      <c r="L56" s="6" t="inlineStr">
        <is>
          <t>фланец-фланец</t>
        </is>
      </c>
      <c r="M56" s="6" t="inlineStr">
        <is>
          <t>ручное</t>
        </is>
      </c>
      <c r="N56" s="6" t="inlineStr">
        <is>
          <t>маховик</t>
        </is>
      </c>
      <c r="O56" s="6" t="inlineStr">
        <is>
          <t>любое</t>
        </is>
      </c>
      <c r="P56" s="6" t="inlineStr">
        <is>
          <t>Материал изделия (корпус, крышка): чугун; Материал изделия (шпиндель): сталь; Материал изделия (защитное покрытие корпуса): фторопласт</t>
        </is>
      </c>
      <c r="Q56" s="6" t="inlineStr">
        <is>
          <t>L-230</t>
        </is>
      </c>
      <c r="R56" s="6" t="inlineStr"/>
      <c r="S56" s="5" t="n">
        <v>3</v>
      </c>
      <c r="T56" s="6" t="inlineStr">
        <is>
          <t>шт</t>
        </is>
      </c>
      <c r="U56" s="8" t="n"/>
      <c r="V56" s="8" t="n"/>
      <c r="W56" s="8" t="n"/>
      <c r="X56" s="8" t="n"/>
      <c r="Y56" s="8" t="n"/>
      <c r="Z56" s="8" t="n"/>
      <c r="AA56" s="9" t="n"/>
      <c r="AB56" s="10">
        <f>AA56*S56</f>
        <v/>
      </c>
      <c r="AC56" s="8" t="n"/>
      <c r="AD56" s="8" t="n"/>
      <c r="AE56" s="8" t="n"/>
    </row>
    <row r="57" ht="60" customHeight="1">
      <c r="A57" s="5" t="n">
        <v>52</v>
      </c>
      <c r="B57" s="6" t="inlineStr">
        <is>
          <t>1.3/68</t>
        </is>
      </c>
      <c r="C57" s="6" t="inlineStr">
        <is>
          <t>Задвижка 30нж41нж DN 100 PN 16 1исп. САЗ</t>
        </is>
      </c>
      <c r="D57" s="6" t="inlineStr">
        <is>
          <t>ГОСТ 5762-2002</t>
        </is>
      </c>
      <c r="E57" s="6" t="inlineStr">
        <is>
          <t>100</t>
        </is>
      </c>
      <c r="F57" s="6" t="inlineStr">
        <is>
          <t>стандартный</t>
        </is>
      </c>
      <c r="G57" s="6" t="inlineStr">
        <is>
          <t>1.6</t>
        </is>
      </c>
      <c r="H57" s="6" t="inlineStr">
        <is>
          <t>от -60 до +560</t>
        </is>
      </c>
      <c r="I57" s="6" t="inlineStr">
        <is>
          <t>Жидкие и газообразные углеводороды, нефть, нефтепродукты, природный газ, газоконденсат, вода пар и другие жидкости и газы</t>
        </is>
      </c>
      <c r="J57" s="6" t="inlineStr">
        <is>
          <t>сталь 12Х18Н9ТЛ</t>
        </is>
      </c>
      <c r="K57" s="6" t="inlineStr">
        <is>
          <t>УХЛ1</t>
        </is>
      </c>
      <c r="L57" s="6" t="inlineStr">
        <is>
          <t>фланцевый</t>
        </is>
      </c>
      <c r="M57" s="6" t="inlineStr">
        <is>
          <t>ручной (маховик)</t>
        </is>
      </c>
      <c r="N57" s="6" t="inlineStr">
        <is>
          <t>-</t>
        </is>
      </c>
      <c r="O57" s="6" t="inlineStr">
        <is>
          <t>любое</t>
        </is>
      </c>
      <c r="P57" s="6" t="inlineStr">
        <is>
          <t>1) Диски-12Х18Н9ТЛ; 2) Шпиндель-12Х18Н9Т; 3) Прокладка-Паронит ПМБ; 4) Крышка-12Х18Н9ТЛ; 5) Гайка-12Х18Н9Т; 6) Шпилька 45Х14Н14В2М; 7) Набивка сальника-ТРГ; 8)Сальник-12Х18Н9ТЛ; 9) Болт откидной-45Х14Н14В2М; 10) Втулка резьбовая-Лц 40С; 11)Маховик-20ГЛ; 12) Контргайка-35Х; 13)Шпонка-40Х; 14) Ось-2Х18Н9</t>
        </is>
      </c>
      <c r="Q57" s="6" t="inlineStr"/>
      <c r="R57" s="6" t="inlineStr"/>
      <c r="S57" s="5" t="n">
        <v>2</v>
      </c>
      <c r="T57" s="6" t="inlineStr">
        <is>
          <t>шт</t>
        </is>
      </c>
      <c r="U57" s="8" t="n"/>
      <c r="V57" s="8" t="n"/>
      <c r="W57" s="8" t="n"/>
      <c r="X57" s="8" t="n"/>
      <c r="Y57" s="8" t="n"/>
      <c r="Z57" s="8" t="n"/>
      <c r="AA57" s="9" t="n"/>
      <c r="AB57" s="10">
        <f>AA57*S57</f>
        <v/>
      </c>
      <c r="AC57" s="8" t="n"/>
      <c r="AD57" s="8" t="n"/>
      <c r="AE57" s="8" t="n"/>
    </row>
    <row r="58" ht="60" customHeight="1">
      <c r="A58" s="5" t="n">
        <v>53</v>
      </c>
      <c r="B58" s="6" t="inlineStr">
        <is>
          <t>1.3/69</t>
        </is>
      </c>
      <c r="C58" s="6" t="inlineStr">
        <is>
          <t>Задвижка 30нж41нж DN 150 PN 16 1исп. САЗ</t>
        </is>
      </c>
      <c r="D58" s="6" t="inlineStr">
        <is>
          <t>ГОСТ 5762-2002</t>
        </is>
      </c>
      <c r="E58" s="6" t="inlineStr">
        <is>
          <t>150</t>
        </is>
      </c>
      <c r="F58" s="6" t="inlineStr">
        <is>
          <t>стандартный</t>
        </is>
      </c>
      <c r="G58" s="6" t="inlineStr">
        <is>
          <t>1.6</t>
        </is>
      </c>
      <c r="H58" s="6" t="inlineStr">
        <is>
          <t>от -60 до +560</t>
        </is>
      </c>
      <c r="I58" s="6" t="inlineStr">
        <is>
          <t>Жидкие и газообразные углеводороды, нефть, нефтепродукты, природный газ, газоконденсат, вода пар и другие жидкости и газы</t>
        </is>
      </c>
      <c r="J58" s="6" t="inlineStr">
        <is>
          <t>сталь 12Х18Н9ТЛ</t>
        </is>
      </c>
      <c r="K58" s="6" t="inlineStr">
        <is>
          <t>УХЛ1</t>
        </is>
      </c>
      <c r="L58" s="6" t="inlineStr">
        <is>
          <t>фланцевый</t>
        </is>
      </c>
      <c r="M58" s="6" t="inlineStr">
        <is>
          <t>ручной (маховик)</t>
        </is>
      </c>
      <c r="N58" s="6" t="inlineStr">
        <is>
          <t>-</t>
        </is>
      </c>
      <c r="O58" s="6" t="inlineStr">
        <is>
          <t>любое</t>
        </is>
      </c>
      <c r="P58" s="6" t="inlineStr">
        <is>
          <t>1) Диски-12Х18Н9ТЛ; 2) Шпиндель-12Х18Н9Т; 3) Прокладка-Паронит ПМБ; 4) Крышка-12Х18Н9ТЛ; 5) Гайка-12Х18Н9Т; 6) Шпилька 45Х14Н14В2М; 7) Набивка сальника-ТРГ; 8)Сальник-12Х18Н9ТЛ; 9) Болт откидной-45Х14Н14В2М; 10) Втулка резьбовая-Лц 40С; 11)Маховик-20ГЛ; 12) Контргайка-35Х; 13)Шпонка-40Х; 14) Ось-2Х18Н9</t>
        </is>
      </c>
      <c r="Q58" s="6" t="inlineStr"/>
      <c r="R58" s="6" t="inlineStr"/>
      <c r="S58" s="5" t="n">
        <v>2</v>
      </c>
      <c r="T58" s="6" t="inlineStr">
        <is>
          <t>шт</t>
        </is>
      </c>
      <c r="U58" s="8" t="n"/>
      <c r="V58" s="8" t="n"/>
      <c r="W58" s="8" t="n"/>
      <c r="X58" s="8" t="n"/>
      <c r="Y58" s="8" t="n"/>
      <c r="Z58" s="8" t="n"/>
      <c r="AA58" s="9" t="n"/>
      <c r="AB58" s="10">
        <f>AA58*S58</f>
        <v/>
      </c>
      <c r="AC58" s="8" t="n"/>
      <c r="AD58" s="8" t="n"/>
      <c r="AE58" s="8" t="n"/>
    </row>
    <row r="59" ht="60" customHeight="1">
      <c r="A59" s="5" t="n">
        <v>54</v>
      </c>
      <c r="B59" s="6" t="inlineStr">
        <is>
          <t>1.3/70</t>
        </is>
      </c>
      <c r="C59" s="6" t="inlineStr">
        <is>
          <t>Задвижка 30нж41нж DN 200 PN 16 1исп. САЗ</t>
        </is>
      </c>
      <c r="D59" s="6" t="inlineStr">
        <is>
          <t>ГОСТ 5762-2002</t>
        </is>
      </c>
      <c r="E59" s="6" t="inlineStr">
        <is>
          <t>200</t>
        </is>
      </c>
      <c r="F59" s="6" t="inlineStr">
        <is>
          <t>стандарт</t>
        </is>
      </c>
      <c r="G59" s="6" t="inlineStr">
        <is>
          <t>1.6</t>
        </is>
      </c>
      <c r="H59" s="6" t="inlineStr">
        <is>
          <t>-60…        +560</t>
        </is>
      </c>
      <c r="I59" s="6" t="inlineStr">
        <is>
          <t>Вода, воздух, пар, аммиак,
природный газ влажный, нефтепродукты, содержащие
сероводород свыше 0,1%</t>
        </is>
      </c>
      <c r="J59" s="6" t="inlineStr">
        <is>
          <t>сталь 12Х18Н9ТЛ</t>
        </is>
      </c>
      <c r="K59" s="6" t="inlineStr">
        <is>
          <t>Условия эксплуатации УХЛ
Минимальная температура окружающего воздуха: −60°С</t>
        </is>
      </c>
      <c r="L59" s="6" t="inlineStr">
        <is>
          <t>фланец-фланец</t>
        </is>
      </c>
      <c r="M59" s="6" t="inlineStr">
        <is>
          <t>Ручное</t>
        </is>
      </c>
      <c r="N59" s="6" t="inlineStr">
        <is>
          <t>Маховик</t>
        </is>
      </c>
      <c r="O59" s="6" t="inlineStr">
        <is>
          <t>Вертикально маховиком вверх, горизонтально</t>
        </is>
      </c>
      <c r="P59" s="6" t="inlineStr">
        <is>
          <t>С КОФ - сталь 20, Материалы: корпус, клин, крышка, маховик -  сталь 12Х18Н9ТЛ,  шпиндель - сталь 12Х18Н9Т, наплавка на кольце в корпусе и наплавка на клине 04Х19Н9С2 или схожая по свойствам, прокладка и сальниковое уплотнение только ТРГ</t>
        </is>
      </c>
      <c r="Q59" s="6" t="inlineStr"/>
      <c r="R59" s="6" t="inlineStr">
        <is>
          <t>класс герметичности по ГОСТ 9544-2015: А; в комплекте: ответные фланцы, прокладки  и крепеж</t>
        </is>
      </c>
      <c r="S59" s="5" t="n">
        <v>2</v>
      </c>
      <c r="T59" s="6" t="inlineStr">
        <is>
          <t>шт</t>
        </is>
      </c>
      <c r="U59" s="8" t="n"/>
      <c r="V59" s="8" t="n"/>
      <c r="W59" s="8" t="n"/>
      <c r="X59" s="8" t="n"/>
      <c r="Y59" s="8" t="n"/>
      <c r="Z59" s="8" t="n"/>
      <c r="AA59" s="9" t="n"/>
      <c r="AB59" s="10">
        <f>AA59*S59</f>
        <v/>
      </c>
      <c r="AC59" s="8" t="n"/>
      <c r="AD59" s="8" t="n"/>
      <c r="AE59" s="8" t="n"/>
    </row>
    <row r="60" ht="60" customHeight="1">
      <c r="A60" s="5" t="n">
        <v>55</v>
      </c>
      <c r="B60" s="6" t="inlineStr">
        <is>
          <t>1.3/71</t>
        </is>
      </c>
      <c r="C60" s="6" t="inlineStr">
        <is>
          <t>Задвижка 30нж41нж DN 50 PN 16 1исп. САЗ</t>
        </is>
      </c>
      <c r="D60" s="6" t="inlineStr">
        <is>
          <t>ГОСТ 5762-2002</t>
        </is>
      </c>
      <c r="E60" s="6" t="inlineStr">
        <is>
          <t>50</t>
        </is>
      </c>
      <c r="F60" s="6" t="inlineStr">
        <is>
          <t>стандартный</t>
        </is>
      </c>
      <c r="G60" s="6" t="inlineStr">
        <is>
          <t>1.6</t>
        </is>
      </c>
      <c r="H60" s="6" t="inlineStr">
        <is>
          <t>от -60 до +560</t>
        </is>
      </c>
      <c r="I60" s="6" t="inlineStr">
        <is>
          <t>Жидкие и газообразные углеводороды, нефть, нефтепродукты, природный газ, газоконденсат, вода пар и другие жидкости и газы</t>
        </is>
      </c>
      <c r="J60" s="6" t="inlineStr">
        <is>
          <t>сталь 12Х18Н9ТЛ</t>
        </is>
      </c>
      <c r="K60" s="6" t="inlineStr">
        <is>
          <t>УХЛ1</t>
        </is>
      </c>
      <c r="L60" s="6" t="inlineStr">
        <is>
          <t>фланцевый</t>
        </is>
      </c>
      <c r="M60" s="6" t="inlineStr">
        <is>
          <t>ручной (маховик)</t>
        </is>
      </c>
      <c r="N60" s="6" t="inlineStr">
        <is>
          <t>-</t>
        </is>
      </c>
      <c r="O60" s="6" t="inlineStr">
        <is>
          <t>любое</t>
        </is>
      </c>
      <c r="P60" s="6" t="inlineStr">
        <is>
          <t>1) Диски-12Х18Н9ТЛ; 2) Шпиндель-12Х18Н9Т; 3) Прокладка-Паронит ПМБ; 4) Крышка-12Х18Н9ТЛ; 5) Гайка-12Х18Н9Т; 6) Шпилька 45Х14Н14В2М; 7) Набивка сальника-ТРГ; 8)Сальник-12Х18Н9ТЛ; 9) Болт откидной-45Х14Н14В2М; 10) Втулка резьбовая-Лц 40С; 11)Маховик-20ГЛ; 12) Контргайка-35Х; 13)Шпонка-40Х; 14) Ось-2Х18Н9</t>
        </is>
      </c>
      <c r="Q60" s="6" t="inlineStr"/>
      <c r="R60" s="6" t="inlineStr"/>
      <c r="S60" s="5" t="n">
        <v>2</v>
      </c>
      <c r="T60" s="6" t="inlineStr">
        <is>
          <t>шт</t>
        </is>
      </c>
      <c r="U60" s="8" t="n"/>
      <c r="V60" s="8" t="n"/>
      <c r="W60" s="8" t="n"/>
      <c r="X60" s="8" t="n"/>
      <c r="Y60" s="8" t="n"/>
      <c r="Z60" s="8" t="n"/>
      <c r="AA60" s="9" t="n"/>
      <c r="AB60" s="10">
        <f>AA60*S60</f>
        <v/>
      </c>
      <c r="AC60" s="8" t="n"/>
      <c r="AD60" s="8" t="n"/>
      <c r="AE60" s="8" t="n"/>
    </row>
    <row r="61" ht="60" customHeight="1">
      <c r="A61" s="5" t="n">
        <v>56</v>
      </c>
      <c r="B61" s="6" t="inlineStr">
        <is>
          <t>1.3/72</t>
        </is>
      </c>
      <c r="C61" s="6" t="inlineStr">
        <is>
          <t>Задвижка 30нж41нж DN 80 PN 16 1исп. САЗ</t>
        </is>
      </c>
      <c r="D61" s="6" t="inlineStr">
        <is>
          <t>ГОСТ 5762-2002</t>
        </is>
      </c>
      <c r="E61" s="6" t="inlineStr">
        <is>
          <t>80</t>
        </is>
      </c>
      <c r="F61" s="6" t="inlineStr">
        <is>
          <t>стандартный</t>
        </is>
      </c>
      <c r="G61" s="6" t="inlineStr">
        <is>
          <t>1.6</t>
        </is>
      </c>
      <c r="H61" s="6" t="inlineStr">
        <is>
          <t>от -60 до +560</t>
        </is>
      </c>
      <c r="I61" s="6" t="inlineStr">
        <is>
          <t>Жидкие и газообразные углеводороды, нефть, нефтепродукты, природный газ, газоконденсат, вода пар и другие жидкости и газы</t>
        </is>
      </c>
      <c r="J61" s="6" t="inlineStr">
        <is>
          <t>сталь 12Х18Н9ТЛ</t>
        </is>
      </c>
      <c r="K61" s="6" t="inlineStr">
        <is>
          <t>УХЛ1</t>
        </is>
      </c>
      <c r="L61" s="6" t="inlineStr">
        <is>
          <t>фланцевый</t>
        </is>
      </c>
      <c r="M61" s="6" t="inlineStr">
        <is>
          <t>ручной (маховик)</t>
        </is>
      </c>
      <c r="N61" s="6" t="inlineStr">
        <is>
          <t>-</t>
        </is>
      </c>
      <c r="O61" s="6" t="inlineStr">
        <is>
          <t>любое</t>
        </is>
      </c>
      <c r="P61" s="6" t="inlineStr">
        <is>
          <t>1) Диски-12Х18Н9ТЛ; 2) Шпиндель-12Х18Н9Т; 3) Прокладка-Паронит ПМБ; 4) Крышка-12Х18Н9ТЛ; 5) Гайка-12Х18Н9Т; 6) Шпилька 45Х14Н14В2М; 7) Набивка сальника-ТРГ; 8)Сальник-12Х18Н9ТЛ; 9) Болт откидной-45Х14Н14В2М; 10) Втулка резьбовая-Лц 40С; 11)Маховик-20ГЛ; 12) Контргайка-35Х; 13)Шпонка-40Х; 14) Ось-2Х18Н9</t>
        </is>
      </c>
      <c r="Q61" s="6" t="inlineStr"/>
      <c r="R61" s="6" t="inlineStr"/>
      <c r="S61" s="5" t="n">
        <v>2</v>
      </c>
      <c r="T61" s="6" t="inlineStr">
        <is>
          <t>шт</t>
        </is>
      </c>
      <c r="U61" s="8" t="n"/>
      <c r="V61" s="8" t="n"/>
      <c r="W61" s="8" t="n"/>
      <c r="X61" s="8" t="n"/>
      <c r="Y61" s="8" t="n"/>
      <c r="Z61" s="8" t="n"/>
      <c r="AA61" s="9" t="n"/>
      <c r="AB61" s="10">
        <f>AA61*S61</f>
        <v/>
      </c>
      <c r="AC61" s="8" t="n"/>
      <c r="AD61" s="8" t="n"/>
      <c r="AE61" s="8" t="n"/>
    </row>
    <row r="62" ht="60" customHeight="1">
      <c r="A62" s="5" t="n">
        <v>57</v>
      </c>
      <c r="B62" s="6" t="inlineStr">
        <is>
          <t>1.3/73</t>
        </is>
      </c>
      <c r="C62" s="6" t="inlineStr">
        <is>
          <t>Задвижка 30с41нж Ду 50 Ру 16</t>
        </is>
      </c>
      <c r="D62" s="6" t="inlineStr">
        <is>
          <t>ТУ 3700-033-96455923-2014</t>
        </is>
      </c>
      <c r="E62" s="6" t="inlineStr">
        <is>
          <t>50</t>
        </is>
      </c>
      <c r="F62" s="6" t="inlineStr">
        <is>
          <t>стандарт</t>
        </is>
      </c>
      <c r="G62" s="6" t="inlineStr">
        <is>
          <t>1.6</t>
        </is>
      </c>
      <c r="H62" s="6" t="inlineStr">
        <is>
          <t>от -40 до + 450</t>
        </is>
      </c>
      <c r="I62" s="6" t="inlineStr">
        <is>
          <t>Вода</t>
        </is>
      </c>
      <c r="J62" s="6" t="inlineStr">
        <is>
          <t>Сталь 25 Л</t>
        </is>
      </c>
      <c r="K62" s="6" t="inlineStr">
        <is>
          <t>У1</t>
        </is>
      </c>
      <c r="L62" s="6" t="inlineStr">
        <is>
          <t>фланец-фланец по ГОСТ 33259-2015</t>
        </is>
      </c>
      <c r="M62" s="6" t="inlineStr">
        <is>
          <t>Ручное</t>
        </is>
      </c>
      <c r="N62" s="6" t="inlineStr">
        <is>
          <t>штурвал</t>
        </is>
      </c>
      <c r="O62" s="6" t="inlineStr">
        <is>
          <t>Любое</t>
        </is>
      </c>
      <c r="P62" s="6" t="inlineStr">
        <is>
          <t>Крышка: сталь 25Л Клин (диски): сталь 25Л Шпиндель: 20Х13 Гайка шпинделя: сталь 45, латунь ЛС59-1 (для исполнения под приварку) Гайка: углеродистая сталь ГОСТ 1050—88 класс прочности не ниже 5.6 по ГОСТ 1759.5—87 Шпилька, болт: углеродистая сталь ГОСТ 1050—88 класс прочности не ниже 5.6 по ГОСТ 1759.5—87 Болт откидной: сталь 35 Уплотнение между корпусом и крышкой (прокладка, кольцо): паронит Набивка сальника: АГИ, ТРГ Маховик: сталь 25Л  Подшипник: шариковый упорный Наплавка на кольце в корпусе: 07Х25Н13, 08Х21Н10Г6 Наплавка на клине: 13Х25Т, 10Х17Т</t>
        </is>
      </c>
      <c r="Q62" s="6" t="inlineStr">
        <is>
          <t>180 *281</t>
        </is>
      </c>
      <c r="R62" s="6" t="inlineStr"/>
      <c r="S62" s="5" t="n">
        <v>6</v>
      </c>
      <c r="T62" s="6" t="inlineStr">
        <is>
          <t>шт</t>
        </is>
      </c>
      <c r="U62" s="8" t="n"/>
      <c r="V62" s="8" t="n"/>
      <c r="W62" s="8" t="n"/>
      <c r="X62" s="8" t="n"/>
      <c r="Y62" s="8" t="n"/>
      <c r="Z62" s="8" t="n"/>
      <c r="AA62" s="9" t="n"/>
      <c r="AB62" s="10">
        <f>AA62*S62</f>
        <v/>
      </c>
      <c r="AC62" s="8" t="n"/>
      <c r="AD62" s="8" t="n"/>
      <c r="AE62" s="8" t="n"/>
    </row>
    <row r="63" ht="60" customHeight="1">
      <c r="A63" s="5" t="n">
        <v>58</v>
      </c>
      <c r="B63" s="6" t="inlineStr">
        <is>
          <t>1.3/74</t>
        </is>
      </c>
      <c r="C63" s="6" t="inlineStr">
        <is>
          <t>Задвижка 30с41нж Ду 80 Ру 16</t>
        </is>
      </c>
      <c r="D63" s="6" t="inlineStr">
        <is>
          <t>ТУ 3700-033-96455923-2014</t>
        </is>
      </c>
      <c r="E63" s="6" t="inlineStr">
        <is>
          <t>80</t>
        </is>
      </c>
      <c r="F63" s="6" t="inlineStr">
        <is>
          <t>стандарт</t>
        </is>
      </c>
      <c r="G63" s="6" t="inlineStr">
        <is>
          <t>1.6</t>
        </is>
      </c>
      <c r="H63" s="6" t="inlineStr">
        <is>
          <t>-40…        +425</t>
        </is>
      </c>
      <c r="I63" s="6" t="inlineStr">
        <is>
          <t>Вода, пар</t>
        </is>
      </c>
      <c r="J63" s="6" t="inlineStr">
        <is>
          <t>сталь 25Л</t>
        </is>
      </c>
      <c r="K63" s="6" t="inlineStr">
        <is>
          <t>У1</t>
        </is>
      </c>
      <c r="L63" s="6" t="inlineStr">
        <is>
          <t>фланец-фланец</t>
        </is>
      </c>
      <c r="M63" s="6" t="inlineStr">
        <is>
          <t>Ручное</t>
        </is>
      </c>
      <c r="N63" s="6" t="inlineStr">
        <is>
          <t>Маховик</t>
        </is>
      </c>
      <c r="O63" s="6" t="inlineStr">
        <is>
          <t>маховиком вверх</t>
        </is>
      </c>
      <c r="P63" s="6" t="inlineStr">
        <is>
          <t>Корпус, клин, крышка, маховик -  только сталь 20Л или 25Л,  шпиндель - сталь 20Х13, наплавка на кольце в корпусе и наплавка на клине 07Х25Н13 или схожая по свойствам, прокладка и сальниковое уплотнение только ТРГ</t>
        </is>
      </c>
      <c r="Q63" s="6" t="inlineStr">
        <is>
          <t>-</t>
        </is>
      </c>
      <c r="R63" s="6" t="inlineStr">
        <is>
          <t>-</t>
        </is>
      </c>
      <c r="S63" s="5" t="n">
        <v>12</v>
      </c>
      <c r="T63" s="6" t="inlineStr">
        <is>
          <t>шт</t>
        </is>
      </c>
      <c r="U63" s="8" t="n"/>
      <c r="V63" s="8" t="n"/>
      <c r="W63" s="8" t="n"/>
      <c r="X63" s="8" t="n"/>
      <c r="Y63" s="8" t="n"/>
      <c r="Z63" s="8" t="n"/>
      <c r="AA63" s="9" t="n"/>
      <c r="AB63" s="10">
        <f>AA63*S63</f>
        <v/>
      </c>
      <c r="AC63" s="8" t="n"/>
      <c r="AD63" s="8" t="n"/>
      <c r="AE63" s="8" t="n"/>
    </row>
    <row r="64" ht="60" customHeight="1">
      <c r="A64" s="5" t="n">
        <v>59</v>
      </c>
      <c r="B64" s="6" t="inlineStr">
        <is>
          <t>1.3/75</t>
        </is>
      </c>
      <c r="C64" s="6" t="inlineStr">
        <is>
          <t>Задвижка 30с41нж Ду 100 Ру 16</t>
        </is>
      </c>
      <c r="D64" s="6" t="inlineStr">
        <is>
          <t>ТУ 3700-033-96455923-2014</t>
        </is>
      </c>
      <c r="E64" s="6" t="inlineStr">
        <is>
          <t>100</t>
        </is>
      </c>
      <c r="F64" s="6" t="inlineStr">
        <is>
          <t>стандарт</t>
        </is>
      </c>
      <c r="G64" s="6" t="inlineStr">
        <is>
          <t>1.6</t>
        </is>
      </c>
      <c r="H64" s="6" t="inlineStr">
        <is>
          <t>от -40 до + 450</t>
        </is>
      </c>
      <c r="I64" s="6" t="inlineStr">
        <is>
          <t>вода, пар</t>
        </is>
      </c>
      <c r="J64" s="6" t="inlineStr">
        <is>
          <t>Сталь 25 Л</t>
        </is>
      </c>
      <c r="K64" s="6" t="inlineStr">
        <is>
          <t>У1</t>
        </is>
      </c>
      <c r="L64" s="6" t="inlineStr">
        <is>
          <t>фланец-фланец по ГОСТ 33259-2015</t>
        </is>
      </c>
      <c r="M64" s="6" t="inlineStr">
        <is>
          <t>Ручное</t>
        </is>
      </c>
      <c r="N64" s="6" t="inlineStr">
        <is>
          <t>Рукоятка</t>
        </is>
      </c>
      <c r="O64" s="6" t="inlineStr">
        <is>
          <t>Любое</t>
        </is>
      </c>
      <c r="P64" s="6" t="inlineStr">
        <is>
          <t>Крышка: сталь 25Л Клин (диски): сталь 25Л Шпиндель: 20Х13 Гайка шпинделя: сталь 45, латунь ЛС59-1 (для исполнения под приварку) Гайка: углеродистая сталь ГОСТ 1050—88 класс прочности не ниже 5.6 по ГОСТ 1759.5—87 Шпилька, болт: углеродистая сталь ГОСТ 1050—88 класс прочности не ниже 5.6 по ГОСТ 1759.5—87 Болт откидной: сталь 35 Уплотнение между корпусом и крышкой (прокладка, кольцо): паронит Набивка сальника: АГИ, ТРГ Маховик: сталь 25Л  Подшипник: шариковый упорный Наплавка на кольце в корпусе: 07Х25Н13, 08Х21Н10Г6 Наплавка на клине: 13Х25Т, 10Х17Т</t>
        </is>
      </c>
      <c r="Q64" s="6" t="inlineStr">
        <is>
          <t>230 * 385</t>
        </is>
      </c>
      <c r="R64" s="6" t="inlineStr"/>
      <c r="S64" s="5" t="n">
        <v>2</v>
      </c>
      <c r="T64" s="6" t="inlineStr">
        <is>
          <t>шт</t>
        </is>
      </c>
      <c r="U64" s="8" t="n"/>
      <c r="V64" s="8" t="n"/>
      <c r="W64" s="8" t="n"/>
      <c r="X64" s="8" t="n"/>
      <c r="Y64" s="8" t="n"/>
      <c r="Z64" s="8" t="n"/>
      <c r="AA64" s="9" t="n"/>
      <c r="AB64" s="10">
        <f>AA64*S64</f>
        <v/>
      </c>
      <c r="AC64" s="8" t="n"/>
      <c r="AD64" s="8" t="n"/>
      <c r="AE64" s="8" t="n"/>
    </row>
    <row r="65" ht="60" customHeight="1">
      <c r="A65" s="5" t="n">
        <v>60</v>
      </c>
      <c r="B65" s="6" t="inlineStr">
        <is>
          <t>1.3/76</t>
        </is>
      </c>
      <c r="C65" s="6" t="inlineStr">
        <is>
          <t>Задвижка 30с41нж Ду 150 Ру 16</t>
        </is>
      </c>
      <c r="D65" s="6" t="inlineStr">
        <is>
          <t>ТУ 3700-033-96455923-2014</t>
        </is>
      </c>
      <c r="E65" s="6" t="inlineStr">
        <is>
          <t>150</t>
        </is>
      </c>
      <c r="F65" s="6" t="inlineStr">
        <is>
          <t>стандарт</t>
        </is>
      </c>
      <c r="G65" s="6" t="inlineStr">
        <is>
          <t>1.6</t>
        </is>
      </c>
      <c r="H65" s="6" t="inlineStr">
        <is>
          <t>от -40 до + 450</t>
        </is>
      </c>
      <c r="I65" s="6" t="inlineStr">
        <is>
          <t>вода, пар</t>
        </is>
      </c>
      <c r="J65" s="6" t="inlineStr">
        <is>
          <t>Сталь 25 Л</t>
        </is>
      </c>
      <c r="K65" s="6" t="inlineStr">
        <is>
          <t>У1</t>
        </is>
      </c>
      <c r="L65" s="6" t="inlineStr">
        <is>
          <t>фланец-фланец по ГОСТ 33259-2015</t>
        </is>
      </c>
      <c r="M65" s="6" t="inlineStr">
        <is>
          <t>Ручное</t>
        </is>
      </c>
      <c r="N65" s="6" t="inlineStr">
        <is>
          <t>штурвал</t>
        </is>
      </c>
      <c r="O65" s="6" t="inlineStr">
        <is>
          <t>Любое</t>
        </is>
      </c>
      <c r="P65" s="6" t="inlineStr">
        <is>
          <t>Крышка: сталь 25Л Клин (диски): сталь 25Л Шпиндель: 20Х13 Гайка шпинделя: сталь 45, латунь ЛС59-1 (для исполнения под приварку) Гайка: углеродистая сталь ГОСТ 1050—88 класс прочности не ниже 5.6 по ГОСТ 1759.5—87 Шпилька, болт: углеродистая сталь ГОСТ 1050—88 класс прочности не ниже 5.6 по ГОСТ 1759.5—87 Болт откидной: сталь 35 Уплотнение между корпусом и крышкой (прокладка, кольцо): паронит Набивка сальника: АГИ, ТРГ Маховик: сталь 25Л  Подшипник: шариковый упорный Наплавка на кольце в корпусе: 07Х25Н13, 08Х21Н10Г6 Наплавка на клине: 13Х25Т, 10Х17Т</t>
        </is>
      </c>
      <c r="Q65" s="6" t="inlineStr">
        <is>
          <t>280 * 576</t>
        </is>
      </c>
      <c r="R65" s="6" t="inlineStr"/>
      <c r="S65" s="5" t="n">
        <v>5</v>
      </c>
      <c r="T65" s="6" t="inlineStr">
        <is>
          <t>шт</t>
        </is>
      </c>
      <c r="U65" s="8" t="n"/>
      <c r="V65" s="8" t="n"/>
      <c r="W65" s="8" t="n"/>
      <c r="X65" s="8" t="n"/>
      <c r="Y65" s="8" t="n"/>
      <c r="Z65" s="8" t="n"/>
      <c r="AA65" s="9" t="n"/>
      <c r="AB65" s="10">
        <f>AA65*S65</f>
        <v/>
      </c>
      <c r="AC65" s="8" t="n"/>
      <c r="AD65" s="8" t="n"/>
      <c r="AE65" s="8" t="n"/>
    </row>
    <row r="66" ht="60" customHeight="1">
      <c r="A66" s="5" t="n">
        <v>61</v>
      </c>
      <c r="B66" s="6" t="inlineStr">
        <is>
          <t>1.3/77</t>
        </is>
      </c>
      <c r="C66" s="6" t="inlineStr">
        <is>
          <t>Задвижка 30с564нж Ду 400 Ру 25</t>
        </is>
      </c>
      <c r="D66" s="6" t="inlineStr">
        <is>
          <t>ГОСТ 5762-2002</t>
        </is>
      </c>
      <c r="E66" s="6" t="inlineStr">
        <is>
          <t>400</t>
        </is>
      </c>
      <c r="F66" s="6" t="inlineStr">
        <is>
          <t>стандарт</t>
        </is>
      </c>
      <c r="G66" s="6" t="inlineStr">
        <is>
          <t>2.5</t>
        </is>
      </c>
      <c r="H66" s="6" t="inlineStr">
        <is>
          <t>от −40 °C до +425 °C</t>
        </is>
      </c>
      <c r="I66" s="6" t="inlineStr">
        <is>
          <t>вода, пар, нефтепродукты, газ и другие неагрессивные среды</t>
        </is>
      </c>
      <c r="J66" s="6" t="inlineStr">
        <is>
          <t>сталь 25л</t>
        </is>
      </c>
      <c r="K66" s="6" t="inlineStr">
        <is>
          <t>У1</t>
        </is>
      </c>
      <c r="L66" s="6" t="inlineStr">
        <is>
          <t>фланцевый</t>
        </is>
      </c>
      <c r="M66" s="6" t="inlineStr">
        <is>
          <t>ручной</t>
        </is>
      </c>
      <c r="N66" s="6" t="inlineStr">
        <is>
          <t>Маховик</t>
        </is>
      </c>
      <c r="O66" s="6" t="inlineStr">
        <is>
          <t>горизонтальное, либо вертикальное</t>
        </is>
      </c>
      <c r="P66" s="6" t="inlineStr">
        <is>
          <t>Крышка, клин Ст25Л, шпиндель Ст20х13</t>
        </is>
      </c>
      <c r="Q66" s="6" t="inlineStr"/>
      <c r="R66" s="6" t="inlineStr"/>
      <c r="S66" s="5" t="n">
        <v>3</v>
      </c>
      <c r="T66" s="6" t="inlineStr">
        <is>
          <t>шт</t>
        </is>
      </c>
      <c r="U66" s="7" t="inlineStr">
        <is>
          <t>Задвижка клиновая 30с564нж СибЗТА Ду400 Ру25 фланцевая, клин - двухдисковый, корпус - сталь WCB, шпиндель - выдвижной, с</t>
        </is>
      </c>
      <c r="V66" s="7" t="inlineStr">
        <is>
          <t>ООО «Сибирский завод трубопроводной арматуры» (Новосибирск)</t>
        </is>
      </c>
      <c r="W66" s="7" t="inlineStr">
        <is>
          <t>Россия</t>
        </is>
      </c>
      <c r="X66" s="8" t="n"/>
      <c r="Y66" s="8" t="n"/>
      <c r="Z66" s="8" t="n"/>
      <c r="AA66" s="9" t="n"/>
      <c r="AB66" s="10">
        <f>AA66*S66</f>
        <v/>
      </c>
      <c r="AC66" s="8" t="n"/>
      <c r="AD66" s="8" t="n"/>
      <c r="AE66" s="8" t="n"/>
    </row>
    <row r="67" ht="60" customHeight="1">
      <c r="A67" s="5" t="n">
        <v>62</v>
      </c>
      <c r="B67" s="6" t="inlineStr">
        <is>
          <t>1.3/85</t>
        </is>
      </c>
      <c r="C67" s="6" t="inlineStr">
        <is>
          <t>Задвижка 30с76нж Ду 200 Ру 63</t>
        </is>
      </c>
      <c r="D67" s="6" t="inlineStr">
        <is>
          <t>ГОСТ 5762-2002</t>
        </is>
      </c>
      <c r="E67" s="6" t="inlineStr">
        <is>
          <t>200</t>
        </is>
      </c>
      <c r="F67" s="6" t="inlineStr">
        <is>
          <t>стандарт</t>
        </is>
      </c>
      <c r="G67" s="6" t="inlineStr">
        <is>
          <t>6.3</t>
        </is>
      </c>
      <c r="H67" s="6" t="inlineStr">
        <is>
          <t>от -40 до + 425</t>
        </is>
      </c>
      <c r="I67" s="6" t="inlineStr">
        <is>
          <t>вода, пар, нефть, природный газ, жидкие и газообразные неагрессивные нефтепродукты</t>
        </is>
      </c>
      <c r="J67" s="6" t="inlineStr">
        <is>
          <t>сталь 25Л</t>
        </is>
      </c>
      <c r="K67" s="6" t="inlineStr">
        <is>
          <t>У1</t>
        </is>
      </c>
      <c r="L67" s="6" t="inlineStr">
        <is>
          <t>фланец-фланец</t>
        </is>
      </c>
      <c r="M67" s="6" t="inlineStr">
        <is>
          <t>ручной (маховик)</t>
        </is>
      </c>
      <c r="N67" s="6" t="inlineStr">
        <is>
          <t>-</t>
        </is>
      </c>
      <c r="O67" s="6" t="inlineStr">
        <is>
          <t>любое, кроме маховиком вниз</t>
        </is>
      </c>
      <c r="P67" s="6" t="inlineStr">
        <is>
          <t>Корпус, Крышка, Клин, Маховик - Сталь 25Л Шпиндель - Сталь 20Х13 Прокладка и уплотнение - ТРГ Наплавка на кольце в корпусе и на клине - Сталь 20Х13</t>
        </is>
      </c>
      <c r="Q67" s="6" t="inlineStr"/>
      <c r="R67" s="6" t="inlineStr"/>
      <c r="S67" s="5" t="n">
        <v>1</v>
      </c>
      <c r="T67" s="6" t="inlineStr">
        <is>
          <t>шт</t>
        </is>
      </c>
      <c r="U67" s="7" t="inlineStr">
        <is>
          <t>Задвижка клиновая 30с76нж Авангард Ду200 Ру63 исп. F, класс герметичности "А", фланцевая, шпиндель - выдвижной, корпус -</t>
        </is>
      </c>
      <c r="V67" s="7" t="inlineStr">
        <is>
          <t>АО «Авангард» / САЗ (Старый Оскол)</t>
        </is>
      </c>
      <c r="W67" s="7" t="inlineStr">
        <is>
          <t>Россия</t>
        </is>
      </c>
      <c r="X67" s="8" t="n"/>
      <c r="Y67" s="8" t="n"/>
      <c r="Z67" s="8" t="n"/>
      <c r="AA67" s="9" t="n"/>
      <c r="AB67" s="10">
        <f>AA67*S67</f>
        <v/>
      </c>
      <c r="AC67" s="8" t="n"/>
      <c r="AD67" s="8" t="n"/>
      <c r="AE67" s="8" t="n"/>
    </row>
    <row r="68" ht="60" customHeight="1">
      <c r="A68" s="5" t="n">
        <v>63</v>
      </c>
      <c r="B68" s="6" t="inlineStr">
        <is>
          <t>1.3/86</t>
        </is>
      </c>
      <c r="C68" s="6" t="inlineStr">
        <is>
          <t>Задвижка 30с927нж Ду 250 Ру 25 с электроприводом</t>
        </is>
      </c>
      <c r="D68" s="6" t="inlineStr">
        <is>
          <t>ТУ-3740-002-99521253-2012.</t>
        </is>
      </c>
      <c r="E68" s="6" t="inlineStr">
        <is>
          <t>250</t>
        </is>
      </c>
      <c r="F68" s="6" t="inlineStr">
        <is>
          <t>полнопроходной</t>
        </is>
      </c>
      <c r="G68" s="6" t="inlineStr">
        <is>
          <t>2.5</t>
        </is>
      </c>
      <c r="H68" s="6" t="inlineStr">
        <is>
          <t>от -40 до + 425°С</t>
        </is>
      </c>
      <c r="I68" s="6" t="inlineStr">
        <is>
          <t>вода, пар,
масло, нефть, жидкие неагрессивные
нефтепродукты, неагрессивные жидкие
среды до</t>
        </is>
      </c>
      <c r="J68" s="6" t="inlineStr">
        <is>
          <t>Сталь 25Л</t>
        </is>
      </c>
      <c r="K68" s="6" t="inlineStr">
        <is>
          <t>У1 по ГОСТ 15150</t>
        </is>
      </c>
      <c r="L68" s="6" t="inlineStr">
        <is>
          <t>фланцевое, исполнение – по ГОСТ 33259.</t>
        </is>
      </c>
      <c r="M68" s="6" t="inlineStr">
        <is>
          <t>электропривод</t>
        </is>
      </c>
      <c r="N68" s="6" t="inlineStr">
        <is>
          <t>Тип присоединеия-Б; Крутящий момент, Нм-100-300</t>
        </is>
      </c>
      <c r="O68" s="6" t="inlineStr">
        <is>
          <t>Арматура, оснащенная электрическим приводом, устанавливается управляющим органом вверх. Допускается монтаж в наклонном положении, кроме «электроприводом вниз» - в этом случае требуется обеспечить опору для снятия нагрузки с бугельного узла.</t>
        </is>
      </c>
      <c r="P68" s="6" t="inlineStr">
        <is>
          <t>Шпиндель  20Х13;
 Прокладка  ТРГ;
Крышка, Маховик  25Л;
Гайка  Ст25;
Сальниковое уплотнение  ТРГ;
Ось, Болт, Шпилька  Ст35;
Втулка сальника  Ст20;
Гайка ходовая  ЛС59-1;
Гайка шлицевая  Ст35;</t>
        </is>
      </c>
      <c r="Q68" s="6" t="inlineStr">
        <is>
          <t>L=450мм; H=700мм без электропривода</t>
        </is>
      </c>
      <c r="R68" s="6" t="inlineStr"/>
      <c r="S68" s="5" t="n">
        <v>2</v>
      </c>
      <c r="T68" s="6" t="inlineStr">
        <is>
          <t>шт</t>
        </is>
      </c>
      <c r="U68" s="8" t="n"/>
      <c r="V68" s="8" t="n"/>
      <c r="W68" s="8" t="n"/>
      <c r="X68" s="8" t="n"/>
      <c r="Y68" s="8" t="n"/>
      <c r="Z68" s="8" t="n"/>
      <c r="AA68" s="9" t="n"/>
      <c r="AB68" s="10">
        <f>AA68*S68</f>
        <v/>
      </c>
      <c r="AC68" s="8" t="n"/>
      <c r="AD68" s="8" t="n"/>
      <c r="AE68" s="8" t="n"/>
    </row>
    <row r="69" ht="60" customHeight="1">
      <c r="A69" s="5" t="n">
        <v>64</v>
      </c>
      <c r="B69" s="6" t="inlineStr">
        <is>
          <t>1.3/87</t>
        </is>
      </c>
      <c r="C69" s="6" t="inlineStr">
        <is>
          <t>Задвижка 30с941нж Ду 150 Ру 16 с электроприводом</t>
        </is>
      </c>
      <c r="D69" s="6" t="inlineStr">
        <is>
          <t>ТУ 28.14.11-001-27709620-2022ТУ 28.14.11-001-27709620-2022</t>
        </is>
      </c>
      <c r="E69" s="6" t="inlineStr">
        <is>
          <t>150</t>
        </is>
      </c>
      <c r="F69" s="6" t="inlineStr">
        <is>
          <t>полнопроходной</t>
        </is>
      </c>
      <c r="G69" s="6" t="inlineStr">
        <is>
          <t>1.6</t>
        </is>
      </c>
      <c r="H69" s="6" t="inlineStr">
        <is>
          <t>от -40 до + 425°С</t>
        </is>
      </c>
      <c r="I69" s="6" t="inlineStr">
        <is>
          <t>вода, пар,
масло, нефть, жидкие неагрессивные
нефтепродукты, неагрессивные жидкие
среды до</t>
        </is>
      </c>
      <c r="J69" s="6" t="inlineStr">
        <is>
          <t>Сталь 35Л ГОСТ
977-88</t>
        </is>
      </c>
      <c r="K69" s="6" t="inlineStr">
        <is>
          <t>ТУ 3714-007-82556046-2007. "У"</t>
        </is>
      </c>
      <c r="L69" s="6" t="inlineStr">
        <is>
          <t>фланцевое</t>
        </is>
      </c>
      <c r="M69" s="6" t="inlineStr">
        <is>
          <t>МНОГООБОРОТНЫЙ ЭЛЕКТРОПРИВОД
ГЗ-А.150</t>
        </is>
      </c>
      <c r="N69" s="6" t="inlineStr">
        <is>
          <t>Условное обозначение:ГЗ-А.150;       Тип присоедин. к арматуре по ОСТ 26-07-763-73 "А";                         Номинальный крутящий момент на выходном валу Нм (кгс*м) 150 (15); Частота вращения вала, об/мин. Стандарт 24,  По заказу 18,36,48; Электродвигатель  Мощность кВт 0,37, Номинальный ток  (А) 2,5 Пусковой ток ( А) 8,84;</t>
        </is>
      </c>
      <c r="O69" s="6" t="inlineStr"/>
      <c r="P69" s="6" t="inlineStr">
        <is>
          <t>Крышка Сталь 35Л ГОСТ
977-88; Клин Сталь 35Л ГОСТ
977-88 ; Шпиндель Сталь 45ГОСТ 1050-88;Уплотнительная
прокладка
терморасширенный
графит (армир); Набивка
уплотнительная
терморасширенный
графит (армир);Крышка
сальника
Сталь 35Л ГОСТ
977-88; Упорная гайка Сталь 20Л ГОСТ
977-88; Пятикулачковая
муфта
Латунь Ц38МЦ2С2
ГОСТ17711-93</t>
        </is>
      </c>
      <c r="Q69" s="6" t="inlineStr">
        <is>
          <t>L=280мм; H=520мм</t>
        </is>
      </c>
      <c r="R69" s="6" t="inlineStr">
        <is>
          <t>нж - уплотнения из нержавеющей стали.</t>
        </is>
      </c>
      <c r="S69" s="5" t="n">
        <v>6</v>
      </c>
      <c r="T69" s="6" t="inlineStr">
        <is>
          <t>шт</t>
        </is>
      </c>
      <c r="U69" s="8" t="n"/>
      <c r="V69" s="8" t="n"/>
      <c r="W69" s="8" t="n"/>
      <c r="X69" s="8" t="n"/>
      <c r="Y69" s="8" t="n"/>
      <c r="Z69" s="8" t="n"/>
      <c r="AA69" s="9" t="n"/>
      <c r="AB69" s="10">
        <f>AA69*S69</f>
        <v/>
      </c>
      <c r="AC69" s="8" t="n"/>
      <c r="AD69" s="8" t="n"/>
      <c r="AE69" s="8" t="n"/>
    </row>
    <row r="70" ht="60" customHeight="1">
      <c r="A70" s="5" t="n">
        <v>65</v>
      </c>
      <c r="B70" s="6" t="inlineStr">
        <is>
          <t>1.3/88</t>
        </is>
      </c>
      <c r="C70" s="6" t="inlineStr">
        <is>
          <t>Задвижка 30с964нж Ду 150 Ру 25 с электроприводом</t>
        </is>
      </c>
      <c r="D70" s="6" t="inlineStr">
        <is>
          <t>ТУ 3741-003-43179794-2009.</t>
        </is>
      </c>
      <c r="E70" s="6" t="inlineStr">
        <is>
          <t>150</t>
        </is>
      </c>
      <c r="F70" s="6" t="inlineStr">
        <is>
          <t>полнопроходной</t>
        </is>
      </c>
      <c r="G70" s="6" t="inlineStr">
        <is>
          <t>2.5</t>
        </is>
      </c>
      <c r="H70" s="6" t="inlineStr">
        <is>
          <t>от -40 до + 425</t>
        </is>
      </c>
      <c r="I70" s="6" t="inlineStr">
        <is>
          <t>Вода , пар, воздух, нгефть, масло,</t>
        </is>
      </c>
      <c r="J70" s="6" t="inlineStr">
        <is>
          <t>сталь 25Л</t>
        </is>
      </c>
      <c r="K70" s="6" t="inlineStr">
        <is>
          <t>по ГОСТ 15150-69. У1</t>
        </is>
      </c>
      <c r="L70" s="6" t="inlineStr">
        <is>
          <t>фланец-фланец</t>
        </is>
      </c>
      <c r="M70" s="6" t="inlineStr">
        <is>
          <t>электропривод DN.ru МТ-100-220, 220В</t>
        </is>
      </c>
      <c r="N70" s="6" t="inlineStr">
        <is>
          <t>тип присоединения электродвигателя-Б; Крутящий момент привода - 100 Нм
    ○ Напряжение питания - 220 В
    ○ Номинальный потребляемый ток - 1.8А
    Датчик обратной связи - Концевые выключатели
    Степень защиты корпуса - IP67
    Взрывозащита корпуса - нет
    ○ Тип ISO-фланца привода - F10, F14</t>
        </is>
      </c>
      <c r="O70" s="6" t="inlineStr">
        <is>
          <t>Электроприводом  вверх, но
допускается отклонение до 90° в любую сторону для задвижек до
DN 150 включительно,</t>
        </is>
      </c>
      <c r="P70" s="6" t="inlineStr">
        <is>
          <t>Шпиндель-20Х13; клин (диски)-сталь25; набивка сальника ТРГ; наплавка на клине-13Х25Т, 10Х17Т;</t>
        </is>
      </c>
      <c r="Q70" s="6" t="inlineStr">
        <is>
          <t>L=403мм; H=576мм</t>
        </is>
      </c>
      <c r="R70" s="6" t="inlineStr"/>
      <c r="S70" s="5" t="n">
        <v>1</v>
      </c>
      <c r="T70" s="6" t="inlineStr">
        <is>
          <t>шт</t>
        </is>
      </c>
      <c r="U70" s="8" t="n"/>
      <c r="V70" s="8" t="n"/>
      <c r="W70" s="8" t="n"/>
      <c r="X70" s="8" t="n"/>
      <c r="Y70" s="8" t="n"/>
      <c r="Z70" s="8" t="n"/>
      <c r="AA70" s="9" t="n"/>
      <c r="AB70" s="10">
        <f>AA70*S70</f>
        <v/>
      </c>
      <c r="AC70" s="8" t="n"/>
      <c r="AD70" s="8" t="n"/>
      <c r="AE70" s="8" t="n"/>
    </row>
    <row r="71" ht="60" customHeight="1">
      <c r="A71" s="5" t="n">
        <v>66</v>
      </c>
      <c r="B71" s="6" t="inlineStr">
        <is>
          <t>1.3/89</t>
        </is>
      </c>
      <c r="C71" s="6" t="inlineStr">
        <is>
          <t>Задвижка 30с964нж Ду 400 Ру 25</t>
        </is>
      </c>
      <c r="D71" s="6" t="inlineStr">
        <is>
          <t>ТУ 28.14.11-001-27709620-2022ТУ 28.14.11-001-27709620-2022</t>
        </is>
      </c>
      <c r="E71" s="6" t="inlineStr">
        <is>
          <t>400</t>
        </is>
      </c>
      <c r="F71" s="6" t="inlineStr">
        <is>
          <t>стандарт</t>
        </is>
      </c>
      <c r="G71" s="6" t="inlineStr">
        <is>
          <t>2.5</t>
        </is>
      </c>
      <c r="H71" s="6" t="inlineStr">
        <is>
          <t>от -40 до + 425</t>
        </is>
      </c>
      <c r="I71" s="6" t="inlineStr">
        <is>
          <t>вода, пар</t>
        </is>
      </c>
      <c r="J71" s="6" t="inlineStr">
        <is>
          <t>сталь 25Л</t>
        </is>
      </c>
      <c r="K71" s="6" t="inlineStr">
        <is>
          <t>У1</t>
        </is>
      </c>
      <c r="L71" s="6" t="inlineStr">
        <is>
          <t>фланец-фланец</t>
        </is>
      </c>
      <c r="M71" s="6" t="inlineStr">
        <is>
          <t>под электропривод</t>
        </is>
      </c>
      <c r="N71" s="6" t="inlineStr">
        <is>
          <t>AUMA SA 16.1-G3 или аналог</t>
        </is>
      </c>
      <c r="O71" s="6" t="inlineStr">
        <is>
          <t>любое</t>
        </is>
      </c>
      <c r="P71" s="6" t="inlineStr">
        <is>
          <t>Крышка: сталь 25Л Клин (диски): сталь 25Л  Шпиндель: 20Х13 Гайка шпинделя: латунь ЛС59-1 Гайка: углеродистая сталь ГОСТ 1050—88 класс прочности не ниже 5.6 по ГОСТ 1759.5—87 Шпилька, болт: углеродистая сталь ГОСТ 1050—88 класс прочности не ниже 5.6 по ГОСТ 1759.5—87 Болт откидной: сталь 35 Уплотнение между корпусом и крышкой (прокладка, кольцо): паронит, ТРГ Набивка сальника: АГИ, ТРГ Подшипник: шариковый упорный Наплавка на кольце в корпусе: 07Х25Н13, 08Х21Н10Г6 Наплавка на клине: 13Х25Т, 10Х17Т</t>
        </is>
      </c>
      <c r="Q71" s="6" t="inlineStr">
        <is>
          <t>600*1425</t>
        </is>
      </c>
      <c r="R71" s="6" t="inlineStr">
        <is>
          <t>В комплекте с крепежом и ответными фланцами (с КОФ).Под электропривод AUMA или аналог.</t>
        </is>
      </c>
      <c r="S71" s="5" t="n">
        <v>4</v>
      </c>
      <c r="T71" s="6" t="inlineStr">
        <is>
          <t>шт</t>
        </is>
      </c>
      <c r="U71" s="7" t="inlineStr">
        <is>
          <t>Задвижка клиновая 30с964нж СибЗТА Ду400 Ру25 фланцевая, клин - двухдисковый, корпус - сталь WCB, 10 - 15 раб. шпиндель -</t>
        </is>
      </c>
      <c r="V71" s="7" t="inlineStr">
        <is>
          <t>ООО «Сибирский завод трубопроводной арматуры» (Новосибирск)</t>
        </is>
      </c>
      <c r="W71" s="7" t="inlineStr">
        <is>
          <t>Россия</t>
        </is>
      </c>
      <c r="X71" s="8" t="n"/>
      <c r="Y71" s="8" t="n"/>
      <c r="Z71" s="8" t="n"/>
      <c r="AA71" s="9" t="n"/>
      <c r="AB71" s="10">
        <f>AA71*S71</f>
        <v/>
      </c>
      <c r="AC71" s="8" t="n"/>
      <c r="AD71" s="8" t="n"/>
      <c r="AE71" s="8" t="n"/>
    </row>
    <row r="72" ht="60" customHeight="1">
      <c r="A72" s="5" t="n">
        <v>67</v>
      </c>
      <c r="B72" s="6" t="inlineStr">
        <is>
          <t>1.3/90</t>
        </is>
      </c>
      <c r="C72" s="6" t="inlineStr">
        <is>
          <t>Задвижка стальная 30с964нж Ду 100 Ру 25 с электроприводом  МТ-100-220, 220В</t>
        </is>
      </c>
      <c r="D72" s="6" t="inlineStr">
        <is>
          <t>ГОСТ3706-93</t>
        </is>
      </c>
      <c r="E72" s="6" t="inlineStr">
        <is>
          <t>100</t>
        </is>
      </c>
      <c r="F72" s="6" t="inlineStr">
        <is>
          <t>полнопроходной</t>
        </is>
      </c>
      <c r="G72" s="6" t="inlineStr">
        <is>
          <t>25</t>
        </is>
      </c>
      <c r="H72" s="6" t="inlineStr">
        <is>
          <t>от -40 до + 425</t>
        </is>
      </c>
      <c r="I72" s="6" t="inlineStr">
        <is>
          <t>Вода , пар, воздух, нгефть, масло,</t>
        </is>
      </c>
      <c r="J72" s="6" t="inlineStr">
        <is>
          <t>сталь 25Л</t>
        </is>
      </c>
      <c r="K72" s="6" t="inlineStr">
        <is>
          <t>по ГОСТ 15150-69.</t>
        </is>
      </c>
      <c r="L72" s="6" t="inlineStr">
        <is>
          <t>фланец-фланец</t>
        </is>
      </c>
      <c r="M72" s="6" t="inlineStr">
        <is>
          <t>МТ-100-220, 220В</t>
        </is>
      </c>
      <c r="N72" s="6" t="inlineStr">
        <is>
          <t>тип присоединения электродвигателя-А; Крутящий момент привода - 100 Нм
    ○ Напряжение питания - 220 В
    ○ Номинальный потребляемый ток - 1.8А
    Датчик обратной связи - Концевые выключатели
    Степень защиты корпуса - IP67
    Взрывозащита корпуса - нет
    ○ Тип ISO-фланца привода - F10, F14</t>
        </is>
      </c>
      <c r="O72" s="6" t="inlineStr">
        <is>
          <t>любое</t>
        </is>
      </c>
      <c r="P72" s="6" t="inlineStr">
        <is>
          <t>Шпиндель-20Х13; клин (диски)-сталь25; набивка сальника ТРГ; наплавка на клине-13Х25Т, 10Х17Т;</t>
        </is>
      </c>
      <c r="Q72" s="6" t="inlineStr"/>
      <c r="R72" s="6" t="inlineStr">
        <is>
          <t>Класс герметичности по ГОСТ 9544-2015 - "A"</t>
        </is>
      </c>
      <c r="S72" s="5" t="n">
        <v>3</v>
      </c>
      <c r="T72" s="6" t="inlineStr">
        <is>
          <t>шт</t>
        </is>
      </c>
      <c r="U72" s="8" t="n"/>
      <c r="V72" s="8" t="n"/>
      <c r="W72" s="8" t="n"/>
      <c r="X72" s="8" t="n"/>
      <c r="Y72" s="8" t="n"/>
      <c r="Z72" s="8" t="n"/>
      <c r="AA72" s="9" t="n"/>
      <c r="AB72" s="10">
        <f>AA72*S72</f>
        <v/>
      </c>
      <c r="AC72" s="8" t="n"/>
      <c r="AD72" s="8" t="n"/>
      <c r="AE72" s="8" t="n"/>
    </row>
    <row r="73" ht="60" customHeight="1">
      <c r="A73" s="5" t="n">
        <v>68</v>
      </c>
      <c r="B73" s="6" t="inlineStr">
        <is>
          <t>1.3/91</t>
        </is>
      </c>
      <c r="C73" s="6" t="inlineStr">
        <is>
          <t>Задвижка 30с99нж Ду 50 Ру 25</t>
        </is>
      </c>
      <c r="D73" s="6" t="inlineStr">
        <is>
          <t>ТУ 26-07-412-87</t>
        </is>
      </c>
      <c r="E73" s="6" t="inlineStr">
        <is>
          <t>50</t>
        </is>
      </c>
      <c r="F73" s="6" t="inlineStr">
        <is>
          <t>полнопроходной</t>
        </is>
      </c>
      <c r="G73" s="6" t="inlineStr">
        <is>
          <t>25</t>
        </is>
      </c>
      <c r="H73" s="6" t="inlineStr">
        <is>
          <t>от -40 до + до 425</t>
        </is>
      </c>
      <c r="I73" s="6" t="inlineStr">
        <is>
          <t>Вода , пар, воздух, нгефть, масло,</t>
        </is>
      </c>
      <c r="J73" s="6" t="inlineStr">
        <is>
          <t>углеродистая сталь (20Л, 25Л по ГОСТ 977-88)</t>
        </is>
      </c>
      <c r="K73" s="6" t="inlineStr">
        <is>
          <t>по ГОСТ 15150-69.</t>
        </is>
      </c>
      <c r="L73" s="6" t="inlineStr">
        <is>
          <t>фланцевое (фланцы по ГОСТ 33259-2015)</t>
        </is>
      </c>
      <c r="M73" s="6" t="inlineStr">
        <is>
          <t>ручное</t>
        </is>
      </c>
      <c r="N73" s="6" t="inlineStr">
        <is>
          <t>маховик</t>
        </is>
      </c>
      <c r="O73" s="6" t="inlineStr">
        <is>
          <t>любое</t>
        </is>
      </c>
      <c r="P73" s="6" t="inlineStr">
        <is>
          <t>Шпиндель-20Х13; клин (диски)-сталь25; набивка сальника ТРГ; наплавка на клинеи в корпусе 20Х13;</t>
        </is>
      </c>
      <c r="Q73" s="6" t="inlineStr">
        <is>
          <t>L=250мм; H=410мм</t>
        </is>
      </c>
      <c r="R73" s="6" t="inlineStr"/>
      <c r="S73" s="5" t="n">
        <v>1</v>
      </c>
      <c r="T73" s="6" t="inlineStr">
        <is>
          <t>шт</t>
        </is>
      </c>
      <c r="U73" s="8" t="n"/>
      <c r="V73" s="8" t="n"/>
      <c r="W73" s="8" t="n"/>
      <c r="X73" s="8" t="n"/>
      <c r="Y73" s="8" t="n"/>
      <c r="Z73" s="8" t="n"/>
      <c r="AA73" s="9" t="n"/>
      <c r="AB73" s="10">
        <f>AA73*S73</f>
        <v/>
      </c>
      <c r="AC73" s="8" t="n"/>
      <c r="AD73" s="8" t="n"/>
      <c r="AE73" s="8" t="n"/>
    </row>
    <row r="74" ht="60" customHeight="1">
      <c r="A74" s="5" t="n">
        <v>69</v>
      </c>
      <c r="B74" s="6" t="inlineStr">
        <is>
          <t>1.3/92</t>
        </is>
      </c>
      <c r="C74" s="6" t="inlineStr">
        <is>
          <t>Задвижка 30с99нж Ду 80 Ру 25</t>
        </is>
      </c>
      <c r="D74" s="6" t="inlineStr">
        <is>
          <t>ТУ 26-07-412-87</t>
        </is>
      </c>
      <c r="E74" s="6" t="inlineStr">
        <is>
          <t>80</t>
        </is>
      </c>
      <c r="F74" s="6" t="inlineStr">
        <is>
          <t>полнопроходной</t>
        </is>
      </c>
      <c r="G74" s="6" t="inlineStr">
        <is>
          <t>25</t>
        </is>
      </c>
      <c r="H74" s="6" t="inlineStr">
        <is>
          <t>от -40 до + до 425</t>
        </is>
      </c>
      <c r="I74" s="6" t="inlineStr">
        <is>
          <t>Вода , пар, воздух, нгефть, масло,</t>
        </is>
      </c>
      <c r="J74" s="6" t="inlineStr">
        <is>
          <t>углеродистая сталь (20Л, 25Л по ГОСТ 977-88)</t>
        </is>
      </c>
      <c r="K74" s="6" t="inlineStr">
        <is>
          <t>по ГОСТ 15150-69.</t>
        </is>
      </c>
      <c r="L74" s="6" t="inlineStr">
        <is>
          <t>фланцевое (фланцы по ГОСТ 33259-2015)</t>
        </is>
      </c>
      <c r="M74" s="6" t="inlineStr">
        <is>
          <t>ручное</t>
        </is>
      </c>
      <c r="N74" s="6" t="inlineStr">
        <is>
          <t>маховик</t>
        </is>
      </c>
      <c r="O74" s="6" t="inlineStr">
        <is>
          <t>любое</t>
        </is>
      </c>
      <c r="P74" s="6" t="inlineStr">
        <is>
          <t>Шпиндель-20Х13; клин (диски)-сталь25; набивка сальника ТРГ; наплавка на клинеи в корпусе 20Х13;</t>
        </is>
      </c>
      <c r="Q74" s="6" t="inlineStr">
        <is>
          <t>L=280мм; H=515мм</t>
        </is>
      </c>
      <c r="R74" s="6" t="inlineStr"/>
      <c r="S74" s="5" t="n">
        <v>1</v>
      </c>
      <c r="T74" s="6" t="inlineStr">
        <is>
          <t>шт</t>
        </is>
      </c>
      <c r="U74" s="8" t="n"/>
      <c r="V74" s="8" t="n"/>
      <c r="W74" s="8" t="n"/>
      <c r="X74" s="8" t="n"/>
      <c r="Y74" s="8" t="n"/>
      <c r="Z74" s="8" t="n"/>
      <c r="AA74" s="9" t="n"/>
      <c r="AB74" s="10">
        <f>AA74*S74</f>
        <v/>
      </c>
      <c r="AC74" s="8" t="n"/>
      <c r="AD74" s="8" t="n"/>
      <c r="AE74" s="8" t="n"/>
    </row>
    <row r="75" ht="60" customHeight="1">
      <c r="A75" s="5" t="n">
        <v>70</v>
      </c>
      <c r="B75" s="6" t="inlineStr">
        <is>
          <t>1.3/94</t>
        </is>
      </c>
      <c r="C75" s="6" t="inlineStr">
        <is>
          <t>Задвижка 30ч6бр Ду 80 Ру 10</t>
        </is>
      </c>
      <c r="D75" s="6" t="inlineStr">
        <is>
          <t>ГОСТ 5762-2002,  Гермитичность ГОСТ 9544-2015</t>
        </is>
      </c>
      <c r="E75" s="6" t="inlineStr">
        <is>
          <t>80</t>
        </is>
      </c>
      <c r="F75" s="6" t="inlineStr">
        <is>
          <t>полнопроходной</t>
        </is>
      </c>
      <c r="G75" s="6" t="inlineStr">
        <is>
          <t>1</t>
        </is>
      </c>
      <c r="H75" s="6" t="inlineStr">
        <is>
          <t>до +225°С</t>
        </is>
      </c>
      <c r="I75" s="6" t="inlineStr">
        <is>
          <t>Вода,пар</t>
        </is>
      </c>
      <c r="J75" s="6" t="inlineStr">
        <is>
          <t>серый чугун СЧ</t>
        </is>
      </c>
      <c r="K75" s="6" t="inlineStr">
        <is>
          <t>У2, УХЛ4</t>
        </is>
      </c>
      <c r="L75" s="6" t="inlineStr">
        <is>
          <t>фланец-фланец</t>
        </is>
      </c>
      <c r="M75" s="6" t="inlineStr">
        <is>
          <t>Ручное</t>
        </is>
      </c>
      <c r="N75" s="6" t="inlineStr">
        <is>
          <t>маховик</t>
        </is>
      </c>
      <c r="O75" s="6" t="inlineStr">
        <is>
          <t>любое</t>
        </is>
      </c>
      <c r="P75" s="6" t="inlineStr">
        <is>
          <t>Материал крышки ,диски,маховик,клин-серый чугун,Шпиндель — Ст 45 ГОСТ 1412</t>
        </is>
      </c>
      <c r="Q75" s="6" t="inlineStr">
        <is>
          <t>Длина 210</t>
        </is>
      </c>
      <c r="R75" s="6" t="inlineStr"/>
      <c r="S75" s="5" t="n">
        <v>14</v>
      </c>
      <c r="T75" s="6" t="inlineStr">
        <is>
          <t>шт</t>
        </is>
      </c>
      <c r="U75" s="8" t="n"/>
      <c r="V75" s="8" t="n"/>
      <c r="W75" s="8" t="n"/>
      <c r="X75" s="8" t="n"/>
      <c r="Y75" s="8" t="n"/>
      <c r="Z75" s="8" t="n"/>
      <c r="AA75" s="9" t="n"/>
      <c r="AB75" s="10">
        <f>AA75*S75</f>
        <v/>
      </c>
      <c r="AC75" s="8" t="n"/>
      <c r="AD75" s="8" t="n"/>
      <c r="AE75" s="8" t="n"/>
    </row>
    <row r="76" ht="60" customHeight="1">
      <c r="A76" s="5" t="n">
        <v>71</v>
      </c>
      <c r="B76" s="6" t="inlineStr">
        <is>
          <t>1.3/96</t>
        </is>
      </c>
      <c r="C76" s="6" t="inlineStr">
        <is>
          <t>Задвижка 30ч6бр Ду 150 Ру 10</t>
        </is>
      </c>
      <c r="D76" s="6" t="inlineStr">
        <is>
          <t>ГОСТ 5762-2002,  Гермитичность ГОСТ 9544-2015</t>
        </is>
      </c>
      <c r="E76" s="6" t="inlineStr">
        <is>
          <t>150</t>
        </is>
      </c>
      <c r="F76" s="6" t="inlineStr">
        <is>
          <t>стандарт</t>
        </is>
      </c>
      <c r="G76" s="6" t="inlineStr">
        <is>
          <t>1</t>
        </is>
      </c>
      <c r="H76" s="6" t="inlineStr">
        <is>
          <t>до +225°С</t>
        </is>
      </c>
      <c r="I76" s="6" t="inlineStr">
        <is>
          <t>Вода,пар</t>
        </is>
      </c>
      <c r="J76" s="6" t="inlineStr">
        <is>
          <t>серый чугун СЧ</t>
        </is>
      </c>
      <c r="K76" s="6" t="inlineStr">
        <is>
          <t>У2, УХЛ4</t>
        </is>
      </c>
      <c r="L76" s="6" t="inlineStr">
        <is>
          <t>фланец-фланец</t>
        </is>
      </c>
      <c r="M76" s="6" t="inlineStr">
        <is>
          <t>Ручное</t>
        </is>
      </c>
      <c r="N76" s="6" t="inlineStr">
        <is>
          <t>маховик</t>
        </is>
      </c>
      <c r="O76" s="6" t="inlineStr">
        <is>
          <t>любое</t>
        </is>
      </c>
      <c r="P76" s="6" t="inlineStr">
        <is>
          <t>Основные материалы 30ч6бр:      деталей корпуса серый чугун СЧ 20 ГОСТ 1412;     поверхности уплотнительных элементов - латунь ЛС-59 ГОСТ 15527;     уплотнение по шпинделю – сальниковое (кольца ТРГ).     уплотнение между корпусом и крышкой – паронит.</t>
        </is>
      </c>
      <c r="Q76" s="6" t="inlineStr">
        <is>
          <t>строительная длина  280 мм,</t>
        </is>
      </c>
      <c r="R76" s="6" t="inlineStr"/>
      <c r="S76" s="5" t="n">
        <v>19</v>
      </c>
      <c r="T76" s="6" t="inlineStr">
        <is>
          <t>шт</t>
        </is>
      </c>
      <c r="U76" s="8" t="n"/>
      <c r="V76" s="8" t="n"/>
      <c r="W76" s="8" t="n"/>
      <c r="X76" s="8" t="n"/>
      <c r="Y76" s="8" t="n"/>
      <c r="Z76" s="8" t="n"/>
      <c r="AA76" s="9" t="n"/>
      <c r="AB76" s="10">
        <f>AA76*S76</f>
        <v/>
      </c>
      <c r="AC76" s="8" t="n"/>
      <c r="AD76" s="8" t="n"/>
      <c r="AE76" s="8" t="n"/>
    </row>
    <row r="77" ht="60" customHeight="1">
      <c r="A77" s="5" t="n">
        <v>72</v>
      </c>
      <c r="B77" s="6" t="inlineStr">
        <is>
          <t>1.3/97</t>
        </is>
      </c>
      <c r="C77" s="6" t="inlineStr">
        <is>
          <t>Задвижка 30ч6бр Ду 200 Ру 10</t>
        </is>
      </c>
      <c r="D77" s="6" t="inlineStr">
        <is>
          <t>ГОСТ 5762-2002,  Гермитичность ГОСТ 9544-2015</t>
        </is>
      </c>
      <c r="E77" s="6" t="inlineStr">
        <is>
          <t>200</t>
        </is>
      </c>
      <c r="F77" s="6" t="inlineStr">
        <is>
          <t>полнопроходной</t>
        </is>
      </c>
      <c r="G77" s="6" t="inlineStr">
        <is>
          <t>1</t>
        </is>
      </c>
      <c r="H77" s="6" t="inlineStr">
        <is>
          <t>до +225°С</t>
        </is>
      </c>
      <c r="I77" s="6" t="inlineStr">
        <is>
          <t>Вода,пар</t>
        </is>
      </c>
      <c r="J77" s="6" t="inlineStr">
        <is>
          <t>серый чугун СЧ</t>
        </is>
      </c>
      <c r="K77" s="6" t="inlineStr">
        <is>
          <t>У2, УХЛ4</t>
        </is>
      </c>
      <c r="L77" s="6" t="inlineStr">
        <is>
          <t>фланец-фланец</t>
        </is>
      </c>
      <c r="M77" s="6" t="inlineStr">
        <is>
          <t>Ручное</t>
        </is>
      </c>
      <c r="N77" s="6" t="inlineStr">
        <is>
          <t>маховик</t>
        </is>
      </c>
      <c r="O77" s="6" t="inlineStr">
        <is>
          <t>любое</t>
        </is>
      </c>
      <c r="P77" s="6" t="inlineStr">
        <is>
          <t>Материал крышки ,диски,маховик,клин-серый чугун,Шпиндель - Серый чугун СЧ 20 ГОСТ 1412</t>
        </is>
      </c>
      <c r="Q77" s="6" t="inlineStr">
        <is>
          <t>строительная длина  330 мм,</t>
        </is>
      </c>
      <c r="R77" s="6" t="inlineStr"/>
      <c r="S77" s="5" t="n">
        <v>13</v>
      </c>
      <c r="T77" s="6" t="inlineStr">
        <is>
          <t>шт</t>
        </is>
      </c>
      <c r="U77" s="8" t="n"/>
      <c r="V77" s="8" t="n"/>
      <c r="W77" s="8" t="n"/>
      <c r="X77" s="8" t="n"/>
      <c r="Y77" s="8" t="n"/>
      <c r="Z77" s="8" t="n"/>
      <c r="AA77" s="9" t="n"/>
      <c r="AB77" s="10">
        <f>AA77*S77</f>
        <v/>
      </c>
      <c r="AC77" s="8" t="n"/>
      <c r="AD77" s="8" t="n"/>
      <c r="AE77" s="8" t="n"/>
    </row>
    <row r="78" ht="60" customHeight="1">
      <c r="A78" s="5" t="n">
        <v>73</v>
      </c>
      <c r="B78" s="6" t="inlineStr">
        <is>
          <t>1.3/98</t>
        </is>
      </c>
      <c r="C78" s="6" t="inlineStr">
        <is>
          <t>Задвижка 30ч6бр Ду 250 Ру 10</t>
        </is>
      </c>
      <c r="D78" s="6" t="inlineStr">
        <is>
          <t>ГОСТ 5762-2002</t>
        </is>
      </c>
      <c r="E78" s="6" t="inlineStr">
        <is>
          <t>250</t>
        </is>
      </c>
      <c r="F78" s="6" t="inlineStr">
        <is>
          <t>полнопроходной</t>
        </is>
      </c>
      <c r="G78" s="6" t="inlineStr">
        <is>
          <t>1</t>
        </is>
      </c>
      <c r="H78" s="6" t="inlineStr">
        <is>
          <t>до +225 °С</t>
        </is>
      </c>
      <c r="I78" s="6" t="inlineStr">
        <is>
          <t>вода,пар</t>
        </is>
      </c>
      <c r="J78" s="6" t="inlineStr">
        <is>
          <t>чугун</t>
        </is>
      </c>
      <c r="K78" s="6" t="inlineStr">
        <is>
          <t>У2</t>
        </is>
      </c>
      <c r="L78" s="6" t="inlineStr">
        <is>
          <t>Присоединение фланцевое по ГОСТ 12817</t>
        </is>
      </c>
      <c r="M78" s="6" t="inlineStr">
        <is>
          <t>ручной</t>
        </is>
      </c>
      <c r="N78" s="6" t="inlineStr">
        <is>
          <t>маховик</t>
        </is>
      </c>
      <c r="O78" s="6" t="inlineStr">
        <is>
          <t>любое</t>
        </is>
      </c>
      <c r="P78" s="6" t="inlineStr">
        <is>
          <t>Материал:- корпусных деталей – серый чугун СЧ 20 ГОСТ 1412; - уплотнительных поверхностей – Латунь ЛС 59-1 ГОСТ 15527-2004. Уплотнение по шпинделю – сальниковое (кольца ТРГ).</t>
        </is>
      </c>
      <c r="Q78" s="6" t="inlineStr"/>
      <c r="R78" s="6" t="inlineStr"/>
      <c r="S78" s="5" t="n">
        <v>4</v>
      </c>
      <c r="T78" s="6" t="inlineStr">
        <is>
          <t>шт</t>
        </is>
      </c>
      <c r="U78" s="8" t="n"/>
      <c r="V78" s="8" t="n"/>
      <c r="W78" s="8" t="n"/>
      <c r="X78" s="8" t="n"/>
      <c r="Y78" s="8" t="n"/>
      <c r="Z78" s="8" t="n"/>
      <c r="AA78" s="9" t="n"/>
      <c r="AB78" s="10">
        <f>AA78*S78</f>
        <v/>
      </c>
      <c r="AC78" s="8" t="n"/>
      <c r="AD78" s="8" t="n"/>
      <c r="AE78" s="8" t="n"/>
    </row>
    <row r="79" ht="60" customHeight="1">
      <c r="A79" s="5" t="n">
        <v>74</v>
      </c>
      <c r="B79" s="6" t="inlineStr">
        <is>
          <t>1.3/99</t>
        </is>
      </c>
      <c r="C79" s="6" t="inlineStr">
        <is>
          <t>Задвижка 30ч6бр Ду 300 Ру 10</t>
        </is>
      </c>
      <c r="D79" s="6" t="inlineStr">
        <is>
          <t>ТУ УЗ 22-03326877-021-96</t>
        </is>
      </c>
      <c r="E79" s="6" t="inlineStr">
        <is>
          <t>300</t>
        </is>
      </c>
      <c r="F79" s="6" t="inlineStr">
        <is>
          <t>стандарт</t>
        </is>
      </c>
      <c r="G79" s="6" t="inlineStr">
        <is>
          <t>1</t>
        </is>
      </c>
      <c r="H79" s="6" t="inlineStr">
        <is>
          <t>до +225</t>
        </is>
      </c>
      <c r="I79" s="6" t="inlineStr">
        <is>
          <t>вода, пар</t>
        </is>
      </c>
      <c r="J79" s="6" t="inlineStr">
        <is>
          <t>серый чугун СЧ 18 (СЧ 20)</t>
        </is>
      </c>
      <c r="K79" s="6" t="inlineStr">
        <is>
          <t>У</t>
        </is>
      </c>
      <c r="L79" s="6" t="inlineStr">
        <is>
          <t>фланцевый</t>
        </is>
      </c>
      <c r="M79" s="6" t="inlineStr">
        <is>
          <t>ручной (маховик)</t>
        </is>
      </c>
      <c r="N79" s="6" t="inlineStr">
        <is>
          <t>-</t>
        </is>
      </c>
      <c r="O79" s="6" t="inlineStr">
        <is>
          <t>любое, кроме маховиком вниз</t>
        </is>
      </c>
      <c r="P79" s="6" t="inlineStr">
        <is>
          <t>Шпиндель — сталь 45; Кольцо уплотнительное, втулка резьбовая — латунь ЛЦ38МцС2; Прокладка под крышку — паронит ПОН; Набивка уплотнительная — АП-31;</t>
        </is>
      </c>
      <c r="Q79" s="6" t="inlineStr">
        <is>
          <t>-</t>
        </is>
      </c>
      <c r="R79" s="6" t="inlineStr"/>
      <c r="S79" s="5" t="n">
        <v>4</v>
      </c>
      <c r="T79" s="6" t="inlineStr">
        <is>
          <t>шт</t>
        </is>
      </c>
      <c r="U79" s="8" t="n"/>
      <c r="V79" s="8" t="n"/>
      <c r="W79" s="8" t="n"/>
      <c r="X79" s="8" t="n"/>
      <c r="Y79" s="8" t="n"/>
      <c r="Z79" s="8" t="n"/>
      <c r="AA79" s="9" t="n"/>
      <c r="AB79" s="10">
        <f>AA79*S79</f>
        <v/>
      </c>
      <c r="AC79" s="8" t="n"/>
      <c r="AD79" s="8" t="n"/>
      <c r="AE79" s="8" t="n"/>
    </row>
    <row r="80" ht="60" customHeight="1">
      <c r="A80" s="5" t="n">
        <v>75</v>
      </c>
      <c r="B80" s="6" t="inlineStr">
        <is>
          <t>1.5/1</t>
        </is>
      </c>
      <c r="C80" s="6" t="inlineStr">
        <is>
          <t>Клапан запорный 15кч18п Ду 25 Ру 16</t>
        </is>
      </c>
      <c r="D80" s="6" t="inlineStr">
        <is>
          <t>ТУ 3732-001-00218137-94</t>
        </is>
      </c>
      <c r="E80" s="6" t="inlineStr">
        <is>
          <t>25</t>
        </is>
      </c>
      <c r="F80" s="6" t="inlineStr">
        <is>
          <t>-</t>
        </is>
      </c>
      <c r="G80" s="6" t="inlineStr">
        <is>
          <t>1.6</t>
        </is>
      </c>
      <c r="H80" s="6" t="inlineStr">
        <is>
          <t>Вода, пар От +1°С до +150°С</t>
        </is>
      </c>
      <c r="I80" s="6" t="inlineStr">
        <is>
          <t>вода, пар.</t>
        </is>
      </c>
      <c r="J80" s="6" t="inlineStr">
        <is>
          <t>КЧ30</t>
        </is>
      </c>
      <c r="K80" s="6" t="inlineStr">
        <is>
          <t>У</t>
        </is>
      </c>
      <c r="L80" s="6" t="inlineStr">
        <is>
          <t>Муфтовый</t>
        </is>
      </c>
      <c r="M80" s="6" t="inlineStr">
        <is>
          <t>Ручной</t>
        </is>
      </c>
      <c r="N80" s="6" t="inlineStr">
        <is>
          <t>-</t>
        </is>
      </c>
      <c r="O80" s="6" t="inlineStr">
        <is>
          <t>любое</t>
        </is>
      </c>
      <c r="P80" s="6" t="inlineStr"/>
      <c r="Q80" s="6" t="inlineStr"/>
      <c r="R80" s="6" t="inlineStr"/>
      <c r="S80" s="5" t="n">
        <v>11</v>
      </c>
      <c r="T80" s="6" t="inlineStr">
        <is>
          <t>шт</t>
        </is>
      </c>
      <c r="U80" s="8" t="n"/>
      <c r="V80" s="8" t="n"/>
      <c r="W80" s="8" t="n"/>
      <c r="X80" s="8" t="n"/>
      <c r="Y80" s="8" t="n"/>
      <c r="Z80" s="8" t="n"/>
      <c r="AA80" s="9" t="n"/>
      <c r="AB80" s="10">
        <f>AA80*S80</f>
        <v/>
      </c>
      <c r="AC80" s="8" t="n"/>
      <c r="AD80" s="8" t="n"/>
      <c r="AE80" s="8" t="n"/>
    </row>
    <row r="81" ht="60" customHeight="1">
      <c r="A81" s="5" t="n">
        <v>76</v>
      </c>
      <c r="B81" s="6" t="inlineStr">
        <is>
          <t>1.6/1</t>
        </is>
      </c>
      <c r="C81" s="6" t="inlineStr">
        <is>
          <t>Клапан регулирующий 25с947нж Ду 25 Ру 25 с ЭИМ</t>
        </is>
      </c>
      <c r="D81" s="6" t="inlineStr">
        <is>
          <t>ТУ 3742-002-22294686-2005</t>
        </is>
      </c>
      <c r="E81" s="6" t="inlineStr">
        <is>
          <t>25</t>
        </is>
      </c>
      <c r="F81" s="6" t="inlineStr">
        <is>
          <t>стандарт</t>
        </is>
      </c>
      <c r="G81" s="6" t="inlineStr">
        <is>
          <t>2.5</t>
        </is>
      </c>
      <c r="H81" s="6" t="inlineStr">
        <is>
          <t>от -40 до +425</t>
        </is>
      </c>
      <c r="I81" s="6" t="inlineStr">
        <is>
          <t>вода, воздух, пар, аммиак, природный газ, нефть, нефтепродукты.</t>
        </is>
      </c>
      <c r="J81" s="6" t="inlineStr">
        <is>
          <t>сталь</t>
        </is>
      </c>
      <c r="K81" s="6" t="inlineStr">
        <is>
          <t>У1</t>
        </is>
      </c>
      <c r="L81" s="6" t="inlineStr">
        <is>
          <t>фланцевый</t>
        </is>
      </c>
      <c r="M81" s="6" t="inlineStr">
        <is>
          <t>электропривод ST «Regada»</t>
        </is>
      </c>
      <c r="N81" s="6" t="inlineStr">
        <is>
          <t>взравозащищённый</t>
        </is>
      </c>
      <c r="O81" s="6" t="inlineStr">
        <is>
          <t>вертикальное</t>
        </is>
      </c>
      <c r="P81" s="6" t="inlineStr">
        <is>
          <t>-</t>
        </is>
      </c>
      <c r="Q81" s="6" t="inlineStr">
        <is>
          <t>-</t>
        </is>
      </c>
      <c r="R81" s="6" t="inlineStr">
        <is>
          <t>"REGADA", АС 220 В, АС 380 В, DC 24 В</t>
        </is>
      </c>
      <c r="S81" s="5" t="n">
        <v>1</v>
      </c>
      <c r="T81" s="6" t="inlineStr">
        <is>
          <t>шт</t>
        </is>
      </c>
      <c r="U81" s="7" t="inlineStr">
        <is>
          <t>Клапан регулирующий Авангард КР 25с947нж Ду25 Ру25 с электроприводом 15-20 109 Regada ST mini</t>
        </is>
      </c>
      <c r="V81" s="7" t="inlineStr">
        <is>
          <t>АО «Авангард» / САЗ (Старый Оскол)</t>
        </is>
      </c>
      <c r="W81" s="7" t="inlineStr">
        <is>
          <t>Россия</t>
        </is>
      </c>
      <c r="X81" s="8" t="n"/>
      <c r="Y81" s="8" t="n"/>
      <c r="Z81" s="8" t="n"/>
      <c r="AA81" s="9" t="n"/>
      <c r="AB81" s="10">
        <f>AA81*S81</f>
        <v/>
      </c>
      <c r="AC81" s="8" t="n"/>
      <c r="AD81" s="8" t="n"/>
      <c r="AE81" s="8" t="n"/>
    </row>
    <row r="82" ht="60" customHeight="1">
      <c r="A82" s="5" t="n">
        <v>77</v>
      </c>
      <c r="B82" s="6" t="inlineStr">
        <is>
          <t>1.6/2</t>
        </is>
      </c>
      <c r="C82" s="6" t="inlineStr">
        <is>
          <t>Клапан регулирующий 25с947нж Ду 50 Ру 25 с ЭИМ</t>
        </is>
      </c>
      <c r="D82" s="6" t="inlineStr">
        <is>
          <t>ТУ 3742-002-22294686-2005</t>
        </is>
      </c>
      <c r="E82" s="6" t="inlineStr">
        <is>
          <t>50</t>
        </is>
      </c>
      <c r="F82" s="6" t="inlineStr">
        <is>
          <t>стандарт</t>
        </is>
      </c>
      <c r="G82" s="6" t="inlineStr">
        <is>
          <t>2.5</t>
        </is>
      </c>
      <c r="H82" s="6" t="inlineStr">
        <is>
          <t>от -40 до +425</t>
        </is>
      </c>
      <c r="I82" s="6" t="inlineStr">
        <is>
          <t>вода, воздух, пар, аммиак, природный газ, нефть, нефтепродукты.</t>
        </is>
      </c>
      <c r="J82" s="6" t="inlineStr">
        <is>
          <t>сталь</t>
        </is>
      </c>
      <c r="K82" s="6" t="inlineStr">
        <is>
          <t>У1</t>
        </is>
      </c>
      <c r="L82" s="6" t="inlineStr">
        <is>
          <t>фланцевый</t>
        </is>
      </c>
      <c r="M82" s="6" t="inlineStr">
        <is>
          <t>электропривод ST «Regada»</t>
        </is>
      </c>
      <c r="N82" s="6" t="inlineStr">
        <is>
          <t>взравозащищённый</t>
        </is>
      </c>
      <c r="O82" s="6" t="inlineStr">
        <is>
          <t>вертикальное</t>
        </is>
      </c>
      <c r="P82" s="6" t="inlineStr">
        <is>
          <t>-</t>
        </is>
      </c>
      <c r="Q82" s="6" t="inlineStr">
        <is>
          <t>-</t>
        </is>
      </c>
      <c r="R82" s="6" t="inlineStr">
        <is>
          <t>"REGADA", АС 220 В, АС 380 В, DC 24 В</t>
        </is>
      </c>
      <c r="S82" s="5" t="n">
        <v>1</v>
      </c>
      <c r="T82" s="6" t="inlineStr">
        <is>
          <t>шт</t>
        </is>
      </c>
      <c r="U82" s="7" t="inlineStr">
        <is>
          <t>Клапан регулирующий Авангард КР 25с947нж Ду50 Ру25 с электроприводом 15-20 110 Regada ST 0</t>
        </is>
      </c>
      <c r="V82" s="7" t="inlineStr">
        <is>
          <t>АО «Авангард» / САЗ (Старый Оскол)</t>
        </is>
      </c>
      <c r="W82" s="7" t="inlineStr">
        <is>
          <t>Россия</t>
        </is>
      </c>
      <c r="X82" s="8" t="n"/>
      <c r="Y82" s="8" t="n"/>
      <c r="Z82" s="8" t="n"/>
      <c r="AA82" s="9" t="n"/>
      <c r="AB82" s="10">
        <f>AA82*S82</f>
        <v/>
      </c>
      <c r="AC82" s="8" t="n"/>
      <c r="AD82" s="8" t="n"/>
      <c r="AE82" s="8" t="n"/>
    </row>
    <row r="83" ht="60" customHeight="1">
      <c r="A83" s="5" t="n">
        <v>78</v>
      </c>
      <c r="B83" s="6" t="inlineStr">
        <is>
          <t>1.6/3</t>
        </is>
      </c>
      <c r="C83" s="6" t="inlineStr">
        <is>
          <t>Регулирующий клапан Ридан VFG-2R Ду 80, Kvs 80, Ру 16</t>
        </is>
      </c>
      <c r="D83" s="6" t="inlineStr">
        <is>
          <t>ТУ 28.14.11-002-72323163-2022</t>
        </is>
      </c>
      <c r="E83" s="6" t="inlineStr">
        <is>
          <t>80</t>
        </is>
      </c>
      <c r="F83" s="6" t="inlineStr">
        <is>
          <t>стандарт</t>
        </is>
      </c>
      <c r="G83" s="6" t="inlineStr">
        <is>
          <t>1.6</t>
        </is>
      </c>
      <c r="H83" s="6" t="inlineStr">
        <is>
          <t>от 2 до +150 C</t>
        </is>
      </c>
      <c r="I83" s="6" t="inlineStr">
        <is>
          <t>вода, 30% водный раствор гликоля</t>
        </is>
      </c>
      <c r="J83" s="6" t="inlineStr">
        <is>
          <t>чугун</t>
        </is>
      </c>
      <c r="K83" s="6" t="inlineStr">
        <is>
          <t>-</t>
        </is>
      </c>
      <c r="L83" s="6" t="inlineStr">
        <is>
          <t>фланцевый</t>
        </is>
      </c>
      <c r="M83" s="6" t="inlineStr">
        <is>
          <t>-</t>
        </is>
      </c>
      <c r="N83" s="6" t="inlineStr">
        <is>
          <t>-</t>
        </is>
      </c>
      <c r="O83" s="6" t="inlineStr">
        <is>
          <t>-</t>
        </is>
      </c>
      <c r="P83" s="6" t="inlineStr">
        <is>
          <t>Температура рабочей среды, °С	2–150 °С
Тип присоединения к трубопроводу	фланцы по ГОСТ 33259
Масса, кг, не более	33
Пропускная способность Kvs, м³/ч	80
Рабочая среда	Вода или 30% водный раствор гликоля
Модель	VFG-2R
Диаметр, Ду	80
Давление, Ру	16</t>
        </is>
      </c>
      <c r="Q83" s="6" t="inlineStr">
        <is>
          <t>-</t>
        </is>
      </c>
      <c r="R83" s="6" t="inlineStr">
        <is>
          <t>-</t>
        </is>
      </c>
      <c r="S83" s="5" t="n">
        <v>1</v>
      </c>
      <c r="T83" s="6" t="inlineStr">
        <is>
          <t>шт</t>
        </is>
      </c>
      <c r="U83" s="7" t="inlineStr">
        <is>
          <t>Клапан регулирующий двухходовой Ридан VFM-2R Ду80 Ру16 седельный, фланцевый, Kv 100м3/ч, корпус - чугун 111 QT450-10, уп</t>
        </is>
      </c>
      <c r="V83" s="7" t="inlineStr">
        <is>
          <t>ООО «Ридан»</t>
        </is>
      </c>
      <c r="W83" s="7" t="inlineStr">
        <is>
          <t>Россия</t>
        </is>
      </c>
      <c r="X83" s="8" t="n"/>
      <c r="Y83" s="8" t="n"/>
      <c r="Z83" s="8" t="n"/>
      <c r="AA83" s="9" t="n"/>
      <c r="AB83" s="10">
        <f>AA83*S83</f>
        <v/>
      </c>
      <c r="AC83" s="8" t="n"/>
      <c r="AD83" s="8" t="n"/>
      <c r="AE83" s="8" t="n"/>
    </row>
    <row r="84" ht="60" customHeight="1">
      <c r="A84" s="5" t="n">
        <v>79</v>
      </c>
      <c r="B84" s="6" t="inlineStr">
        <is>
          <t>1.6/4</t>
        </is>
      </c>
      <c r="C84" s="6" t="inlineStr">
        <is>
          <t>Клапан обратный межфланцевый 19ч21бр Ду 100 Ру 16</t>
        </is>
      </c>
      <c r="D84" s="6" t="inlineStr">
        <is>
          <t>ТУ 372240-001-48140495-05</t>
        </is>
      </c>
      <c r="E84" s="6" t="inlineStr">
        <is>
          <t>100</t>
        </is>
      </c>
      <c r="F84" s="6" t="inlineStr">
        <is>
          <t>стандарт</t>
        </is>
      </c>
      <c r="G84" s="6" t="inlineStr">
        <is>
          <t>1.6</t>
        </is>
      </c>
      <c r="H84" s="6" t="inlineStr">
        <is>
          <t>до +225</t>
        </is>
      </c>
      <c r="I84" s="6" t="inlineStr">
        <is>
          <t>жидкости, пар и газы</t>
        </is>
      </c>
      <c r="J84" s="6" t="inlineStr">
        <is>
          <t>чугун</t>
        </is>
      </c>
      <c r="K84" s="6" t="inlineStr">
        <is>
          <t>У</t>
        </is>
      </c>
      <c r="L84" s="6" t="inlineStr">
        <is>
          <t>межфланцевый</t>
        </is>
      </c>
      <c r="M84" s="6" t="inlineStr">
        <is>
          <t>-</t>
        </is>
      </c>
      <c r="N84" s="6" t="inlineStr">
        <is>
          <t>-</t>
        </is>
      </c>
      <c r="O84" s="6" t="inlineStr">
        <is>
          <t>любое</t>
        </is>
      </c>
      <c r="P84" s="6" t="inlineStr">
        <is>
          <t>материал уплотнения - латунь ЛЦ40С</t>
        </is>
      </c>
      <c r="Q84" s="6" t="inlineStr">
        <is>
          <t>-</t>
        </is>
      </c>
      <c r="R84" s="6" t="inlineStr">
        <is>
          <t>-</t>
        </is>
      </c>
      <c r="S84" s="5" t="n">
        <v>1</v>
      </c>
      <c r="T84" s="6" t="inlineStr">
        <is>
          <t>шт</t>
        </is>
      </c>
      <c r="U84" s="8" t="n"/>
      <c r="V84" s="8" t="n"/>
      <c r="W84" s="8" t="n"/>
      <c r="X84" s="8" t="n"/>
      <c r="Y84" s="8" t="n"/>
      <c r="Z84" s="8" t="n"/>
      <c r="AA84" s="9" t="n"/>
      <c r="AB84" s="10">
        <f>AA84*S84</f>
        <v/>
      </c>
      <c r="AC84" s="8" t="n"/>
      <c r="AD84" s="8" t="n"/>
      <c r="AE84" s="8" t="n"/>
    </row>
    <row r="85" ht="60" customHeight="1">
      <c r="A85" s="5" t="n">
        <v>80</v>
      </c>
      <c r="B85" s="6" t="inlineStr">
        <is>
          <t>1.6/5</t>
        </is>
      </c>
      <c r="C85" s="6" t="inlineStr">
        <is>
          <t>Клапан обратный межфланцевый 19ч21бр Ду 50 Ру 16</t>
        </is>
      </c>
      <c r="D85" s="6" t="inlineStr">
        <is>
          <t>ТУ 372240-001-48140495-05</t>
        </is>
      </c>
      <c r="E85" s="6" t="inlineStr">
        <is>
          <t>50</t>
        </is>
      </c>
      <c r="F85" s="6" t="inlineStr">
        <is>
          <t>стандарт</t>
        </is>
      </c>
      <c r="G85" s="6" t="inlineStr">
        <is>
          <t>1.6</t>
        </is>
      </c>
      <c r="H85" s="6" t="inlineStr">
        <is>
          <t>до +225</t>
        </is>
      </c>
      <c r="I85" s="6" t="inlineStr">
        <is>
          <t>жидкости, пар и газы</t>
        </is>
      </c>
      <c r="J85" s="6" t="inlineStr">
        <is>
          <t>чугун</t>
        </is>
      </c>
      <c r="K85" s="6" t="inlineStr">
        <is>
          <t>У</t>
        </is>
      </c>
      <c r="L85" s="6" t="inlineStr">
        <is>
          <t>межфланцевый</t>
        </is>
      </c>
      <c r="M85" s="6" t="inlineStr">
        <is>
          <t>-</t>
        </is>
      </c>
      <c r="N85" s="6" t="inlineStr">
        <is>
          <t>-</t>
        </is>
      </c>
      <c r="O85" s="6" t="inlineStr">
        <is>
          <t>любое</t>
        </is>
      </c>
      <c r="P85" s="6" t="inlineStr">
        <is>
          <t>материал уплотнения - латунь ЛЦ40С</t>
        </is>
      </c>
      <c r="Q85" s="6" t="inlineStr">
        <is>
          <t>-</t>
        </is>
      </c>
      <c r="R85" s="6" t="inlineStr">
        <is>
          <t>-</t>
        </is>
      </c>
      <c r="S85" s="5" t="n">
        <v>1</v>
      </c>
      <c r="T85" s="6" t="inlineStr">
        <is>
          <t>шт</t>
        </is>
      </c>
      <c r="U85" s="8" t="n"/>
      <c r="V85" s="8" t="n"/>
      <c r="W85" s="8" t="n"/>
      <c r="X85" s="8" t="n"/>
      <c r="Y85" s="8" t="n"/>
      <c r="Z85" s="8" t="n"/>
      <c r="AA85" s="9" t="n"/>
      <c r="AB85" s="10">
        <f>AA85*S85</f>
        <v/>
      </c>
      <c r="AC85" s="8" t="n"/>
      <c r="AD85" s="8" t="n"/>
      <c r="AE85" s="8" t="n"/>
    </row>
    <row r="86" ht="60" customHeight="1">
      <c r="A86" s="5" t="n">
        <v>81</v>
      </c>
      <c r="B86" s="6" t="inlineStr">
        <is>
          <t>1.6/6</t>
        </is>
      </c>
      <c r="C86" s="6" t="inlineStr">
        <is>
          <t>Клапан обратный межфланцевый 19ч21бр Ду 80 Ру 16</t>
        </is>
      </c>
      <c r="D86" s="6" t="inlineStr">
        <is>
          <t>ТУ 372240-001-48140495-05</t>
        </is>
      </c>
      <c r="E86" s="6" t="inlineStr">
        <is>
          <t>80</t>
        </is>
      </c>
      <c r="F86" s="6" t="inlineStr">
        <is>
          <t>стандарт</t>
        </is>
      </c>
      <c r="G86" s="6" t="inlineStr">
        <is>
          <t>1.6</t>
        </is>
      </c>
      <c r="H86" s="6" t="inlineStr">
        <is>
          <t>до +225</t>
        </is>
      </c>
      <c r="I86" s="6" t="inlineStr">
        <is>
          <t>жидкости, пар и газы</t>
        </is>
      </c>
      <c r="J86" s="6" t="inlineStr">
        <is>
          <t>чугун</t>
        </is>
      </c>
      <c r="K86" s="6" t="inlineStr">
        <is>
          <t>У</t>
        </is>
      </c>
      <c r="L86" s="6" t="inlineStr">
        <is>
          <t>межфланцевый</t>
        </is>
      </c>
      <c r="M86" s="6" t="inlineStr">
        <is>
          <t>-</t>
        </is>
      </c>
      <c r="N86" s="6" t="inlineStr">
        <is>
          <t>-</t>
        </is>
      </c>
      <c r="O86" s="6" t="inlineStr">
        <is>
          <t>любое</t>
        </is>
      </c>
      <c r="P86" s="6" t="inlineStr">
        <is>
          <t>материал уплотнения - латунь ЛЦ40С</t>
        </is>
      </c>
      <c r="Q86" s="6" t="inlineStr">
        <is>
          <t>-</t>
        </is>
      </c>
      <c r="R86" s="6" t="inlineStr">
        <is>
          <t>-</t>
        </is>
      </c>
      <c r="S86" s="5" t="n">
        <v>2</v>
      </c>
      <c r="T86" s="6" t="inlineStr">
        <is>
          <t>шт</t>
        </is>
      </c>
      <c r="U86" s="8" t="n"/>
      <c r="V86" s="8" t="n"/>
      <c r="W86" s="8" t="n"/>
      <c r="X86" s="8" t="n"/>
      <c r="Y86" s="8" t="n"/>
      <c r="Z86" s="8" t="n"/>
      <c r="AA86" s="9" t="n"/>
      <c r="AB86" s="10">
        <f>AA86*S86</f>
        <v/>
      </c>
      <c r="AC86" s="8" t="n"/>
      <c r="AD86" s="8" t="n"/>
      <c r="AE86" s="8" t="n"/>
    </row>
    <row r="87" ht="60" customHeight="1">
      <c r="A87" s="5" t="n">
        <v>82</v>
      </c>
      <c r="B87" s="6" t="inlineStr">
        <is>
          <t>1.6/7</t>
        </is>
      </c>
      <c r="C87" s="6" t="inlineStr">
        <is>
          <t>Клапан обратный двухстворчатый DENDOR 010C Ду 100 Ру 16 межфланцевый</t>
        </is>
      </c>
      <c r="D87" s="6" t="inlineStr">
        <is>
          <t>Клапан соответствует требованиям
ГОСТ Р 51052-2002</t>
        </is>
      </c>
      <c r="E87" s="6" t="inlineStr">
        <is>
          <t>100</t>
        </is>
      </c>
      <c r="F87" s="6" t="inlineStr">
        <is>
          <t>стандарт</t>
        </is>
      </c>
      <c r="G87" s="6" t="inlineStr">
        <is>
          <t>1.6</t>
        </is>
      </c>
      <c r="H87" s="6" t="inlineStr">
        <is>
          <t>от - 25 до +130</t>
        </is>
      </c>
      <c r="I87" s="6" t="inlineStr">
        <is>
          <t>вода, воздух, пар</t>
        </is>
      </c>
      <c r="J87" s="6" t="inlineStr">
        <is>
          <t>Чугун GGG40</t>
        </is>
      </c>
      <c r="K87" s="6" t="inlineStr">
        <is>
          <t>У, Т, УХЛ, ОМ по ГОСТ 15150</t>
        </is>
      </c>
      <c r="L87" s="6" t="inlineStr">
        <is>
          <t>межфланцевый</t>
        </is>
      </c>
      <c r="M87" s="6" t="inlineStr">
        <is>
          <t>-</t>
        </is>
      </c>
      <c r="N87" s="6" t="inlineStr">
        <is>
          <t>-</t>
        </is>
      </c>
      <c r="O87" s="6" t="inlineStr">
        <is>
          <t>горизонтальное, либо вертикальное</t>
        </is>
      </c>
      <c r="P87" s="6" t="inlineStr">
        <is>
          <t>Уплотнение EPDM</t>
        </is>
      </c>
      <c r="Q87" s="6" t="inlineStr">
        <is>
          <t>Строительная длина 64мм, диаметр корпуса  215мм</t>
        </is>
      </c>
      <c r="R87" s="6" t="inlineStr"/>
      <c r="S87" s="5" t="n">
        <v>1</v>
      </c>
      <c r="T87" s="6" t="inlineStr">
        <is>
          <t>шт</t>
        </is>
      </c>
      <c r="U87" s="8" t="n"/>
      <c r="V87" s="8" t="n"/>
      <c r="W87" s="8" t="n"/>
      <c r="X87" s="8" t="n"/>
      <c r="Y87" s="8" t="n"/>
      <c r="Z87" s="8" t="n"/>
      <c r="AA87" s="9" t="n"/>
      <c r="AB87" s="10">
        <f>AA87*S87</f>
        <v/>
      </c>
      <c r="AC87" s="8" t="n"/>
      <c r="AD87" s="8" t="n"/>
      <c r="AE87" s="8" t="n"/>
    </row>
    <row r="88" ht="60" customHeight="1">
      <c r="A88" s="5" t="n">
        <v>83</v>
      </c>
      <c r="B88" s="6" t="inlineStr">
        <is>
          <t>1.6/8</t>
        </is>
      </c>
      <c r="C88" s="6" t="inlineStr">
        <is>
          <t>Клапан обратный двухстворчатый DENDOR 010C Ду 150 Ру 16 межфланцевый</t>
        </is>
      </c>
      <c r="D88" s="6" t="inlineStr">
        <is>
          <t>Клапан соответствует требованиям
ГОСТ Р 51052-2002</t>
        </is>
      </c>
      <c r="E88" s="6" t="inlineStr">
        <is>
          <t>150</t>
        </is>
      </c>
      <c r="F88" s="6" t="inlineStr">
        <is>
          <t>стандарт</t>
        </is>
      </c>
      <c r="G88" s="6" t="inlineStr">
        <is>
          <t>1.6</t>
        </is>
      </c>
      <c r="H88" s="6" t="inlineStr">
        <is>
          <t>от - 25 до +130</t>
        </is>
      </c>
      <c r="I88" s="6" t="inlineStr">
        <is>
          <t>вода, воздух, пар</t>
        </is>
      </c>
      <c r="J88" s="6" t="inlineStr">
        <is>
          <t>Чугун GGG40</t>
        </is>
      </c>
      <c r="K88" s="6" t="inlineStr">
        <is>
          <t>У, Т, УХЛ, ОМ по ГОСТ 15150</t>
        </is>
      </c>
      <c r="L88" s="6" t="inlineStr">
        <is>
          <t>межфланцевый</t>
        </is>
      </c>
      <c r="M88" s="6" t="inlineStr">
        <is>
          <t>-</t>
        </is>
      </c>
      <c r="N88" s="6" t="inlineStr">
        <is>
          <t>-</t>
        </is>
      </c>
      <c r="O88" s="6" t="inlineStr">
        <is>
          <t>горизонтальное, либо вертикальное</t>
        </is>
      </c>
      <c r="P88" s="6" t="inlineStr">
        <is>
          <t>Уплотнение EPDM</t>
        </is>
      </c>
      <c r="Q88" s="6" t="inlineStr">
        <is>
          <t>Строительная длина 76мм, диаметр корпуса  218мм</t>
        </is>
      </c>
      <c r="R88" s="6" t="inlineStr">
        <is>
          <t>-</t>
        </is>
      </c>
      <c r="S88" s="5" t="n">
        <v>1</v>
      </c>
      <c r="T88" s="6" t="inlineStr">
        <is>
          <t>шт</t>
        </is>
      </c>
      <c r="U88" s="8" t="n"/>
      <c r="V88" s="8" t="n"/>
      <c r="W88" s="8" t="n"/>
      <c r="X88" s="8" t="n"/>
      <c r="Y88" s="8" t="n"/>
      <c r="Z88" s="8" t="n"/>
      <c r="AA88" s="9" t="n"/>
      <c r="AB88" s="10">
        <f>AA88*S88</f>
        <v/>
      </c>
      <c r="AC88" s="8" t="n"/>
      <c r="AD88" s="8" t="n"/>
      <c r="AE88" s="8" t="n"/>
    </row>
    <row r="89" ht="60" customHeight="1">
      <c r="A89" s="5" t="n">
        <v>84</v>
      </c>
      <c r="B89" s="6" t="inlineStr">
        <is>
          <t>1.6/9</t>
        </is>
      </c>
      <c r="C89" s="6" t="inlineStr">
        <is>
          <t>Клапан обратный двухстворчатый DENDOR 010C Ду 200 Ру 16 межфланцевый</t>
        </is>
      </c>
      <c r="D89" s="6" t="inlineStr">
        <is>
          <t>Клапан соответствует требованиям
ГОСТ Р 51052-2002</t>
        </is>
      </c>
      <c r="E89" s="6" t="inlineStr">
        <is>
          <t>200</t>
        </is>
      </c>
      <c r="F89" s="6" t="inlineStr">
        <is>
          <t>стандарт</t>
        </is>
      </c>
      <c r="G89" s="6" t="inlineStr">
        <is>
          <t>1.6</t>
        </is>
      </c>
      <c r="H89" s="6" t="inlineStr">
        <is>
          <t>от - 25 до +130</t>
        </is>
      </c>
      <c r="I89" s="6" t="inlineStr">
        <is>
          <t>вода, воздух, пар</t>
        </is>
      </c>
      <c r="J89" s="6" t="inlineStr">
        <is>
          <t>Чугун GGG40</t>
        </is>
      </c>
      <c r="K89" s="6" t="inlineStr">
        <is>
          <t>У, Т, УХЛ, ОМ по ГОСТ 15150</t>
        </is>
      </c>
      <c r="L89" s="6" t="inlineStr">
        <is>
          <t>межфланцевый</t>
        </is>
      </c>
      <c r="M89" s="6" t="inlineStr">
        <is>
          <t>-</t>
        </is>
      </c>
      <c r="N89" s="6" t="inlineStr">
        <is>
          <t>-</t>
        </is>
      </c>
      <c r="O89" s="6" t="inlineStr">
        <is>
          <t>горизонтальное, либо вертикальное</t>
        </is>
      </c>
      <c r="P89" s="6" t="inlineStr">
        <is>
          <t>Уплотнение EPDM</t>
        </is>
      </c>
      <c r="Q89" s="6" t="inlineStr">
        <is>
          <t>Строительная длина 89мм, диаметр корпуса  273мм</t>
        </is>
      </c>
      <c r="R89" s="6" t="inlineStr">
        <is>
          <t>-</t>
        </is>
      </c>
      <c r="S89" s="5" t="n">
        <v>1</v>
      </c>
      <c r="T89" s="6" t="inlineStr">
        <is>
          <t>шт</t>
        </is>
      </c>
      <c r="U89" s="8" t="n"/>
      <c r="V89" s="8" t="n"/>
      <c r="W89" s="8" t="n"/>
      <c r="X89" s="8" t="n"/>
      <c r="Y89" s="8" t="n"/>
      <c r="Z89" s="8" t="n"/>
      <c r="AA89" s="9" t="n"/>
      <c r="AB89" s="10">
        <f>AA89*S89</f>
        <v/>
      </c>
      <c r="AC89" s="8" t="n"/>
      <c r="AD89" s="8" t="n"/>
      <c r="AE89" s="8" t="n"/>
    </row>
    <row r="90" ht="60" customHeight="1">
      <c r="A90" s="5" t="n">
        <v>85</v>
      </c>
      <c r="B90" s="6" t="inlineStr">
        <is>
          <t>1.6/10</t>
        </is>
      </c>
      <c r="C90" s="6" t="inlineStr">
        <is>
          <t>Клапан предохранительный сбросный ПСК 50C/125 Ду 50</t>
        </is>
      </c>
      <c r="D90" s="6" t="inlineStr">
        <is>
          <t>-</t>
        </is>
      </c>
      <c r="E90" s="6" t="inlineStr">
        <is>
          <t>50</t>
        </is>
      </c>
      <c r="F90" s="6" t="inlineStr">
        <is>
          <t>-</t>
        </is>
      </c>
      <c r="G90" s="6" t="inlineStr">
        <is>
          <t>-</t>
        </is>
      </c>
      <c r="H90" s="6" t="inlineStr">
        <is>
          <t>от -40°С до +50°С</t>
        </is>
      </c>
      <c r="I90" s="6" t="inlineStr">
        <is>
          <t>газ</t>
        </is>
      </c>
      <c r="J90" s="6" t="inlineStr">
        <is>
          <t>алюминий</t>
        </is>
      </c>
      <c r="K90" s="6" t="inlineStr">
        <is>
          <t>У2</t>
        </is>
      </c>
      <c r="L90" s="6" t="inlineStr">
        <is>
          <t>муфтовый</t>
        </is>
      </c>
      <c r="M90" s="6" t="inlineStr">
        <is>
          <t>-</t>
        </is>
      </c>
      <c r="N90" s="6" t="inlineStr">
        <is>
          <t>-</t>
        </is>
      </c>
      <c r="O90" s="6" t="inlineStr">
        <is>
          <t>-</t>
        </is>
      </c>
      <c r="P90" s="6" t="inlineStr">
        <is>
          <t>Предохранительный сбросной клапан ПСК-50С/125 предназначен для ограничения давления природного газа путем сброса избыточного давления газа в атмосферу. Максимальное давление открытия клапана: 125кПа (1.25кгс/см2)
Диаметр условного прохода: 50мм
Диапазон настройки срабатывания клапана: 50..125кПа
Присоединение: муфтовое</t>
        </is>
      </c>
      <c r="Q90" s="6" t="inlineStr">
        <is>
          <t>-</t>
        </is>
      </c>
      <c r="R90" s="6" t="inlineStr">
        <is>
          <t>-</t>
        </is>
      </c>
      <c r="S90" s="5" t="n">
        <v>1</v>
      </c>
      <c r="T90" s="6" t="inlineStr">
        <is>
          <t>шт</t>
        </is>
      </c>
      <c r="U90" s="8" t="n"/>
      <c r="V90" s="8" t="n"/>
      <c r="W90" s="8" t="n"/>
      <c r="X90" s="8" t="n"/>
      <c r="Y90" s="8" t="n"/>
      <c r="Z90" s="8" t="n"/>
      <c r="AA90" s="9" t="n"/>
      <c r="AB90" s="10">
        <f>AA90*S90</f>
        <v/>
      </c>
      <c r="AC90" s="8" t="n"/>
      <c r="AD90" s="8" t="n"/>
      <c r="AE90" s="8" t="n"/>
    </row>
    <row r="91" ht="60" customHeight="1">
      <c r="A91" s="5" t="n">
        <v>86</v>
      </c>
      <c r="B91" s="6" t="inlineStr">
        <is>
          <t>1.6/12</t>
        </is>
      </c>
      <c r="C91" s="6" t="inlineStr">
        <is>
          <t>Клапан предохранительный 17с28нж Ду 50 Ру16 (Рн 10-16)</t>
        </is>
      </c>
      <c r="D91" s="6" t="inlineStr">
        <is>
          <t>ТУ 3742-003-22294686-2007</t>
        </is>
      </c>
      <c r="E91" s="6" t="inlineStr">
        <is>
          <t>50</t>
        </is>
      </c>
      <c r="F91" s="6" t="inlineStr">
        <is>
          <t>стандарт</t>
        </is>
      </c>
      <c r="G91" s="6" t="inlineStr">
        <is>
          <t>1.6</t>
        </is>
      </c>
      <c r="H91" s="6" t="inlineStr">
        <is>
          <t>от -40 до +425</t>
        </is>
      </c>
      <c r="I91" s="6" t="inlineStr">
        <is>
          <t>вода, воздух, пар, аммиак, природный газ, нефть, нефтепродукты</t>
        </is>
      </c>
      <c r="J91" s="6" t="inlineStr">
        <is>
          <t>сталь 25Л</t>
        </is>
      </c>
      <c r="K91" s="6" t="inlineStr">
        <is>
          <t>У1</t>
        </is>
      </c>
      <c r="L91" s="6" t="inlineStr">
        <is>
          <t>фланцевый</t>
        </is>
      </c>
      <c r="M91" s="6" t="inlineStr">
        <is>
          <t>-</t>
        </is>
      </c>
      <c r="N91" s="6" t="inlineStr">
        <is>
          <t>-</t>
        </is>
      </c>
      <c r="O91" s="6" t="inlineStr">
        <is>
          <t>вертикальное, колпаком вверх</t>
        </is>
      </c>
      <c r="P91" s="6" t="inlineStr">
        <is>
          <t>Уплотнение в затворе - нержавеющая сталь; Пружина - Сталь 50ХФА; Золотник, седло, шток - Сталь 20Х13</t>
        </is>
      </c>
      <c r="Q91" s="6" t="inlineStr">
        <is>
          <t>-</t>
        </is>
      </c>
      <c r="R91" s="6" t="inlineStr">
        <is>
          <t>-</t>
        </is>
      </c>
      <c r="S91" s="5" t="n">
        <v>3</v>
      </c>
      <c r="T91" s="6" t="inlineStr">
        <is>
          <t>шт</t>
        </is>
      </c>
      <c r="U91" s="7" t="inlineStr">
        <is>
          <t>Клапан предохранительный Авангард 17с28нж Ду50-80 Ру16-6 полноподъемный пружинный 1 шт фланцевый</t>
        </is>
      </c>
      <c r="V91" s="7" t="inlineStr">
        <is>
          <t>АО «Авангард» / САЗ (Старый Оскол)</t>
        </is>
      </c>
      <c r="W91" s="7" t="inlineStr">
        <is>
          <t>Россия</t>
        </is>
      </c>
      <c r="X91" s="8" t="n"/>
      <c r="Y91" s="8" t="n"/>
      <c r="Z91" s="8" t="n"/>
      <c r="AA91" s="9" t="n"/>
      <c r="AB91" s="10">
        <f>AA91*S91</f>
        <v/>
      </c>
      <c r="AC91" s="8" t="n"/>
      <c r="AD91" s="8" t="n"/>
      <c r="AE91" s="8" t="n"/>
    </row>
    <row r="92" ht="60" customHeight="1">
      <c r="A92" s="5" t="n">
        <v>87</v>
      </c>
      <c r="B92" s="6" t="inlineStr">
        <is>
          <t>1.6/13</t>
        </is>
      </c>
      <c r="C92" s="6" t="inlineStr">
        <is>
          <t>Клапан предохранительный 17с6нж Ду 50 Ру 16</t>
        </is>
      </c>
      <c r="D92" s="6" t="inlineStr">
        <is>
          <t>ТУ 3742-005-22294686-2009</t>
        </is>
      </c>
      <c r="E92" s="6" t="inlineStr">
        <is>
          <t>50</t>
        </is>
      </c>
      <c r="F92" s="6" t="inlineStr">
        <is>
          <t>стандарт</t>
        </is>
      </c>
      <c r="G92" s="6" t="inlineStr">
        <is>
          <t>1.6</t>
        </is>
      </c>
      <c r="H92" s="6" t="inlineStr">
        <is>
          <t>от -40 до +425</t>
        </is>
      </c>
      <c r="I92" s="6" t="inlineStr">
        <is>
          <t>жидкие и газообразные, нефть, нефтепродукты, углеводородные газы, вода, пар</t>
        </is>
      </c>
      <c r="J92" s="6" t="inlineStr">
        <is>
          <t>сталь 25Л</t>
        </is>
      </c>
      <c r="K92" s="6" t="inlineStr">
        <is>
          <t>У1</t>
        </is>
      </c>
      <c r="L92" s="6" t="inlineStr">
        <is>
          <t>фланцевый</t>
        </is>
      </c>
      <c r="M92" s="6" t="inlineStr"/>
      <c r="N92" s="6" t="inlineStr"/>
      <c r="O92" s="6" t="inlineStr">
        <is>
          <t>вертикальное, колпаком вверх</t>
        </is>
      </c>
      <c r="P92" s="6" t="inlineStr">
        <is>
          <t>Седло: сталь 20Х13
Шток: сталь 20Х13.
Пружина: 50ХФА
Прокладка: Паронит
Шпилька: сталь 35</t>
        </is>
      </c>
      <c r="Q92" s="6" t="inlineStr">
        <is>
          <t>-</t>
        </is>
      </c>
      <c r="R92" s="6" t="inlineStr">
        <is>
          <t>-</t>
        </is>
      </c>
      <c r="S92" s="5" t="n">
        <v>2</v>
      </c>
      <c r="T92" s="6" t="inlineStr">
        <is>
          <t>шт</t>
        </is>
      </c>
      <c r="U92" s="7" t="inlineStr">
        <is>
          <t>Клапан предохранительный Авангард 17с6нж Ду50-80 Ру16 полноподъемный пружинный фланцевый, корпус - углеродистая сталь 25</t>
        </is>
      </c>
      <c r="V92" s="7" t="inlineStr">
        <is>
          <t>АО «Авангард» / САЗ (Старый Оскол)</t>
        </is>
      </c>
      <c r="W92" s="7" t="inlineStr">
        <is>
          <t>Россия</t>
        </is>
      </c>
      <c r="X92" s="8" t="n"/>
      <c r="Y92" s="8" t="n"/>
      <c r="Z92" s="8" t="n"/>
      <c r="AA92" s="9" t="n"/>
      <c r="AB92" s="10">
        <f>AA92*S92</f>
        <v/>
      </c>
      <c r="AC92" s="8" t="n"/>
      <c r="AD92" s="8" t="n"/>
      <c r="AE92" s="8" t="n"/>
    </row>
    <row r="93" ht="60" customHeight="1">
      <c r="A93" s="5" t="n">
        <v>88</v>
      </c>
      <c r="B93" s="6" t="inlineStr">
        <is>
          <t>1.6/14</t>
        </is>
      </c>
      <c r="C93" s="6" t="inlineStr">
        <is>
          <t>Клапан предохранительный 17с6нж Ду 80 Ру 16</t>
        </is>
      </c>
      <c r="D93" s="6" t="inlineStr">
        <is>
          <t>ТУ 3742-005-22294686-2009</t>
        </is>
      </c>
      <c r="E93" s="6" t="inlineStr">
        <is>
          <t>80</t>
        </is>
      </c>
      <c r="F93" s="6" t="inlineStr">
        <is>
          <t>стандарт</t>
        </is>
      </c>
      <c r="G93" s="6" t="inlineStr">
        <is>
          <t>1.6</t>
        </is>
      </c>
      <c r="H93" s="6" t="inlineStr">
        <is>
          <t>от -40 до +425</t>
        </is>
      </c>
      <c r="I93" s="6" t="inlineStr">
        <is>
          <t>жидкие и газообразные, нефть, нефтепродукты, углеводородные газы, вода, пар</t>
        </is>
      </c>
      <c r="J93" s="6" t="inlineStr">
        <is>
          <t>сталь 25Л</t>
        </is>
      </c>
      <c r="K93" s="6" t="inlineStr">
        <is>
          <t>У1</t>
        </is>
      </c>
      <c r="L93" s="6" t="inlineStr">
        <is>
          <t>фланцевый</t>
        </is>
      </c>
      <c r="M93" s="6" t="inlineStr"/>
      <c r="N93" s="6" t="inlineStr"/>
      <c r="O93" s="6" t="inlineStr">
        <is>
          <t>вертикальное, колпаком вверх</t>
        </is>
      </c>
      <c r="P93" s="6" t="inlineStr">
        <is>
          <t>Седло: сталь 20Х13
Шток: сталь 20Х13.
Пружина: 50ХФА
Прокладка: Паронит
Шпилька: сталь 35</t>
        </is>
      </c>
      <c r="Q93" s="6" t="inlineStr">
        <is>
          <t>-</t>
        </is>
      </c>
      <c r="R93" s="6" t="inlineStr">
        <is>
          <t>-</t>
        </is>
      </c>
      <c r="S93" s="5" t="n">
        <v>1</v>
      </c>
      <c r="T93" s="6" t="inlineStr">
        <is>
          <t>шт</t>
        </is>
      </c>
      <c r="U93" s="7" t="inlineStr">
        <is>
          <t>Клапан предохранительный Авангард 17с6нж Ду80-100 Ру16 полноподъемный пружинный фланцевый, корпус - 25 -30 раб. углероди</t>
        </is>
      </c>
      <c r="V93" s="7" t="inlineStr">
        <is>
          <t>АО «Авангард» / САЗ (Старый Оскол)</t>
        </is>
      </c>
      <c r="W93" s="7" t="inlineStr">
        <is>
          <t>Россия</t>
        </is>
      </c>
      <c r="X93" s="8" t="n"/>
      <c r="Y93" s="8" t="n"/>
      <c r="Z93" s="8" t="n"/>
      <c r="AA93" s="9" t="n"/>
      <c r="AB93" s="10">
        <f>AA93*S93</f>
        <v/>
      </c>
      <c r="AC93" s="8" t="n"/>
      <c r="AD93" s="8" t="n"/>
      <c r="AE93" s="8" t="n"/>
    </row>
    <row r="94" ht="60" customHeight="1">
      <c r="A94" s="5" t="n">
        <v>89</v>
      </c>
      <c r="B94" s="6" t="inlineStr">
        <is>
          <t>1.6/15</t>
        </is>
      </c>
      <c r="C94" s="6" t="inlineStr">
        <is>
          <t>Клапан 15с18нж Ду 32, Ру 25</t>
        </is>
      </c>
      <c r="D94" s="6" t="inlineStr">
        <is>
          <t>ТУ 3742-005-27844275</t>
        </is>
      </c>
      <c r="E94" s="6" t="inlineStr">
        <is>
          <t>32</t>
        </is>
      </c>
      <c r="F94" s="6" t="inlineStr">
        <is>
          <t>стандарт</t>
        </is>
      </c>
      <c r="G94" s="6" t="inlineStr">
        <is>
          <t>2.5</t>
        </is>
      </c>
      <c r="H94" s="6" t="inlineStr">
        <is>
          <t>от -40°С до +425°С</t>
        </is>
      </c>
      <c r="I94" s="6" t="inlineStr">
        <is>
          <t>Среды жидкие и газообразные по отношению, к которым уплотнения и детали крана коррозиестойки (вода, пар, газообразные смеси, нефтепродукты и т.п.)</t>
        </is>
      </c>
      <c r="J94" s="6" t="inlineStr">
        <is>
          <t>сталь 20Л.</t>
        </is>
      </c>
      <c r="K94" s="6" t="inlineStr">
        <is>
          <t>У1</t>
        </is>
      </c>
      <c r="L94" s="6" t="inlineStr">
        <is>
          <t>фланцевый</t>
        </is>
      </c>
      <c r="M94" s="6" t="inlineStr"/>
      <c r="N94" s="6" t="inlineStr"/>
      <c r="O94" s="6" t="inlineStr">
        <is>
          <t>вертикальное, колпаком вверх</t>
        </is>
      </c>
      <c r="P94" s="6" t="inlineStr">
        <is>
          <t>ручное - маховик (многооборотное)  Корпусные детали: Сталь 20Л, 20ГЛ.
Тарельчатый затвор: Сталь 20Л, 20ГЛ с наплавкой из стали 20Х13.
Уплотнения сальника: ТРГ.
Уплотнения затвора: металл по металлу.
Коэффициент гидравлического сопротивления: не более 5.
Монтаж односторонний по стрелке на корпусе, подача среды под тарельчатый затвор.</t>
        </is>
      </c>
      <c r="Q94" s="6" t="inlineStr"/>
      <c r="R94" s="6" t="inlineStr"/>
      <c r="S94" s="5" t="n">
        <v>1</v>
      </c>
      <c r="T94" s="6" t="inlineStr">
        <is>
          <t>шт</t>
        </is>
      </c>
      <c r="U94" s="8" t="n"/>
      <c r="V94" s="8" t="n"/>
      <c r="W94" s="8" t="n"/>
      <c r="X94" s="8" t="n"/>
      <c r="Y94" s="8" t="n"/>
      <c r="Z94" s="8" t="n"/>
      <c r="AA94" s="9" t="n"/>
      <c r="AB94" s="10">
        <f>AA94*S94</f>
        <v/>
      </c>
      <c r="AC94" s="8" t="n"/>
      <c r="AD94" s="8" t="n"/>
      <c r="AE94" s="8" t="n"/>
    </row>
    <row r="95" ht="60" customHeight="1">
      <c r="A95" s="5" t="n">
        <v>90</v>
      </c>
      <c r="B95" s="6" t="inlineStr">
        <is>
          <t>1.6/17</t>
        </is>
      </c>
      <c r="C95" s="6" t="inlineStr">
        <is>
          <t>Клапан запорный муфтовый 15б1п Ду 15 Ру 16</t>
        </is>
      </c>
      <c r="D95" s="6" t="inlineStr">
        <is>
          <t>ТУ 3712-001-04606952-2004</t>
        </is>
      </c>
      <c r="E95" s="6" t="inlineStr">
        <is>
          <t>15</t>
        </is>
      </c>
      <c r="F95" s="6" t="inlineStr">
        <is>
          <t>стандарт</t>
        </is>
      </c>
      <c r="G95" s="6" t="inlineStr">
        <is>
          <t>1.6</t>
        </is>
      </c>
      <c r="H95" s="6" t="inlineStr">
        <is>
          <t>до +200</t>
        </is>
      </c>
      <c r="I95" s="6" t="inlineStr">
        <is>
          <t>вода, пар</t>
        </is>
      </c>
      <c r="J95" s="6" t="inlineStr">
        <is>
          <t>латунь ЛЦ40Сд</t>
        </is>
      </c>
      <c r="K95" s="6" t="inlineStr">
        <is>
          <t>УХЛ4. температура окружающей среды от +1 до +40</t>
        </is>
      </c>
      <c r="L95" s="6" t="inlineStr">
        <is>
          <t>муфтовый</t>
        </is>
      </c>
      <c r="M95" s="6" t="inlineStr">
        <is>
          <t>ручной (маховик)</t>
        </is>
      </c>
      <c r="N95" s="6" t="inlineStr">
        <is>
          <t>-</t>
        </is>
      </c>
      <c r="O95" s="6" t="inlineStr">
        <is>
          <t>любое</t>
        </is>
      </c>
      <c r="P95" s="6" t="inlineStr">
        <is>
          <t>Уплотнение: фторопласт</t>
        </is>
      </c>
      <c r="Q95" s="6" t="inlineStr">
        <is>
          <t>-</t>
        </is>
      </c>
      <c r="R95" s="6" t="inlineStr">
        <is>
          <t>-</t>
        </is>
      </c>
      <c r="S95" s="5" t="n">
        <v>8</v>
      </c>
      <c r="T95" s="6" t="inlineStr">
        <is>
          <t>шт</t>
        </is>
      </c>
      <c r="U95" s="8" t="n"/>
      <c r="V95" s="8" t="n"/>
      <c r="W95" s="8" t="n"/>
      <c r="X95" s="8" t="n"/>
      <c r="Y95" s="8" t="n"/>
      <c r="Z95" s="8" t="n"/>
      <c r="AA95" s="9" t="n"/>
      <c r="AB95" s="10">
        <f>AA95*S95</f>
        <v/>
      </c>
      <c r="AC95" s="8" t="n"/>
      <c r="AD95" s="8" t="n"/>
      <c r="AE95" s="8" t="n"/>
    </row>
    <row r="96" ht="60" customHeight="1">
      <c r="A96" s="5" t="n">
        <v>91</v>
      </c>
      <c r="B96" s="6" t="inlineStr">
        <is>
          <t>1.6/18</t>
        </is>
      </c>
      <c r="C96" s="6" t="inlineStr">
        <is>
          <t>Клапан запорный муфтовый 15б1п Ду 20 Ру 16</t>
        </is>
      </c>
      <c r="D96" s="6" t="inlineStr">
        <is>
          <t>ТУ 3712-001-04606952-2004</t>
        </is>
      </c>
      <c r="E96" s="6" t="inlineStr">
        <is>
          <t>20</t>
        </is>
      </c>
      <c r="F96" s="6" t="inlineStr">
        <is>
          <t>стандарт</t>
        </is>
      </c>
      <c r="G96" s="6" t="inlineStr">
        <is>
          <t>1.6</t>
        </is>
      </c>
      <c r="H96" s="6" t="inlineStr">
        <is>
          <t>до +200</t>
        </is>
      </c>
      <c r="I96" s="6" t="inlineStr">
        <is>
          <t>вода, пар</t>
        </is>
      </c>
      <c r="J96" s="6" t="inlineStr">
        <is>
          <t>латунь ЛЦ40Сд</t>
        </is>
      </c>
      <c r="K96" s="6" t="inlineStr">
        <is>
          <t>УХЛ4. температура окружающей среды от +1 до +40</t>
        </is>
      </c>
      <c r="L96" s="6" t="inlineStr">
        <is>
          <t>муфтовый</t>
        </is>
      </c>
      <c r="M96" s="6" t="inlineStr">
        <is>
          <t>ручной (маховик)</t>
        </is>
      </c>
      <c r="N96" s="6" t="inlineStr">
        <is>
          <t>-</t>
        </is>
      </c>
      <c r="O96" s="6" t="inlineStr">
        <is>
          <t>любое</t>
        </is>
      </c>
      <c r="P96" s="6" t="inlineStr">
        <is>
          <t>Уплотнение: фторопласт</t>
        </is>
      </c>
      <c r="Q96" s="6" t="inlineStr">
        <is>
          <t>-</t>
        </is>
      </c>
      <c r="R96" s="6" t="inlineStr">
        <is>
          <t>-</t>
        </is>
      </c>
      <c r="S96" s="5" t="n">
        <v>14</v>
      </c>
      <c r="T96" s="6" t="inlineStr">
        <is>
          <t>шт</t>
        </is>
      </c>
      <c r="U96" s="8" t="n"/>
      <c r="V96" s="8" t="n"/>
      <c r="W96" s="8" t="n"/>
      <c r="X96" s="8" t="n"/>
      <c r="Y96" s="8" t="n"/>
      <c r="Z96" s="8" t="n"/>
      <c r="AA96" s="9" t="n"/>
      <c r="AB96" s="10">
        <f>AA96*S96</f>
        <v/>
      </c>
      <c r="AC96" s="8" t="n"/>
      <c r="AD96" s="8" t="n"/>
      <c r="AE96" s="8" t="n"/>
    </row>
    <row r="97" ht="60" customHeight="1">
      <c r="A97" s="5" t="n">
        <v>92</v>
      </c>
      <c r="B97" s="6" t="inlineStr">
        <is>
          <t>1.6/19</t>
        </is>
      </c>
      <c r="C97" s="6" t="inlineStr">
        <is>
          <t>Клапан запорный муфтовый 15б1п Ду 25 Ру 16</t>
        </is>
      </c>
      <c r="D97" s="6" t="inlineStr">
        <is>
          <t>ТУ 3712-001-04606952-2004</t>
        </is>
      </c>
      <c r="E97" s="6" t="inlineStr">
        <is>
          <t>25</t>
        </is>
      </c>
      <c r="F97" s="6" t="inlineStr">
        <is>
          <t>стандарт</t>
        </is>
      </c>
      <c r="G97" s="6" t="inlineStr">
        <is>
          <t>1.6</t>
        </is>
      </c>
      <c r="H97" s="6" t="inlineStr">
        <is>
          <t>до +200</t>
        </is>
      </c>
      <c r="I97" s="6" t="inlineStr">
        <is>
          <t>вода, пар</t>
        </is>
      </c>
      <c r="J97" s="6" t="inlineStr">
        <is>
          <t>латунь ЛЦ40Сд</t>
        </is>
      </c>
      <c r="K97" s="6" t="inlineStr">
        <is>
          <t>УХЛ4. температура окружающей среды от +1 до +40</t>
        </is>
      </c>
      <c r="L97" s="6" t="inlineStr">
        <is>
          <t>муфтовый</t>
        </is>
      </c>
      <c r="M97" s="6" t="inlineStr">
        <is>
          <t>ручной (маховик)</t>
        </is>
      </c>
      <c r="N97" s="6" t="inlineStr">
        <is>
          <t>-</t>
        </is>
      </c>
      <c r="O97" s="6" t="inlineStr">
        <is>
          <t>любое</t>
        </is>
      </c>
      <c r="P97" s="6" t="inlineStr">
        <is>
          <t>Уплотнение: фторопласт</t>
        </is>
      </c>
      <c r="Q97" s="6" t="inlineStr">
        <is>
          <t>-</t>
        </is>
      </c>
      <c r="R97" s="6" t="inlineStr">
        <is>
          <t>-</t>
        </is>
      </c>
      <c r="S97" s="5" t="n">
        <v>12</v>
      </c>
      <c r="T97" s="6" t="inlineStr">
        <is>
          <t>шт</t>
        </is>
      </c>
      <c r="U97" s="8" t="n"/>
      <c r="V97" s="8" t="n"/>
      <c r="W97" s="8" t="n"/>
      <c r="X97" s="8" t="n"/>
      <c r="Y97" s="8" t="n"/>
      <c r="Z97" s="8" t="n"/>
      <c r="AA97" s="9" t="n"/>
      <c r="AB97" s="10">
        <f>AA97*S97</f>
        <v/>
      </c>
      <c r="AC97" s="8" t="n"/>
      <c r="AD97" s="8" t="n"/>
      <c r="AE97" s="8" t="n"/>
    </row>
    <row r="98" ht="60" customHeight="1">
      <c r="A98" s="5" t="n">
        <v>93</v>
      </c>
      <c r="B98" s="6" t="inlineStr">
        <is>
          <t>1.6/21</t>
        </is>
      </c>
      <c r="C98" s="6" t="inlineStr">
        <is>
          <t>Клапан запорный 15кч16п1 Ду 32 Ру 25</t>
        </is>
      </c>
      <c r="D98" s="6" t="inlineStr">
        <is>
          <t>ГОСТ 33423-2015</t>
        </is>
      </c>
      <c r="E98" s="6" t="inlineStr">
        <is>
          <t>32</t>
        </is>
      </c>
      <c r="F98" s="6" t="inlineStr">
        <is>
          <t>стандарт</t>
        </is>
      </c>
      <c r="G98" s="6" t="inlineStr">
        <is>
          <t>2.5</t>
        </is>
      </c>
      <c r="H98" s="6" t="inlineStr">
        <is>
          <t>не более +200</t>
        </is>
      </c>
      <c r="I98" s="6" t="inlineStr">
        <is>
          <t>вода, нефтепродукты, пар, жидкие среды</t>
        </is>
      </c>
      <c r="J98" s="6" t="inlineStr">
        <is>
          <t>ковкий чугун КЧ 30-6</t>
        </is>
      </c>
      <c r="K98" s="6" t="inlineStr">
        <is>
          <t>У1</t>
        </is>
      </c>
      <c r="L98" s="6" t="inlineStr">
        <is>
          <t>фланцевый</t>
        </is>
      </c>
      <c r="M98" s="6" t="inlineStr">
        <is>
          <t>ручной (маховик)</t>
        </is>
      </c>
      <c r="N98" s="6" t="inlineStr">
        <is>
          <t>-</t>
        </is>
      </c>
      <c r="O98" s="6" t="inlineStr">
        <is>
          <t>любое, кроме расположения маховика вниз</t>
        </is>
      </c>
      <c r="P98" s="6" t="inlineStr">
        <is>
          <t>Шпиндель, золотник - сталь конструкционная;
Уплотнение на золотнике - фторопласт;
Уплотнение корпуса - паронит;</t>
        </is>
      </c>
      <c r="Q98" s="6" t="inlineStr">
        <is>
          <t>-</t>
        </is>
      </c>
      <c r="R98" s="6" t="inlineStr">
        <is>
          <t>-</t>
        </is>
      </c>
      <c r="S98" s="5" t="n">
        <v>7</v>
      </c>
      <c r="T98" s="6" t="inlineStr">
        <is>
          <t>шт</t>
        </is>
      </c>
      <c r="U98" s="8" t="n"/>
      <c r="V98" s="8" t="n"/>
      <c r="W98" s="8" t="n"/>
      <c r="X98" s="8" t="n"/>
      <c r="Y98" s="8" t="n"/>
      <c r="Z98" s="8" t="n"/>
      <c r="AA98" s="9" t="n"/>
      <c r="AB98" s="10">
        <f>AA98*S98</f>
        <v/>
      </c>
      <c r="AC98" s="8" t="n"/>
      <c r="AD98" s="8" t="n"/>
      <c r="AE98" s="8" t="n"/>
    </row>
    <row r="99" ht="60" customHeight="1">
      <c r="A99" s="5" t="n">
        <v>94</v>
      </c>
      <c r="B99" s="6" t="inlineStr">
        <is>
          <t>1.6/22</t>
        </is>
      </c>
      <c r="C99" s="6" t="inlineStr">
        <is>
          <t>Клапан запорный 15кч16п1 Ду 40 Ру 25</t>
        </is>
      </c>
      <c r="D99" s="6" t="inlineStr">
        <is>
          <t>ГОСТ 33423-2015</t>
        </is>
      </c>
      <c r="E99" s="6" t="inlineStr">
        <is>
          <t>40</t>
        </is>
      </c>
      <c r="F99" s="6" t="inlineStr">
        <is>
          <t>стандарт</t>
        </is>
      </c>
      <c r="G99" s="6" t="inlineStr">
        <is>
          <t>2.5</t>
        </is>
      </c>
      <c r="H99" s="6" t="inlineStr">
        <is>
          <t>не более +200</t>
        </is>
      </c>
      <c r="I99" s="6" t="inlineStr">
        <is>
          <t>вода, нефтепродукты, пар, жидкие среды</t>
        </is>
      </c>
      <c r="J99" s="6" t="inlineStr">
        <is>
          <t>ковкий чугун КЧ 30-6</t>
        </is>
      </c>
      <c r="K99" s="6" t="inlineStr">
        <is>
          <t>У1</t>
        </is>
      </c>
      <c r="L99" s="6" t="inlineStr">
        <is>
          <t>фланцевый</t>
        </is>
      </c>
      <c r="M99" s="6" t="inlineStr">
        <is>
          <t>ручной (маховик)</t>
        </is>
      </c>
      <c r="N99" s="6" t="inlineStr">
        <is>
          <t>-</t>
        </is>
      </c>
      <c r="O99" s="6" t="inlineStr">
        <is>
          <t>любое, кроме расположения маховика вниз</t>
        </is>
      </c>
      <c r="P99" s="6" t="inlineStr">
        <is>
          <t>Шпиндель, золотник - сталь конструкционная;
Уплотнение на золотнике - фторопласт;
Уплотнение корпуса - паронит;</t>
        </is>
      </c>
      <c r="Q99" s="6" t="inlineStr">
        <is>
          <t>-</t>
        </is>
      </c>
      <c r="R99" s="6" t="inlineStr">
        <is>
          <t>-</t>
        </is>
      </c>
      <c r="S99" s="5" t="n">
        <v>4</v>
      </c>
      <c r="T99" s="6" t="inlineStr">
        <is>
          <t>шт</t>
        </is>
      </c>
      <c r="U99" s="8" t="n"/>
      <c r="V99" s="8" t="n"/>
      <c r="W99" s="8" t="n"/>
      <c r="X99" s="8" t="n"/>
      <c r="Y99" s="8" t="n"/>
      <c r="Z99" s="8" t="n"/>
      <c r="AA99" s="9" t="n"/>
      <c r="AB99" s="10">
        <f>AA99*S99</f>
        <v/>
      </c>
      <c r="AC99" s="8" t="n"/>
      <c r="AD99" s="8" t="n"/>
      <c r="AE99" s="8" t="n"/>
    </row>
    <row r="100" ht="60" customHeight="1">
      <c r="A100" s="5" t="n">
        <v>95</v>
      </c>
      <c r="B100" s="6" t="inlineStr">
        <is>
          <t>1.6/23</t>
        </is>
      </c>
      <c r="C100" s="6" t="inlineStr">
        <is>
          <t>Клапан запорный 15кч16п1 Ду 50 Ру 25</t>
        </is>
      </c>
      <c r="D100" s="6" t="inlineStr">
        <is>
          <t>ГОСТ 33423-2015</t>
        </is>
      </c>
      <c r="E100" s="6" t="inlineStr">
        <is>
          <t>50</t>
        </is>
      </c>
      <c r="F100" s="6" t="inlineStr">
        <is>
          <t>стандарт</t>
        </is>
      </c>
      <c r="G100" s="6" t="inlineStr">
        <is>
          <t>2.5</t>
        </is>
      </c>
      <c r="H100" s="6" t="inlineStr">
        <is>
          <t>не более +200</t>
        </is>
      </c>
      <c r="I100" s="6" t="inlineStr">
        <is>
          <t>вода, нефтепродукты, пар, жидкие среды</t>
        </is>
      </c>
      <c r="J100" s="6" t="inlineStr">
        <is>
          <t>ковкий чугун КЧ 30-6</t>
        </is>
      </c>
      <c r="K100" s="6" t="inlineStr">
        <is>
          <t>У1</t>
        </is>
      </c>
      <c r="L100" s="6" t="inlineStr">
        <is>
          <t>фланцевый</t>
        </is>
      </c>
      <c r="M100" s="6" t="inlineStr">
        <is>
          <t>ручной (маховик)</t>
        </is>
      </c>
      <c r="N100" s="6" t="inlineStr">
        <is>
          <t>-</t>
        </is>
      </c>
      <c r="O100" s="6" t="inlineStr">
        <is>
          <t>любое, кроме расположения маховика вниз</t>
        </is>
      </c>
      <c r="P100" s="6" t="inlineStr">
        <is>
          <t>Шпиндель, золотник - сталь конструкционная;
Уплотнение на золотнике - фторопласт;
Уплотнение корпуса - паронит;</t>
        </is>
      </c>
      <c r="Q100" s="6" t="inlineStr">
        <is>
          <t>-</t>
        </is>
      </c>
      <c r="R100" s="6" t="inlineStr">
        <is>
          <t>-</t>
        </is>
      </c>
      <c r="S100" s="5" t="n">
        <v>5</v>
      </c>
      <c r="T100" s="6" t="inlineStr">
        <is>
          <t>шт</t>
        </is>
      </c>
      <c r="U100" s="8" t="n"/>
      <c r="V100" s="8" t="n"/>
      <c r="W100" s="8" t="n"/>
      <c r="X100" s="8" t="n"/>
      <c r="Y100" s="8" t="n"/>
      <c r="Z100" s="8" t="n"/>
      <c r="AA100" s="9" t="n"/>
      <c r="AB100" s="10">
        <f>AA100*S100</f>
        <v/>
      </c>
      <c r="AC100" s="8" t="n"/>
      <c r="AD100" s="8" t="n"/>
      <c r="AE100" s="8" t="n"/>
    </row>
    <row r="101" ht="60" customHeight="1">
      <c r="A101" s="5" t="n">
        <v>96</v>
      </c>
      <c r="B101" s="6" t="inlineStr">
        <is>
          <t>1.6/24</t>
        </is>
      </c>
      <c r="C101" s="6" t="inlineStr">
        <is>
          <t>Клапан запорный 15кч19п Ду 25 Ру 16</t>
        </is>
      </c>
      <c r="D101" s="6" t="inlineStr">
        <is>
          <t>ТУ 3732-002-00218137-95</t>
        </is>
      </c>
      <c r="E101" s="6" t="inlineStr">
        <is>
          <t>25</t>
        </is>
      </c>
      <c r="F101" s="6" t="inlineStr">
        <is>
          <t>стандарт</t>
        </is>
      </c>
      <c r="G101" s="6" t="inlineStr">
        <is>
          <t>1.6</t>
        </is>
      </c>
      <c r="H101" s="6" t="inlineStr">
        <is>
          <t>до +225</t>
        </is>
      </c>
      <c r="I101" s="6" t="inlineStr">
        <is>
          <t>вода, пар</t>
        </is>
      </c>
      <c r="J101" s="6" t="inlineStr">
        <is>
          <t>чугун</t>
        </is>
      </c>
      <c r="K101" s="6" t="inlineStr">
        <is>
          <t>У1</t>
        </is>
      </c>
      <c r="L101" s="6" t="inlineStr">
        <is>
          <t>фланцевый</t>
        </is>
      </c>
      <c r="M101" s="6" t="inlineStr">
        <is>
          <t>ручной (маховик)</t>
        </is>
      </c>
      <c r="N101" s="6" t="inlineStr">
        <is>
          <t>-</t>
        </is>
      </c>
      <c r="O101" s="6" t="inlineStr">
        <is>
          <t>любое</t>
        </is>
      </c>
      <c r="P101" s="6" t="inlineStr">
        <is>
          <t>Корпус, крышка Чугун (GG18)
Шпиндель Сталь
Золотник Чугун (GG18)
Уплотнительные поверхности затвора PTFE
Маховик Чугун (GG18) с цинковым покрытием</t>
        </is>
      </c>
      <c r="Q101" s="6" t="inlineStr">
        <is>
          <t>-</t>
        </is>
      </c>
      <c r="R101" s="6" t="inlineStr">
        <is>
          <t>-</t>
        </is>
      </c>
      <c r="S101" s="5" t="n">
        <v>2</v>
      </c>
      <c r="T101" s="6" t="inlineStr">
        <is>
          <t>шт</t>
        </is>
      </c>
      <c r="U101" s="8" t="n"/>
      <c r="V101" s="8" t="n"/>
      <c r="W101" s="8" t="n"/>
      <c r="X101" s="8" t="n"/>
      <c r="Y101" s="8" t="n"/>
      <c r="Z101" s="8" t="n"/>
      <c r="AA101" s="9" t="n"/>
      <c r="AB101" s="10">
        <f>AA101*S101</f>
        <v/>
      </c>
      <c r="AC101" s="8" t="n"/>
      <c r="AD101" s="8" t="n"/>
      <c r="AE101" s="8" t="n"/>
    </row>
    <row r="102" ht="60" customHeight="1">
      <c r="A102" s="5" t="n">
        <v>97</v>
      </c>
      <c r="B102" s="6" t="inlineStr">
        <is>
          <t>1.6/25</t>
        </is>
      </c>
      <c r="C102" s="6" t="inlineStr">
        <is>
          <t>Клапан запорный 15кч19п Ду 50 Ру 16</t>
        </is>
      </c>
      <c r="D102" s="6" t="inlineStr">
        <is>
          <t>ТУ 3732-002-00218137-95</t>
        </is>
      </c>
      <c r="E102" s="6" t="inlineStr">
        <is>
          <t>50</t>
        </is>
      </c>
      <c r="F102" s="6" t="inlineStr">
        <is>
          <t>стандарт</t>
        </is>
      </c>
      <c r="G102" s="6" t="inlineStr">
        <is>
          <t>1.6</t>
        </is>
      </c>
      <c r="H102" s="6" t="inlineStr">
        <is>
          <t>до +225</t>
        </is>
      </c>
      <c r="I102" s="6" t="inlineStr">
        <is>
          <t>вода, пар</t>
        </is>
      </c>
      <c r="J102" s="6" t="inlineStr">
        <is>
          <t>чугун</t>
        </is>
      </c>
      <c r="K102" s="6" t="inlineStr">
        <is>
          <t>У1</t>
        </is>
      </c>
      <c r="L102" s="6" t="inlineStr">
        <is>
          <t>фланцевый</t>
        </is>
      </c>
      <c r="M102" s="6" t="inlineStr">
        <is>
          <t>ручной (маховик)</t>
        </is>
      </c>
      <c r="N102" s="6" t="inlineStr">
        <is>
          <t>-</t>
        </is>
      </c>
      <c r="O102" s="6" t="inlineStr">
        <is>
          <t>любое</t>
        </is>
      </c>
      <c r="P102" s="6" t="inlineStr">
        <is>
          <t>Корпус, крышка Чугун (GG18)
Шпиндель Сталь
Золотник Чугун (GG18)
Уплотнительные поверхности затвора PTFE
Маховик Чугун (GG18) с цинковым покрытием</t>
        </is>
      </c>
      <c r="Q102" s="6" t="inlineStr">
        <is>
          <t>-</t>
        </is>
      </c>
      <c r="R102" s="6" t="inlineStr">
        <is>
          <t>-</t>
        </is>
      </c>
      <c r="S102" s="5" t="n">
        <v>5</v>
      </c>
      <c r="T102" s="6" t="inlineStr">
        <is>
          <t>шт</t>
        </is>
      </c>
      <c r="U102" s="8" t="n"/>
      <c r="V102" s="8" t="n"/>
      <c r="W102" s="8" t="n"/>
      <c r="X102" s="8" t="n"/>
      <c r="Y102" s="8" t="n"/>
      <c r="Z102" s="8" t="n"/>
      <c r="AA102" s="9" t="n"/>
      <c r="AB102" s="10">
        <f>AA102*S102</f>
        <v/>
      </c>
      <c r="AC102" s="8" t="n"/>
      <c r="AD102" s="8" t="n"/>
      <c r="AE102" s="8" t="n"/>
    </row>
    <row r="103" ht="60" customHeight="1">
      <c r="A103" s="5" t="n">
        <v>98</v>
      </c>
      <c r="B103" s="6" t="inlineStr">
        <is>
          <t>1.6/26</t>
        </is>
      </c>
      <c r="C103" s="6" t="inlineStr">
        <is>
          <t>Клапан запорный 15нж65нж Ду 80 Ру 16</t>
        </is>
      </c>
      <c r="D103" s="6" t="inlineStr">
        <is>
          <t>ГОСТ 33423-2015</t>
        </is>
      </c>
      <c r="E103" s="6" t="inlineStr">
        <is>
          <t>80</t>
        </is>
      </c>
      <c r="F103" s="6" t="inlineStr">
        <is>
          <t>стандарт</t>
        </is>
      </c>
      <c r="G103" s="6" t="inlineStr">
        <is>
          <t>1.6</t>
        </is>
      </c>
      <c r="H103" s="6" t="inlineStr">
        <is>
          <t>от -60 до +560</t>
        </is>
      </c>
      <c r="I103" s="6" t="inlineStr">
        <is>
          <t>нефть, нефтепродукты, природный и топливный газ, аммиак, вода, пар</t>
        </is>
      </c>
      <c r="J103" s="6" t="inlineStr">
        <is>
          <t>сталь AISI 304</t>
        </is>
      </c>
      <c r="K103" s="6" t="inlineStr">
        <is>
          <t>УХЛ1</t>
        </is>
      </c>
      <c r="L103" s="6" t="inlineStr">
        <is>
          <t>фланцевый</t>
        </is>
      </c>
      <c r="M103" s="6" t="inlineStr">
        <is>
          <t>ручной (маховик)</t>
        </is>
      </c>
      <c r="N103" s="6" t="inlineStr">
        <is>
          <t>-</t>
        </is>
      </c>
      <c r="O103" s="6" t="inlineStr">
        <is>
          <t>управляющим органом вверх</t>
        </is>
      </c>
      <c r="P103" s="6" t="inlineStr">
        <is>
          <t>Втулка сальника, болт откидной, шпилька, гайка - сталь 14Х17Н2 (ГОСТ 5632)
уплотнение затвора - "металл по металлу", уплотнение сальниковое - ТРГ</t>
        </is>
      </c>
      <c r="Q103" s="6" t="inlineStr">
        <is>
          <t>-</t>
        </is>
      </c>
      <c r="R103" s="6" t="inlineStr">
        <is>
          <t>-</t>
        </is>
      </c>
      <c r="S103" s="5" t="n">
        <v>1</v>
      </c>
      <c r="T103" s="6" t="inlineStr">
        <is>
          <t>шт</t>
        </is>
      </c>
      <c r="U103" s="8" t="n"/>
      <c r="V103" s="8" t="n"/>
      <c r="W103" s="8" t="n"/>
      <c r="X103" s="8" t="n"/>
      <c r="Y103" s="8" t="n"/>
      <c r="Z103" s="8" t="n"/>
      <c r="AA103" s="9" t="n"/>
      <c r="AB103" s="10">
        <f>AA103*S103</f>
        <v/>
      </c>
      <c r="AC103" s="8" t="n"/>
      <c r="AD103" s="8" t="n"/>
      <c r="AE103" s="8" t="n"/>
    </row>
    <row r="104" ht="60" customHeight="1">
      <c r="A104" s="5" t="n">
        <v>99</v>
      </c>
      <c r="B104" s="6" t="inlineStr">
        <is>
          <t>1.6/27</t>
        </is>
      </c>
      <c r="C104" s="6" t="inlineStr">
        <is>
          <t>Клапан запорный 15нж65нж Ду 100 Ру 16</t>
        </is>
      </c>
      <c r="D104" s="6" t="inlineStr">
        <is>
          <t>ГОСТ 33423-2015</t>
        </is>
      </c>
      <c r="E104" s="6" t="inlineStr">
        <is>
          <t>100</t>
        </is>
      </c>
      <c r="F104" s="6" t="inlineStr">
        <is>
          <t>стандарт</t>
        </is>
      </c>
      <c r="G104" s="6" t="inlineStr">
        <is>
          <t>1.6</t>
        </is>
      </c>
      <c r="H104" s="6" t="inlineStr">
        <is>
          <t>от -60 до +560</t>
        </is>
      </c>
      <c r="I104" s="6" t="inlineStr">
        <is>
          <t>нефть, нефтепродукты, природный и топливный газ, аммиак, вода, пар</t>
        </is>
      </c>
      <c r="J104" s="6" t="inlineStr">
        <is>
          <t>сталь AISI 304</t>
        </is>
      </c>
      <c r="K104" s="6" t="inlineStr">
        <is>
          <t>УХЛ1</t>
        </is>
      </c>
      <c r="L104" s="6" t="inlineStr">
        <is>
          <t>фланцевый</t>
        </is>
      </c>
      <c r="M104" s="6" t="inlineStr">
        <is>
          <t>ручной (маховик)</t>
        </is>
      </c>
      <c r="N104" s="6" t="inlineStr">
        <is>
          <t>-</t>
        </is>
      </c>
      <c r="O104" s="6" t="inlineStr">
        <is>
          <t>управляющим органом вверх</t>
        </is>
      </c>
      <c r="P104" s="6" t="inlineStr">
        <is>
          <t>Втулка сальника, болт откидной, шпилька, гайка - сталь 14Х17Н2 (ГОСТ 5632)
уплотнение затвора - "металл по металлу", уплотнение сальниковое - ТРГ</t>
        </is>
      </c>
      <c r="Q104" s="6" t="inlineStr">
        <is>
          <t>-</t>
        </is>
      </c>
      <c r="R104" s="6" t="inlineStr">
        <is>
          <t>-</t>
        </is>
      </c>
      <c r="S104" s="5" t="n">
        <v>1</v>
      </c>
      <c r="T104" s="6" t="inlineStr">
        <is>
          <t>шт</t>
        </is>
      </c>
      <c r="U104" s="8" t="n"/>
      <c r="V104" s="8" t="n"/>
      <c r="W104" s="8" t="n"/>
      <c r="X104" s="8" t="n"/>
      <c r="Y104" s="8" t="n"/>
      <c r="Z104" s="8" t="n"/>
      <c r="AA104" s="9" t="n"/>
      <c r="AB104" s="10">
        <f>AA104*S104</f>
        <v/>
      </c>
      <c r="AC104" s="8" t="n"/>
      <c r="AD104" s="8" t="n"/>
      <c r="AE104" s="8" t="n"/>
    </row>
    <row r="105" ht="60" customHeight="1">
      <c r="A105" s="5" t="n">
        <v>100</v>
      </c>
      <c r="B105" s="6" t="inlineStr">
        <is>
          <t>1.6/28</t>
        </is>
      </c>
      <c r="C105" s="6" t="inlineStr">
        <is>
          <t>Клапан запорный 15нж65нж Ду 32 Ру 16</t>
        </is>
      </c>
      <c r="D105" s="6" t="inlineStr">
        <is>
          <t>ГОСТ 33423-2015</t>
        </is>
      </c>
      <c r="E105" s="6" t="inlineStr">
        <is>
          <t>32</t>
        </is>
      </c>
      <c r="F105" s="6" t="inlineStr">
        <is>
          <t>стандарт</t>
        </is>
      </c>
      <c r="G105" s="6" t="inlineStr">
        <is>
          <t>1.6</t>
        </is>
      </c>
      <c r="H105" s="6" t="inlineStr">
        <is>
          <t>от -60 до +560</t>
        </is>
      </c>
      <c r="I105" s="6" t="inlineStr">
        <is>
          <t>нефть, нефтепродукты, природный и топливный газ, аммиак, вода, пар</t>
        </is>
      </c>
      <c r="J105" s="6" t="inlineStr">
        <is>
          <t>сталь AISI 304</t>
        </is>
      </c>
      <c r="K105" s="6" t="inlineStr">
        <is>
          <t>УХЛ1</t>
        </is>
      </c>
      <c r="L105" s="6" t="inlineStr">
        <is>
          <t>фланцевый</t>
        </is>
      </c>
      <c r="M105" s="6" t="inlineStr">
        <is>
          <t>ручной (маховик)</t>
        </is>
      </c>
      <c r="N105" s="6" t="inlineStr">
        <is>
          <t>-</t>
        </is>
      </c>
      <c r="O105" s="6" t="inlineStr">
        <is>
          <t>управляющим органом вверх</t>
        </is>
      </c>
      <c r="P105" s="6" t="inlineStr">
        <is>
          <t>Втулка сальника, болт откидной, шпилька, гайка - сталь 14Х17Н2 (ГОСТ 5632)
уплотнение затвора - "металл по металлу", уплотнение сальниковое - ТРГ</t>
        </is>
      </c>
      <c r="Q105" s="6" t="inlineStr">
        <is>
          <t>-</t>
        </is>
      </c>
      <c r="R105" s="6" t="inlineStr">
        <is>
          <t>-</t>
        </is>
      </c>
      <c r="S105" s="5" t="n">
        <v>1</v>
      </c>
      <c r="T105" s="6" t="inlineStr">
        <is>
          <t>шт</t>
        </is>
      </c>
      <c r="U105" s="8" t="n"/>
      <c r="V105" s="8" t="n"/>
      <c r="W105" s="8" t="n"/>
      <c r="X105" s="8" t="n"/>
      <c r="Y105" s="8" t="n"/>
      <c r="Z105" s="8" t="n"/>
      <c r="AA105" s="9" t="n"/>
      <c r="AB105" s="10">
        <f>AA105*S105</f>
        <v/>
      </c>
      <c r="AC105" s="8" t="n"/>
      <c r="AD105" s="8" t="n"/>
      <c r="AE105" s="8" t="n"/>
    </row>
    <row r="106" ht="60" customHeight="1">
      <c r="A106" s="5" t="n">
        <v>101</v>
      </c>
      <c r="B106" s="6" t="inlineStr">
        <is>
          <t>1.6/29</t>
        </is>
      </c>
      <c r="C106" s="6" t="inlineStr">
        <is>
          <t>Клапан стальной запорный фланцевый 15с18нж Ду 32 Ру 16</t>
        </is>
      </c>
      <c r="D106" s="6" t="inlineStr">
        <is>
          <t>ГОСТ 33423-2015</t>
        </is>
      </c>
      <c r="E106" s="6" t="inlineStr">
        <is>
          <t>32</t>
        </is>
      </c>
      <c r="F106" s="6" t="inlineStr">
        <is>
          <t>стандарт</t>
        </is>
      </c>
      <c r="G106" s="6" t="inlineStr">
        <is>
          <t>1.6</t>
        </is>
      </c>
      <c r="H106" s="6" t="inlineStr">
        <is>
          <t>от -40°С до +425°С</t>
        </is>
      </c>
      <c r="I106" s="6" t="inlineStr">
        <is>
          <t>Жидкие и газообразные среды, в том числе хлорсодержащие с содержанием влаги в хлоре не более 0,04%, по отношению к которым применяемые материалы коррозионностойки</t>
        </is>
      </c>
      <c r="J106" s="6" t="inlineStr">
        <is>
          <t>Углеродистая сталь</t>
        </is>
      </c>
      <c r="K106" s="6" t="inlineStr">
        <is>
          <t>У1</t>
        </is>
      </c>
      <c r="L106" s="6" t="inlineStr">
        <is>
          <t>фланцевый</t>
        </is>
      </c>
      <c r="M106" s="6" t="inlineStr">
        <is>
          <t>ручной (маховик)</t>
        </is>
      </c>
      <c r="N106" s="6" t="inlineStr">
        <is>
          <t>-</t>
        </is>
      </c>
      <c r="O106" s="6" t="inlineStr">
        <is>
          <t>-</t>
        </is>
      </c>
      <c r="P106" s="6" t="inlineStr">
        <is>
          <t>-</t>
        </is>
      </c>
      <c r="Q106" s="6" t="inlineStr"/>
      <c r="R106" s="6" t="inlineStr"/>
      <c r="S106" s="5" t="n">
        <v>2</v>
      </c>
      <c r="T106" s="6" t="inlineStr">
        <is>
          <t>шт</t>
        </is>
      </c>
      <c r="U106" s="8" t="n"/>
      <c r="V106" s="8" t="n"/>
      <c r="W106" s="8" t="n"/>
      <c r="X106" s="8" t="n"/>
      <c r="Y106" s="8" t="n"/>
      <c r="Z106" s="8" t="n"/>
      <c r="AA106" s="9" t="n"/>
      <c r="AB106" s="10">
        <f>AA106*S106</f>
        <v/>
      </c>
      <c r="AC106" s="8" t="n"/>
      <c r="AD106" s="8" t="n"/>
      <c r="AE106" s="8" t="n"/>
    </row>
    <row r="107" ht="60" customHeight="1">
      <c r="A107" s="5" t="n">
        <v>102</v>
      </c>
      <c r="B107" s="6" t="inlineStr">
        <is>
          <t>1.6/30</t>
        </is>
      </c>
      <c r="C107" s="6" t="inlineStr">
        <is>
          <t>Клапан запорный 15с18п Ду 80 Ру 25</t>
        </is>
      </c>
      <c r="D107" s="6" t="inlineStr">
        <is>
          <t>ГОСТ 33423-2015</t>
        </is>
      </c>
      <c r="E107" s="6" t="inlineStr">
        <is>
          <t>80</t>
        </is>
      </c>
      <c r="F107" s="6" t="inlineStr">
        <is>
          <t>стандарт</t>
        </is>
      </c>
      <c r="G107" s="6" t="inlineStr">
        <is>
          <t>2.5</t>
        </is>
      </c>
      <c r="H107" s="6" t="inlineStr">
        <is>
          <t>от -40 до +150 °С</t>
        </is>
      </c>
      <c r="I107" s="6" t="inlineStr">
        <is>
          <t>аммиак при температуре от -40 до +150 °С; топливный газ при температуре до 100°С</t>
        </is>
      </c>
      <c r="J107" s="6" t="inlineStr">
        <is>
          <t>сталь 25Л</t>
        </is>
      </c>
      <c r="K107" s="6" t="inlineStr">
        <is>
          <t>-</t>
        </is>
      </c>
      <c r="L107" s="6" t="inlineStr">
        <is>
          <t>фланцевый</t>
        </is>
      </c>
      <c r="M107" s="6" t="inlineStr">
        <is>
          <t>ручной (маховик)</t>
        </is>
      </c>
      <c r="N107" s="6" t="inlineStr">
        <is>
          <t>-</t>
        </is>
      </c>
      <c r="O107" s="6" t="inlineStr">
        <is>
          <t>-</t>
        </is>
      </c>
      <c r="P107" s="6" t="inlineStr">
        <is>
          <t>Стальные вентили 15с18п используются для перекрытия потока жидкого и газообразного аммиака, а также топливного газа. Температурный режим рабочих сред запорных клапанов 15с18п может достигать в пиковых значениях 150°С при условном давлении в пределах 2,5 МПа. Вентиль 15с18п присоединяется к трубопроводу с помощью фланцев по ГОСТ 33259-2015. Управляется вручную, вращением маховика. Устанавливается на трубопроводах для перекрытия потока при проведении ремонтных, монтажных или профилактических работ. Запорные вентили 15с18п изготавливаются диаметрами условного прохода от 40 до 200 мм и имеют класс герметичности В</t>
        </is>
      </c>
      <c r="Q107" s="6" t="inlineStr"/>
      <c r="R107" s="6" t="inlineStr"/>
      <c r="S107" s="5" t="n">
        <v>1</v>
      </c>
      <c r="T107" s="6" t="inlineStr">
        <is>
          <t>шт</t>
        </is>
      </c>
      <c r="U107" s="8" t="n"/>
      <c r="V107" s="8" t="n"/>
      <c r="W107" s="8" t="n"/>
      <c r="X107" s="8" t="n"/>
      <c r="Y107" s="8" t="n"/>
      <c r="Z107" s="8" t="n"/>
      <c r="AA107" s="9" t="n"/>
      <c r="AB107" s="10">
        <f>AA107*S107</f>
        <v/>
      </c>
      <c r="AC107" s="8" t="n"/>
      <c r="AD107" s="8" t="n"/>
      <c r="AE107" s="8" t="n"/>
    </row>
    <row r="108" ht="60" customHeight="1">
      <c r="A108" s="5" t="n">
        <v>103</v>
      </c>
      <c r="B108" s="6" t="inlineStr">
        <is>
          <t>1.6/31</t>
        </is>
      </c>
      <c r="C108" s="6" t="inlineStr">
        <is>
          <t>Клапан запорный 15с18п Ду 100 Ру 25</t>
        </is>
      </c>
      <c r="D108" s="6" t="inlineStr">
        <is>
          <t>ГОСТ 33423-2015</t>
        </is>
      </c>
      <c r="E108" s="6" t="inlineStr">
        <is>
          <t>100</t>
        </is>
      </c>
      <c r="F108" s="6" t="inlineStr">
        <is>
          <t>стандарт</t>
        </is>
      </c>
      <c r="G108" s="6" t="inlineStr">
        <is>
          <t>2.5</t>
        </is>
      </c>
      <c r="H108" s="6" t="inlineStr">
        <is>
          <t>от -40 до +150 °С</t>
        </is>
      </c>
      <c r="I108" s="6" t="inlineStr">
        <is>
          <t>аммиак при температуре от -40 до +150 °С; топливный газ при температуре до 100°С</t>
        </is>
      </c>
      <c r="J108" s="6" t="inlineStr">
        <is>
          <t>сталь 25Л</t>
        </is>
      </c>
      <c r="K108" s="6" t="inlineStr">
        <is>
          <t>-</t>
        </is>
      </c>
      <c r="L108" s="6" t="inlineStr">
        <is>
          <t>фланцевый</t>
        </is>
      </c>
      <c r="M108" s="6" t="inlineStr">
        <is>
          <t>ручной (маховик)</t>
        </is>
      </c>
      <c r="N108" s="6" t="inlineStr">
        <is>
          <t>-</t>
        </is>
      </c>
      <c r="O108" s="6" t="inlineStr">
        <is>
          <t>-</t>
        </is>
      </c>
      <c r="P108" s="6" t="inlineStr">
        <is>
          <t>Стальные вентили 15с18п используются для перекрытия потока жидкого и газообразного аммиака, а также топливного газа. Температурный режим рабочих сред запорных клапанов 15с18п может достигать в пиковых значениях 150°С при условном давлении в пределах 2,5 МПа. Вентиль 15с18п присоединяется к трубопроводу с помощью фланцев по ГОСТ 33259-2015. Управляется вручную, вращением маховика. Устанавливается на трубопроводах для перекрытия потока при проведении ремонтных, монтажных или профилактических работ. Запорные вентили 15с18п изготавливаются диаметрами условного прохода от 40 до 200 мм и имеют класс герметичности В</t>
        </is>
      </c>
      <c r="Q108" s="6" t="inlineStr"/>
      <c r="R108" s="6" t="inlineStr"/>
      <c r="S108" s="5" t="n">
        <v>1</v>
      </c>
      <c r="T108" s="6" t="inlineStr">
        <is>
          <t>шт</t>
        </is>
      </c>
      <c r="U108" s="8" t="n"/>
      <c r="V108" s="8" t="n"/>
      <c r="W108" s="8" t="n"/>
      <c r="X108" s="8" t="n"/>
      <c r="Y108" s="8" t="n"/>
      <c r="Z108" s="8" t="n"/>
      <c r="AA108" s="9" t="n"/>
      <c r="AB108" s="10">
        <f>AA108*S108</f>
        <v/>
      </c>
      <c r="AC108" s="8" t="n"/>
      <c r="AD108" s="8" t="n"/>
      <c r="AE108" s="8" t="n"/>
    </row>
    <row r="109" ht="60" customHeight="1">
      <c r="A109" s="5" t="n">
        <v>104</v>
      </c>
      <c r="B109" s="6" t="inlineStr">
        <is>
          <t>1.6/32</t>
        </is>
      </c>
      <c r="C109" s="6" t="inlineStr">
        <is>
          <t>Клапан запорный 15с22нж Ду 25 Ру 40</t>
        </is>
      </c>
      <c r="D109" s="6" t="inlineStr">
        <is>
          <t>ТУ 3740-002-30995032-2014</t>
        </is>
      </c>
      <c r="E109" s="6" t="inlineStr">
        <is>
          <t>25</t>
        </is>
      </c>
      <c r="F109" s="6" t="inlineStr">
        <is>
          <t>стандарт</t>
        </is>
      </c>
      <c r="G109" s="6" t="inlineStr">
        <is>
          <t>4</t>
        </is>
      </c>
      <c r="H109" s="6" t="inlineStr">
        <is>
          <t>до +425</t>
        </is>
      </c>
      <c r="I109" s="6" t="inlineStr">
        <is>
          <t>Вода, пар, аммиак, жидкие и газообразные углеводороды, нефть, нефтепродукты,
топливный и природный газ, воздух и другие жидкости и газы.</t>
        </is>
      </c>
      <c r="J109" s="6" t="inlineStr">
        <is>
          <t>сталь 25Л</t>
        </is>
      </c>
      <c r="K109" s="6" t="inlineStr">
        <is>
          <t>Температура окружающей среды от -40 до +40 °C</t>
        </is>
      </c>
      <c r="L109" s="6" t="inlineStr">
        <is>
          <t>фланцевый</t>
        </is>
      </c>
      <c r="M109" s="6" t="inlineStr">
        <is>
          <t>ручной (маховик)</t>
        </is>
      </c>
      <c r="N109" s="6" t="inlineStr">
        <is>
          <t>-</t>
        </is>
      </c>
      <c r="O109" s="6" t="inlineStr">
        <is>
          <t>любое</t>
        </is>
      </c>
      <c r="P109" s="6" t="inlineStr">
        <is>
          <t>Золотник: Сталь 20Х13
Шпиндель: Сталь 20Х13
Контргайка: Сталь 35
Маховик: Сталь 25Л</t>
        </is>
      </c>
      <c r="Q109" s="6" t="inlineStr">
        <is>
          <t>-</t>
        </is>
      </c>
      <c r="R109" s="6" t="inlineStr">
        <is>
          <t>-</t>
        </is>
      </c>
      <c r="S109" s="5" t="n">
        <v>1</v>
      </c>
      <c r="T109" s="6" t="inlineStr">
        <is>
          <t>шт</t>
        </is>
      </c>
      <c r="U109" s="8" t="n"/>
      <c r="V109" s="8" t="n"/>
      <c r="W109" s="8" t="n"/>
      <c r="X109" s="8" t="n"/>
      <c r="Y109" s="8" t="n"/>
      <c r="Z109" s="8" t="n"/>
      <c r="AA109" s="9" t="n"/>
      <c r="AB109" s="10">
        <f>AA109*S109</f>
        <v/>
      </c>
      <c r="AC109" s="8" t="n"/>
      <c r="AD109" s="8" t="n"/>
      <c r="AE109" s="8" t="n"/>
    </row>
    <row r="110" ht="60" customHeight="1">
      <c r="A110" s="5" t="n">
        <v>105</v>
      </c>
      <c r="B110" s="6" t="inlineStr">
        <is>
          <t>1.6/33</t>
        </is>
      </c>
      <c r="C110" s="6" t="inlineStr">
        <is>
          <t>Клапан запорный 15с22нж Ду 32 Ру 40</t>
        </is>
      </c>
      <c r="D110" s="6" t="inlineStr">
        <is>
          <t>ТУ 3740-002-30995032-2014</t>
        </is>
      </c>
      <c r="E110" s="6" t="inlineStr">
        <is>
          <t>32</t>
        </is>
      </c>
      <c r="F110" s="6" t="inlineStr">
        <is>
          <t>стандарт</t>
        </is>
      </c>
      <c r="G110" s="6" t="inlineStr">
        <is>
          <t>4</t>
        </is>
      </c>
      <c r="H110" s="6" t="inlineStr">
        <is>
          <t>до +425</t>
        </is>
      </c>
      <c r="I110" s="6" t="inlineStr">
        <is>
          <t>Вода, пар, аммиак, жидкие и газообразные углеводороды, нефть, нефтепродукты,
топливный и природный газ, воздух и другие жидкости и газы.</t>
        </is>
      </c>
      <c r="J110" s="6" t="inlineStr">
        <is>
          <t>сталь 25Л</t>
        </is>
      </c>
      <c r="K110" s="6" t="inlineStr">
        <is>
          <t>Температура окружающей среды от -40 до +40 °C</t>
        </is>
      </c>
      <c r="L110" s="6" t="inlineStr">
        <is>
          <t>фланцевый</t>
        </is>
      </c>
      <c r="M110" s="6" t="inlineStr">
        <is>
          <t>ручной (маховик)</t>
        </is>
      </c>
      <c r="N110" s="6" t="inlineStr">
        <is>
          <t>-</t>
        </is>
      </c>
      <c r="O110" s="6" t="inlineStr">
        <is>
          <t>любое</t>
        </is>
      </c>
      <c r="P110" s="6" t="inlineStr">
        <is>
          <t>Золотник: Сталь 20Х13
Шпиндель: Сталь 20Х13
Контргайка: Сталь 35
Маховик: Сталь 25Л</t>
        </is>
      </c>
      <c r="Q110" s="6" t="inlineStr">
        <is>
          <t>-</t>
        </is>
      </c>
      <c r="R110" s="6" t="inlineStr">
        <is>
          <t>-</t>
        </is>
      </c>
      <c r="S110" s="5" t="n">
        <v>5</v>
      </c>
      <c r="T110" s="6" t="inlineStr">
        <is>
          <t>шт</t>
        </is>
      </c>
      <c r="U110" s="8" t="n"/>
      <c r="V110" s="8" t="n"/>
      <c r="W110" s="8" t="n"/>
      <c r="X110" s="8" t="n"/>
      <c r="Y110" s="8" t="n"/>
      <c r="Z110" s="8" t="n"/>
      <c r="AA110" s="9" t="n"/>
      <c r="AB110" s="10">
        <f>AA110*S110</f>
        <v/>
      </c>
      <c r="AC110" s="8" t="n"/>
      <c r="AD110" s="8" t="n"/>
      <c r="AE110" s="8" t="n"/>
    </row>
    <row r="111" ht="60" customHeight="1">
      <c r="A111" s="5" t="n">
        <v>106</v>
      </c>
      <c r="B111" s="6" t="inlineStr">
        <is>
          <t>1.6/34</t>
        </is>
      </c>
      <c r="C111" s="6" t="inlineStr">
        <is>
          <t>Клапан запорный 15с22нж Ду 40 Ру 40</t>
        </is>
      </c>
      <c r="D111" s="6" t="inlineStr">
        <is>
          <t>ТУ 3740-002-30995032-2014</t>
        </is>
      </c>
      <c r="E111" s="6" t="inlineStr">
        <is>
          <t>40</t>
        </is>
      </c>
      <c r="F111" s="6" t="inlineStr">
        <is>
          <t>стандарт</t>
        </is>
      </c>
      <c r="G111" s="6" t="inlineStr">
        <is>
          <t>4</t>
        </is>
      </c>
      <c r="H111" s="6" t="inlineStr">
        <is>
          <t>до +425</t>
        </is>
      </c>
      <c r="I111" s="6" t="inlineStr">
        <is>
          <t>Вода, пар, аммиак, жидкие и газообразные углеводороды, нефть, нефтепродукты,
топливный и природный газ, воздух и другие жидкости и газы.</t>
        </is>
      </c>
      <c r="J111" s="6" t="inlineStr">
        <is>
          <t>сталь 25Л</t>
        </is>
      </c>
      <c r="K111" s="6" t="inlineStr">
        <is>
          <t>Температура окружающей среды от -40 до +40 °C</t>
        </is>
      </c>
      <c r="L111" s="6" t="inlineStr">
        <is>
          <t>фланцевый</t>
        </is>
      </c>
      <c r="M111" s="6" t="inlineStr">
        <is>
          <t>ручной (маховик)</t>
        </is>
      </c>
      <c r="N111" s="6" t="inlineStr">
        <is>
          <t>-</t>
        </is>
      </c>
      <c r="O111" s="6" t="inlineStr">
        <is>
          <t>любое</t>
        </is>
      </c>
      <c r="P111" s="6" t="inlineStr">
        <is>
          <t>Золотник: Сталь 20Х13
Шпиндель: Сталь 20Х13
Контргайка: Сталь 35
Маховик: Сталь 25Л</t>
        </is>
      </c>
      <c r="Q111" s="6" t="inlineStr">
        <is>
          <t>-</t>
        </is>
      </c>
      <c r="R111" s="6" t="inlineStr">
        <is>
          <t>-</t>
        </is>
      </c>
      <c r="S111" s="5" t="n">
        <v>2</v>
      </c>
      <c r="T111" s="6" t="inlineStr">
        <is>
          <t>шт</t>
        </is>
      </c>
      <c r="U111" s="8" t="n"/>
      <c r="V111" s="8" t="n"/>
      <c r="W111" s="8" t="n"/>
      <c r="X111" s="8" t="n"/>
      <c r="Y111" s="8" t="n"/>
      <c r="Z111" s="8" t="n"/>
      <c r="AA111" s="9" t="n"/>
      <c r="AB111" s="10">
        <f>AA111*S111</f>
        <v/>
      </c>
      <c r="AC111" s="8" t="n"/>
      <c r="AD111" s="8" t="n"/>
      <c r="AE111" s="8" t="n"/>
    </row>
    <row r="112" ht="60" customHeight="1">
      <c r="A112" s="5" t="n">
        <v>107</v>
      </c>
      <c r="B112" s="6" t="inlineStr">
        <is>
          <t>1.6/35</t>
        </is>
      </c>
      <c r="C112" s="6" t="inlineStr">
        <is>
          <t>Клапан запорный 15с22нж Ду 50 Ру 40</t>
        </is>
      </c>
      <c r="D112" s="6" t="inlineStr">
        <is>
          <t>ТУ 3740-002-30995032-2014</t>
        </is>
      </c>
      <c r="E112" s="6" t="inlineStr">
        <is>
          <t>50</t>
        </is>
      </c>
      <c r="F112" s="6" t="inlineStr">
        <is>
          <t>стандарт</t>
        </is>
      </c>
      <c r="G112" s="6" t="inlineStr">
        <is>
          <t>4</t>
        </is>
      </c>
      <c r="H112" s="6" t="inlineStr">
        <is>
          <t>до +425</t>
        </is>
      </c>
      <c r="I112" s="6" t="inlineStr">
        <is>
          <t>Вода, пар, аммиак, жидкие и газообразные углеводороды, нефть, нефтепродукты,
топливный и природный газ, воздух и другие жидкости и газы.</t>
        </is>
      </c>
      <c r="J112" s="6" t="inlineStr">
        <is>
          <t>сталь 25Л</t>
        </is>
      </c>
      <c r="K112" s="6" t="inlineStr">
        <is>
          <t>Температура окружающей среды от -40 до +40 °C</t>
        </is>
      </c>
      <c r="L112" s="6" t="inlineStr">
        <is>
          <t>фланцевый</t>
        </is>
      </c>
      <c r="M112" s="6" t="inlineStr">
        <is>
          <t>ручной (маховик)</t>
        </is>
      </c>
      <c r="N112" s="6" t="inlineStr">
        <is>
          <t>-</t>
        </is>
      </c>
      <c r="O112" s="6" t="inlineStr">
        <is>
          <t>любое</t>
        </is>
      </c>
      <c r="P112" s="6" t="inlineStr">
        <is>
          <t>Золотник: Сталь 20Х13
Шпиндель: Сталь 20Х13
Контргайка: Сталь 35
Маховик: Сталь 25Л</t>
        </is>
      </c>
      <c r="Q112" s="6" t="inlineStr">
        <is>
          <t>-</t>
        </is>
      </c>
      <c r="R112" s="6" t="inlineStr">
        <is>
          <t>-</t>
        </is>
      </c>
      <c r="S112" s="5" t="n">
        <v>4</v>
      </c>
      <c r="T112" s="6" t="inlineStr">
        <is>
          <t>шт</t>
        </is>
      </c>
      <c r="U112" s="8" t="n"/>
      <c r="V112" s="8" t="n"/>
      <c r="W112" s="8" t="n"/>
      <c r="X112" s="8" t="n"/>
      <c r="Y112" s="8" t="n"/>
      <c r="Z112" s="8" t="n"/>
      <c r="AA112" s="9" t="n"/>
      <c r="AB112" s="10">
        <f>AA112*S112</f>
        <v/>
      </c>
      <c r="AC112" s="8" t="n"/>
      <c r="AD112" s="8" t="n"/>
      <c r="AE112" s="8" t="n"/>
    </row>
    <row r="113" ht="60" customHeight="1">
      <c r="A113" s="5" t="n">
        <v>108</v>
      </c>
      <c r="B113" s="6" t="inlineStr">
        <is>
          <t>1.6/36</t>
        </is>
      </c>
      <c r="C113" s="6" t="inlineStr">
        <is>
          <t>Клапан запорный 15с22нж Ду 80 Ру 40</t>
        </is>
      </c>
      <c r="D113" s="6" t="inlineStr">
        <is>
          <t>ТУ 3740-002-30995032-2014</t>
        </is>
      </c>
      <c r="E113" s="6" t="inlineStr">
        <is>
          <t>80</t>
        </is>
      </c>
      <c r="F113" s="6" t="inlineStr">
        <is>
          <t>стандарт</t>
        </is>
      </c>
      <c r="G113" s="6" t="inlineStr">
        <is>
          <t>4</t>
        </is>
      </c>
      <c r="H113" s="6" t="inlineStr">
        <is>
          <t>до +425</t>
        </is>
      </c>
      <c r="I113" s="6" t="inlineStr">
        <is>
          <t>Вода, пар, аммиак, жидкие и газообразные углеводороды, нефть, нефтепродукты,
топливный и природный газ, воздух и другие жидкости и газы.</t>
        </is>
      </c>
      <c r="J113" s="6" t="inlineStr">
        <is>
          <t>сталь 25Л</t>
        </is>
      </c>
      <c r="K113" s="6" t="inlineStr">
        <is>
          <t>Температура окружающей среды от -40 до +40 °C</t>
        </is>
      </c>
      <c r="L113" s="6" t="inlineStr">
        <is>
          <t>фланцевый</t>
        </is>
      </c>
      <c r="M113" s="6" t="inlineStr">
        <is>
          <t>ручной (маховик)</t>
        </is>
      </c>
      <c r="N113" s="6" t="inlineStr">
        <is>
          <t>-</t>
        </is>
      </c>
      <c r="O113" s="6" t="inlineStr">
        <is>
          <t>любое</t>
        </is>
      </c>
      <c r="P113" s="6" t="inlineStr">
        <is>
          <t>Золотник: Сталь 20Х13
Шпиндель: Сталь 20Х13
Контргайка: Сталь 35
Маховик: Сталь 25Л</t>
        </is>
      </c>
      <c r="Q113" s="6" t="inlineStr">
        <is>
          <t>-</t>
        </is>
      </c>
      <c r="R113" s="6" t="inlineStr">
        <is>
          <t>-</t>
        </is>
      </c>
      <c r="S113" s="5" t="n">
        <v>2</v>
      </c>
      <c r="T113" s="6" t="inlineStr">
        <is>
          <t>шт</t>
        </is>
      </c>
      <c r="U113" s="8" t="n"/>
      <c r="V113" s="8" t="n"/>
      <c r="W113" s="8" t="n"/>
      <c r="X113" s="8" t="n"/>
      <c r="Y113" s="8" t="n"/>
      <c r="Z113" s="8" t="n"/>
      <c r="AA113" s="9" t="n"/>
      <c r="AB113" s="10">
        <f>AA113*S113</f>
        <v/>
      </c>
      <c r="AC113" s="8" t="n"/>
      <c r="AD113" s="8" t="n"/>
      <c r="AE113" s="8" t="n"/>
    </row>
    <row r="114" ht="60" customHeight="1">
      <c r="A114" s="5" t="n">
        <v>109</v>
      </c>
      <c r="B114" s="6" t="inlineStr">
        <is>
          <t>1.6/37</t>
        </is>
      </c>
      <c r="C114" s="6" t="inlineStr">
        <is>
          <t>Клапан запорный 15с65нж Ду 100 Ру 16 с КОФ</t>
        </is>
      </c>
      <c r="D114" s="6" t="inlineStr">
        <is>
          <t>ТУ У 32200218325-004-94</t>
        </is>
      </c>
      <c r="E114" s="6" t="inlineStr">
        <is>
          <t>100</t>
        </is>
      </c>
      <c r="F114" s="6" t="inlineStr">
        <is>
          <t>стандарт</t>
        </is>
      </c>
      <c r="G114" s="6" t="inlineStr">
        <is>
          <t>1.6</t>
        </is>
      </c>
      <c r="H114" s="6" t="inlineStr">
        <is>
          <t>от -40 до +425</t>
        </is>
      </c>
      <c r="I114" s="6" t="inlineStr">
        <is>
          <t>вода, пар, неагрессивные среды</t>
        </is>
      </c>
      <c r="J114" s="6" t="inlineStr">
        <is>
          <t>сталь 25Л</t>
        </is>
      </c>
      <c r="K114" s="6" t="inlineStr">
        <is>
          <t>У1</t>
        </is>
      </c>
      <c r="L114" s="6" t="inlineStr">
        <is>
          <t>фланцевый</t>
        </is>
      </c>
      <c r="M114" s="6" t="inlineStr">
        <is>
          <t>ручной (маховик)</t>
        </is>
      </c>
      <c r="N114" s="6" t="inlineStr">
        <is>
          <t>-</t>
        </is>
      </c>
      <c r="O114" s="6" t="inlineStr">
        <is>
          <t>любое</t>
        </is>
      </c>
      <c r="P114" s="6" t="inlineStr">
        <is>
          <t>-</t>
        </is>
      </c>
      <c r="Q114" s="6" t="inlineStr">
        <is>
          <t>-</t>
        </is>
      </c>
      <c r="R114" s="6" t="inlineStr">
        <is>
          <t>с комплектом ответных фланцев</t>
        </is>
      </c>
      <c r="S114" s="5" t="n">
        <v>1</v>
      </c>
      <c r="T114" s="6" t="inlineStr">
        <is>
          <t>шт</t>
        </is>
      </c>
      <c r="U114" s="8" t="n"/>
      <c r="V114" s="8" t="n"/>
      <c r="W114" s="8" t="n"/>
      <c r="X114" s="8" t="n"/>
      <c r="Y114" s="8" t="n"/>
      <c r="Z114" s="8" t="n"/>
      <c r="AA114" s="9" t="n"/>
      <c r="AB114" s="10">
        <f>AA114*S114</f>
        <v/>
      </c>
      <c r="AC114" s="8" t="n"/>
      <c r="AD114" s="8" t="n"/>
      <c r="AE114" s="8" t="n"/>
    </row>
    <row r="115" ht="60" customHeight="1">
      <c r="A115" s="5" t="n">
        <v>110</v>
      </c>
      <c r="B115" s="6" t="inlineStr">
        <is>
          <t>1.6/38</t>
        </is>
      </c>
      <c r="C115" s="6" t="inlineStr">
        <is>
          <t>Клапан запорный 15с65нж Ду 25 Ру 16 с КОФ</t>
        </is>
      </c>
      <c r="D115" s="6" t="inlineStr">
        <is>
          <t>ТУ У 32200218325-004-94</t>
        </is>
      </c>
      <c r="E115" s="6" t="inlineStr">
        <is>
          <t>25</t>
        </is>
      </c>
      <c r="F115" s="6" t="inlineStr">
        <is>
          <t>стандарт</t>
        </is>
      </c>
      <c r="G115" s="6" t="inlineStr">
        <is>
          <t>1.6</t>
        </is>
      </c>
      <c r="H115" s="6" t="inlineStr">
        <is>
          <t>от -40 до +425</t>
        </is>
      </c>
      <c r="I115" s="6" t="inlineStr">
        <is>
          <t>вода, пар, неагрессивные среды</t>
        </is>
      </c>
      <c r="J115" s="6" t="inlineStr">
        <is>
          <t>сталь 25Л</t>
        </is>
      </c>
      <c r="K115" s="6" t="inlineStr">
        <is>
          <t>У1</t>
        </is>
      </c>
      <c r="L115" s="6" t="inlineStr">
        <is>
          <t>фланцевый</t>
        </is>
      </c>
      <c r="M115" s="6" t="inlineStr">
        <is>
          <t>ручной (маховик)</t>
        </is>
      </c>
      <c r="N115" s="6" t="inlineStr">
        <is>
          <t>-</t>
        </is>
      </c>
      <c r="O115" s="6" t="inlineStr">
        <is>
          <t>любое</t>
        </is>
      </c>
      <c r="P115" s="6" t="inlineStr">
        <is>
          <t>-</t>
        </is>
      </c>
      <c r="Q115" s="6" t="inlineStr">
        <is>
          <t>-</t>
        </is>
      </c>
      <c r="R115" s="6" t="inlineStr">
        <is>
          <t>с комплектом ответных фланцев</t>
        </is>
      </c>
      <c r="S115" s="5" t="n">
        <v>1</v>
      </c>
      <c r="T115" s="6" t="inlineStr">
        <is>
          <t>шт</t>
        </is>
      </c>
      <c r="U115" s="8" t="n"/>
      <c r="V115" s="8" t="n"/>
      <c r="W115" s="8" t="n"/>
      <c r="X115" s="8" t="n"/>
      <c r="Y115" s="8" t="n"/>
      <c r="Z115" s="8" t="n"/>
      <c r="AA115" s="9" t="n"/>
      <c r="AB115" s="10">
        <f>AA115*S115</f>
        <v/>
      </c>
      <c r="AC115" s="8" t="n"/>
      <c r="AD115" s="8" t="n"/>
      <c r="AE115" s="8" t="n"/>
    </row>
    <row r="116" ht="60" customHeight="1">
      <c r="A116" s="5" t="n">
        <v>111</v>
      </c>
      <c r="B116" s="6" t="inlineStr">
        <is>
          <t>1.6/39</t>
        </is>
      </c>
      <c r="C116" s="6" t="inlineStr">
        <is>
          <t>Клапан запорный 15с65нж Ду 40 Ру 16 с КОФ</t>
        </is>
      </c>
      <c r="D116" s="6" t="inlineStr">
        <is>
          <t>ТУ У 32200218325-004-94</t>
        </is>
      </c>
      <c r="E116" s="6" t="inlineStr">
        <is>
          <t>40</t>
        </is>
      </c>
      <c r="F116" s="6" t="inlineStr">
        <is>
          <t>стандарт</t>
        </is>
      </c>
      <c r="G116" s="6" t="inlineStr">
        <is>
          <t>1.6</t>
        </is>
      </c>
      <c r="H116" s="6" t="inlineStr">
        <is>
          <t>от -40 до +425</t>
        </is>
      </c>
      <c r="I116" s="6" t="inlineStr">
        <is>
          <t>вода, пар, неагрессивные среды</t>
        </is>
      </c>
      <c r="J116" s="6" t="inlineStr">
        <is>
          <t>сталь 25Л</t>
        </is>
      </c>
      <c r="K116" s="6" t="inlineStr">
        <is>
          <t>У1</t>
        </is>
      </c>
      <c r="L116" s="6" t="inlineStr">
        <is>
          <t>фланцевый</t>
        </is>
      </c>
      <c r="M116" s="6" t="inlineStr">
        <is>
          <t>ручной (маховик)</t>
        </is>
      </c>
      <c r="N116" s="6" t="inlineStr">
        <is>
          <t>-</t>
        </is>
      </c>
      <c r="O116" s="6" t="inlineStr">
        <is>
          <t>любое</t>
        </is>
      </c>
      <c r="P116" s="6" t="inlineStr">
        <is>
          <t>-</t>
        </is>
      </c>
      <c r="Q116" s="6" t="inlineStr">
        <is>
          <t>-</t>
        </is>
      </c>
      <c r="R116" s="6" t="inlineStr">
        <is>
          <t>с комплектом ответных фланцев</t>
        </is>
      </c>
      <c r="S116" s="5" t="n">
        <v>1</v>
      </c>
      <c r="T116" s="6" t="inlineStr">
        <is>
          <t>шт</t>
        </is>
      </c>
      <c r="U116" s="8" t="n"/>
      <c r="V116" s="8" t="n"/>
      <c r="W116" s="8" t="n"/>
      <c r="X116" s="8" t="n"/>
      <c r="Y116" s="8" t="n"/>
      <c r="Z116" s="8" t="n"/>
      <c r="AA116" s="9" t="n"/>
      <c r="AB116" s="10">
        <f>AA116*S116</f>
        <v/>
      </c>
      <c r="AC116" s="8" t="n"/>
      <c r="AD116" s="8" t="n"/>
      <c r="AE116" s="8" t="n"/>
    </row>
    <row r="117" ht="60" customHeight="1">
      <c r="A117" s="5" t="n">
        <v>112</v>
      </c>
      <c r="B117" s="6" t="inlineStr">
        <is>
          <t>1.6/40</t>
        </is>
      </c>
      <c r="C117" s="6" t="inlineStr">
        <is>
          <t>Клапан запорный 15с65нж Ду 50 Ру 16 с КОФ</t>
        </is>
      </c>
      <c r="D117" s="6" t="inlineStr">
        <is>
          <t>ТУ У 32200218325-004-94</t>
        </is>
      </c>
      <c r="E117" s="6" t="inlineStr">
        <is>
          <t>50</t>
        </is>
      </c>
      <c r="F117" s="6" t="inlineStr">
        <is>
          <t>стандарт</t>
        </is>
      </c>
      <c r="G117" s="6" t="inlineStr">
        <is>
          <t>1.6</t>
        </is>
      </c>
      <c r="H117" s="6" t="inlineStr">
        <is>
          <t>от -40 до +425</t>
        </is>
      </c>
      <c r="I117" s="6" t="inlineStr">
        <is>
          <t>вода, пар, неагрессивные среды</t>
        </is>
      </c>
      <c r="J117" s="6" t="inlineStr">
        <is>
          <t>сталь 25Л</t>
        </is>
      </c>
      <c r="K117" s="6" t="inlineStr">
        <is>
          <t>У1</t>
        </is>
      </c>
      <c r="L117" s="6" t="inlineStr">
        <is>
          <t>фланцевый</t>
        </is>
      </c>
      <c r="M117" s="6" t="inlineStr">
        <is>
          <t>ручной (маховик)</t>
        </is>
      </c>
      <c r="N117" s="6" t="inlineStr">
        <is>
          <t>-</t>
        </is>
      </c>
      <c r="O117" s="6" t="inlineStr">
        <is>
          <t>любое</t>
        </is>
      </c>
      <c r="P117" s="6" t="inlineStr">
        <is>
          <t>-</t>
        </is>
      </c>
      <c r="Q117" s="6" t="inlineStr">
        <is>
          <t>-</t>
        </is>
      </c>
      <c r="R117" s="6" t="inlineStr">
        <is>
          <t>с комплектом ответных фланцев</t>
        </is>
      </c>
      <c r="S117" s="5" t="n">
        <v>2</v>
      </c>
      <c r="T117" s="6" t="inlineStr">
        <is>
          <t>шт</t>
        </is>
      </c>
      <c r="U117" s="8" t="n"/>
      <c r="V117" s="8" t="n"/>
      <c r="W117" s="8" t="n"/>
      <c r="X117" s="8" t="n"/>
      <c r="Y117" s="8" t="n"/>
      <c r="Z117" s="8" t="n"/>
      <c r="AA117" s="9" t="n"/>
      <c r="AB117" s="10">
        <f>AA117*S117</f>
        <v/>
      </c>
      <c r="AC117" s="8" t="n"/>
      <c r="AD117" s="8" t="n"/>
      <c r="AE117" s="8" t="n"/>
    </row>
    <row r="118" ht="60" customHeight="1">
      <c r="A118" s="5" t="n">
        <v>113</v>
      </c>
      <c r="B118" s="6" t="inlineStr">
        <is>
          <t>1.6/41</t>
        </is>
      </c>
      <c r="C118" s="6" t="inlineStr">
        <is>
          <t>Задвижка 30нж41нж Ду 80 Ру 16 1исп. САЗ</t>
        </is>
      </c>
      <c r="D118" s="6" t="inlineStr">
        <is>
          <t>ГОСТ 5762-2002</t>
        </is>
      </c>
      <c r="E118" s="6" t="inlineStr">
        <is>
          <t>80</t>
        </is>
      </c>
      <c r="F118" s="6" t="inlineStr">
        <is>
          <t>стандарт</t>
        </is>
      </c>
      <c r="G118" s="6" t="inlineStr">
        <is>
          <t>1.6</t>
        </is>
      </c>
      <c r="H118" s="6" t="inlineStr">
        <is>
          <t>от -60 до +560</t>
        </is>
      </c>
      <c r="I118" s="6" t="inlineStr">
        <is>
          <t>Жидкие и газообразные углеводороды, нефть, нефтепродукты, природный газ, газоконденсат, вода пар и другие жидкости и газы</t>
        </is>
      </c>
      <c r="J118" s="6" t="inlineStr">
        <is>
          <t>сталь 12Х18Н9ТЛ</t>
        </is>
      </c>
      <c r="K118" s="6" t="inlineStr">
        <is>
          <t>УХЛ1</t>
        </is>
      </c>
      <c r="L118" s="6" t="inlineStr">
        <is>
          <t>фланцевый</t>
        </is>
      </c>
      <c r="M118" s="6" t="inlineStr">
        <is>
          <t>ручной (маховик)</t>
        </is>
      </c>
      <c r="N118" s="6" t="inlineStr">
        <is>
          <t>-</t>
        </is>
      </c>
      <c r="O118" s="6" t="inlineStr">
        <is>
          <t>любое</t>
        </is>
      </c>
      <c r="P118" s="6" t="inlineStr">
        <is>
          <t>1) Диски-12Х18Н9ТЛ; 2) Шпиндель-12Х18Н9Т; 3) Прокладка-Паронит ПМБ; 4) Крышка-12Х18Н9ТЛ; 5) Гайка-12Х18Н9Т; 6) Шпилька 45Х14Н14В2М; 7) Набивка сальника-ТРГ; 8)Сальник-12Х18Н9ТЛ; 9) Болт откидной-45Х14Н14В2М; 10) Втулка резьбовая-Лц 40С; 11)Маховик-20ГЛ; 12) Контргайка-35Х; 13)Шпонка-40Х; 14) Ось-2Х18Н9</t>
        </is>
      </c>
      <c r="Q118" s="6" t="inlineStr">
        <is>
          <t>-</t>
        </is>
      </c>
      <c r="R118" s="6" t="inlineStr">
        <is>
          <t>1 исп. САЗ</t>
        </is>
      </c>
      <c r="S118" s="5" t="n">
        <v>1</v>
      </c>
      <c r="T118" s="6" t="inlineStr">
        <is>
          <t>шт</t>
        </is>
      </c>
      <c r="U118" s="8" t="n"/>
      <c r="V118" s="8" t="n"/>
      <c r="W118" s="8" t="n"/>
      <c r="X118" s="8" t="n"/>
      <c r="Y118" s="8" t="n"/>
      <c r="Z118" s="8" t="n"/>
      <c r="AA118" s="9" t="n"/>
      <c r="AB118" s="10">
        <f>AA118*S118</f>
        <v/>
      </c>
      <c r="AC118" s="8" t="n"/>
      <c r="AD118" s="8" t="n"/>
      <c r="AE118" s="8" t="n"/>
    </row>
    <row r="119" ht="60" customHeight="1">
      <c r="A119" s="5" t="n">
        <v>114</v>
      </c>
      <c r="B119" s="6" t="inlineStr">
        <is>
          <t>1.6/42</t>
        </is>
      </c>
      <c r="C119" s="6" t="inlineStr">
        <is>
          <t>Задвижка 30с41нж Ду 50 Ру 16</t>
        </is>
      </c>
      <c r="D119" s="6" t="inlineStr">
        <is>
          <t>ТУ 3741–001–24380482–2016</t>
        </is>
      </c>
      <c r="E119" s="6" t="inlineStr">
        <is>
          <t>50</t>
        </is>
      </c>
      <c r="F119" s="6" t="inlineStr">
        <is>
          <t>стандарт</t>
        </is>
      </c>
      <c r="G119" s="6" t="inlineStr">
        <is>
          <t>1.6</t>
        </is>
      </c>
      <c r="H119" s="6" t="inlineStr">
        <is>
          <t>до +425</t>
        </is>
      </c>
      <c r="I119" s="6" t="inlineStr">
        <is>
          <t>вода, пар, жидкие неагрессивные среды</t>
        </is>
      </c>
      <c r="J119" s="6" t="inlineStr">
        <is>
          <t>сталь 25Л</t>
        </is>
      </c>
      <c r="K119" s="6" t="inlineStr">
        <is>
          <t>У1</t>
        </is>
      </c>
      <c r="L119" s="6" t="inlineStr">
        <is>
          <t>фланцевый</t>
        </is>
      </c>
      <c r="M119" s="6" t="inlineStr">
        <is>
          <t>ручной (маховик)</t>
        </is>
      </c>
      <c r="N119" s="6" t="inlineStr">
        <is>
          <t>-</t>
        </is>
      </c>
      <c r="O119" s="6" t="inlineStr">
        <is>
          <t>маховиком вверх</t>
        </is>
      </c>
      <c r="P119" s="6" t="inlineStr">
        <is>
          <t>Корпус, крышка, клин, маховик - сталь 25Л ГОСТ 977
шпиндель - сталь 20Х13 ГОСТ 5632
прокладка и уплотнение сальниковое - ТРГ
наплавка на кольце в корпусе и клине - тип 20Х13</t>
        </is>
      </c>
      <c r="Q119" s="6" t="inlineStr">
        <is>
          <t>-</t>
        </is>
      </c>
      <c r="R119" s="6" t="inlineStr">
        <is>
          <t>-</t>
        </is>
      </c>
      <c r="S119" s="5" t="n">
        <v>14</v>
      </c>
      <c r="T119" s="6" t="inlineStr">
        <is>
          <t>шт</t>
        </is>
      </c>
      <c r="U119" s="8" t="n"/>
      <c r="V119" s="8" t="n"/>
      <c r="W119" s="8" t="n"/>
      <c r="X119" s="8" t="n"/>
      <c r="Y119" s="8" t="n"/>
      <c r="Z119" s="8" t="n"/>
      <c r="AA119" s="9" t="n"/>
      <c r="AB119" s="10">
        <f>AA119*S119</f>
        <v/>
      </c>
      <c r="AC119" s="8" t="n"/>
      <c r="AD119" s="8" t="n"/>
      <c r="AE119" s="8" t="n"/>
    </row>
    <row r="120" ht="60" customHeight="1">
      <c r="A120" s="5" t="n">
        <v>115</v>
      </c>
      <c r="B120" s="6" t="inlineStr">
        <is>
          <t>1.6/43</t>
        </is>
      </c>
      <c r="C120" s="6" t="inlineStr">
        <is>
          <t>Задвижка 30с41нж Ду 80 Ру 16</t>
        </is>
      </c>
      <c r="D120" s="6" t="inlineStr">
        <is>
          <t>ТУ 3741–001–24380482–2016</t>
        </is>
      </c>
      <c r="E120" s="6" t="inlineStr">
        <is>
          <t>80</t>
        </is>
      </c>
      <c r="F120" s="6" t="inlineStr">
        <is>
          <t>стандарт</t>
        </is>
      </c>
      <c r="G120" s="6" t="inlineStr">
        <is>
          <t>1.6</t>
        </is>
      </c>
      <c r="H120" s="6" t="inlineStr">
        <is>
          <t>до +425</t>
        </is>
      </c>
      <c r="I120" s="6" t="inlineStr">
        <is>
          <t>вода, пар, жидкие неагрессивные среды</t>
        </is>
      </c>
      <c r="J120" s="6" t="inlineStr">
        <is>
          <t>сталь 25Л</t>
        </is>
      </c>
      <c r="K120" s="6" t="inlineStr">
        <is>
          <t>У1</t>
        </is>
      </c>
      <c r="L120" s="6" t="inlineStr">
        <is>
          <t>фланцевый</t>
        </is>
      </c>
      <c r="M120" s="6" t="inlineStr">
        <is>
          <t>ручной (маховик)</t>
        </is>
      </c>
      <c r="N120" s="6" t="inlineStr">
        <is>
          <t>-</t>
        </is>
      </c>
      <c r="O120" s="6" t="inlineStr">
        <is>
          <t>маховиком вверх</t>
        </is>
      </c>
      <c r="P120" s="6" t="inlineStr">
        <is>
          <t>Корпус, крышка, клин, маховик - сталь 25Л ГОСТ 977
шпиндель - сталь 20Х13 ГОСТ 5632
прокладка и уплотнение сальниковое - ТРГ
наплавка на кольце в корпусе и клине - тип 20Х13</t>
        </is>
      </c>
      <c r="Q120" s="6" t="inlineStr">
        <is>
          <t>-</t>
        </is>
      </c>
      <c r="R120" s="6" t="inlineStr">
        <is>
          <t>-</t>
        </is>
      </c>
      <c r="S120" s="5" t="n">
        <v>11</v>
      </c>
      <c r="T120" s="6" t="inlineStr">
        <is>
          <t>шт</t>
        </is>
      </c>
      <c r="U120" s="8" t="n"/>
      <c r="V120" s="8" t="n"/>
      <c r="W120" s="8" t="n"/>
      <c r="X120" s="8" t="n"/>
      <c r="Y120" s="8" t="n"/>
      <c r="Z120" s="8" t="n"/>
      <c r="AA120" s="9" t="n"/>
      <c r="AB120" s="10">
        <f>AA120*S120</f>
        <v/>
      </c>
      <c r="AC120" s="8" t="n"/>
      <c r="AD120" s="8" t="n"/>
      <c r="AE120" s="8" t="n"/>
    </row>
    <row r="121" ht="60" customHeight="1">
      <c r="A121" s="5" t="n">
        <v>116</v>
      </c>
      <c r="B121" s="6" t="inlineStr">
        <is>
          <t>1.6/44</t>
        </is>
      </c>
      <c r="C121" s="6" t="inlineStr">
        <is>
          <t>Задвижка 30с41нж Ду 100 Ру 16</t>
        </is>
      </c>
      <c r="D121" s="6" t="inlineStr">
        <is>
          <t>ТУ 3741–001–24380482–2016</t>
        </is>
      </c>
      <c r="E121" s="6" t="inlineStr">
        <is>
          <t>100</t>
        </is>
      </c>
      <c r="F121" s="6" t="inlineStr">
        <is>
          <t>стандарт</t>
        </is>
      </c>
      <c r="G121" s="6" t="inlineStr">
        <is>
          <t>1.6</t>
        </is>
      </c>
      <c r="H121" s="6" t="inlineStr">
        <is>
          <t>до +425</t>
        </is>
      </c>
      <c r="I121" s="6" t="inlineStr">
        <is>
          <t>вода, пар, жидкие неагрессивные среды</t>
        </is>
      </c>
      <c r="J121" s="6" t="inlineStr">
        <is>
          <t>сталь 25Л</t>
        </is>
      </c>
      <c r="K121" s="6" t="inlineStr">
        <is>
          <t>У1</t>
        </is>
      </c>
      <c r="L121" s="6" t="inlineStr">
        <is>
          <t>фланцевый</t>
        </is>
      </c>
      <c r="M121" s="6" t="inlineStr">
        <is>
          <t>ручной (маховик)</t>
        </is>
      </c>
      <c r="N121" s="6" t="inlineStr">
        <is>
          <t>-</t>
        </is>
      </c>
      <c r="O121" s="6" t="inlineStr">
        <is>
          <t>маховиком вверх</t>
        </is>
      </c>
      <c r="P121" s="6" t="inlineStr">
        <is>
          <t>Корпус, крышка, клин, маховик - сталь 25Л ГОСТ 977
шпиндель - сталь 20Х13 ГОСТ 5632
прокладка и уплотнение сальниковое - ТРГ
наплавка на кольце в корпусе и клине - тип 20Х13</t>
        </is>
      </c>
      <c r="Q121" s="6" t="inlineStr">
        <is>
          <t>-</t>
        </is>
      </c>
      <c r="R121" s="6" t="inlineStr">
        <is>
          <t>-</t>
        </is>
      </c>
      <c r="S121" s="5" t="n">
        <v>10</v>
      </c>
      <c r="T121" s="6" t="inlineStr">
        <is>
          <t>шт</t>
        </is>
      </c>
      <c r="U121" s="8" t="n"/>
      <c r="V121" s="8" t="n"/>
      <c r="W121" s="8" t="n"/>
      <c r="X121" s="8" t="n"/>
      <c r="Y121" s="8" t="n"/>
      <c r="Z121" s="8" t="n"/>
      <c r="AA121" s="9" t="n"/>
      <c r="AB121" s="10">
        <f>AA121*S121</f>
        <v/>
      </c>
      <c r="AC121" s="8" t="n"/>
      <c r="AD121" s="8" t="n"/>
      <c r="AE121" s="8" t="n"/>
    </row>
    <row r="122" ht="60" customHeight="1">
      <c r="A122" s="5" t="n">
        <v>117</v>
      </c>
      <c r="B122" s="6" t="inlineStr">
        <is>
          <t>1.6/45</t>
        </is>
      </c>
      <c r="C122" s="6" t="inlineStr">
        <is>
          <t>Задвижка 30с41нж Ду 150 Ру 16</t>
        </is>
      </c>
      <c r="D122" s="6" t="inlineStr">
        <is>
          <t>ТУ 3741–001–24380482–2016</t>
        </is>
      </c>
      <c r="E122" s="6" t="inlineStr">
        <is>
          <t>150</t>
        </is>
      </c>
      <c r="F122" s="6" t="inlineStr">
        <is>
          <t>стандарт</t>
        </is>
      </c>
      <c r="G122" s="6" t="inlineStr">
        <is>
          <t>1.6</t>
        </is>
      </c>
      <c r="H122" s="6" t="inlineStr">
        <is>
          <t>до +425</t>
        </is>
      </c>
      <c r="I122" s="6" t="inlineStr">
        <is>
          <t>вода, пар, жидкие неагрессивные среды</t>
        </is>
      </c>
      <c r="J122" s="6" t="inlineStr">
        <is>
          <t>сталь 25Л</t>
        </is>
      </c>
      <c r="K122" s="6" t="inlineStr">
        <is>
          <t>У1</t>
        </is>
      </c>
      <c r="L122" s="6" t="inlineStr">
        <is>
          <t>фланцевый</t>
        </is>
      </c>
      <c r="M122" s="6" t="inlineStr">
        <is>
          <t>ручной (маховик)</t>
        </is>
      </c>
      <c r="N122" s="6" t="inlineStr">
        <is>
          <t>-</t>
        </is>
      </c>
      <c r="O122" s="6" t="inlineStr">
        <is>
          <t>маховиком вверх</t>
        </is>
      </c>
      <c r="P122" s="6" t="inlineStr">
        <is>
          <t>Корпус, крышка, клин, маховик - сталь 25Л ГОСТ 977
шпиндель - сталь 20Х13 ГОСТ 5632
прокладка и уплотнение сальниковое - ТРГ
наплавка на кольце в корпусе и клине - тип 20Х13</t>
        </is>
      </c>
      <c r="Q122" s="6" t="inlineStr">
        <is>
          <t>-</t>
        </is>
      </c>
      <c r="R122" s="6" t="inlineStr">
        <is>
          <t>-</t>
        </is>
      </c>
      <c r="S122" s="5" t="n">
        <v>7</v>
      </c>
      <c r="T122" s="6" t="inlineStr">
        <is>
          <t>шт</t>
        </is>
      </c>
      <c r="U122" s="8" t="n"/>
      <c r="V122" s="8" t="n"/>
      <c r="W122" s="8" t="n"/>
      <c r="X122" s="8" t="n"/>
      <c r="Y122" s="8" t="n"/>
      <c r="Z122" s="8" t="n"/>
      <c r="AA122" s="9" t="n"/>
      <c r="AB122" s="10">
        <f>AA122*S122</f>
        <v/>
      </c>
      <c r="AC122" s="8" t="n"/>
      <c r="AD122" s="8" t="n"/>
      <c r="AE122" s="8" t="n"/>
    </row>
    <row r="123" ht="60" customHeight="1">
      <c r="A123" s="5" t="n">
        <v>118</v>
      </c>
      <c r="B123" s="6" t="inlineStr">
        <is>
          <t>1.6/46</t>
        </is>
      </c>
      <c r="C123" s="6" t="inlineStr">
        <is>
          <t>Задвижка 30с41нж Ду 200 Ру 16</t>
        </is>
      </c>
      <c r="D123" s="6" t="inlineStr">
        <is>
          <t>ТУ 3741–001–24380482–2016</t>
        </is>
      </c>
      <c r="E123" s="6" t="inlineStr">
        <is>
          <t>200</t>
        </is>
      </c>
      <c r="F123" s="6" t="inlineStr">
        <is>
          <t>стандарт</t>
        </is>
      </c>
      <c r="G123" s="6" t="inlineStr">
        <is>
          <t>1.6</t>
        </is>
      </c>
      <c r="H123" s="6" t="inlineStr">
        <is>
          <t>до +425</t>
        </is>
      </c>
      <c r="I123" s="6" t="inlineStr">
        <is>
          <t>вода, пар, жидкие неагрессивные среды</t>
        </is>
      </c>
      <c r="J123" s="6" t="inlineStr">
        <is>
          <t>сталь 25Л</t>
        </is>
      </c>
      <c r="K123" s="6" t="inlineStr">
        <is>
          <t>У1</t>
        </is>
      </c>
      <c r="L123" s="6" t="inlineStr">
        <is>
          <t>фланцевый</t>
        </is>
      </c>
      <c r="M123" s="6" t="inlineStr">
        <is>
          <t>ручной (маховик)</t>
        </is>
      </c>
      <c r="N123" s="6" t="inlineStr">
        <is>
          <t>-</t>
        </is>
      </c>
      <c r="O123" s="6" t="inlineStr">
        <is>
          <t>маховиком вверх</t>
        </is>
      </c>
      <c r="P123" s="6" t="inlineStr">
        <is>
          <t>Корпус, крышка, клин, маховик - сталь 25Л ГОСТ 977
шпиндель - сталь 20Х13 ГОСТ 5632
прокладка и уплотнение сальниковое - ТРГ
наплавка на кольце в корпусе и клине - тип 20Х13</t>
        </is>
      </c>
      <c r="Q123" s="6" t="inlineStr">
        <is>
          <t>-</t>
        </is>
      </c>
      <c r="R123" s="6" t="inlineStr">
        <is>
          <t>-</t>
        </is>
      </c>
      <c r="S123" s="5" t="n">
        <v>2</v>
      </c>
      <c r="T123" s="6" t="inlineStr">
        <is>
          <t>шт</t>
        </is>
      </c>
      <c r="U123" s="8" t="n"/>
      <c r="V123" s="8" t="n"/>
      <c r="W123" s="8" t="n"/>
      <c r="X123" s="8" t="n"/>
      <c r="Y123" s="8" t="n"/>
      <c r="Z123" s="8" t="n"/>
      <c r="AA123" s="9" t="n"/>
      <c r="AB123" s="10">
        <f>AA123*S123</f>
        <v/>
      </c>
      <c r="AC123" s="8" t="n"/>
      <c r="AD123" s="8" t="n"/>
      <c r="AE123" s="8" t="n"/>
    </row>
    <row r="124" ht="60" customHeight="1">
      <c r="A124" s="5" t="n">
        <v>119</v>
      </c>
      <c r="B124" s="6" t="inlineStr">
        <is>
          <t>1.6/48</t>
        </is>
      </c>
      <c r="C124" s="6" t="inlineStr">
        <is>
          <t>Задвижка 30ч6бр Ду 80 Ру 10</t>
        </is>
      </c>
      <c r="D124" s="6" t="inlineStr">
        <is>
          <t>ТУ УЗ 22-03326877-021-96</t>
        </is>
      </c>
      <c r="E124" s="6" t="inlineStr">
        <is>
          <t>80</t>
        </is>
      </c>
      <c r="F124" s="6" t="inlineStr">
        <is>
          <t>стандарт</t>
        </is>
      </c>
      <c r="G124" s="6" t="inlineStr">
        <is>
          <t>1</t>
        </is>
      </c>
      <c r="H124" s="6" t="inlineStr">
        <is>
          <t>до +225</t>
        </is>
      </c>
      <c r="I124" s="6" t="inlineStr">
        <is>
          <t>вода, пар</t>
        </is>
      </c>
      <c r="J124" s="6" t="inlineStr">
        <is>
          <t>серый чугун СЧ 18 (СЧ 20)</t>
        </is>
      </c>
      <c r="K124" s="6" t="inlineStr">
        <is>
          <t>У</t>
        </is>
      </c>
      <c r="L124" s="6" t="inlineStr">
        <is>
          <t>фланцевый</t>
        </is>
      </c>
      <c r="M124" s="6" t="inlineStr">
        <is>
          <t>ручной (маховик)</t>
        </is>
      </c>
      <c r="N124" s="6" t="inlineStr">
        <is>
          <t>-</t>
        </is>
      </c>
      <c r="O124" s="6" t="inlineStr">
        <is>
          <t>любое, кроме маховиком вниз</t>
        </is>
      </c>
      <c r="P124" s="6" t="inlineStr">
        <is>
          <t>Шпиндель — сталь 20Х13;
Кольцо уплотнительное, втулка резьбовая — латунь ЛЦ38МцС2;
Прокладка под крышку — паронит ПОН;
Набивка уплотнительная — АП-31;</t>
        </is>
      </c>
      <c r="Q124" s="6" t="inlineStr">
        <is>
          <t>-</t>
        </is>
      </c>
      <c r="R124" s="6" t="inlineStr">
        <is>
          <t>-</t>
        </is>
      </c>
      <c r="S124" s="5" t="n">
        <v>3</v>
      </c>
      <c r="T124" s="6" t="inlineStr">
        <is>
          <t>шт</t>
        </is>
      </c>
      <c r="U124" s="8" t="n"/>
      <c r="V124" s="8" t="n"/>
      <c r="W124" s="8" t="n"/>
      <c r="X124" s="8" t="n"/>
      <c r="Y124" s="8" t="n"/>
      <c r="Z124" s="8" t="n"/>
      <c r="AA124" s="9" t="n"/>
      <c r="AB124" s="10">
        <f>AA124*S124</f>
        <v/>
      </c>
      <c r="AC124" s="8" t="n"/>
      <c r="AD124" s="8" t="n"/>
      <c r="AE124" s="8" t="n"/>
    </row>
    <row r="125" ht="60" customHeight="1">
      <c r="A125" s="5" t="n">
        <v>120</v>
      </c>
      <c r="B125" s="6" t="inlineStr">
        <is>
          <t>1.8/1</t>
        </is>
      </c>
      <c r="C125" s="6" t="inlineStr">
        <is>
          <t>Задвижка 30нж41нж Ду 80 Ру 16 1исп. САЗ</t>
        </is>
      </c>
      <c r="D125" s="6" t="inlineStr">
        <is>
          <t>ТУ 3741-001-22294686-2008</t>
        </is>
      </c>
      <c r="E125" s="6" t="inlineStr">
        <is>
          <t>80</t>
        </is>
      </c>
      <c r="F125" s="6" t="inlineStr">
        <is>
          <t>стандарт</t>
        </is>
      </c>
      <c r="G125" s="6" t="inlineStr">
        <is>
          <t>1.6</t>
        </is>
      </c>
      <c r="H125" s="6" t="inlineStr">
        <is>
          <t>до +200°С</t>
        </is>
      </c>
      <c r="I125" s="6" t="inlineStr">
        <is>
          <t>Вода, пар</t>
        </is>
      </c>
      <c r="J125" s="6" t="inlineStr">
        <is>
          <t>углеродистая сталь</t>
        </is>
      </c>
      <c r="K125" s="6" t="inlineStr">
        <is>
          <t>УХЛ1</t>
        </is>
      </c>
      <c r="L125" s="6" t="inlineStr">
        <is>
          <t>Фланец-фланец  по ГОСТ 33259-2015</t>
        </is>
      </c>
      <c r="M125" s="6" t="inlineStr">
        <is>
          <t>Ручное</t>
        </is>
      </c>
      <c r="N125" s="6" t="inlineStr">
        <is>
          <t>Рукоятка</t>
        </is>
      </c>
      <c r="O125" s="6" t="inlineStr">
        <is>
          <t>любое</t>
        </is>
      </c>
      <c r="P125" s="6" t="inlineStr">
        <is>
          <t>1) Диски-12Х18Н9ТЛ; 2) Шпиндель-12Х18Н9Т; 3) Прокладка-Паронит ПМБ; 4) Крышка-12Х18Н9ТЛ; 5) Гайка-12Х18Н9Т; 6) Шпилька 45Х14Н14В2М; 7) Набивка сальника-ТРГ; 8)Сальник-12Х18Н9ТЛ; 9) Болт откидной-45Х14Н14В2М; 10) Втулка резьбовая-Лц 40С; 11)Маховик-20ГЛ; 12) Контргайка-35Х; 13)Шпонка-40Х; 14) Ось-2Х18Н9</t>
        </is>
      </c>
      <c r="Q125" s="6" t="inlineStr"/>
      <c r="R125" s="6" t="inlineStr"/>
      <c r="S125" s="5" t="n">
        <v>1</v>
      </c>
      <c r="T125" s="6" t="inlineStr">
        <is>
          <t>шт</t>
        </is>
      </c>
      <c r="U125" s="8" t="n"/>
      <c r="V125" s="8" t="n"/>
      <c r="W125" s="8" t="n"/>
      <c r="X125" s="8" t="n"/>
      <c r="Y125" s="8" t="n"/>
      <c r="Z125" s="8" t="n"/>
      <c r="AA125" s="9" t="n"/>
      <c r="AB125" s="10">
        <f>AA125*S125</f>
        <v/>
      </c>
      <c r="AC125" s="8" t="n"/>
      <c r="AD125" s="8" t="n"/>
      <c r="AE125" s="8" t="n"/>
    </row>
    <row r="126" ht="60" customHeight="1">
      <c r="A126" s="11" t="inlineStr"/>
      <c r="B126" s="11" t="inlineStr"/>
      <c r="C126" s="11" t="inlineStr"/>
      <c r="D126" s="11" t="inlineStr"/>
      <c r="E126" s="11" t="inlineStr"/>
      <c r="F126" s="11" t="inlineStr"/>
      <c r="G126" s="11" t="inlineStr"/>
      <c r="H126" s="11" t="inlineStr"/>
      <c r="I126" s="11" t="inlineStr"/>
      <c r="J126" s="11" t="inlineStr"/>
      <c r="K126" s="11" t="inlineStr"/>
      <c r="L126" s="11" t="inlineStr"/>
      <c r="M126" s="11" t="inlineStr"/>
      <c r="N126" s="11" t="inlineStr"/>
      <c r="O126" s="11" t="inlineStr"/>
      <c r="P126" s="11" t="inlineStr"/>
      <c r="Q126" s="11" t="inlineStr"/>
      <c r="R126" s="11" t="inlineStr"/>
      <c r="S126" s="11" t="inlineStr"/>
      <c r="T126" s="11" t="inlineStr"/>
      <c r="U126" s="11" t="inlineStr"/>
      <c r="V126" s="11" t="inlineStr"/>
      <c r="W126" s="11" t="inlineStr"/>
      <c r="X126" s="11" t="inlineStr"/>
      <c r="Y126" s="11" t="inlineStr"/>
      <c r="Z126" s="11" t="inlineStr"/>
      <c r="AA126" s="11" t="inlineStr">
        <is>
          <t>ИТОГО</t>
        </is>
      </c>
      <c r="AB126" s="12">
        <f>SUM(AB6:AB125)</f>
        <v/>
      </c>
      <c r="AC126" s="2" t="n"/>
      <c r="AD126" s="2" t="n"/>
      <c r="AE126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2026-10-27T16:43:31Z</dcterms:created>
  <dcterms:modified xmlns:dcterms="http://purl.org/dc/terms/" xmlns:xsi="http://www.w3.org/2001/XMLSchema-instance" xsi:type="dcterms:W3CDTF">2026-10-27T16:43:32Z</dcterms:modified>
</cp:coreProperties>
</file>