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Заполнить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&quot; ₽&quot;"/>
  </numFmts>
  <fonts count="3">
    <font>
      <name val="Calibri"/>
      <family val="2"/>
      <color theme="1"/>
      <sz val="11"/>
      <scheme val="minor"/>
    </font>
    <font>
      <b val="1"/>
      <sz val="12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BF8F0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 wrapText="1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vertical="center" wrapText="1"/>
    </xf>
    <xf numFmtId="164" fontId="0" fillId="4" borderId="1" applyAlignment="1" pivotButton="0" quotePrefix="0" xfId="0">
      <alignment vertical="center"/>
    </xf>
    <xf numFmtId="164" fontId="0" fillId="4" borderId="1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164" fontId="0" fillId="0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E9"/>
  <sheetViews>
    <sheetView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9" customWidth="1" min="2" max="2"/>
    <col width="34" customWidth="1" min="3" max="3"/>
    <col width="14" customWidth="1" min="4" max="4"/>
    <col width="7" customWidth="1" min="5" max="5"/>
    <col width="10" customWidth="1" min="6" max="6"/>
    <col width="9" customWidth="1" min="7" max="7"/>
    <col width="12" customWidth="1" min="8" max="8"/>
    <col width="14" customWidth="1" min="9" max="9"/>
    <col width="14" customWidth="1" min="10" max="10"/>
    <col width="10" customWidth="1" min="11" max="11"/>
    <col width="14" customWidth="1" min="12" max="12"/>
    <col width="14" customWidth="1" min="13" max="13"/>
    <col width="16" customWidth="1" min="14" max="14"/>
    <col width="10" customWidth="1" min="15" max="15"/>
    <col width="22" customWidth="1" min="16" max="16"/>
    <col width="12" customWidth="1" min="17" max="17"/>
    <col width="14" customWidth="1" min="18" max="18"/>
    <col width="7" customWidth="1" min="19" max="19"/>
    <col width="5" customWidth="1" min="20" max="20"/>
    <col width="22" customWidth="1" min="21" max="21"/>
    <col width="24" customWidth="1" min="22" max="22"/>
    <col width="14" customWidth="1" min="23" max="23"/>
    <col width="26" customWidth="1" min="24" max="24"/>
    <col width="13" customWidth="1" min="25" max="25"/>
    <col width="24" customWidth="1" min="26" max="26"/>
    <col width="13" customWidth="1" min="27" max="27"/>
    <col width="14" customWidth="1" min="28" max="28"/>
    <col width="12" customWidth="1" min="29" max="29"/>
    <col width="14" customWidth="1" min="30" max="30"/>
    <col width="20" customWidth="1" min="31" max="31"/>
  </cols>
  <sheetData>
    <row r="1" ht="18" customHeight="1">
      <c r="A1" s="1" t="inlineStr">
        <is>
          <t>Запрос КП — ООО «ГИДРОПАС» (ИНН 9729231965) для ПАО «Камчатскэнерго», закупка 32616346943. Получатель: ООО «ПромАрм» (PromArm®)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</row>
    <row r="2" ht="18" customHeight="1">
      <c r="A2" s="2" t="inlineStr">
        <is>
          <t>Просим заполнить жёлтые графы по каждой позиции. Характеристики — дословно из технических требований заказчика; при отличии — указать в графе «Соответствие ТЗ».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</row>
    <row r="3" ht="18" customHeight="1">
      <c r="A3" s="2" t="inlineStr">
        <is>
          <t>Графы марка / производитель / страна / № записи частично ПРЕДЗАПОЛНЕНЫ нами по вашему КП и открытым данным — проверьте и исправьте, если не так.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  <c r="AA3" s="2" t="n"/>
      <c r="AB3" s="2" t="n"/>
      <c r="AC3" s="2" t="n"/>
      <c r="AD3" s="2" t="n"/>
      <c r="AE3" s="2" t="n"/>
    </row>
    <row r="4" ht="18" customHeight="1">
      <c r="A4" s="2" t="inlineStr">
        <is>
          <t>Нацрежим ПП 1875 (ограничение): обязательны производитель, страна и ДЕЙСТВУЮЩИЙ номер реестровой записи ПП 719 (для ЕАЭС — евразийский реестр). Приложите выписку из ГИСП и сертификаты. Доставка — до Петропавловска-Камчатского (укажите вес).</t>
        </is>
      </c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2" t="n"/>
      <c r="AB4" s="2" t="n"/>
      <c r="AC4" s="2" t="n"/>
      <c r="AD4" s="2" t="n"/>
      <c r="AE4" s="2" t="n"/>
    </row>
    <row r="5" ht="66" customHeight="1">
      <c r="A5" s="3" t="inlineStr">
        <is>
          <t>№</t>
        </is>
      </c>
      <c r="B5" s="3" t="inlineStr">
        <is>
          <t>Табл./№ ТЗ</t>
        </is>
      </c>
      <c r="C5" s="3" t="inlineStr">
        <is>
          <t>Наименование</t>
        </is>
      </c>
      <c r="D5" s="3" t="inlineStr">
        <is>
          <t>ГОСТ/ТУ</t>
        </is>
      </c>
      <c r="E5" s="3" t="inlineStr">
        <is>
          <t>Ду, мм</t>
        </is>
      </c>
      <c r="F5" s="3" t="inlineStr">
        <is>
          <t>Проход</t>
        </is>
      </c>
      <c r="G5" s="3" t="inlineStr">
        <is>
          <t>Давление, МПа</t>
        </is>
      </c>
      <c r="H5" s="3" t="inlineStr">
        <is>
          <t>Температура, °С</t>
        </is>
      </c>
      <c r="I5" s="3" t="inlineStr">
        <is>
          <t>Среда</t>
        </is>
      </c>
      <c r="J5" s="3" t="inlineStr">
        <is>
          <t>Материал корпуса</t>
        </is>
      </c>
      <c r="K5" s="3" t="inlineStr">
        <is>
          <t>Климатическое исполнение</t>
        </is>
      </c>
      <c r="L5" s="3" t="inlineStr">
        <is>
          <t>Присоединение</t>
        </is>
      </c>
      <c r="M5" s="3" t="inlineStr">
        <is>
          <t>Приводное устройство: наименование</t>
        </is>
      </c>
      <c r="N5" s="3" t="inlineStr">
        <is>
          <t>Приводное устройство: технические характеристики</t>
        </is>
      </c>
      <c r="O5" s="3" t="inlineStr">
        <is>
          <t>Установочное положение</t>
        </is>
      </c>
      <c r="P5" s="3" t="inlineStr">
        <is>
          <t>Материал штока, шара, уплотнений</t>
        </is>
      </c>
      <c r="Q5" s="3" t="inlineStr">
        <is>
          <t>Габариты</t>
        </is>
      </c>
      <c r="R5" s="3" t="inlineStr">
        <is>
          <t>Примечание</t>
        </is>
      </c>
      <c r="S5" s="3" t="inlineStr">
        <is>
          <t>Кол-во</t>
        </is>
      </c>
      <c r="T5" s="3" t="inlineStr">
        <is>
          <t>Ед.</t>
        </is>
      </c>
      <c r="U5" s="4" t="inlineStr">
        <is>
          <t>Предлагаемая марка / обозначение</t>
        </is>
      </c>
      <c r="V5" s="4" t="inlineStr">
        <is>
          <t>Производитель (завод)</t>
        </is>
      </c>
      <c r="W5" s="4" t="inlineStr">
        <is>
          <t>Страна происхождения</t>
        </is>
      </c>
      <c r="X5" s="4" t="inlineStr">
        <is>
          <t>№ реестровой записи (ПП 719) или евразийского реестра</t>
        </is>
      </c>
      <c r="Y5" s="4" t="inlineStr">
        <is>
          <t>Срок действия записи</t>
        </is>
      </c>
      <c r="Z5" s="4" t="inlineStr">
        <is>
          <t>Соответствие ТЗ: «да» или отличия</t>
        </is>
      </c>
      <c r="AA5" s="4" t="inlineStr">
        <is>
          <t>Цена за ед. с НДС, ₽</t>
        </is>
      </c>
      <c r="AB5" s="4" t="inlineStr">
        <is>
          <t>Сумма с НДС, ₽</t>
        </is>
      </c>
      <c r="AC5" s="4" t="inlineStr">
        <is>
          <t>Срок отгрузки</t>
        </is>
      </c>
      <c r="AD5" s="4" t="inlineStr">
        <is>
          <t>Вес ед., кг / габариты</t>
        </is>
      </c>
      <c r="AE5" s="4" t="inlineStr">
        <is>
          <t>Сертификат / декларация ТР ТС №</t>
        </is>
      </c>
    </row>
    <row r="6" ht="60" customHeight="1">
      <c r="A6" s="5" t="n">
        <v>1</v>
      </c>
      <c r="B6" s="6" t="inlineStr">
        <is>
          <t>1.1/22</t>
        </is>
      </c>
      <c r="C6" s="6" t="inlineStr">
        <is>
          <t>Затвор дисковый поворотный межфланцевый Stensel 31070-01 Ду 200 Ру 25</t>
        </is>
      </c>
      <c r="D6" s="6" t="inlineStr">
        <is>
          <t>нет</t>
        </is>
      </c>
      <c r="E6" s="6" t="inlineStr">
        <is>
          <t>200</t>
        </is>
      </c>
      <c r="F6" s="6" t="inlineStr">
        <is>
          <t>стандарт</t>
        </is>
      </c>
      <c r="G6" s="6" t="inlineStr">
        <is>
          <t>2.5</t>
        </is>
      </c>
      <c r="H6" s="6" t="inlineStr">
        <is>
          <t>0т -40°С до 300°С</t>
        </is>
      </c>
      <c r="I6" s="6" t="inlineStr">
        <is>
          <t>Вода, воздух, пар, природный газ и газообразные углеводороды, нефть, нефтепродукты, кислоты, щелочи,</t>
        </is>
      </c>
      <c r="J6" s="6" t="inlineStr">
        <is>
          <t>Корпус - нержавеющая сталь</t>
        </is>
      </c>
      <c r="K6" s="6" t="inlineStr">
        <is>
          <t>УХЛ1</t>
        </is>
      </c>
      <c r="L6" s="6" t="inlineStr">
        <is>
          <t>межфланцевое по ГОСТ 33259-2015</t>
        </is>
      </c>
      <c r="M6" s="6" t="inlineStr">
        <is>
          <t>Верхний фланец выполнен по стандарту ISO 5211. под эл.привод</t>
        </is>
      </c>
      <c r="N6" s="6" t="inlineStr">
        <is>
          <t>под Эл. привод AUMA SQ 10.2-F10, t: 8s/90°, М закр. 200-450 Nm, M откр. 200-450 Nm</t>
        </is>
      </c>
      <c r="O6" s="6" t="inlineStr">
        <is>
          <t>любое</t>
        </is>
      </c>
      <c r="P6" s="6" t="inlineStr">
        <is>
          <t>Затвор полностью из нержавеющей стали, в том числе и седло, Уплотнение цельнометаллическое, металл по металлу, без применения графита.</t>
        </is>
      </c>
      <c r="Q6" s="6" t="inlineStr">
        <is>
          <t>L=71 мм</t>
        </is>
      </c>
      <c r="R6" s="6" t="inlineStr"/>
      <c r="S6" s="5" t="n">
        <v>3</v>
      </c>
      <c r="T6" s="6" t="inlineStr">
        <is>
          <t>шт</t>
        </is>
      </c>
      <c r="U6" s="7" t="n"/>
      <c r="V6" s="8" t="inlineStr">
        <is>
          <t>ООО «ПромАрм» (PromArm®)</t>
        </is>
      </c>
      <c r="W6" s="8" t="inlineStr">
        <is>
          <t>Россия</t>
        </is>
      </c>
      <c r="X6" s="7" t="n"/>
      <c r="Y6" s="7" t="n"/>
      <c r="Z6" s="7" t="n"/>
      <c r="AA6" s="9" t="n"/>
      <c r="AB6" s="10">
        <f>AA6*S6</f>
        <v/>
      </c>
      <c r="AC6" s="7" t="n"/>
      <c r="AD6" s="7" t="n"/>
      <c r="AE6" s="7" t="n"/>
    </row>
    <row r="7" ht="60" customHeight="1">
      <c r="A7" s="5" t="n">
        <v>2</v>
      </c>
      <c r="B7" s="6" t="inlineStr">
        <is>
          <t>1.1/23</t>
        </is>
      </c>
      <c r="C7" s="6" t="inlineStr">
        <is>
          <t>Затвор дисковый поворотный межфланцевый ПА954.450.10-05 Ду 450 Ру 10</t>
        </is>
      </c>
      <c r="D7" s="6" t="inlineStr">
        <is>
          <t>ТУ 3700-001-55604618-2013</t>
        </is>
      </c>
      <c r="E7" s="6" t="inlineStr">
        <is>
          <t>450</t>
        </is>
      </c>
      <c r="F7" s="6" t="inlineStr">
        <is>
          <t>стандарт</t>
        </is>
      </c>
      <c r="G7" s="6" t="inlineStr">
        <is>
          <t>1</t>
        </is>
      </c>
      <c r="H7" s="6" t="inlineStr">
        <is>
          <t>0т 05°С до 425°С</t>
        </is>
      </c>
      <c r="I7" s="6" t="inlineStr">
        <is>
          <t>Вода, воздух, пар, природный газ и газообразные углеводороды, нефть, нефтепродукты, коксовый газ, аммиак, кислоты, щелочи, спирты</t>
        </is>
      </c>
      <c r="J7" s="6" t="inlineStr">
        <is>
          <t>Корпус - коррозионностойкая молибденосодержащая сталь, применение в условиях особо агрессивной среды и при низких температурах сталь CF8M</t>
        </is>
      </c>
      <c r="K7" s="6" t="inlineStr">
        <is>
          <t>У</t>
        </is>
      </c>
      <c r="L7" s="6" t="inlineStr">
        <is>
          <t>межфланцевое с гладкими проушинами</t>
        </is>
      </c>
      <c r="M7" s="6" t="inlineStr">
        <is>
          <t>Редуктор DN 450</t>
        </is>
      </c>
      <c r="N7" s="6" t="inlineStr">
        <is>
          <t>Штурвал</t>
        </is>
      </c>
      <c r="O7" s="6" t="inlineStr">
        <is>
          <t>любое</t>
        </is>
      </c>
      <c r="P7" s="6" t="inlineStr">
        <is>
          <t>Затворы дисковые с тройным эксцентриситетом. Размеры верхнего фланца под привод — В соответствии со стандартом ISO 5211                               1. Корпус - сталь CF8M ASTM A351
2. Диск — сталь WCB по ASTM A216
3. Уплотнение — нержавеющая сталь + графит
4. Прижимное кольцо - сталь CF8M ASTM A351
5. Шток - сталь CF8M ASTM A351
6. Фланец сальника - сталь SS304
7. Сальниковая набивка — сталь SS304 + graphite</t>
        </is>
      </c>
      <c r="Q7" s="6" t="inlineStr">
        <is>
          <t>A - 380мм; B-570мм; L-114мм; D1-565мм; n*d-20×26мм</t>
        </is>
      </c>
      <c r="R7" s="6" t="inlineStr"/>
      <c r="S7" s="5" t="n">
        <v>1</v>
      </c>
      <c r="T7" s="6" t="inlineStr">
        <is>
          <t>шт</t>
        </is>
      </c>
      <c r="U7" s="7" t="n"/>
      <c r="V7" s="8" t="inlineStr">
        <is>
          <t>ООО «ПромАрм» (PromArm®)</t>
        </is>
      </c>
      <c r="W7" s="8" t="inlineStr">
        <is>
          <t>Россия</t>
        </is>
      </c>
      <c r="X7" s="7" t="n"/>
      <c r="Y7" s="7" t="n"/>
      <c r="Z7" s="7" t="n"/>
      <c r="AA7" s="9" t="n"/>
      <c r="AB7" s="10">
        <f>AA7*S7</f>
        <v/>
      </c>
      <c r="AC7" s="7" t="n"/>
      <c r="AD7" s="7" t="n"/>
      <c r="AE7" s="7" t="n"/>
    </row>
    <row r="8" ht="60" customHeight="1">
      <c r="A8" s="5" t="n">
        <v>3</v>
      </c>
      <c r="B8" s="6" t="inlineStr">
        <is>
          <t>1.3/150</t>
        </is>
      </c>
      <c r="C8" s="6" t="inlineStr">
        <is>
          <t>Затвор 32нж910р Ду 1000 Ру 10 с эл.приводом</t>
        </is>
      </c>
      <c r="D8" s="6" t="inlineStr">
        <is>
          <t>ТУ 3721-001-22294686-2008
ГОСТ 13547-2015</t>
        </is>
      </c>
      <c r="E8" s="6" t="inlineStr">
        <is>
          <t>1000</t>
        </is>
      </c>
      <c r="F8" s="6" t="inlineStr">
        <is>
          <t>полнопроходной</t>
        </is>
      </c>
      <c r="G8" s="6" t="inlineStr">
        <is>
          <t>1</t>
        </is>
      </c>
      <c r="H8" s="6" t="inlineStr">
        <is>
          <t>50</t>
        </is>
      </c>
      <c r="I8" s="6" t="inlineStr">
        <is>
          <t>морская вода</t>
        </is>
      </c>
      <c r="J8" s="6" t="inlineStr">
        <is>
          <t>коррозионно стойкая сталь 08Х18Н10Т</t>
        </is>
      </c>
      <c r="K8" s="6" t="inlineStr">
        <is>
          <t>УХЛ4</t>
        </is>
      </c>
      <c r="L8" s="6" t="inlineStr">
        <is>
          <t>фланцевое с КОФ</t>
        </is>
      </c>
      <c r="M8" s="6" t="inlineStr">
        <is>
          <t>ГЗ-В 600 ГРЛЕ.421322.001ТУ</t>
        </is>
      </c>
      <c r="N8" s="6" t="inlineStr">
        <is>
          <t>У1, IP-65, 1,5кВт</t>
        </is>
      </c>
      <c r="O8" s="6" t="inlineStr"/>
      <c r="P8" s="6" t="inlineStr">
        <is>
          <t>Диск (запорный элемент) 08Х18Н10Т (AISI 321), ось (вал привода) 20Х13, фланец боковой Ст20 (наплавка уплотнительной поверхности фланца - коррозионностойкая 12Х18Н9Т), редуктор Ст20, уплотнительное кольцо резина СКЕПТ (EPDM)</t>
        </is>
      </c>
      <c r="Q8" s="6" t="inlineStr"/>
      <c r="R8" s="6" t="inlineStr">
        <is>
          <t>Затвор фланцевый 32нж910р Ду1000 Ру10 с эл.приводом с комплектом ответных фланцев (90 гр. указатель поворота- визуальны и встроенный дистанционный блок (токовый выход) указателя положения (открыто, закрыто)</t>
        </is>
      </c>
      <c r="S8" s="5" t="n">
        <v>1</v>
      </c>
      <c r="T8" s="6" t="inlineStr">
        <is>
          <t>шт</t>
        </is>
      </c>
      <c r="U8" s="7" t="n"/>
      <c r="V8" s="8" t="inlineStr">
        <is>
          <t>ООО «ПромАрм» (PromArm®)</t>
        </is>
      </c>
      <c r="W8" s="8" t="inlineStr">
        <is>
          <t>Россия</t>
        </is>
      </c>
      <c r="X8" s="7" t="n"/>
      <c r="Y8" s="7" t="n"/>
      <c r="Z8" s="7" t="n"/>
      <c r="AA8" s="9" t="n"/>
      <c r="AB8" s="10">
        <f>AA8*S8</f>
        <v/>
      </c>
      <c r="AC8" s="7" t="n"/>
      <c r="AD8" s="7" t="n"/>
      <c r="AE8" s="7" t="n"/>
    </row>
    <row r="9" ht="60" customHeight="1">
      <c r="A9" s="11" t="inlineStr"/>
      <c r="B9" s="11" t="inlineStr"/>
      <c r="C9" s="11" t="inlineStr"/>
      <c r="D9" s="11" t="inlineStr"/>
      <c r="E9" s="11" t="inlineStr"/>
      <c r="F9" s="11" t="inlineStr"/>
      <c r="G9" s="11" t="inlineStr"/>
      <c r="H9" s="11" t="inlineStr"/>
      <c r="I9" s="11" t="inlineStr"/>
      <c r="J9" s="11" t="inlineStr"/>
      <c r="K9" s="11" t="inlineStr"/>
      <c r="L9" s="11" t="inlineStr"/>
      <c r="M9" s="11" t="inlineStr"/>
      <c r="N9" s="11" t="inlineStr"/>
      <c r="O9" s="11" t="inlineStr"/>
      <c r="P9" s="11" t="inlineStr"/>
      <c r="Q9" s="11" t="inlineStr"/>
      <c r="R9" s="11" t="inlineStr"/>
      <c r="S9" s="11" t="inlineStr"/>
      <c r="T9" s="11" t="inlineStr"/>
      <c r="U9" s="11" t="inlineStr"/>
      <c r="V9" s="11" t="inlineStr"/>
      <c r="W9" s="11" t="inlineStr"/>
      <c r="X9" s="11" t="inlineStr"/>
      <c r="Y9" s="11" t="inlineStr"/>
      <c r="Z9" s="11" t="inlineStr"/>
      <c r="AA9" s="11" t="inlineStr">
        <is>
          <t>ИТОГО</t>
        </is>
      </c>
      <c r="AB9" s="12">
        <f>SUM(AB6:AB8)</f>
        <v/>
      </c>
      <c r="AC9" s="2" t="n"/>
      <c r="AD9" s="2" t="n"/>
      <c r="AE9" s="2" t="n"/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2026-10-27T16:43:32Z</dcterms:created>
  <dcterms:modified xmlns:dcterms="http://purl.org/dc/terms/" xmlns:xsi="http://www.w3.org/2001/XMLSchema-instance" xsi:type="dcterms:W3CDTF">2026-10-27T16:43:32Z</dcterms:modified>
</cp:coreProperties>
</file>