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«Бологовский арматурный завод» (ТМ «БАЗ», латунная арматура)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1.3/48</t>
        </is>
      </c>
      <c r="C6" s="6" t="inlineStr">
        <is>
          <t>Клапан запорный 15б1п Ду 15 Ру16</t>
        </is>
      </c>
      <c r="D6" s="6" t="inlineStr">
        <is>
          <t>ТУ 3712-001-04606952-2011</t>
        </is>
      </c>
      <c r="E6" s="6" t="inlineStr">
        <is>
          <t>15</t>
        </is>
      </c>
      <c r="F6" s="6" t="inlineStr"/>
      <c r="G6" s="6" t="inlineStr">
        <is>
          <t>1.6</t>
        </is>
      </c>
      <c r="H6" s="6" t="inlineStr">
        <is>
          <t>до +200°С</t>
        </is>
      </c>
      <c r="I6" s="6" t="inlineStr">
        <is>
          <t>Жидкость, пар, воздух, .</t>
        </is>
      </c>
      <c r="J6" s="6" t="inlineStr">
        <is>
          <t>латунь ЛС59-1 ГОСТ 15527-2004</t>
        </is>
      </c>
      <c r="K6" s="6" t="inlineStr">
        <is>
          <t>УХЛ 4 ГОСТ 15150-69</t>
        </is>
      </c>
      <c r="L6" s="6" t="inlineStr">
        <is>
          <t>внутренняя резьба G1/2-В</t>
        </is>
      </c>
      <c r="M6" s="6" t="inlineStr">
        <is>
          <t>Ручной</t>
        </is>
      </c>
      <c r="N6" s="6" t="inlineStr">
        <is>
          <t>маховик</t>
        </is>
      </c>
      <c r="O6" s="6" t="inlineStr">
        <is>
          <t>любое</t>
        </is>
      </c>
      <c r="P6" s="6" t="inlineStr">
        <is>
          <t>латунь ЛС59-1 ГОСТ 15527-2004</t>
        </is>
      </c>
      <c r="Q6" s="6" t="inlineStr">
        <is>
          <t>Длина-55мм, высота-63мм</t>
        </is>
      </c>
      <c r="R6" s="6" t="inlineStr"/>
      <c r="S6" s="5" t="n">
        <v>45</v>
      </c>
      <c r="T6" s="6" t="inlineStr">
        <is>
          <t>шт</t>
        </is>
      </c>
      <c r="U6" s="7" t="n"/>
      <c r="V6" s="8" t="inlineStr">
        <is>
          <t>ООО «Бологовский арматурный завод»</t>
        </is>
      </c>
      <c r="W6" s="8" t="inlineStr">
        <is>
          <t>Россия</t>
        </is>
      </c>
      <c r="X6" s="8" t="inlineStr">
        <is>
          <t>10895023</t>
        </is>
      </c>
      <c r="Y6" s="8" t="inlineStr">
        <is>
          <t>24.08.2031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1.3/49</t>
        </is>
      </c>
      <c r="C7" s="6" t="inlineStr">
        <is>
          <t>Клапан запорный 15б1п Ду 20 Ру16</t>
        </is>
      </c>
      <c r="D7" s="6" t="inlineStr">
        <is>
          <t>ТУ 3712-001-04606952-2011</t>
        </is>
      </c>
      <c r="E7" s="6" t="inlineStr">
        <is>
          <t>20</t>
        </is>
      </c>
      <c r="F7" s="6" t="inlineStr"/>
      <c r="G7" s="6" t="inlineStr">
        <is>
          <t>1.6</t>
        </is>
      </c>
      <c r="H7" s="6" t="inlineStr">
        <is>
          <t>до +200°С</t>
        </is>
      </c>
      <c r="I7" s="6" t="inlineStr">
        <is>
          <t>Жидкость, пар, воздух, .</t>
        </is>
      </c>
      <c r="J7" s="6" t="inlineStr">
        <is>
          <t>латунь ЛС59-1 ГОСТ 15527-2004</t>
        </is>
      </c>
      <c r="K7" s="6" t="inlineStr">
        <is>
          <t>УХЛ 4 ГОСТ 15150-69</t>
        </is>
      </c>
      <c r="L7" s="6" t="inlineStr">
        <is>
          <t>внутренняя резьба G3/4-В</t>
        </is>
      </c>
      <c r="M7" s="6" t="inlineStr">
        <is>
          <t>Ручной</t>
        </is>
      </c>
      <c r="N7" s="6" t="inlineStr">
        <is>
          <t>маховик</t>
        </is>
      </c>
      <c r="O7" s="6" t="inlineStr">
        <is>
          <t>любое</t>
        </is>
      </c>
      <c r="P7" s="6" t="inlineStr">
        <is>
          <t>латунь ЛС59-1 ГОСТ 15527-2004</t>
        </is>
      </c>
      <c r="Q7" s="6" t="inlineStr">
        <is>
          <t>Длина-65мм, высота-63мм</t>
        </is>
      </c>
      <c r="R7" s="6" t="inlineStr"/>
      <c r="S7" s="5" t="n">
        <v>15</v>
      </c>
      <c r="T7" s="6" t="inlineStr">
        <is>
          <t>шт</t>
        </is>
      </c>
      <c r="U7" s="7" t="n"/>
      <c r="V7" s="8" t="inlineStr">
        <is>
          <t>ООО «Бологовский арматурный завод»</t>
        </is>
      </c>
      <c r="W7" s="8" t="inlineStr">
        <is>
          <t>Россия</t>
        </is>
      </c>
      <c r="X7" s="8" t="inlineStr">
        <is>
          <t>10895023</t>
        </is>
      </c>
      <c r="Y7" s="8" t="inlineStr">
        <is>
          <t>24.08.2031</t>
        </is>
      </c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1.3/50</t>
        </is>
      </c>
      <c r="C8" s="6" t="inlineStr">
        <is>
          <t>Клапан запорный 15б1п Ду 25 Ру16</t>
        </is>
      </c>
      <c r="D8" s="6" t="inlineStr">
        <is>
          <t>ТУ 3712-001-04606952-2011</t>
        </is>
      </c>
      <c r="E8" s="6" t="inlineStr">
        <is>
          <t>25</t>
        </is>
      </c>
      <c r="F8" s="6" t="inlineStr"/>
      <c r="G8" s="6" t="inlineStr">
        <is>
          <t>1.6</t>
        </is>
      </c>
      <c r="H8" s="6" t="inlineStr">
        <is>
          <t>до +200°С</t>
        </is>
      </c>
      <c r="I8" s="6" t="inlineStr">
        <is>
          <t>Жидкость, пар, воздух, .</t>
        </is>
      </c>
      <c r="J8" s="6" t="inlineStr">
        <is>
          <t>латунь ЛС59-1 ГОСТ 15527-2004</t>
        </is>
      </c>
      <c r="K8" s="6" t="inlineStr">
        <is>
          <t>УХЛ 4 ГОСТ 15150-69</t>
        </is>
      </c>
      <c r="L8" s="6" t="inlineStr">
        <is>
          <t>внутренняя резьба G1-В</t>
        </is>
      </c>
      <c r="M8" s="6" t="inlineStr">
        <is>
          <t>Ручной</t>
        </is>
      </c>
      <c r="N8" s="6" t="inlineStr">
        <is>
          <t>маховик</t>
        </is>
      </c>
      <c r="O8" s="6" t="inlineStr">
        <is>
          <t>любое</t>
        </is>
      </c>
      <c r="P8" s="6" t="inlineStr">
        <is>
          <t>латунь ЛС59-1 ГОСТ 15527-2004</t>
        </is>
      </c>
      <c r="Q8" s="6" t="inlineStr">
        <is>
          <t>Длина-80мм, высота-80мм</t>
        </is>
      </c>
      <c r="R8" s="6" t="inlineStr"/>
      <c r="S8" s="5" t="n">
        <v>10</v>
      </c>
      <c r="T8" s="6" t="inlineStr">
        <is>
          <t>шт</t>
        </is>
      </c>
      <c r="U8" s="7" t="n"/>
      <c r="V8" s="8" t="inlineStr">
        <is>
          <t>ООО «Бологовский арматурный завод»</t>
        </is>
      </c>
      <c r="W8" s="8" t="inlineStr">
        <is>
          <t>Россия</t>
        </is>
      </c>
      <c r="X8" s="8" t="inlineStr">
        <is>
          <t>10895023</t>
        </is>
      </c>
      <c r="Y8" s="8" t="inlineStr">
        <is>
          <t>24.08.2031</t>
        </is>
      </c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1.3/51</t>
        </is>
      </c>
      <c r="C9" s="6" t="inlineStr">
        <is>
          <t>Клапан запорный 15б1п Ду 32 Ру16</t>
        </is>
      </c>
      <c r="D9" s="6" t="inlineStr">
        <is>
          <t>ТУ 3712-001-04606952-2011</t>
        </is>
      </c>
      <c r="E9" s="6" t="inlineStr">
        <is>
          <t>32</t>
        </is>
      </c>
      <c r="F9" s="6" t="inlineStr"/>
      <c r="G9" s="6" t="inlineStr">
        <is>
          <t>1.6</t>
        </is>
      </c>
      <c r="H9" s="6" t="inlineStr">
        <is>
          <t>до +200°С</t>
        </is>
      </c>
      <c r="I9" s="6" t="inlineStr">
        <is>
          <t>Жидкость, пар, воздух, .</t>
        </is>
      </c>
      <c r="J9" s="6" t="inlineStr">
        <is>
          <t>латунь ЛС59-1 ГОСТ 15527-2004</t>
        </is>
      </c>
      <c r="K9" s="6" t="inlineStr">
        <is>
          <t>УХЛ 4 ГОСТ 15150-69</t>
        </is>
      </c>
      <c r="L9" s="6" t="inlineStr">
        <is>
          <t>внутренняя резьба G1 1/4-В</t>
        </is>
      </c>
      <c r="M9" s="6" t="inlineStr">
        <is>
          <t>Ручной</t>
        </is>
      </c>
      <c r="N9" s="6" t="inlineStr">
        <is>
          <t>маховик</t>
        </is>
      </c>
      <c r="O9" s="6" t="inlineStr">
        <is>
          <t>любое</t>
        </is>
      </c>
      <c r="P9" s="6" t="inlineStr">
        <is>
          <t>латунь ЛС59-1 ГОСТ 15527-2004</t>
        </is>
      </c>
      <c r="Q9" s="6" t="inlineStr">
        <is>
          <t>Длина-95мм, высота-84мм</t>
        </is>
      </c>
      <c r="R9" s="6" t="inlineStr"/>
      <c r="S9" s="5" t="n">
        <v>10</v>
      </c>
      <c r="T9" s="6" t="inlineStr">
        <is>
          <t>шт</t>
        </is>
      </c>
      <c r="U9" s="7" t="n"/>
      <c r="V9" s="8" t="inlineStr">
        <is>
          <t>ООО «Бологовский арматурный завод»</t>
        </is>
      </c>
      <c r="W9" s="8" t="inlineStr">
        <is>
          <t>Россия</t>
        </is>
      </c>
      <c r="X9" s="8" t="inlineStr">
        <is>
          <t>10895022</t>
        </is>
      </c>
      <c r="Y9" s="8" t="inlineStr">
        <is>
          <t>24.08.2031</t>
        </is>
      </c>
      <c r="Z9" s="7" t="n"/>
      <c r="AA9" s="9" t="n"/>
      <c r="AB9" s="10">
        <f>AA9*S9</f>
        <v/>
      </c>
      <c r="AC9" s="7" t="n"/>
      <c r="AD9" s="7" t="n"/>
      <c r="AE9" s="7" t="n"/>
    </row>
    <row r="10" ht="60" customHeight="1">
      <c r="A10" s="5" t="n">
        <v>5</v>
      </c>
      <c r="B10" s="6" t="inlineStr">
        <is>
          <t>1.3/52</t>
        </is>
      </c>
      <c r="C10" s="6" t="inlineStr">
        <is>
          <t>Клапан запорный 15б1п Ду 40 Ру16</t>
        </is>
      </c>
      <c r="D10" s="6" t="inlineStr">
        <is>
          <t>ТУ 3712-001-04606952-2011</t>
        </is>
      </c>
      <c r="E10" s="6" t="inlineStr">
        <is>
          <t>40</t>
        </is>
      </c>
      <c r="F10" s="6" t="inlineStr"/>
      <c r="G10" s="6" t="inlineStr">
        <is>
          <t>1.6</t>
        </is>
      </c>
      <c r="H10" s="6" t="inlineStr">
        <is>
          <t>до +200°С</t>
        </is>
      </c>
      <c r="I10" s="6" t="inlineStr">
        <is>
          <t>Жидкость, пар, воздух, .</t>
        </is>
      </c>
      <c r="J10" s="6" t="inlineStr">
        <is>
          <t>латунь ЛС59-1 ГОСТ 15527-2004</t>
        </is>
      </c>
      <c r="K10" s="6" t="inlineStr">
        <is>
          <t>УХЛ 4 ГОСТ 15150-69</t>
        </is>
      </c>
      <c r="L10" s="6" t="inlineStr">
        <is>
          <t>внутренняя резьба G1 1/2-В</t>
        </is>
      </c>
      <c r="M10" s="6" t="inlineStr">
        <is>
          <t>Ручной</t>
        </is>
      </c>
      <c r="N10" s="6" t="inlineStr">
        <is>
          <t>маховик</t>
        </is>
      </c>
      <c r="O10" s="6" t="inlineStr">
        <is>
          <t>любое</t>
        </is>
      </c>
      <c r="P10" s="6" t="inlineStr">
        <is>
          <t>латунь ЛС59-1 ГОСТ 15527-2004</t>
        </is>
      </c>
      <c r="Q10" s="6" t="inlineStr">
        <is>
          <t>Длина-110мм, высота-115мм</t>
        </is>
      </c>
      <c r="R10" s="6" t="inlineStr"/>
      <c r="S10" s="5" t="n">
        <v>5</v>
      </c>
      <c r="T10" s="6" t="inlineStr">
        <is>
          <t>шт</t>
        </is>
      </c>
      <c r="U10" s="7" t="n"/>
      <c r="V10" s="8" t="inlineStr">
        <is>
          <t>ООО «Бологовский арматурный завод»</t>
        </is>
      </c>
      <c r="W10" s="8" t="inlineStr">
        <is>
          <t>Россия</t>
        </is>
      </c>
      <c r="X10" s="8" t="inlineStr">
        <is>
          <t>10895022</t>
        </is>
      </c>
      <c r="Y10" s="8" t="inlineStr">
        <is>
          <t>24.08.2031</t>
        </is>
      </c>
      <c r="Z10" s="7" t="n"/>
      <c r="AA10" s="9" t="n"/>
      <c r="AB10" s="10">
        <f>AA10*S10</f>
        <v/>
      </c>
      <c r="AC10" s="7" t="n"/>
      <c r="AD10" s="7" t="n"/>
      <c r="AE10" s="7" t="n"/>
    </row>
    <row r="11" ht="60" customHeight="1">
      <c r="A11" s="5" t="n">
        <v>6</v>
      </c>
      <c r="B11" s="6" t="inlineStr">
        <is>
          <t>1.3/53</t>
        </is>
      </c>
      <c r="C11" s="6" t="inlineStr">
        <is>
          <t>Клапан запорный 15б1п Ду 50 Ру16</t>
        </is>
      </c>
      <c r="D11" s="6" t="inlineStr">
        <is>
          <t>ТУ 3712-001-04606952-2011</t>
        </is>
      </c>
      <c r="E11" s="6" t="inlineStr">
        <is>
          <t>50</t>
        </is>
      </c>
      <c r="F11" s="6" t="inlineStr"/>
      <c r="G11" s="6" t="inlineStr">
        <is>
          <t>1.6</t>
        </is>
      </c>
      <c r="H11" s="6" t="inlineStr">
        <is>
          <t>до +200°С</t>
        </is>
      </c>
      <c r="I11" s="6" t="inlineStr">
        <is>
          <t>Жидкость, пар, воздух, .</t>
        </is>
      </c>
      <c r="J11" s="6" t="inlineStr">
        <is>
          <t>латунь ЛС59-1 ГОСТ 15527-2004</t>
        </is>
      </c>
      <c r="K11" s="6" t="inlineStr">
        <is>
          <t>УХЛ 4 ГОСТ 15150-69</t>
        </is>
      </c>
      <c r="L11" s="6" t="inlineStr">
        <is>
          <t>внутренняя резьба G2 -В</t>
        </is>
      </c>
      <c r="M11" s="6" t="inlineStr">
        <is>
          <t>Ручной</t>
        </is>
      </c>
      <c r="N11" s="6" t="inlineStr">
        <is>
          <t>маховик</t>
        </is>
      </c>
      <c r="O11" s="6" t="inlineStr">
        <is>
          <t>любое</t>
        </is>
      </c>
      <c r="P11" s="6" t="inlineStr">
        <is>
          <t>латунь ЛС59-1 ГОСТ 15527-2004</t>
        </is>
      </c>
      <c r="Q11" s="6" t="inlineStr">
        <is>
          <t>Длина-132мм, высота-115мм</t>
        </is>
      </c>
      <c r="R11" s="6" t="inlineStr"/>
      <c r="S11" s="5" t="n">
        <v>7</v>
      </c>
      <c r="T11" s="6" t="inlineStr">
        <is>
          <t>шт</t>
        </is>
      </c>
      <c r="U11" s="7" t="n"/>
      <c r="V11" s="8" t="inlineStr">
        <is>
          <t>ООО «Бологовский арматурный завод»</t>
        </is>
      </c>
      <c r="W11" s="8" t="inlineStr">
        <is>
          <t>Россия</t>
        </is>
      </c>
      <c r="X11" s="8" t="inlineStr">
        <is>
          <t>10895022</t>
        </is>
      </c>
      <c r="Y11" s="8" t="inlineStr">
        <is>
          <t>24.08.2031</t>
        </is>
      </c>
      <c r="Z11" s="7" t="n"/>
      <c r="AA11" s="9" t="n"/>
      <c r="AB11" s="10">
        <f>AA11*S11</f>
        <v/>
      </c>
      <c r="AC11" s="7" t="n"/>
      <c r="AD11" s="7" t="n"/>
      <c r="AE11" s="7" t="n"/>
    </row>
    <row r="12" ht="60" customHeight="1">
      <c r="A12" s="5" t="n">
        <v>7</v>
      </c>
      <c r="B12" s="6" t="inlineStr">
        <is>
          <t>1.6/17</t>
        </is>
      </c>
      <c r="C12" s="6" t="inlineStr">
        <is>
          <t>Клапан запорный муфтовый 15б1п Ду 15 Ру 16</t>
        </is>
      </c>
      <c r="D12" s="6" t="inlineStr">
        <is>
          <t>ТУ 3712-001-04606952-2004</t>
        </is>
      </c>
      <c r="E12" s="6" t="inlineStr">
        <is>
          <t>15</t>
        </is>
      </c>
      <c r="F12" s="6" t="inlineStr">
        <is>
          <t>стандарт</t>
        </is>
      </c>
      <c r="G12" s="6" t="inlineStr">
        <is>
          <t>1.6</t>
        </is>
      </c>
      <c r="H12" s="6" t="inlineStr">
        <is>
          <t>до +200</t>
        </is>
      </c>
      <c r="I12" s="6" t="inlineStr">
        <is>
          <t>вода, пар</t>
        </is>
      </c>
      <c r="J12" s="6" t="inlineStr">
        <is>
          <t>латунь ЛЦ40Сд</t>
        </is>
      </c>
      <c r="K12" s="6" t="inlineStr">
        <is>
          <t>УХЛ4. температура окружающей среды от +1 до +40</t>
        </is>
      </c>
      <c r="L12" s="6" t="inlineStr">
        <is>
          <t>муфтовый</t>
        </is>
      </c>
      <c r="M12" s="6" t="inlineStr">
        <is>
          <t>ручной (маховик)</t>
        </is>
      </c>
      <c r="N12" s="6" t="inlineStr">
        <is>
          <t>-</t>
        </is>
      </c>
      <c r="O12" s="6" t="inlineStr">
        <is>
          <t>любое</t>
        </is>
      </c>
      <c r="P12" s="6" t="inlineStr">
        <is>
          <t>Уплотнение: фторопласт</t>
        </is>
      </c>
      <c r="Q12" s="6" t="inlineStr">
        <is>
          <t>-</t>
        </is>
      </c>
      <c r="R12" s="6" t="inlineStr">
        <is>
          <t>-</t>
        </is>
      </c>
      <c r="S12" s="5" t="n">
        <v>8</v>
      </c>
      <c r="T12" s="6" t="inlineStr">
        <is>
          <t>шт</t>
        </is>
      </c>
      <c r="U12" s="7" t="n"/>
      <c r="V12" s="8" t="inlineStr">
        <is>
          <t>ООО «Бологовский арматурный завод»</t>
        </is>
      </c>
      <c r="W12" s="8" t="inlineStr">
        <is>
          <t>Россия</t>
        </is>
      </c>
      <c r="X12" s="8" t="inlineStr">
        <is>
          <t>10895023</t>
        </is>
      </c>
      <c r="Y12" s="8" t="inlineStr">
        <is>
          <t>24.08.2031</t>
        </is>
      </c>
      <c r="Z12" s="7" t="n"/>
      <c r="AA12" s="9" t="n"/>
      <c r="AB12" s="10">
        <f>AA12*S12</f>
        <v/>
      </c>
      <c r="AC12" s="7" t="n"/>
      <c r="AD12" s="7" t="n"/>
      <c r="AE12" s="7" t="n"/>
    </row>
    <row r="13" ht="60" customHeight="1">
      <c r="A13" s="5" t="n">
        <v>8</v>
      </c>
      <c r="B13" s="6" t="inlineStr">
        <is>
          <t>1.6/18</t>
        </is>
      </c>
      <c r="C13" s="6" t="inlineStr">
        <is>
          <t>Клапан запорный муфтовый 15б1п Ду 20 Ру 16</t>
        </is>
      </c>
      <c r="D13" s="6" t="inlineStr">
        <is>
          <t>ТУ 3712-001-04606952-2004</t>
        </is>
      </c>
      <c r="E13" s="6" t="inlineStr">
        <is>
          <t>20</t>
        </is>
      </c>
      <c r="F13" s="6" t="inlineStr">
        <is>
          <t>стандарт</t>
        </is>
      </c>
      <c r="G13" s="6" t="inlineStr">
        <is>
          <t>1.6</t>
        </is>
      </c>
      <c r="H13" s="6" t="inlineStr">
        <is>
          <t>до +200</t>
        </is>
      </c>
      <c r="I13" s="6" t="inlineStr">
        <is>
          <t>вода, пар</t>
        </is>
      </c>
      <c r="J13" s="6" t="inlineStr">
        <is>
          <t>латунь ЛЦ40Сд</t>
        </is>
      </c>
      <c r="K13" s="6" t="inlineStr">
        <is>
          <t>УХЛ4. температура окружающей среды от +1 до +40</t>
        </is>
      </c>
      <c r="L13" s="6" t="inlineStr">
        <is>
          <t>муфтовый</t>
        </is>
      </c>
      <c r="M13" s="6" t="inlineStr">
        <is>
          <t>ручной (маховик)</t>
        </is>
      </c>
      <c r="N13" s="6" t="inlineStr">
        <is>
          <t>-</t>
        </is>
      </c>
      <c r="O13" s="6" t="inlineStr">
        <is>
          <t>любое</t>
        </is>
      </c>
      <c r="P13" s="6" t="inlineStr">
        <is>
          <t>Уплотнение: фторопласт</t>
        </is>
      </c>
      <c r="Q13" s="6" t="inlineStr">
        <is>
          <t>-</t>
        </is>
      </c>
      <c r="R13" s="6" t="inlineStr">
        <is>
          <t>-</t>
        </is>
      </c>
      <c r="S13" s="5" t="n">
        <v>14</v>
      </c>
      <c r="T13" s="6" t="inlineStr">
        <is>
          <t>шт</t>
        </is>
      </c>
      <c r="U13" s="7" t="n"/>
      <c r="V13" s="8" t="inlineStr">
        <is>
          <t>ООО «Бологовский арматурный завод»</t>
        </is>
      </c>
      <c r="W13" s="8" t="inlineStr">
        <is>
          <t>Россия</t>
        </is>
      </c>
      <c r="X13" s="8" t="inlineStr">
        <is>
          <t>10895023</t>
        </is>
      </c>
      <c r="Y13" s="8" t="inlineStr">
        <is>
          <t>24.08.2031</t>
        </is>
      </c>
      <c r="Z13" s="7" t="n"/>
      <c r="AA13" s="9" t="n"/>
      <c r="AB13" s="10">
        <f>AA13*S13</f>
        <v/>
      </c>
      <c r="AC13" s="7" t="n"/>
      <c r="AD13" s="7" t="n"/>
      <c r="AE13" s="7" t="n"/>
    </row>
    <row r="14" ht="60" customHeight="1">
      <c r="A14" s="5" t="n">
        <v>9</v>
      </c>
      <c r="B14" s="6" t="inlineStr">
        <is>
          <t>1.6/19</t>
        </is>
      </c>
      <c r="C14" s="6" t="inlineStr">
        <is>
          <t>Клапан запорный муфтовый 15б1п Ду 25 Ру 16</t>
        </is>
      </c>
      <c r="D14" s="6" t="inlineStr">
        <is>
          <t>ТУ 3712-001-04606952-2004</t>
        </is>
      </c>
      <c r="E14" s="6" t="inlineStr">
        <is>
          <t>25</t>
        </is>
      </c>
      <c r="F14" s="6" t="inlineStr">
        <is>
          <t>стандарт</t>
        </is>
      </c>
      <c r="G14" s="6" t="inlineStr">
        <is>
          <t>1.6</t>
        </is>
      </c>
      <c r="H14" s="6" t="inlineStr">
        <is>
          <t>до +200</t>
        </is>
      </c>
      <c r="I14" s="6" t="inlineStr">
        <is>
          <t>вода, пар</t>
        </is>
      </c>
      <c r="J14" s="6" t="inlineStr">
        <is>
          <t>латунь ЛЦ40Сд</t>
        </is>
      </c>
      <c r="K14" s="6" t="inlineStr">
        <is>
          <t>УХЛ4. температура окружающей среды от +1 до +40</t>
        </is>
      </c>
      <c r="L14" s="6" t="inlineStr">
        <is>
          <t>муфтовый</t>
        </is>
      </c>
      <c r="M14" s="6" t="inlineStr">
        <is>
          <t>ручной (маховик)</t>
        </is>
      </c>
      <c r="N14" s="6" t="inlineStr">
        <is>
          <t>-</t>
        </is>
      </c>
      <c r="O14" s="6" t="inlineStr">
        <is>
          <t>любое</t>
        </is>
      </c>
      <c r="P14" s="6" t="inlineStr">
        <is>
          <t>Уплотнение: фторопласт</t>
        </is>
      </c>
      <c r="Q14" s="6" t="inlineStr">
        <is>
          <t>-</t>
        </is>
      </c>
      <c r="R14" s="6" t="inlineStr">
        <is>
          <t>-</t>
        </is>
      </c>
      <c r="S14" s="5" t="n">
        <v>12</v>
      </c>
      <c r="T14" s="6" t="inlineStr">
        <is>
          <t>шт</t>
        </is>
      </c>
      <c r="U14" s="7" t="n"/>
      <c r="V14" s="8" t="inlineStr">
        <is>
          <t>ООО «Бологовский арматурный завод»</t>
        </is>
      </c>
      <c r="W14" s="8" t="inlineStr">
        <is>
          <t>Россия</t>
        </is>
      </c>
      <c r="X14" s="8" t="inlineStr">
        <is>
          <t>10895023</t>
        </is>
      </c>
      <c r="Y14" s="8" t="inlineStr">
        <is>
          <t>24.08.2031</t>
        </is>
      </c>
      <c r="Z14" s="7" t="n"/>
      <c r="AA14" s="9" t="n"/>
      <c r="AB14" s="10">
        <f>AA14*S14</f>
        <v/>
      </c>
      <c r="AC14" s="7" t="n"/>
      <c r="AD14" s="7" t="n"/>
      <c r="AE14" s="7" t="n"/>
    </row>
    <row r="15" ht="60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>
        <is>
          <t>ИТОГО</t>
        </is>
      </c>
      <c r="AB15" s="12">
        <f>SUM(AB6:AB14)</f>
        <v/>
      </c>
      <c r="AC15" s="2" t="n"/>
      <c r="AD15" s="2" t="n"/>
      <c r="AE15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2026-10-28T01:41:05Z</dcterms:created>
  <dcterms:modified xmlns:dcterms="http://purl.org/dc/terms/" xmlns:xsi="http://www.w3.org/2001/XMLSchema-instance" xsi:type="dcterms:W3CDTF">2026-10-28T01:41:05Z</dcterms:modified>
</cp:coreProperties>
</file>