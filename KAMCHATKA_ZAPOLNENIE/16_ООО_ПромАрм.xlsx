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«ПромАрм» (PromArm®)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1.1/22</t>
        </is>
      </c>
      <c r="C6" s="6" t="inlineStr">
        <is>
          <t>Затвор дисковый поворотный межфланцевый Stensel 31070-01 Ду 200 Ру 25</t>
        </is>
      </c>
      <c r="D6" s="6" t="inlineStr">
        <is>
          <t>нет</t>
        </is>
      </c>
      <c r="E6" s="6" t="inlineStr">
        <is>
          <t>200</t>
        </is>
      </c>
      <c r="F6" s="6" t="inlineStr">
        <is>
          <t>стандарт</t>
        </is>
      </c>
      <c r="G6" s="6" t="inlineStr">
        <is>
          <t>2.5</t>
        </is>
      </c>
      <c r="H6" s="6" t="inlineStr">
        <is>
          <t>0т -40°С до 300°С</t>
        </is>
      </c>
      <c r="I6" s="6" t="inlineStr">
        <is>
          <t>Вода, воздух, пар, природный газ и газообразные углеводороды, нефть, нефтепродукты, кислоты, щелочи,</t>
        </is>
      </c>
      <c r="J6" s="6" t="inlineStr">
        <is>
          <t>Корпус - нержавеющая сталь</t>
        </is>
      </c>
      <c r="K6" s="6" t="inlineStr">
        <is>
          <t>УХЛ1</t>
        </is>
      </c>
      <c r="L6" s="6" t="inlineStr">
        <is>
          <t>межфланцевое по ГОСТ 33259-2015</t>
        </is>
      </c>
      <c r="M6" s="6" t="inlineStr">
        <is>
          <t>Верхний фланец выполнен по стандарту ISO 5211. под эл.привод</t>
        </is>
      </c>
      <c r="N6" s="6" t="inlineStr">
        <is>
          <t>под Эл. привод AUMA SQ 10.2-F10, t: 8s/90°, М закр. 200-450 Nm, M откр. 200-450 Nm</t>
        </is>
      </c>
      <c r="O6" s="6" t="inlineStr">
        <is>
          <t>любое</t>
        </is>
      </c>
      <c r="P6" s="6" t="inlineStr">
        <is>
          <t>Затвор полностью из нержавеющей стали, в том числе и седло, Уплотнение цельнометаллическое, металл по металлу, без применения графита.</t>
        </is>
      </c>
      <c r="Q6" s="6" t="inlineStr">
        <is>
          <t>L=71 мм</t>
        </is>
      </c>
      <c r="R6" s="6" t="inlineStr"/>
      <c r="S6" s="5" t="n">
        <v>3</v>
      </c>
      <c r="T6" s="6" t="inlineStr">
        <is>
          <t>шт</t>
        </is>
      </c>
      <c r="U6" s="7" t="n"/>
      <c r="V6" s="8" t="inlineStr">
        <is>
          <t>ООО «ПромАрм»</t>
        </is>
      </c>
      <c r="W6" s="8" t="inlineStr">
        <is>
          <t>Россия</t>
        </is>
      </c>
      <c r="X6" s="8" t="inlineStr">
        <is>
          <t>10655456</t>
        </is>
      </c>
      <c r="Y6" s="8" t="inlineStr">
        <is>
          <t>24.07.2028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1.1/23</t>
        </is>
      </c>
      <c r="C7" s="6" t="inlineStr">
        <is>
          <t>Затвор дисковый поворотный межфланцевый ПА954.450.10-05 Ду 450 Ру 10</t>
        </is>
      </c>
      <c r="D7" s="6" t="inlineStr">
        <is>
          <t>ТУ 3700-001-55604618-2013</t>
        </is>
      </c>
      <c r="E7" s="6" t="inlineStr">
        <is>
          <t>450</t>
        </is>
      </c>
      <c r="F7" s="6" t="inlineStr">
        <is>
          <t>стандарт</t>
        </is>
      </c>
      <c r="G7" s="6" t="inlineStr">
        <is>
          <t>1</t>
        </is>
      </c>
      <c r="H7" s="6" t="inlineStr">
        <is>
          <t>0т 05°С до 425°С</t>
        </is>
      </c>
      <c r="I7" s="6" t="inlineStr">
        <is>
          <t>Вода, воздух, пар, природный газ и газообразные углеводороды, нефть, нефтепродукты, коксовый газ, аммиак, кислоты, щелочи, спирты</t>
        </is>
      </c>
      <c r="J7" s="6" t="inlineStr">
        <is>
          <t>Корпус - коррозионностойкая молибденосодержащая сталь, применение в условиях особо агрессивной среды и при низких температурах сталь CF8M</t>
        </is>
      </c>
      <c r="K7" s="6" t="inlineStr">
        <is>
          <t>У</t>
        </is>
      </c>
      <c r="L7" s="6" t="inlineStr">
        <is>
          <t>межфланцевое с гладкими проушинами</t>
        </is>
      </c>
      <c r="M7" s="6" t="inlineStr">
        <is>
          <t>Редуктор DN 450</t>
        </is>
      </c>
      <c r="N7" s="6" t="inlineStr">
        <is>
          <t>Штурвал</t>
        </is>
      </c>
      <c r="O7" s="6" t="inlineStr">
        <is>
          <t>любое</t>
        </is>
      </c>
      <c r="P7" s="6" t="inlineStr">
        <is>
          <t>Затворы дисковые с тройным эксцентриситетом. Размеры верхнего фланца под привод — В соответствии со стандартом ISO 5211                               1. Корпус - сталь CF8M ASTM A351
2. Диск — сталь WCB по ASTM A216
3. Уплотнение — нержавеющая сталь + графит
4. Прижимное кольцо - сталь CF8M ASTM A351
5. Шток - сталь CF8M ASTM A351
6. Фланец сальника - сталь SS304
7. Сальниковая набивка — сталь SS304 + graphite</t>
        </is>
      </c>
      <c r="Q7" s="6" t="inlineStr">
        <is>
          <t>A - 380мм; B-570мм; L-114мм; D1-565мм; n*d-20×26мм</t>
        </is>
      </c>
      <c r="R7" s="6" t="inlineStr"/>
      <c r="S7" s="5" t="n">
        <v>1</v>
      </c>
      <c r="T7" s="6" t="inlineStr">
        <is>
          <t>шт</t>
        </is>
      </c>
      <c r="U7" s="7" t="n"/>
      <c r="V7" s="8" t="inlineStr">
        <is>
          <t>ООО «ПромАрм»</t>
        </is>
      </c>
      <c r="W7" s="8" t="inlineStr">
        <is>
          <t>Россия</t>
        </is>
      </c>
      <c r="X7" s="8" t="inlineStr">
        <is>
          <t>10655456</t>
        </is>
      </c>
      <c r="Y7" s="8" t="inlineStr">
        <is>
          <t>24.07.2028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1.3/150</t>
        </is>
      </c>
      <c r="C8" s="6" t="inlineStr">
        <is>
          <t>Затвор 32нж910р Ду 1000 Ру 10 с эл.приводом</t>
        </is>
      </c>
      <c r="D8" s="6" t="inlineStr">
        <is>
          <t>ТУ 3721-001-22294686-2008
ГОСТ 13547-2015</t>
        </is>
      </c>
      <c r="E8" s="6" t="inlineStr">
        <is>
          <t>1000</t>
        </is>
      </c>
      <c r="F8" s="6" t="inlineStr">
        <is>
          <t>полнопроходной</t>
        </is>
      </c>
      <c r="G8" s="6" t="inlineStr">
        <is>
          <t>1</t>
        </is>
      </c>
      <c r="H8" s="6" t="inlineStr">
        <is>
          <t>50</t>
        </is>
      </c>
      <c r="I8" s="6" t="inlineStr">
        <is>
          <t>морская вода</t>
        </is>
      </c>
      <c r="J8" s="6" t="inlineStr">
        <is>
          <t>коррозионно стойкая сталь 08Х18Н10Т</t>
        </is>
      </c>
      <c r="K8" s="6" t="inlineStr">
        <is>
          <t>УХЛ4</t>
        </is>
      </c>
      <c r="L8" s="6" t="inlineStr">
        <is>
          <t>фланцевое с КОФ</t>
        </is>
      </c>
      <c r="M8" s="6" t="inlineStr">
        <is>
          <t>ГЗ-В 600 ГРЛЕ.421322.001ТУ</t>
        </is>
      </c>
      <c r="N8" s="6" t="inlineStr">
        <is>
          <t>У1, IP-65, 1,5кВт</t>
        </is>
      </c>
      <c r="O8" s="6" t="inlineStr"/>
      <c r="P8" s="6" t="inlineStr">
        <is>
          <t>Диск (запорный элемент) 08Х18Н10Т (AISI 321), ось (вал привода) 20Х13, фланец боковой Ст20 (наплавка уплотнительной поверхности фланца - коррозионностойкая 12Х18Н9Т), редуктор Ст20, уплотнительное кольцо резина СКЕПТ (EPDM)</t>
        </is>
      </c>
      <c r="Q8" s="6" t="inlineStr"/>
      <c r="R8" s="6" t="inlineStr">
        <is>
          <t>Затвор фланцевый 32нж910р Ду1000 Ру10 с эл.приводом с комплектом ответных фланцев (90 гр. указатель поворота- визуальны и встроенный дистанционный блок (токовый выход) указателя положения (открыто, закрыто)</t>
        </is>
      </c>
      <c r="S8" s="5" t="n">
        <v>1</v>
      </c>
      <c r="T8" s="6" t="inlineStr">
        <is>
          <t>шт</t>
        </is>
      </c>
      <c r="U8" s="7" t="n"/>
      <c r="V8" s="8" t="inlineStr">
        <is>
          <t>ООО «ПромАрм»</t>
        </is>
      </c>
      <c r="W8" s="8" t="inlineStr">
        <is>
          <t>Россия</t>
        </is>
      </c>
      <c r="X8" s="8" t="inlineStr">
        <is>
          <t>10655456</t>
        </is>
      </c>
      <c r="Y8" s="8" t="inlineStr">
        <is>
          <t>24.07.2028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>
        <is>
          <t>ИТОГО</t>
        </is>
      </c>
      <c r="AB9" s="12">
        <f>SUM(AB6:AB8)</f>
        <v/>
      </c>
      <c r="AC9" s="2" t="n"/>
      <c r="AD9" s="2" t="n"/>
      <c r="AE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