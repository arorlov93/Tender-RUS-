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3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«Торговый Дом АДЛ»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1.3/16</t>
        </is>
      </c>
      <c r="C6" s="6" t="inlineStr">
        <is>
          <t>Клапан обратный межфланцевый 19ч21бр Ду 100 Ру 16</t>
        </is>
      </c>
      <c r="D6" s="6" t="inlineStr">
        <is>
          <t>ТУ 372240-001-48140495-05</t>
        </is>
      </c>
      <c r="E6" s="6" t="inlineStr">
        <is>
          <t>100</t>
        </is>
      </c>
      <c r="F6" s="6" t="inlineStr">
        <is>
          <t>полнопроходной</t>
        </is>
      </c>
      <c r="G6" s="6" t="inlineStr">
        <is>
          <t>1.6</t>
        </is>
      </c>
      <c r="H6" s="6" t="inlineStr">
        <is>
          <t>До +225°С</t>
        </is>
      </c>
      <c r="I6" s="6" t="inlineStr">
        <is>
          <t>вода</t>
        </is>
      </c>
      <c r="J6" s="6" t="inlineStr">
        <is>
          <t>чугун СЧ18</t>
        </is>
      </c>
      <c r="K6" s="6" t="inlineStr">
        <is>
          <t>У1</t>
        </is>
      </c>
      <c r="L6" s="6" t="inlineStr">
        <is>
          <t>межфланцевое</t>
        </is>
      </c>
      <c r="M6" s="6" t="inlineStr">
        <is>
          <t>автоматический</t>
        </is>
      </c>
      <c r="N6" s="6" t="inlineStr">
        <is>
          <t>компенсация гидроударов</t>
        </is>
      </c>
      <c r="O6" s="6" t="inlineStr">
        <is>
          <t>любое</t>
        </is>
      </c>
      <c r="P6" s="6" t="inlineStr">
        <is>
          <t>Корпус: Сч18 Захлопка: Сч18 Ось: Сталь 20х13 Уплотнение: Латунь ЛЦ40С</t>
        </is>
      </c>
      <c r="Q6" s="6" t="inlineStr">
        <is>
          <t>строительная длинна 80мм</t>
        </is>
      </c>
      <c r="R6" s="6" t="inlineStr"/>
      <c r="S6" s="5" t="n">
        <v>4</v>
      </c>
      <c r="T6" s="6" t="inlineStr">
        <is>
          <t>шт</t>
        </is>
      </c>
      <c r="U6" s="7" t="n"/>
      <c r="V6" s="8" t="inlineStr">
        <is>
          <t>ООО «Торговый Дом АДЛ»</t>
        </is>
      </c>
      <c r="W6" s="8" t="inlineStr">
        <is>
          <t>Россия</t>
        </is>
      </c>
      <c r="X6" s="8" t="inlineStr">
        <is>
          <t>10618658</t>
        </is>
      </c>
      <c r="Y6" s="8" t="inlineStr">
        <is>
          <t>17.03.2028</t>
        </is>
      </c>
      <c r="Z6" s="7" t="n"/>
      <c r="AA6" s="9" t="n"/>
      <c r="AB6" s="10">
        <f>AA6*S6</f>
        <v/>
      </c>
      <c r="AC6" s="7" t="n"/>
      <c r="AD6" s="7" t="n"/>
      <c r="AE6" s="7" t="n"/>
    </row>
    <row r="7" ht="60" customHeight="1">
      <c r="A7" s="5" t="n">
        <v>2</v>
      </c>
      <c r="B7" s="6" t="inlineStr">
        <is>
          <t>1.3/17</t>
        </is>
      </c>
      <c r="C7" s="6" t="inlineStr">
        <is>
          <t>Клапан обратный межфланцевый 19ч21бр Ду 50 Ру 16</t>
        </is>
      </c>
      <c r="D7" s="6" t="inlineStr">
        <is>
          <t>ТУ 372240-001-48140495-05</t>
        </is>
      </c>
      <c r="E7" s="6" t="inlineStr">
        <is>
          <t>50</t>
        </is>
      </c>
      <c r="F7" s="6" t="inlineStr">
        <is>
          <t>полнопроходной</t>
        </is>
      </c>
      <c r="G7" s="6" t="inlineStr">
        <is>
          <t>1.6</t>
        </is>
      </c>
      <c r="H7" s="6" t="inlineStr">
        <is>
          <t>До +225°С</t>
        </is>
      </c>
      <c r="I7" s="6" t="inlineStr">
        <is>
          <t>вода</t>
        </is>
      </c>
      <c r="J7" s="6" t="inlineStr">
        <is>
          <t>чугун СЧ18</t>
        </is>
      </c>
      <c r="K7" s="6" t="inlineStr">
        <is>
          <t>У1</t>
        </is>
      </c>
      <c r="L7" s="6" t="inlineStr">
        <is>
          <t>межфланцевое</t>
        </is>
      </c>
      <c r="M7" s="6" t="inlineStr">
        <is>
          <t>автоматический</t>
        </is>
      </c>
      <c r="N7" s="6" t="inlineStr">
        <is>
          <t>компенсация гидроударов</t>
        </is>
      </c>
      <c r="O7" s="6" t="inlineStr">
        <is>
          <t>любое</t>
        </is>
      </c>
      <c r="P7" s="6" t="inlineStr">
        <is>
          <t>Корпус: Сч18 Захлопка: Сч18 Ось: Сталь 20х13 Уплотнение: Латунь ЛЦ40С</t>
        </is>
      </c>
      <c r="Q7" s="6" t="inlineStr">
        <is>
          <t>строительная длинна 60мм</t>
        </is>
      </c>
      <c r="R7" s="6" t="inlineStr"/>
      <c r="S7" s="5" t="n">
        <v>6</v>
      </c>
      <c r="T7" s="6" t="inlineStr">
        <is>
          <t>шт</t>
        </is>
      </c>
      <c r="U7" s="7" t="n"/>
      <c r="V7" s="8" t="inlineStr">
        <is>
          <t>ООО «Торговый Дом АДЛ»</t>
        </is>
      </c>
      <c r="W7" s="8" t="inlineStr">
        <is>
          <t>Россия</t>
        </is>
      </c>
      <c r="X7" s="8" t="inlineStr">
        <is>
          <t>10618655</t>
        </is>
      </c>
      <c r="Y7" s="8" t="inlineStr">
        <is>
          <t>17.03.2028</t>
        </is>
      </c>
      <c r="Z7" s="7" t="n"/>
      <c r="AA7" s="9" t="n"/>
      <c r="AB7" s="10">
        <f>AA7*S7</f>
        <v/>
      </c>
      <c r="AC7" s="7" t="n"/>
      <c r="AD7" s="7" t="n"/>
      <c r="AE7" s="7" t="n"/>
    </row>
    <row r="8" ht="60" customHeight="1">
      <c r="A8" s="5" t="n">
        <v>3</v>
      </c>
      <c r="B8" s="6" t="inlineStr">
        <is>
          <t>1.3/18</t>
        </is>
      </c>
      <c r="C8" s="6" t="inlineStr">
        <is>
          <t>Клапан обратный межфланцевый 19ч21бр Ду 80 Ру 16</t>
        </is>
      </c>
      <c r="D8" s="6" t="inlineStr">
        <is>
          <t>ТУ 372240-001-48140495-05</t>
        </is>
      </c>
      <c r="E8" s="6" t="inlineStr">
        <is>
          <t>80</t>
        </is>
      </c>
      <c r="F8" s="6" t="inlineStr">
        <is>
          <t>полнопроходной</t>
        </is>
      </c>
      <c r="G8" s="6" t="inlineStr">
        <is>
          <t>1.6</t>
        </is>
      </c>
      <c r="H8" s="6" t="inlineStr">
        <is>
          <t>До +225°С</t>
        </is>
      </c>
      <c r="I8" s="6" t="inlineStr">
        <is>
          <t>вода</t>
        </is>
      </c>
      <c r="J8" s="6" t="inlineStr">
        <is>
          <t>чугун СЧ18</t>
        </is>
      </c>
      <c r="K8" s="6" t="inlineStr">
        <is>
          <t>У1</t>
        </is>
      </c>
      <c r="L8" s="6" t="inlineStr">
        <is>
          <t>межфланцевое</t>
        </is>
      </c>
      <c r="M8" s="6" t="inlineStr">
        <is>
          <t>автоматический</t>
        </is>
      </c>
      <c r="N8" s="6" t="inlineStr">
        <is>
          <t>компенсация гидроударов</t>
        </is>
      </c>
      <c r="O8" s="6" t="inlineStr">
        <is>
          <t>любое</t>
        </is>
      </c>
      <c r="P8" s="6" t="inlineStr">
        <is>
          <t>Корпус: Сч18 Захлопка: Сч18 Ось: Сталь 20х13 Уплотнение: Латунь ЛЦ40С</t>
        </is>
      </c>
      <c r="Q8" s="6" t="inlineStr">
        <is>
          <t>строительная длинна 70мм</t>
        </is>
      </c>
      <c r="R8" s="6" t="inlineStr"/>
      <c r="S8" s="5" t="n">
        <v>7</v>
      </c>
      <c r="T8" s="6" t="inlineStr">
        <is>
          <t>шт</t>
        </is>
      </c>
      <c r="U8" s="7" t="n"/>
      <c r="V8" s="8" t="inlineStr">
        <is>
          <t>ООО «Торговый Дом АДЛ»</t>
        </is>
      </c>
      <c r="W8" s="8" t="inlineStr">
        <is>
          <t>Россия</t>
        </is>
      </c>
      <c r="X8" s="8" t="inlineStr">
        <is>
          <t>10618657</t>
        </is>
      </c>
      <c r="Y8" s="8" t="inlineStr">
        <is>
          <t>17.03.2028</t>
        </is>
      </c>
      <c r="Z8" s="7" t="n"/>
      <c r="AA8" s="9" t="n"/>
      <c r="AB8" s="10">
        <f>AA8*S8</f>
        <v/>
      </c>
      <c r="AC8" s="7" t="n"/>
      <c r="AD8" s="7" t="n"/>
      <c r="AE8" s="7" t="n"/>
    </row>
    <row r="9" ht="60" customHeight="1">
      <c r="A9" s="5" t="n">
        <v>4</v>
      </c>
      <c r="B9" s="6" t="inlineStr">
        <is>
          <t>1.3/22</t>
        </is>
      </c>
      <c r="C9" s="6" t="inlineStr">
        <is>
          <t>Обратный клапан «Гранлок» серии CV16 Ду 150 Ру 16</t>
        </is>
      </c>
      <c r="D9" s="6" t="inlineStr">
        <is>
          <t>ТУ 3700-005-81673229-2009</t>
        </is>
      </c>
      <c r="E9" s="6" t="inlineStr">
        <is>
          <t>150</t>
        </is>
      </c>
      <c r="F9" s="6" t="inlineStr">
        <is>
          <t>стандартное</t>
        </is>
      </c>
      <c r="G9" s="6" t="inlineStr">
        <is>
          <t>1.6</t>
        </is>
      </c>
      <c r="H9" s="6" t="inlineStr">
        <is>
          <t>До +110°С</t>
        </is>
      </c>
      <c r="I9" s="6" t="inlineStr">
        <is>
          <t>вода</t>
        </is>
      </c>
      <c r="J9" s="6" t="inlineStr">
        <is>
          <t>чугун GG25</t>
        </is>
      </c>
      <c r="K9" s="6" t="inlineStr">
        <is>
          <t>У3</t>
        </is>
      </c>
      <c r="L9" s="6" t="inlineStr">
        <is>
          <t>межфланцевое</t>
        </is>
      </c>
      <c r="M9" s="6" t="inlineStr">
        <is>
          <t>-</t>
        </is>
      </c>
      <c r="N9" s="6" t="inlineStr">
        <is>
          <t>-</t>
        </is>
      </c>
      <c r="O9" s="6" t="inlineStr">
        <is>
          <t>любое</t>
        </is>
      </c>
      <c r="P9" s="6" t="inlineStr">
        <is>
          <t>клапан двухстворчатый</t>
        </is>
      </c>
      <c r="Q9" s="6" t="inlineStr"/>
      <c r="R9" s="6" t="inlineStr"/>
      <c r="S9" s="5" t="n">
        <v>4</v>
      </c>
      <c r="T9" s="6" t="inlineStr">
        <is>
          <t>шт</t>
        </is>
      </c>
      <c r="U9" s="7" t="n"/>
      <c r="V9" s="8" t="inlineStr">
        <is>
          <t>ООО «Торговый Дом АДЛ»</t>
        </is>
      </c>
      <c r="W9" s="8" t="inlineStr">
        <is>
          <t>Россия</t>
        </is>
      </c>
      <c r="X9" s="8" t="inlineStr">
        <is>
          <t>10618660</t>
        </is>
      </c>
      <c r="Y9" s="8" t="inlineStr">
        <is>
          <t>17.03.2028</t>
        </is>
      </c>
      <c r="Z9" s="7" t="n"/>
      <c r="AA9" s="9" t="n"/>
      <c r="AB9" s="10">
        <f>AA9*S9</f>
        <v/>
      </c>
      <c r="AC9" s="7" t="n"/>
      <c r="AD9" s="7" t="n"/>
      <c r="AE9" s="7" t="n"/>
    </row>
    <row r="10" ht="60" customHeight="1">
      <c r="A10" s="5" t="n">
        <v>5</v>
      </c>
      <c r="B10" s="6" t="inlineStr">
        <is>
          <t>1.3/30</t>
        </is>
      </c>
      <c r="C10" s="6" t="inlineStr">
        <is>
          <t>Клапан обратный межфланцевый пружинный тарельчатый NVD-802R Ду 125 Ру 16</t>
        </is>
      </c>
      <c r="D10" s="6" t="inlineStr">
        <is>
          <t>ТУ 28.14.11-014-72323163-2022</t>
        </is>
      </c>
      <c r="E10" s="6" t="inlineStr">
        <is>
          <t>125</t>
        </is>
      </c>
      <c r="F10" s="6" t="inlineStr"/>
      <c r="G10" s="6" t="inlineStr">
        <is>
          <t>1.6</t>
        </is>
      </c>
      <c r="H10" s="6" t="inlineStr">
        <is>
          <t>от -15 до +100</t>
        </is>
      </c>
      <c r="I10" s="6" t="inlineStr">
        <is>
          <t>Вода, гликолевые растворы до 50%</t>
        </is>
      </c>
      <c r="J10" s="6" t="inlineStr">
        <is>
          <t>серый чугун</t>
        </is>
      </c>
      <c r="K10" s="6" t="inlineStr"/>
      <c r="L10" s="6" t="inlineStr">
        <is>
          <t>межфланцевое</t>
        </is>
      </c>
      <c r="M10" s="6" t="inlineStr"/>
      <c r="N10" s="6" t="inlineStr"/>
      <c r="O10" s="6" t="inlineStr">
        <is>
          <t>любое</t>
        </is>
      </c>
      <c r="P10" s="6" t="inlineStr">
        <is>
          <t>Номинальный диаметр (DN), мм 125
Уплотнение EPDM
Масса, кг, не более 10
Рабочая среда Вода, гликолевые растворы до 50%Вода для систем отопления, ГВС, ХВС, гликолевые р-ры до 50%.(жидкости группы 1 и 2 согласно ТР ТС 032/2013).
Тип присоединения к трубопроводу Межфланцевое
C, мм 218
Номинальное давление (PN),бар 16
Температура окружающей среды, °С от -20 до +70
A, мм 106</t>
        </is>
      </c>
      <c r="Q10" s="6" t="inlineStr">
        <is>
          <t>Строительный размер 90 мм</t>
        </is>
      </c>
      <c r="R10" s="6" t="inlineStr">
        <is>
          <t>каталожный номер 065B7526</t>
        </is>
      </c>
      <c r="S10" s="5" t="n">
        <v>2</v>
      </c>
      <c r="T10" s="6" t="inlineStr">
        <is>
          <t>шт</t>
        </is>
      </c>
      <c r="U10" s="7" t="n"/>
      <c r="V10" s="8" t="inlineStr">
        <is>
          <t>ООО «Торговый Дом АДЛ»</t>
        </is>
      </c>
      <c r="W10" s="8" t="inlineStr">
        <is>
          <t>Россия</t>
        </is>
      </c>
      <c r="X10" s="8" t="inlineStr">
        <is>
          <t>10618659</t>
        </is>
      </c>
      <c r="Y10" s="8" t="inlineStr">
        <is>
          <t>17.03.2028</t>
        </is>
      </c>
      <c r="Z10" s="7" t="n"/>
      <c r="AA10" s="9" t="n"/>
      <c r="AB10" s="10">
        <f>AA10*S10</f>
        <v/>
      </c>
      <c r="AC10" s="7" t="n"/>
      <c r="AD10" s="7" t="n"/>
      <c r="AE10" s="7" t="n"/>
    </row>
    <row r="11" ht="60" customHeight="1">
      <c r="A11" s="5" t="n">
        <v>6</v>
      </c>
      <c r="B11" s="6" t="inlineStr">
        <is>
          <t>1.3/31</t>
        </is>
      </c>
      <c r="C11" s="6" t="inlineStr">
        <is>
          <t>Клапан обратный межфланцевый пружинный тарельчатый NVD-802R Ду 150 Ру 16</t>
        </is>
      </c>
      <c r="D11" s="6" t="inlineStr">
        <is>
          <t>ТУ 28.14.11-014-72323163-2022</t>
        </is>
      </c>
      <c r="E11" s="6" t="inlineStr">
        <is>
          <t>150</t>
        </is>
      </c>
      <c r="F11" s="6" t="inlineStr"/>
      <c r="G11" s="6" t="inlineStr">
        <is>
          <t>1.6</t>
        </is>
      </c>
      <c r="H11" s="6" t="inlineStr">
        <is>
          <t>от -15 до +100</t>
        </is>
      </c>
      <c r="I11" s="6" t="inlineStr">
        <is>
          <t>Вода, гликолевые растворы до 50%</t>
        </is>
      </c>
      <c r="J11" s="6" t="inlineStr">
        <is>
          <t>серый чугун</t>
        </is>
      </c>
      <c r="K11" s="6" t="inlineStr"/>
      <c r="L11" s="6" t="inlineStr">
        <is>
          <t>межфланцевое</t>
        </is>
      </c>
      <c r="M11" s="6" t="inlineStr"/>
      <c r="N11" s="6" t="inlineStr"/>
      <c r="O11" s="6" t="inlineStr">
        <is>
          <t>любое</t>
        </is>
      </c>
      <c r="P11" s="6" t="inlineStr">
        <is>
          <t>Номинальный диаметр (DN), мм 150
Уплотнение EPDM
Масса, кг, не более 10
Рабочая среда Вода, гликолевые растворы до 50%Вода для систем отопления, ГВС, ХВС, гликолевые р-ры до 50%.(жидкости группы 1 и 2 согласно ТР ТС 032/2013).
Тип присоединения к трубопроводу Межфланцевое
C, мм 218
Номинальное давление (PN),бар 16
Температура окружающей среды, °С от -20 до +70
A, мм 106</t>
        </is>
      </c>
      <c r="Q11" s="6" t="inlineStr">
        <is>
          <t>Строительный размер 106мм</t>
        </is>
      </c>
      <c r="R11" s="6" t="inlineStr">
        <is>
          <t>каталожный № 082X8527R</t>
        </is>
      </c>
      <c r="S11" s="5" t="n">
        <v>10</v>
      </c>
      <c r="T11" s="6" t="inlineStr">
        <is>
          <t>шт</t>
        </is>
      </c>
      <c r="U11" s="7" t="n"/>
      <c r="V11" s="8" t="inlineStr">
        <is>
          <t>ООО «Торговый Дом АДЛ»</t>
        </is>
      </c>
      <c r="W11" s="8" t="inlineStr">
        <is>
          <t>Россия</t>
        </is>
      </c>
      <c r="X11" s="8" t="inlineStr">
        <is>
          <t>10618660</t>
        </is>
      </c>
      <c r="Y11" s="8" t="inlineStr">
        <is>
          <t>17.03.2028</t>
        </is>
      </c>
      <c r="Z11" s="7" t="n"/>
      <c r="AA11" s="9" t="n"/>
      <c r="AB11" s="10">
        <f>AA11*S11</f>
        <v/>
      </c>
      <c r="AC11" s="7" t="n"/>
      <c r="AD11" s="7" t="n"/>
      <c r="AE11" s="7" t="n"/>
    </row>
    <row r="12" ht="60" customHeight="1">
      <c r="A12" s="5" t="n">
        <v>7</v>
      </c>
      <c r="B12" s="6" t="inlineStr">
        <is>
          <t>1.3/36</t>
        </is>
      </c>
      <c r="C12" s="6" t="inlineStr">
        <is>
          <t>Предохранительный клапан ARI-SAFE 12.903 Ду 32/50 Ру 16</t>
        </is>
      </c>
      <c r="D12" s="6" t="inlineStr"/>
      <c r="E12" s="6" t="inlineStr">
        <is>
          <t>32/50</t>
        </is>
      </c>
      <c r="F12" s="6" t="inlineStr">
        <is>
          <t>32/50</t>
        </is>
      </c>
      <c r="G12" s="6" t="inlineStr">
        <is>
          <t>1.6</t>
        </is>
      </c>
      <c r="H12" s="6" t="inlineStr"/>
      <c r="I12" s="6" t="inlineStr">
        <is>
          <t>вода</t>
        </is>
      </c>
      <c r="J12" s="6" t="inlineStr">
        <is>
          <t>серый чугун</t>
        </is>
      </c>
      <c r="K12" s="6" t="inlineStr"/>
      <c r="L12" s="6" t="inlineStr">
        <is>
          <t>фланцевое</t>
        </is>
      </c>
      <c r="M12" s="6" t="inlineStr"/>
      <c r="N12" s="6" t="inlineStr"/>
      <c r="O12" s="6" t="inlineStr"/>
      <c r="P12" s="6" t="inlineStr"/>
      <c r="Q12" s="6" t="inlineStr">
        <is>
          <t>Габариты: L-110 мм (расстояние от середины нижнего фланца до конца бокового фланца); L1-115 мм (расстояние от середины бокового фланца до конца нижнего фланца)</t>
        </is>
      </c>
      <c r="R12" s="6" t="inlineStr">
        <is>
          <t>Рабочий диапазон пружины:3,7-5,0 кгс/см2.</t>
        </is>
      </c>
      <c r="S12" s="5" t="n">
        <v>2</v>
      </c>
      <c r="T12" s="6" t="inlineStr">
        <is>
          <t>шт</t>
        </is>
      </c>
      <c r="U12" s="7" t="n"/>
      <c r="V12" s="8" t="inlineStr">
        <is>
          <t>ООО «Торговый Дом АДЛ»</t>
        </is>
      </c>
      <c r="W12" s="8" t="inlineStr">
        <is>
          <t>Россия</t>
        </is>
      </c>
      <c r="X12" s="8" t="inlineStr">
        <is>
          <t>10535129</t>
        </is>
      </c>
      <c r="Y12" s="8" t="inlineStr">
        <is>
          <t>18.04.2027</t>
        </is>
      </c>
      <c r="Z12" s="7" t="n"/>
      <c r="AA12" s="9" t="n"/>
      <c r="AB12" s="10">
        <f>AA12*S12</f>
        <v/>
      </c>
      <c r="AC12" s="7" t="n"/>
      <c r="AD12" s="7" t="n"/>
      <c r="AE12" s="7" t="n"/>
    </row>
    <row r="13" ht="60" customHeight="1">
      <c r="A13" s="5" t="n">
        <v>8</v>
      </c>
      <c r="B13" s="6" t="inlineStr">
        <is>
          <t>1.3/37</t>
        </is>
      </c>
      <c r="C13" s="6" t="inlineStr">
        <is>
          <t>Предохранительный клапан ARI-SAFE 12.903 Ду 25/40 Ру 16</t>
        </is>
      </c>
      <c r="D13" s="6" t="inlineStr"/>
      <c r="E13" s="6" t="inlineStr">
        <is>
          <t>25/40</t>
        </is>
      </c>
      <c r="F13" s="6" t="inlineStr">
        <is>
          <t>25/40</t>
        </is>
      </c>
      <c r="G13" s="6" t="inlineStr">
        <is>
          <t>1.6</t>
        </is>
      </c>
      <c r="H13" s="6" t="inlineStr"/>
      <c r="I13" s="6" t="inlineStr">
        <is>
          <t>вода</t>
        </is>
      </c>
      <c r="J13" s="6" t="inlineStr">
        <is>
          <t>серый чугун</t>
        </is>
      </c>
      <c r="K13" s="6" t="inlineStr"/>
      <c r="L13" s="6" t="inlineStr">
        <is>
          <t>фланцевое</t>
        </is>
      </c>
      <c r="M13" s="6" t="inlineStr"/>
      <c r="N13" s="6" t="inlineStr"/>
      <c r="O13" s="6" t="inlineStr"/>
      <c r="P13" s="6" t="inlineStr"/>
      <c r="Q13" s="6" t="inlineStr">
        <is>
          <t>L-100 мм (расстояние от середины нижнего фланца до конца бокового фланца); L1-105 мм (расстояние от середины бокового фланца до конца нижнего фланца)</t>
        </is>
      </c>
      <c r="R13" s="6" t="inlineStr">
        <is>
          <t>Рабочий диапазон пружины:2,75-3,6 кгс/см2</t>
        </is>
      </c>
      <c r="S13" s="5" t="n">
        <v>2</v>
      </c>
      <c r="T13" s="6" t="inlineStr">
        <is>
          <t>шт</t>
        </is>
      </c>
      <c r="U13" s="7" t="n"/>
      <c r="V13" s="8" t="inlineStr">
        <is>
          <t>ООО «Торговый Дом АДЛ»</t>
        </is>
      </c>
      <c r="W13" s="8" t="inlineStr">
        <is>
          <t>Россия</t>
        </is>
      </c>
      <c r="X13" s="8" t="inlineStr">
        <is>
          <t>10535148</t>
        </is>
      </c>
      <c r="Y13" s="8" t="inlineStr">
        <is>
          <t>18.04.2027</t>
        </is>
      </c>
      <c r="Z13" s="7" t="n"/>
      <c r="AA13" s="9" t="n"/>
      <c r="AB13" s="10">
        <f>AA13*S13</f>
        <v/>
      </c>
      <c r="AC13" s="7" t="n"/>
      <c r="AD13" s="7" t="n"/>
      <c r="AE13" s="7" t="n"/>
    </row>
    <row r="14" ht="60" customHeight="1">
      <c r="A14" s="5" t="n">
        <v>9</v>
      </c>
      <c r="B14" s="6" t="inlineStr">
        <is>
          <t>1.3/38</t>
        </is>
      </c>
      <c r="C14" s="6" t="inlineStr">
        <is>
          <t>Предохранительный клапан ARI-SAFE 12.903 Ду 25/40 Ру 16</t>
        </is>
      </c>
      <c r="D14" s="6" t="inlineStr"/>
      <c r="E14" s="6" t="inlineStr">
        <is>
          <t>25/40</t>
        </is>
      </c>
      <c r="F14" s="6" t="inlineStr">
        <is>
          <t>25/40</t>
        </is>
      </c>
      <c r="G14" s="6" t="inlineStr">
        <is>
          <t>1.6</t>
        </is>
      </c>
      <c r="H14" s="6" t="inlineStr"/>
      <c r="I14" s="6" t="inlineStr">
        <is>
          <t>вода</t>
        </is>
      </c>
      <c r="J14" s="6" t="inlineStr">
        <is>
          <t>серый чугун</t>
        </is>
      </c>
      <c r="K14" s="6" t="inlineStr"/>
      <c r="L14" s="6" t="inlineStr">
        <is>
          <t>фланцевое</t>
        </is>
      </c>
      <c r="M14" s="6" t="inlineStr"/>
      <c r="N14" s="6" t="inlineStr"/>
      <c r="O14" s="6" t="inlineStr"/>
      <c r="P14" s="6" t="inlineStr"/>
      <c r="Q14" s="6" t="inlineStr">
        <is>
          <t>Габариты: L-100 мм (расстояние от середины нижнего фланца до конца бокового фланца); L1-105 мм (расстояние от середины бокового фланца до конца нижнего фланца)</t>
        </is>
      </c>
      <c r="R14" s="6" t="inlineStr">
        <is>
          <t>Рабочий диапазон пружины:2,05-2,7 кгс/см2.</t>
        </is>
      </c>
      <c r="S14" s="5" t="n">
        <v>2</v>
      </c>
      <c r="T14" s="6" t="inlineStr">
        <is>
          <t>шт</t>
        </is>
      </c>
      <c r="U14" s="7" t="n"/>
      <c r="V14" s="8" t="inlineStr">
        <is>
          <t>ООО «Торговый Дом АДЛ»</t>
        </is>
      </c>
      <c r="W14" s="8" t="inlineStr">
        <is>
          <t>Россия</t>
        </is>
      </c>
      <c r="X14" s="8" t="inlineStr">
        <is>
          <t>10535148</t>
        </is>
      </c>
      <c r="Y14" s="8" t="inlineStr">
        <is>
          <t>18.04.2027</t>
        </is>
      </c>
      <c r="Z14" s="7" t="n"/>
      <c r="AA14" s="9" t="n"/>
      <c r="AB14" s="10">
        <f>AA14*S14</f>
        <v/>
      </c>
      <c r="AC14" s="7" t="n"/>
      <c r="AD14" s="7" t="n"/>
      <c r="AE14" s="7" t="n"/>
    </row>
    <row r="15" ht="60" customHeight="1">
      <c r="A15" s="5" t="n">
        <v>10</v>
      </c>
      <c r="B15" s="6" t="inlineStr">
        <is>
          <t>1.3/154</t>
        </is>
      </c>
      <c r="C15" s="6" t="inlineStr">
        <is>
          <t>Затвор дисковый поворотный(ГРЭНВЭЛ) Тип /серия FL(w)-3-MR-E Ду 100, Ру 16</t>
        </is>
      </c>
      <c r="D15" s="6" t="inlineStr">
        <is>
          <t>ТУ 3700-001-81673229-2007</t>
        </is>
      </c>
      <c r="E15" s="6" t="inlineStr">
        <is>
          <t>100</t>
        </is>
      </c>
      <c r="F15" s="6" t="inlineStr">
        <is>
          <t>стандарт</t>
        </is>
      </c>
      <c r="G15" s="6" t="inlineStr">
        <is>
          <t>1.6</t>
        </is>
      </c>
      <c r="H15" s="6" t="inlineStr">
        <is>
          <t>-20…+110</t>
        </is>
      </c>
      <c r="I15" s="6" t="inlineStr">
        <is>
          <t>вода</t>
        </is>
      </c>
      <c r="J15" s="6" t="inlineStr">
        <is>
          <t>Серый чугун EN-GJL-250</t>
        </is>
      </c>
      <c r="K15" s="6" t="inlineStr">
        <is>
          <t>Класс герметичности: А</t>
        </is>
      </c>
      <c r="L15" s="6" t="inlineStr">
        <is>
          <t>межфланцевый</t>
        </is>
      </c>
      <c r="M15" s="6" t="inlineStr">
        <is>
          <t>Ручной</t>
        </is>
      </c>
      <c r="N15" s="6" t="inlineStr">
        <is>
          <t>Ручка с фиксацией произвольного положения</t>
        </is>
      </c>
      <c r="O15" s="6" t="inlineStr">
        <is>
          <t>-</t>
        </is>
      </c>
      <c r="P15" s="6" t="inlineStr">
        <is>
          <t>Корпус: Серый чугун GG25 Седло: EPDM Диск: Нержавеющая сталь CF8M</t>
        </is>
      </c>
      <c r="Q15" s="6" t="inlineStr">
        <is>
          <t>-</t>
        </is>
      </c>
      <c r="R15" s="6" t="inlineStr">
        <is>
          <t>-</t>
        </is>
      </c>
      <c r="S15" s="5" t="n">
        <v>4</v>
      </c>
      <c r="T15" s="6" t="inlineStr">
        <is>
          <t>шт</t>
        </is>
      </c>
      <c r="U15" s="8" t="inlineStr">
        <is>
          <t>ГРАНВЭЛ ЗПВС FL(w)-3-100-MR-E Ду100 — Россия, ЗПВС в реестре МПТ</t>
        </is>
      </c>
      <c r="V15" s="8" t="inlineStr">
        <is>
          <t>ООО «Торговый Дом АДЛ» (Гранвэл)</t>
        </is>
      </c>
      <c r="W15" s="8" t="inlineStr">
        <is>
          <t>Россия</t>
        </is>
      </c>
      <c r="X15" s="8" t="inlineStr">
        <is>
          <t>10357202</t>
        </is>
      </c>
      <c r="Y15" s="8" t="inlineStr">
        <is>
          <t>15.03.2031</t>
        </is>
      </c>
      <c r="Z15" s="7" t="n"/>
      <c r="AA15" s="9" t="n"/>
      <c r="AB15" s="10">
        <f>AA15*S15</f>
        <v/>
      </c>
      <c r="AC15" s="7" t="n"/>
      <c r="AD15" s="7" t="n"/>
      <c r="AE15" s="7" t="n"/>
    </row>
    <row r="16" ht="60" customHeight="1">
      <c r="A16" s="5" t="n">
        <v>11</v>
      </c>
      <c r="B16" s="6" t="inlineStr">
        <is>
          <t>1.3/155</t>
        </is>
      </c>
      <c r="C16" s="6" t="inlineStr">
        <is>
          <t>Затвор дисковый поворотный(ГРЭНВЭЛ) ЗП ТЛ Ду 100 Ру 16</t>
        </is>
      </c>
      <c r="D16" s="6" t="inlineStr">
        <is>
          <t>ТУ 3700-001-81673229-2007</t>
        </is>
      </c>
      <c r="E16" s="6" t="inlineStr">
        <is>
          <t>100</t>
        </is>
      </c>
      <c r="F16" s="6" t="inlineStr">
        <is>
          <t>стандарт</t>
        </is>
      </c>
      <c r="G16" s="6" t="inlineStr">
        <is>
          <t>1.6</t>
        </is>
      </c>
      <c r="H16" s="6" t="inlineStr">
        <is>
          <t>до +115°C (кратковременно до +130°C)</t>
        </is>
      </c>
      <c r="I16" s="6" t="inlineStr">
        <is>
          <t>вода (в том числе питьевая), растворы гликоля до 45%, горячий воздух, прочие нейтральные среды</t>
        </is>
      </c>
      <c r="J16" s="6" t="inlineStr">
        <is>
          <t>Корпус: - Серый чугун GG25 • Высокопрочный чугун GGG40</t>
        </is>
      </c>
      <c r="K16" s="6" t="inlineStr"/>
      <c r="L16" s="6" t="inlineStr">
        <is>
          <t>межфланцевое</t>
        </is>
      </c>
      <c r="M16" s="6" t="inlineStr">
        <is>
          <t>ручной (рукоятка)</t>
        </is>
      </c>
      <c r="N16" s="6" t="inlineStr"/>
      <c r="O16" s="6" t="inlineStr"/>
      <c r="P16" s="6" t="inlineStr">
        <is>
          <t>Седло- EPDM HT; Диск - Нержавеющая сталь CF8M</t>
        </is>
      </c>
      <c r="Q16" s="6" t="inlineStr"/>
      <c r="R16" s="6" t="inlineStr">
        <is>
          <t>Номинальное давление: 16 кгс/см2.Корпус: - Серый чугун GG25 • Высокопрочный чугун GGG40, Седло- EPDM HT; Диск - Нержавеющая сталь CF8M; PN 1,6; DN25–300; tраб. перекач. ср.: +60…+115°С; tмакс.: +130°С в кратковр. режиме tмин.: +40°С в кратковр. Режиме; каталожный номер BD01M40469</t>
        </is>
      </c>
      <c r="S16" s="5" t="n">
        <v>16</v>
      </c>
      <c r="T16" s="6" t="inlineStr">
        <is>
          <t>шт</t>
        </is>
      </c>
      <c r="U16" s="8" t="inlineStr">
        <is>
          <t>ГРАНВЭЛ ЗПТЛ FLN(w)-5-100-MR-HT Ду100 — Россия, ЗПВС в реестре МПТ</t>
        </is>
      </c>
      <c r="V16" s="8" t="inlineStr">
        <is>
          <t>ООО «Торговый Дом АДЛ» (Гранвэл)</t>
        </is>
      </c>
      <c r="W16" s="8" t="inlineStr">
        <is>
          <t>Россия</t>
        </is>
      </c>
      <c r="X16" s="8" t="inlineStr">
        <is>
          <t>10357202</t>
        </is>
      </c>
      <c r="Y16" s="8" t="inlineStr">
        <is>
          <t>15.03.2031</t>
        </is>
      </c>
      <c r="Z16" s="7" t="n"/>
      <c r="AA16" s="9" t="n"/>
      <c r="AB16" s="10">
        <f>AA16*S16</f>
        <v/>
      </c>
      <c r="AC16" s="7" t="n"/>
      <c r="AD16" s="7" t="n"/>
      <c r="AE16" s="7" t="n"/>
    </row>
    <row r="17" ht="60" customHeight="1">
      <c r="A17" s="5" t="n">
        <v>12</v>
      </c>
      <c r="B17" s="6" t="inlineStr">
        <is>
          <t>1.3/156</t>
        </is>
      </c>
      <c r="C17" s="6" t="inlineStr">
        <is>
          <t>Затвор дисковый поворотный(ГРЭНВЭЛ) ЗП ТЛ Ду 150 Ру 16</t>
        </is>
      </c>
      <c r="D17" s="6" t="inlineStr">
        <is>
          <t>ТУ 3700-001-81673229-2007</t>
        </is>
      </c>
      <c r="E17" s="6" t="inlineStr">
        <is>
          <t>150</t>
        </is>
      </c>
      <c r="F17" s="6" t="inlineStr">
        <is>
          <t>стандарт</t>
        </is>
      </c>
      <c r="G17" s="6" t="inlineStr">
        <is>
          <t>1.6</t>
        </is>
      </c>
      <c r="H17" s="6" t="inlineStr">
        <is>
          <t>до +115°C (кратковременно до +130°C)</t>
        </is>
      </c>
      <c r="I17" s="6" t="inlineStr">
        <is>
          <t>вода (в том числе питьевая), растворы гликоля до 45%, горячий воздух, прочие нейтральные среды</t>
        </is>
      </c>
      <c r="J17" s="6" t="inlineStr">
        <is>
          <t>Корпус: - Серый чугун GG25 • Высокопрочный чугун GGG40</t>
        </is>
      </c>
      <c r="K17" s="6" t="inlineStr"/>
      <c r="L17" s="6" t="inlineStr">
        <is>
          <t>межфланцевое</t>
        </is>
      </c>
      <c r="M17" s="6" t="inlineStr">
        <is>
          <t>ручной (рукоятка)</t>
        </is>
      </c>
      <c r="N17" s="6" t="inlineStr"/>
      <c r="O17" s="6" t="inlineStr"/>
      <c r="P17" s="6" t="inlineStr">
        <is>
          <t>Седло- EPDM HT; Диск - Нержавеющая сталь CF8M</t>
        </is>
      </c>
      <c r="Q17" s="6" t="inlineStr"/>
      <c r="R17" s="6" t="inlineStr">
        <is>
          <t>Номинальное давление: 16 кгс/см2.Корпус: - Серый чугун GG25 • Высокопрочный чугун GGG40, Седло- EPDM HT; Диск - Нержавеющая сталь CF8M; PN 1,6; DN25–300; tраб. перекач. ср.: +60…+115°С; tмакс.: +130°С в кратковр. режиме tмин.: +40°С в кратковр. Режиме; каталожный номер BD01M40469</t>
        </is>
      </c>
      <c r="S17" s="5" t="n">
        <v>20</v>
      </c>
      <c r="T17" s="6" t="inlineStr">
        <is>
          <t>шт</t>
        </is>
      </c>
      <c r="U17" s="8" t="inlineStr">
        <is>
          <t>ГРАНВЭЛ ЗПТЛ FLN(w)-5-150-MR-HT Ду150 — Россия, ЗПВС в реестре МПТ</t>
        </is>
      </c>
      <c r="V17" s="8" t="inlineStr">
        <is>
          <t>ООО «Торговый Дом АДЛ» (Гранвэл)</t>
        </is>
      </c>
      <c r="W17" s="8" t="inlineStr">
        <is>
          <t>Россия</t>
        </is>
      </c>
      <c r="X17" s="8" t="inlineStr">
        <is>
          <t>10837159</t>
        </is>
      </c>
      <c r="Y17" s="8" t="inlineStr">
        <is>
          <t>13.07.2029</t>
        </is>
      </c>
      <c r="Z17" s="7" t="n"/>
      <c r="AA17" s="9" t="n"/>
      <c r="AB17" s="10">
        <f>AA17*S17</f>
        <v/>
      </c>
      <c r="AC17" s="7" t="n"/>
      <c r="AD17" s="7" t="n"/>
      <c r="AE17" s="7" t="n"/>
    </row>
    <row r="18" ht="60" customHeight="1">
      <c r="A18" s="5" t="n">
        <v>13</v>
      </c>
      <c r="B18" s="6" t="inlineStr">
        <is>
          <t>1.3/157</t>
        </is>
      </c>
      <c r="C18" s="6" t="inlineStr">
        <is>
          <t>Затвор дисковый поворотный(ГРЭНВЭЛ) ЗП ТЛ Ду 200 Ру 16</t>
        </is>
      </c>
      <c r="D18" s="6" t="inlineStr">
        <is>
          <t>ТУ 3700-001-81673229-2007</t>
        </is>
      </c>
      <c r="E18" s="6" t="inlineStr">
        <is>
          <t>200</t>
        </is>
      </c>
      <c r="F18" s="6" t="inlineStr">
        <is>
          <t>стандарт</t>
        </is>
      </c>
      <c r="G18" s="6" t="inlineStr">
        <is>
          <t>1.6</t>
        </is>
      </c>
      <c r="H18" s="6" t="inlineStr">
        <is>
          <t>до +115°C (кратковременно до +130°C)</t>
        </is>
      </c>
      <c r="I18" s="6" t="inlineStr">
        <is>
          <t>вода (в том числе питьевая), растворы гликоля до 45%, горячий воздух, прочие нейтральные среды</t>
        </is>
      </c>
      <c r="J18" s="6" t="inlineStr">
        <is>
          <t>Корпус: - Серый чугун GG25 • Высокопрочный чугун GGG40</t>
        </is>
      </c>
      <c r="K18" s="6" t="inlineStr"/>
      <c r="L18" s="6" t="inlineStr">
        <is>
          <t>межфланцевое</t>
        </is>
      </c>
      <c r="M18" s="6" t="inlineStr">
        <is>
          <t>ручной (рукоятка)</t>
        </is>
      </c>
      <c r="N18" s="6" t="inlineStr"/>
      <c r="O18" s="6" t="inlineStr"/>
      <c r="P18" s="6" t="inlineStr">
        <is>
          <t>Седло- EPDM HT; Диск - Нержавеющая сталь CF8M</t>
        </is>
      </c>
      <c r="Q18" s="6" t="inlineStr"/>
      <c r="R18" s="6" t="inlineStr">
        <is>
          <t>Номинальное давление: 16 кгс/см2.Корпус: - Серый чугун GG25 • Высокопрочный чугун GGG40, Седло- EPDM HT; Диск - Нержавеющая сталь CF8M; PN 1,6; DN25–300; tраб. перекач. ср.: +60…+115°С; tмакс.: +130°С в кратковр. режиме tмин.: +40°С в кратковр. Режиме; каталожный номер BD01M40469</t>
        </is>
      </c>
      <c r="S18" s="5" t="n">
        <v>16</v>
      </c>
      <c r="T18" s="6" t="inlineStr">
        <is>
          <t>шт</t>
        </is>
      </c>
      <c r="U18" s="8" t="inlineStr">
        <is>
          <t>ГРАНВЭЛ ЗПТЛ FLN(w)-5-200-MR-HT Ду200 — Россия, ЗПВС в реестре МПТ</t>
        </is>
      </c>
      <c r="V18" s="8" t="inlineStr">
        <is>
          <t>ООО «Торговый Дом АДЛ» (Гранвэл)</t>
        </is>
      </c>
      <c r="W18" s="8" t="inlineStr">
        <is>
          <t>Россия</t>
        </is>
      </c>
      <c r="X18" s="8" t="inlineStr">
        <is>
          <t>10837159</t>
        </is>
      </c>
      <c r="Y18" s="8" t="inlineStr">
        <is>
          <t>13.07.2029</t>
        </is>
      </c>
      <c r="Z18" s="7" t="n"/>
      <c r="AA18" s="9" t="n"/>
      <c r="AB18" s="10">
        <f>AA18*S18</f>
        <v/>
      </c>
      <c r="AC18" s="7" t="n"/>
      <c r="AD18" s="7" t="n"/>
      <c r="AE18" s="7" t="n"/>
    </row>
    <row r="19" ht="60" customHeight="1">
      <c r="A19" s="5" t="n">
        <v>14</v>
      </c>
      <c r="B19" s="6" t="inlineStr">
        <is>
          <t>1.3/158</t>
        </is>
      </c>
      <c r="C19" s="6" t="inlineStr">
        <is>
          <t>Затвор дисковый поворотный(ГРЭНВЭЛ) ЗП ТЛ Ду 80 Ру 16</t>
        </is>
      </c>
      <c r="D19" s="6" t="inlineStr">
        <is>
          <t>ТУ 3700-001-81673229-2007</t>
        </is>
      </c>
      <c r="E19" s="6" t="inlineStr">
        <is>
          <t>80</t>
        </is>
      </c>
      <c r="F19" s="6" t="inlineStr">
        <is>
          <t>стандарт</t>
        </is>
      </c>
      <c r="G19" s="6" t="inlineStr">
        <is>
          <t>1.6</t>
        </is>
      </c>
      <c r="H19" s="6" t="inlineStr">
        <is>
          <t>до +115°C (кратковременно до +130°C)</t>
        </is>
      </c>
      <c r="I19" s="6" t="inlineStr">
        <is>
          <t>вода (в том числе питьевая), растворы гликоля до 45%, горячий воздух, прочие нейтральные среды</t>
        </is>
      </c>
      <c r="J19" s="6" t="inlineStr">
        <is>
          <t>Корпус: - Серый чугун GG25 • Высокопрочный чугун GGG40</t>
        </is>
      </c>
      <c r="K19" s="6" t="inlineStr"/>
      <c r="L19" s="6" t="inlineStr">
        <is>
          <t>межфланцевое</t>
        </is>
      </c>
      <c r="M19" s="6" t="inlineStr">
        <is>
          <t>ручной (рукоятка)</t>
        </is>
      </c>
      <c r="N19" s="6" t="inlineStr"/>
      <c r="O19" s="6" t="inlineStr"/>
      <c r="P19" s="6" t="inlineStr">
        <is>
          <t>Седло- EPDM HT; Диск - Нержавеющая сталь CF8M</t>
        </is>
      </c>
      <c r="Q19" s="6" t="inlineStr"/>
      <c r="R19" s="6" t="inlineStr">
        <is>
          <t>Номинальное давление: 16 кгс/см2.Корпус: - Серый чугун GG25 • Высокопрочный чугун GGG40, Седло- EPDM HT; Диск - Нержавеющая сталь CF8M; PN 1,6; DN25–300; tраб. перекач. ср.: +60…+115°С; tмакс.: +130°С в кратковр. режиме tмин.: +40°С в кратковр. Режиме; каталожный номер BD01M38936</t>
        </is>
      </c>
      <c r="S19" s="5" t="n">
        <v>9</v>
      </c>
      <c r="T19" s="6" t="inlineStr">
        <is>
          <t>шт</t>
        </is>
      </c>
      <c r="U19" s="8" t="inlineStr">
        <is>
          <t>ГРАНВЭЛ ЗПТЛ FLN(w)-5-080-MR-HT Ду80 — Россия, ЗПВС в реестре МПТ</t>
        </is>
      </c>
      <c r="V19" s="8" t="inlineStr">
        <is>
          <t>ООО «Торговый Дом АДЛ» (Гранвэл)</t>
        </is>
      </c>
      <c r="W19" s="8" t="inlineStr">
        <is>
          <t>Россия</t>
        </is>
      </c>
      <c r="X19" s="8" t="inlineStr">
        <is>
          <t>10357205</t>
        </is>
      </c>
      <c r="Y19" s="8" t="inlineStr">
        <is>
          <t>15.03.2031</t>
        </is>
      </c>
      <c r="Z19" s="7" t="n"/>
      <c r="AA19" s="9" t="n"/>
      <c r="AB19" s="10">
        <f>AA19*S19</f>
        <v/>
      </c>
      <c r="AC19" s="7" t="n"/>
      <c r="AD19" s="7" t="n"/>
      <c r="AE19" s="7" t="n"/>
    </row>
    <row r="20" ht="60" customHeight="1">
      <c r="A20" s="5" t="n">
        <v>15</v>
      </c>
      <c r="B20" s="6" t="inlineStr">
        <is>
          <t>1.3/159</t>
        </is>
      </c>
      <c r="C20" s="6" t="inlineStr">
        <is>
          <t>Затвор дисковый поворотный(ГРЭНВЭЛ) Тип /серия FL(w)-3-MR-E Ду 150 Ру 16</t>
        </is>
      </c>
      <c r="D20" s="6" t="inlineStr">
        <is>
          <t>ТУ 3700-001-81673229-2007</t>
        </is>
      </c>
      <c r="E20" s="6" t="inlineStr">
        <is>
          <t>150</t>
        </is>
      </c>
      <c r="F20" s="6" t="inlineStr">
        <is>
          <t>стандарт</t>
        </is>
      </c>
      <c r="G20" s="6" t="inlineStr">
        <is>
          <t>1.6</t>
        </is>
      </c>
      <c r="H20" s="6" t="inlineStr">
        <is>
          <t>-20…+110</t>
        </is>
      </c>
      <c r="I20" s="6" t="inlineStr">
        <is>
          <t>вода</t>
        </is>
      </c>
      <c r="J20" s="6" t="inlineStr">
        <is>
          <t>Серый чугун EN-GJL-250</t>
        </is>
      </c>
      <c r="K20" s="6" t="inlineStr">
        <is>
          <t>Класс герметичности: А</t>
        </is>
      </c>
      <c r="L20" s="6" t="inlineStr">
        <is>
          <t>межфланцевый</t>
        </is>
      </c>
      <c r="M20" s="6" t="inlineStr">
        <is>
          <t>Ручной</t>
        </is>
      </c>
      <c r="N20" s="6" t="inlineStr">
        <is>
          <t>Ручка с фиксацией произвольного положения</t>
        </is>
      </c>
      <c r="O20" s="6" t="inlineStr">
        <is>
          <t>-</t>
        </is>
      </c>
      <c r="P20" s="6" t="inlineStr">
        <is>
          <t>Корпус: Серый чугун GG25 Седло: EPDM Диск: Нержавеющая сталь CF8M</t>
        </is>
      </c>
      <c r="Q20" s="6" t="inlineStr">
        <is>
          <t>-</t>
        </is>
      </c>
      <c r="R20" s="6" t="inlineStr">
        <is>
          <t>-</t>
        </is>
      </c>
      <c r="S20" s="5" t="n">
        <v>25</v>
      </c>
      <c r="T20" s="6" t="inlineStr">
        <is>
          <t>шт</t>
        </is>
      </c>
      <c r="U20" s="8" t="inlineStr">
        <is>
          <t>ГРАНВЭЛ ЗПВС FL(w)-3-150-MR-E Ду150 — Россия, ЗПВС в реестре МПТ</t>
        </is>
      </c>
      <c r="V20" s="8" t="inlineStr">
        <is>
          <t>ООО «Торговый Дом АДЛ» (Гранвэл)</t>
        </is>
      </c>
      <c r="W20" s="8" t="inlineStr">
        <is>
          <t>Россия</t>
        </is>
      </c>
      <c r="X20" s="8" t="inlineStr">
        <is>
          <t>10837159</t>
        </is>
      </c>
      <c r="Y20" s="8" t="inlineStr">
        <is>
          <t>13.07.2029</t>
        </is>
      </c>
      <c r="Z20" s="7" t="n"/>
      <c r="AA20" s="9" t="n"/>
      <c r="AB20" s="10">
        <f>AA20*S20</f>
        <v/>
      </c>
      <c r="AC20" s="7" t="n"/>
      <c r="AD20" s="7" t="n"/>
      <c r="AE20" s="7" t="n"/>
    </row>
    <row r="21" ht="60" customHeight="1">
      <c r="A21" s="5" t="n">
        <v>16</v>
      </c>
      <c r="B21" s="6" t="inlineStr">
        <is>
          <t>1.3/160</t>
        </is>
      </c>
      <c r="C21" s="6" t="inlineStr">
        <is>
          <t>Затвор дисковый поворотный(ГРЭНВЭЛ) Тип /серия FL(w)-3-MR-E Ду 200 Ру 16</t>
        </is>
      </c>
      <c r="D21" s="6" t="inlineStr">
        <is>
          <t>ТУ 3700-001-81673229-2007</t>
        </is>
      </c>
      <c r="E21" s="6" t="inlineStr">
        <is>
          <t>200</t>
        </is>
      </c>
      <c r="F21" s="6" t="inlineStr">
        <is>
          <t>стандарт</t>
        </is>
      </c>
      <c r="G21" s="6" t="inlineStr">
        <is>
          <t>1.6</t>
        </is>
      </c>
      <c r="H21" s="6" t="inlineStr">
        <is>
          <t>-20…+110</t>
        </is>
      </c>
      <c r="I21" s="6" t="inlineStr">
        <is>
          <t>вода</t>
        </is>
      </c>
      <c r="J21" s="6" t="inlineStr">
        <is>
          <t>Серый чугун EN-GJL-250</t>
        </is>
      </c>
      <c r="K21" s="6" t="inlineStr">
        <is>
          <t>Класс герметичности: А</t>
        </is>
      </c>
      <c r="L21" s="6" t="inlineStr">
        <is>
          <t>межфланцевый</t>
        </is>
      </c>
      <c r="M21" s="6" t="inlineStr">
        <is>
          <t>Ручной</t>
        </is>
      </c>
      <c r="N21" s="6" t="inlineStr">
        <is>
          <t>Ручка с фиксацией произвольного положения</t>
        </is>
      </c>
      <c r="O21" s="6" t="inlineStr">
        <is>
          <t>-</t>
        </is>
      </c>
      <c r="P21" s="6" t="inlineStr">
        <is>
          <t>Корпус: Серый чугун GG25 Седло: EPDM Диск: Нержавеющая сталь CF8M</t>
        </is>
      </c>
      <c r="Q21" s="6" t="inlineStr">
        <is>
          <t>-</t>
        </is>
      </c>
      <c r="R21" s="6" t="inlineStr">
        <is>
          <t>-</t>
        </is>
      </c>
      <c r="S21" s="5" t="n">
        <v>6</v>
      </c>
      <c r="T21" s="6" t="inlineStr">
        <is>
          <t>шт</t>
        </is>
      </c>
      <c r="U21" s="8" t="inlineStr">
        <is>
          <t>ГРАНВЭЛ ЗПВС FL(w)-3-200-MR-E Ду200 — Россия, ЗПВС в реестре МПТ</t>
        </is>
      </c>
      <c r="V21" s="8" t="inlineStr">
        <is>
          <t>ООО «Торговый Дом АДЛ» (Гранвэл)</t>
        </is>
      </c>
      <c r="W21" s="8" t="inlineStr">
        <is>
          <t>Россия</t>
        </is>
      </c>
      <c r="X21" s="8" t="inlineStr">
        <is>
          <t>10837159</t>
        </is>
      </c>
      <c r="Y21" s="8" t="inlineStr">
        <is>
          <t>13.07.2029</t>
        </is>
      </c>
      <c r="Z21" s="7" t="n"/>
      <c r="AA21" s="9" t="n"/>
      <c r="AB21" s="10">
        <f>AA21*S21</f>
        <v/>
      </c>
      <c r="AC21" s="7" t="n"/>
      <c r="AD21" s="7" t="n"/>
      <c r="AE21" s="7" t="n"/>
    </row>
    <row r="22" ht="60" customHeight="1">
      <c r="A22" s="5" t="n">
        <v>17</v>
      </c>
      <c r="B22" s="6" t="inlineStr">
        <is>
          <t>1.3/161</t>
        </is>
      </c>
      <c r="C22" s="6" t="inlineStr">
        <is>
          <t>Затвор дисковый поворотный(ГРЭНВЭЛ) Тип /серия FL(w)-3-MR-E Ду 80</t>
        </is>
      </c>
      <c r="D22" s="6" t="inlineStr">
        <is>
          <t>ТУ 3700-001-81673229-2007</t>
        </is>
      </c>
      <c r="E22" s="6" t="inlineStr">
        <is>
          <t>80</t>
        </is>
      </c>
      <c r="F22" s="6" t="inlineStr">
        <is>
          <t>стандарт</t>
        </is>
      </c>
      <c r="G22" s="6" t="inlineStr">
        <is>
          <t>1.6</t>
        </is>
      </c>
      <c r="H22" s="6" t="inlineStr">
        <is>
          <t>-20…+110</t>
        </is>
      </c>
      <c r="I22" s="6" t="inlineStr">
        <is>
          <t>вода</t>
        </is>
      </c>
      <c r="J22" s="6" t="inlineStr">
        <is>
          <t>Серый чугун EN-GJL-250</t>
        </is>
      </c>
      <c r="K22" s="6" t="inlineStr">
        <is>
          <t>Класс герметичности: А</t>
        </is>
      </c>
      <c r="L22" s="6" t="inlineStr">
        <is>
          <t>межфланцевый</t>
        </is>
      </c>
      <c r="M22" s="6" t="inlineStr">
        <is>
          <t>Ручной</t>
        </is>
      </c>
      <c r="N22" s="6" t="inlineStr">
        <is>
          <t>Ручка с фиксацией произвольного положения</t>
        </is>
      </c>
      <c r="O22" s="6" t="inlineStr">
        <is>
          <t>-</t>
        </is>
      </c>
      <c r="P22" s="6" t="inlineStr">
        <is>
          <t>Корпус: Серый чугун GG25 Седло: EPDM Диск: Нержавеющая сталь CF8M</t>
        </is>
      </c>
      <c r="Q22" s="6" t="inlineStr">
        <is>
          <t>-</t>
        </is>
      </c>
      <c r="R22" s="6" t="inlineStr">
        <is>
          <t>-</t>
        </is>
      </c>
      <c r="S22" s="5" t="n">
        <v>2</v>
      </c>
      <c r="T22" s="6" t="inlineStr">
        <is>
          <t>шт</t>
        </is>
      </c>
      <c r="U22" s="8" t="inlineStr">
        <is>
          <t>ГРАНВЭЛ ЗПВС FL(w)-3-080-MR-E Ду80 — Россия, ЗПВС в реестре МПТ</t>
        </is>
      </c>
      <c r="V22" s="8" t="inlineStr">
        <is>
          <t>ООО «Торговый Дом АДЛ» (Гранвэл)</t>
        </is>
      </c>
      <c r="W22" s="8" t="inlineStr">
        <is>
          <t>Россия</t>
        </is>
      </c>
      <c r="X22" s="8" t="inlineStr">
        <is>
          <t>10357205</t>
        </is>
      </c>
      <c r="Y22" s="8" t="inlineStr">
        <is>
          <t>15.03.2031</t>
        </is>
      </c>
      <c r="Z22" s="7" t="n"/>
      <c r="AA22" s="9" t="n"/>
      <c r="AB22" s="10">
        <f>AA22*S22</f>
        <v/>
      </c>
      <c r="AC22" s="7" t="n"/>
      <c r="AD22" s="7" t="n"/>
      <c r="AE22" s="7" t="n"/>
    </row>
    <row r="23" ht="60" customHeight="1">
      <c r="A23" s="5" t="n">
        <v>18</v>
      </c>
      <c r="B23" s="6" t="inlineStr">
        <is>
          <t>1.3/162</t>
        </is>
      </c>
      <c r="C23" s="6" t="inlineStr">
        <is>
          <t>Затвор поворотный дисковый Ду 65 Ру 16  ГРАНВЭЛ тип ЗПВС</t>
        </is>
      </c>
      <c r="D23" s="6" t="inlineStr">
        <is>
          <t>ТУ 3700-001-81673229-2007</t>
        </is>
      </c>
      <c r="E23" s="6" t="inlineStr">
        <is>
          <t>65</t>
        </is>
      </c>
      <c r="F23" s="6" t="inlineStr">
        <is>
          <t>стандарт</t>
        </is>
      </c>
      <c r="G23" s="6" t="inlineStr">
        <is>
          <t>1.6</t>
        </is>
      </c>
      <c r="H23" s="6" t="inlineStr">
        <is>
          <t>-20…+112</t>
        </is>
      </c>
      <c r="I23" s="6" t="inlineStr">
        <is>
          <t>Вода</t>
        </is>
      </c>
      <c r="J23" s="6" t="inlineStr">
        <is>
          <t>чугун</t>
        </is>
      </c>
      <c r="K23" s="6" t="inlineStr">
        <is>
          <t>У1</t>
        </is>
      </c>
      <c r="L23" s="6" t="inlineStr">
        <is>
          <t>межфланцовое</t>
        </is>
      </c>
      <c r="M23" s="6" t="inlineStr">
        <is>
          <t>Ручное</t>
        </is>
      </c>
      <c r="N23" s="6" t="inlineStr">
        <is>
          <t>Рукоятка</t>
        </is>
      </c>
      <c r="O23" s="6" t="inlineStr">
        <is>
          <t>любое</t>
        </is>
      </c>
      <c r="P23" s="6" t="inlineStr">
        <is>
          <t>Затвор диска поворотный ЗПВС-FL(w)-3150-MR-E, ДУ-65, РУ-16, межфланцовый, рукоятка, корпус-GG25, диск-GGG40, седло -EPDM, Т раб=-15…+110С</t>
        </is>
      </c>
      <c r="Q23" s="6" t="inlineStr">
        <is>
          <t>-</t>
        </is>
      </c>
      <c r="R23" s="6" t="inlineStr"/>
      <c r="S23" s="5" t="n">
        <v>2</v>
      </c>
      <c r="T23" s="6" t="inlineStr">
        <is>
          <t>шт</t>
        </is>
      </c>
      <c r="U23" s="8" t="inlineStr">
        <is>
          <t>ГРАНВЭЛ ЗПВС FL(w)-3-065-MR-E Ду65 — Россия, ЗПВС в реестре МПТ</t>
        </is>
      </c>
      <c r="V23" s="8" t="inlineStr">
        <is>
          <t>ООО «Торговый Дом АДЛ» (Гранвэл)</t>
        </is>
      </c>
      <c r="W23" s="8" t="inlineStr">
        <is>
          <t>Россия</t>
        </is>
      </c>
      <c r="X23" s="8" t="inlineStr">
        <is>
          <t>10357198</t>
        </is>
      </c>
      <c r="Y23" s="8" t="inlineStr">
        <is>
          <t>15.03.2031</t>
        </is>
      </c>
      <c r="Z23" s="7" t="n"/>
      <c r="AA23" s="9" t="n"/>
      <c r="AB23" s="10">
        <f>AA23*S23</f>
        <v/>
      </c>
      <c r="AC23" s="7" t="n"/>
      <c r="AD23" s="7" t="n"/>
      <c r="AE23" s="7" t="n"/>
    </row>
    <row r="24" ht="60" customHeight="1">
      <c r="A24" s="5" t="n">
        <v>19</v>
      </c>
      <c r="B24" s="6" t="inlineStr">
        <is>
          <t>1.6/4</t>
        </is>
      </c>
      <c r="C24" s="6" t="inlineStr">
        <is>
          <t>Клапан обратный межфланцевый 19ч21бр Ду 100 Ру 16</t>
        </is>
      </c>
      <c r="D24" s="6" t="inlineStr">
        <is>
          <t>ТУ 372240-001-48140495-05</t>
        </is>
      </c>
      <c r="E24" s="6" t="inlineStr">
        <is>
          <t>100</t>
        </is>
      </c>
      <c r="F24" s="6" t="inlineStr">
        <is>
          <t>стандарт</t>
        </is>
      </c>
      <c r="G24" s="6" t="inlineStr">
        <is>
          <t>1.6</t>
        </is>
      </c>
      <c r="H24" s="6" t="inlineStr">
        <is>
          <t>до +225</t>
        </is>
      </c>
      <c r="I24" s="6" t="inlineStr">
        <is>
          <t>жидкости, пар и газы</t>
        </is>
      </c>
      <c r="J24" s="6" t="inlineStr">
        <is>
          <t>чугун</t>
        </is>
      </c>
      <c r="K24" s="6" t="inlineStr">
        <is>
          <t>У</t>
        </is>
      </c>
      <c r="L24" s="6" t="inlineStr">
        <is>
          <t>межфланцевый</t>
        </is>
      </c>
      <c r="M24" s="6" t="inlineStr">
        <is>
          <t>-</t>
        </is>
      </c>
      <c r="N24" s="6" t="inlineStr">
        <is>
          <t>-</t>
        </is>
      </c>
      <c r="O24" s="6" t="inlineStr">
        <is>
          <t>любое</t>
        </is>
      </c>
      <c r="P24" s="6" t="inlineStr">
        <is>
          <t>материал уплотнения - латунь ЛЦ40С</t>
        </is>
      </c>
      <c r="Q24" s="6" t="inlineStr">
        <is>
          <t>-</t>
        </is>
      </c>
      <c r="R24" s="6" t="inlineStr">
        <is>
          <t>-</t>
        </is>
      </c>
      <c r="S24" s="5" t="n">
        <v>1</v>
      </c>
      <c r="T24" s="6" t="inlineStr">
        <is>
          <t>шт</t>
        </is>
      </c>
      <c r="U24" s="7" t="n"/>
      <c r="V24" s="8" t="inlineStr">
        <is>
          <t>ООО «Торговый Дом АДЛ»</t>
        </is>
      </c>
      <c r="W24" s="8" t="inlineStr">
        <is>
          <t>Россия</t>
        </is>
      </c>
      <c r="X24" s="8" t="inlineStr">
        <is>
          <t>10618658</t>
        </is>
      </c>
      <c r="Y24" s="8" t="inlineStr">
        <is>
          <t>17.03.2028</t>
        </is>
      </c>
      <c r="Z24" s="7" t="n"/>
      <c r="AA24" s="9" t="n"/>
      <c r="AB24" s="10">
        <f>AA24*S24</f>
        <v/>
      </c>
      <c r="AC24" s="7" t="n"/>
      <c r="AD24" s="7" t="n"/>
      <c r="AE24" s="7" t="n"/>
    </row>
    <row r="25" ht="60" customHeight="1">
      <c r="A25" s="5" t="n">
        <v>20</v>
      </c>
      <c r="B25" s="6" t="inlineStr">
        <is>
          <t>1.6/5</t>
        </is>
      </c>
      <c r="C25" s="6" t="inlineStr">
        <is>
          <t>Клапан обратный межфланцевый 19ч21бр Ду 50 Ру 16</t>
        </is>
      </c>
      <c r="D25" s="6" t="inlineStr">
        <is>
          <t>ТУ 372240-001-48140495-05</t>
        </is>
      </c>
      <c r="E25" s="6" t="inlineStr">
        <is>
          <t>50</t>
        </is>
      </c>
      <c r="F25" s="6" t="inlineStr">
        <is>
          <t>стандарт</t>
        </is>
      </c>
      <c r="G25" s="6" t="inlineStr">
        <is>
          <t>1.6</t>
        </is>
      </c>
      <c r="H25" s="6" t="inlineStr">
        <is>
          <t>до +225</t>
        </is>
      </c>
      <c r="I25" s="6" t="inlineStr">
        <is>
          <t>жидкости, пар и газы</t>
        </is>
      </c>
      <c r="J25" s="6" t="inlineStr">
        <is>
          <t>чугун</t>
        </is>
      </c>
      <c r="K25" s="6" t="inlineStr">
        <is>
          <t>У</t>
        </is>
      </c>
      <c r="L25" s="6" t="inlineStr">
        <is>
          <t>межфланцевый</t>
        </is>
      </c>
      <c r="M25" s="6" t="inlineStr">
        <is>
          <t>-</t>
        </is>
      </c>
      <c r="N25" s="6" t="inlineStr">
        <is>
          <t>-</t>
        </is>
      </c>
      <c r="O25" s="6" t="inlineStr">
        <is>
          <t>любое</t>
        </is>
      </c>
      <c r="P25" s="6" t="inlineStr">
        <is>
          <t>материал уплотнения - латунь ЛЦ40С</t>
        </is>
      </c>
      <c r="Q25" s="6" t="inlineStr">
        <is>
          <t>-</t>
        </is>
      </c>
      <c r="R25" s="6" t="inlineStr">
        <is>
          <t>-</t>
        </is>
      </c>
      <c r="S25" s="5" t="n">
        <v>1</v>
      </c>
      <c r="T25" s="6" t="inlineStr">
        <is>
          <t>шт</t>
        </is>
      </c>
      <c r="U25" s="7" t="n"/>
      <c r="V25" s="8" t="inlineStr">
        <is>
          <t>ООО «Торговый Дом АДЛ»</t>
        </is>
      </c>
      <c r="W25" s="8" t="inlineStr">
        <is>
          <t>Россия</t>
        </is>
      </c>
      <c r="X25" s="8" t="inlineStr">
        <is>
          <t>10618655</t>
        </is>
      </c>
      <c r="Y25" s="8" t="inlineStr">
        <is>
          <t>17.03.2028</t>
        </is>
      </c>
      <c r="Z25" s="7" t="n"/>
      <c r="AA25" s="9" t="n"/>
      <c r="AB25" s="10">
        <f>AA25*S25</f>
        <v/>
      </c>
      <c r="AC25" s="7" t="n"/>
      <c r="AD25" s="7" t="n"/>
      <c r="AE25" s="7" t="n"/>
    </row>
    <row r="26" ht="60" customHeight="1">
      <c r="A26" s="5" t="n">
        <v>21</v>
      </c>
      <c r="B26" s="6" t="inlineStr">
        <is>
          <t>1.6/6</t>
        </is>
      </c>
      <c r="C26" s="6" t="inlineStr">
        <is>
          <t>Клапан обратный межфланцевый 19ч21бр Ду 80 Ру 16</t>
        </is>
      </c>
      <c r="D26" s="6" t="inlineStr">
        <is>
          <t>ТУ 372240-001-48140495-05</t>
        </is>
      </c>
      <c r="E26" s="6" t="inlineStr">
        <is>
          <t>80</t>
        </is>
      </c>
      <c r="F26" s="6" t="inlineStr">
        <is>
          <t>стандарт</t>
        </is>
      </c>
      <c r="G26" s="6" t="inlineStr">
        <is>
          <t>1.6</t>
        </is>
      </c>
      <c r="H26" s="6" t="inlineStr">
        <is>
          <t>до +225</t>
        </is>
      </c>
      <c r="I26" s="6" t="inlineStr">
        <is>
          <t>жидкости, пар и газы</t>
        </is>
      </c>
      <c r="J26" s="6" t="inlineStr">
        <is>
          <t>чугун</t>
        </is>
      </c>
      <c r="K26" s="6" t="inlineStr">
        <is>
          <t>У</t>
        </is>
      </c>
      <c r="L26" s="6" t="inlineStr">
        <is>
          <t>межфланцевый</t>
        </is>
      </c>
      <c r="M26" s="6" t="inlineStr">
        <is>
          <t>-</t>
        </is>
      </c>
      <c r="N26" s="6" t="inlineStr">
        <is>
          <t>-</t>
        </is>
      </c>
      <c r="O26" s="6" t="inlineStr">
        <is>
          <t>любое</t>
        </is>
      </c>
      <c r="P26" s="6" t="inlineStr">
        <is>
          <t>материал уплотнения - латунь ЛЦ40С</t>
        </is>
      </c>
      <c r="Q26" s="6" t="inlineStr">
        <is>
          <t>-</t>
        </is>
      </c>
      <c r="R26" s="6" t="inlineStr">
        <is>
          <t>-</t>
        </is>
      </c>
      <c r="S26" s="5" t="n">
        <v>2</v>
      </c>
      <c r="T26" s="6" t="inlineStr">
        <is>
          <t>шт</t>
        </is>
      </c>
      <c r="U26" s="7" t="n"/>
      <c r="V26" s="8" t="inlineStr">
        <is>
          <t>ООО «Торговый Дом АДЛ»</t>
        </is>
      </c>
      <c r="W26" s="8" t="inlineStr">
        <is>
          <t>Россия</t>
        </is>
      </c>
      <c r="X26" s="8" t="inlineStr">
        <is>
          <t>10618657</t>
        </is>
      </c>
      <c r="Y26" s="8" t="inlineStr">
        <is>
          <t>17.03.2028</t>
        </is>
      </c>
      <c r="Z26" s="7" t="n"/>
      <c r="AA26" s="9" t="n"/>
      <c r="AB26" s="10">
        <f>AA26*S26</f>
        <v/>
      </c>
      <c r="AC26" s="7" t="n"/>
      <c r="AD26" s="7" t="n"/>
      <c r="AE26" s="7" t="n"/>
    </row>
    <row r="27" ht="60" customHeight="1">
      <c r="A27" s="5" t="n">
        <v>22</v>
      </c>
      <c r="B27" s="6" t="inlineStr">
        <is>
          <t>1.6/11</t>
        </is>
      </c>
      <c r="C27" s="6" t="inlineStr">
        <is>
          <t>Клапан предохранительный 17с11нж Ду 25 Ру 16</t>
        </is>
      </c>
      <c r="D27" s="6" t="inlineStr">
        <is>
          <t>ТУ 3742-005-22294686-2009</t>
        </is>
      </c>
      <c r="E27" s="6" t="inlineStr">
        <is>
          <t>25</t>
        </is>
      </c>
      <c r="F27" s="6" t="inlineStr">
        <is>
          <t>стандарт</t>
        </is>
      </c>
      <c r="G27" s="6" t="inlineStr">
        <is>
          <t>1.6</t>
        </is>
      </c>
      <c r="H27" s="6" t="inlineStr">
        <is>
          <t>От -40 до +225</t>
        </is>
      </c>
      <c r="I27" s="6" t="inlineStr">
        <is>
          <t>Вода, воздух, пар, аммиак, нефть, жидкие углеводороды и нефтепродукты, масляные фракции и другие, среды, в которых скорость коррозии материала корпуса не превышает 0,2мм в год</t>
        </is>
      </c>
      <c r="J27" s="6" t="inlineStr">
        <is>
          <t>Углеродистая сталь</t>
        </is>
      </c>
      <c r="K27" s="6" t="inlineStr">
        <is>
          <t>У</t>
        </is>
      </c>
      <c r="L27" s="6" t="inlineStr">
        <is>
          <t>Штуцерно-торцевое</t>
        </is>
      </c>
      <c r="M27" s="6" t="inlineStr">
        <is>
          <t>-</t>
        </is>
      </c>
      <c r="N27" s="6" t="inlineStr">
        <is>
          <t>-</t>
        </is>
      </c>
      <c r="O27" s="6" t="inlineStr">
        <is>
          <t>-</t>
        </is>
      </c>
      <c r="P27" s="6" t="inlineStr">
        <is>
          <t>Наименование
Клапан предохранительный
Условный диаметр входа, мм
25
Тип присоединения входа
Наружная резьба
Возможность регулировки давления срабатывания Да
Диапазон регулировки (нижний), атм. (кг/см.кв., Bar) 8,0
Диапазон регулировки (верхний), атм. (кг/см.кв., Bar)
16,0
Наличие подрыва ?Нет
Материал Сталь
Модель 17с11нж
Страна происхождения Россия
Условный диметр выхода, мм 25
Тип присоединения выхода Наружная резьба
Максимальное давление, атм. (кг/см.кв., Bar) 16
Рабочая температура, °С от -40 до +225
Подъемность клапана Малоподъемный Рабочая среда Аммиак, хладон и газообразные или жидкие среды Покрытие Лакокрасочное
Особенность конструкции
Присоединение - Штуцерно-торцевое по ГОСТ 5890. Пружина №3 Регламентирующий документ ОСТ 26-07-1023-80
Назначение использования
Предназначенная для защиты от механического разрушения оборудования и трубопроводов избыточным давлением путём автоматического выпуска избытка рабочей среды</t>
        </is>
      </c>
      <c r="Q27" s="6" t="inlineStr"/>
      <c r="R27" s="6" t="inlineStr"/>
      <c r="S27" s="5" t="n">
        <v>2</v>
      </c>
      <c r="T27" s="6" t="inlineStr">
        <is>
          <t>шт</t>
        </is>
      </c>
      <c r="U27" s="7" t="n"/>
      <c r="V27" s="7" t="n"/>
      <c r="W27" s="7" t="n"/>
      <c r="X27" s="7" t="n"/>
      <c r="Y27" s="7" t="n"/>
      <c r="Z27" s="7" t="n"/>
      <c r="AA27" s="9" t="n"/>
      <c r="AB27" s="10">
        <f>AA27*S27</f>
        <v/>
      </c>
      <c r="AC27" s="7" t="n"/>
      <c r="AD27" s="7" t="n"/>
      <c r="AE27" s="7" t="n"/>
    </row>
    <row r="28" ht="60" customHeight="1">
      <c r="A28" s="5" t="n">
        <v>23</v>
      </c>
      <c r="B28" s="6" t="inlineStr">
        <is>
          <t>1.6/89</t>
        </is>
      </c>
      <c r="C28" s="6" t="inlineStr">
        <is>
          <t>Затвор дисковый поворотный(ГРЭНВЭЛ) ЗП ТЛ Ду 100, Ру 16</t>
        </is>
      </c>
      <c r="D28" s="6" t="inlineStr">
        <is>
          <t>-</t>
        </is>
      </c>
      <c r="E28" s="6" t="inlineStr">
        <is>
          <t>100</t>
        </is>
      </c>
      <c r="F28" s="6" t="inlineStr">
        <is>
          <t>стандарт</t>
        </is>
      </c>
      <c r="G28" s="6" t="inlineStr">
        <is>
          <t>1.6</t>
        </is>
      </c>
      <c r="H28" s="6" t="inlineStr">
        <is>
          <t>до + 110 °С</t>
        </is>
      </c>
      <c r="I28" s="6" t="inlineStr">
        <is>
          <t>теплоснабжение, горячий воздух (до 12 бар), питьевая горячая вода.</t>
        </is>
      </c>
      <c r="J28" s="6" t="inlineStr">
        <is>
          <t>серый чугун GG25</t>
        </is>
      </c>
      <c r="K28" s="6" t="inlineStr">
        <is>
          <t>У</t>
        </is>
      </c>
      <c r="L28" s="6" t="inlineStr">
        <is>
          <t>межфланцевый</t>
        </is>
      </c>
      <c r="M28" s="6" t="inlineStr">
        <is>
          <t>-</t>
        </is>
      </c>
      <c r="N28" s="6" t="inlineStr">
        <is>
          <t>-</t>
        </is>
      </c>
      <c r="O28" s="6" t="inlineStr">
        <is>
          <t>любое</t>
        </is>
      </c>
      <c r="P28" s="6" t="inlineStr">
        <is>
          <t>Номинальное давление: 16 кгс/см2.Корпус: - Серый чугун GG25 • Высокопрочный чугун GGG40, Седло- EPDM HT; Диск - Нержавеющая сталь CF8M; PN 1,6; DN25–300; tраб. перекач. ср.: +60…+115°С; tмакс.: +130°С в кратковр. режиме tмин.: +40°С в кратковр. Режиме; каталожный номер BD01M40469</t>
        </is>
      </c>
      <c r="Q28" s="6" t="inlineStr"/>
      <c r="R28" s="6" t="inlineStr"/>
      <c r="S28" s="5" t="n">
        <v>2</v>
      </c>
      <c r="T28" s="6" t="inlineStr">
        <is>
          <t>шт</t>
        </is>
      </c>
      <c r="U28" s="8" t="inlineStr">
        <is>
          <t>ГРАНВЭЛ ЗПТЛ FLN(w)-5-100-MR-HT Ду100 — Россия, ЗПВС в реестре МПТ</t>
        </is>
      </c>
      <c r="V28" s="8" t="inlineStr">
        <is>
          <t>ООО «Торговый Дом АДЛ» (Гранвэл)</t>
        </is>
      </c>
      <c r="W28" s="8" t="inlineStr">
        <is>
          <t>Россия</t>
        </is>
      </c>
      <c r="X28" s="8" t="inlineStr">
        <is>
          <t>10357202</t>
        </is>
      </c>
      <c r="Y28" s="8" t="inlineStr">
        <is>
          <t>15.03.2031</t>
        </is>
      </c>
      <c r="Z28" s="7" t="n"/>
      <c r="AA28" s="9" t="n"/>
      <c r="AB28" s="10">
        <f>AA28*S28</f>
        <v/>
      </c>
      <c r="AC28" s="7" t="n"/>
      <c r="AD28" s="7" t="n"/>
      <c r="AE28" s="7" t="n"/>
    </row>
    <row r="29" ht="60" customHeight="1">
      <c r="A29" s="5" t="n">
        <v>24</v>
      </c>
      <c r="B29" s="6" t="inlineStr">
        <is>
          <t>1.6/90</t>
        </is>
      </c>
      <c r="C29" s="6" t="inlineStr">
        <is>
          <t>Затвор дисковый поворотный(ГРЭНВЭЛ) ЗП ТЛ Ду 80 Ру 16</t>
        </is>
      </c>
      <c r="D29" s="6" t="inlineStr">
        <is>
          <t>-</t>
        </is>
      </c>
      <c r="E29" s="6" t="inlineStr">
        <is>
          <t>80</t>
        </is>
      </c>
      <c r="F29" s="6" t="inlineStr">
        <is>
          <t>стандарт</t>
        </is>
      </c>
      <c r="G29" s="6" t="inlineStr">
        <is>
          <t>1.6</t>
        </is>
      </c>
      <c r="H29" s="6" t="inlineStr">
        <is>
          <t>до + 110 °С</t>
        </is>
      </c>
      <c r="I29" s="6" t="inlineStr">
        <is>
          <t>теплоснабжение, горячий воздух (до 12 бар), питьевая горячая вода.</t>
        </is>
      </c>
      <c r="J29" s="6" t="inlineStr">
        <is>
          <t>серый чугун GG25</t>
        </is>
      </c>
      <c r="K29" s="6" t="inlineStr">
        <is>
          <t>У</t>
        </is>
      </c>
      <c r="L29" s="6" t="inlineStr">
        <is>
          <t>межфланцевый</t>
        </is>
      </c>
      <c r="M29" s="6" t="inlineStr">
        <is>
          <t>-</t>
        </is>
      </c>
      <c r="N29" s="6" t="inlineStr">
        <is>
          <t>-</t>
        </is>
      </c>
      <c r="O29" s="6" t="inlineStr">
        <is>
          <t>любое</t>
        </is>
      </c>
      <c r="P29" s="6" t="inlineStr">
        <is>
          <t>Номинальное давление: 16 кгс/см2.Корпус: - Серый чугун GG25 • Высокопрочный чугун GGG40, Седло- EPDM HT; Диск - Нержавеющая сталь CF8M; PN 1,6; DN25–300; tраб. перекач. ср.: +60…+115°С; tмакс.: +130°С в кратковр. режиме tмин.: +40°С в кратковр. Режиме; каталожный номер BD01M389</t>
        </is>
      </c>
      <c r="Q29" s="6" t="inlineStr"/>
      <c r="R29" s="6" t="inlineStr"/>
      <c r="S29" s="5" t="n">
        <v>1</v>
      </c>
      <c r="T29" s="6" t="inlineStr">
        <is>
          <t>шт</t>
        </is>
      </c>
      <c r="U29" s="8" t="inlineStr">
        <is>
          <t>ГРАНВЭЛ ЗПТЛ FLN(w)-5-080-MR-HT Ду80 — Россия, ЗПВС в реестре МПТ</t>
        </is>
      </c>
      <c r="V29" s="8" t="inlineStr">
        <is>
          <t>ООО «Торговый Дом АДЛ» (Гранвэл)</t>
        </is>
      </c>
      <c r="W29" s="8" t="inlineStr">
        <is>
          <t>Россия</t>
        </is>
      </c>
      <c r="X29" s="8" t="inlineStr">
        <is>
          <t>10357205</t>
        </is>
      </c>
      <c r="Y29" s="8" t="inlineStr">
        <is>
          <t>15.03.2031</t>
        </is>
      </c>
      <c r="Z29" s="7" t="n"/>
      <c r="AA29" s="9" t="n"/>
      <c r="AB29" s="10">
        <f>AA29*S29</f>
        <v/>
      </c>
      <c r="AC29" s="7" t="n"/>
      <c r="AD29" s="7" t="n"/>
      <c r="AE29" s="7" t="n"/>
    </row>
    <row r="30" ht="60" customHeight="1">
      <c r="A30" s="5" t="n">
        <v>25</v>
      </c>
      <c r="B30" s="6" t="inlineStr">
        <is>
          <t>1.6/91</t>
        </is>
      </c>
      <c r="C30" s="6" t="inlineStr">
        <is>
          <t>Затвор дисковый поворотный(ГРЭНВЭЛ) Тип /серия FL(w)-3-MR-E Ду 80 Ру 16</t>
        </is>
      </c>
      <c r="D30" s="6" t="inlineStr">
        <is>
          <t>ГОСТ Р 52720-2007</t>
        </is>
      </c>
      <c r="E30" s="6" t="inlineStr">
        <is>
          <t>80</t>
        </is>
      </c>
      <c r="F30" s="6" t="inlineStr">
        <is>
          <t>стандарт</t>
        </is>
      </c>
      <c r="G30" s="6" t="inlineStr">
        <is>
          <t>1.6</t>
        </is>
      </c>
      <c r="H30" s="6" t="inlineStr">
        <is>
          <t>от -20 до +110</t>
        </is>
      </c>
      <c r="I30" s="6" t="inlineStr">
        <is>
          <t>вода, воздух</t>
        </is>
      </c>
      <c r="J30" s="6" t="inlineStr">
        <is>
          <t>серый чугун GG25</t>
        </is>
      </c>
      <c r="K30" s="6" t="inlineStr">
        <is>
          <t>У</t>
        </is>
      </c>
      <c r="L30" s="6" t="inlineStr">
        <is>
          <t>межфланцевый</t>
        </is>
      </c>
      <c r="M30" s="6" t="inlineStr">
        <is>
          <t>ручной (рукоятка)</t>
        </is>
      </c>
      <c r="N30" s="6" t="inlineStr">
        <is>
          <t>-</t>
        </is>
      </c>
      <c r="O30" s="6" t="inlineStr">
        <is>
          <t>любое</t>
        </is>
      </c>
      <c r="P30" s="6" t="inlineStr">
        <is>
          <t>Материал диска: высокопрочный чугун с эпоксидным покрытием; Уплотнение : резина EPDM</t>
        </is>
      </c>
      <c r="Q30" s="6" t="inlineStr">
        <is>
          <t>-</t>
        </is>
      </c>
      <c r="R30" s="6" t="inlineStr">
        <is>
          <t>-</t>
        </is>
      </c>
      <c r="S30" s="5" t="n">
        <v>1</v>
      </c>
      <c r="T30" s="6" t="inlineStr">
        <is>
          <t>шт</t>
        </is>
      </c>
      <c r="U30" s="8" t="inlineStr">
        <is>
          <t>ГРАНВЭЛ ЗПВС FL(w)-3-080-MR-E Ду80 — Россия, ЗПВС в реестре МПТ</t>
        </is>
      </c>
      <c r="V30" s="8" t="inlineStr">
        <is>
          <t>ООО «Торговый Дом АДЛ» (Гранвэл)</t>
        </is>
      </c>
      <c r="W30" s="8" t="inlineStr">
        <is>
          <t>Россия</t>
        </is>
      </c>
      <c r="X30" s="8" t="inlineStr">
        <is>
          <t>10357205</t>
        </is>
      </c>
      <c r="Y30" s="8" t="inlineStr">
        <is>
          <t>15.03.2031</t>
        </is>
      </c>
      <c r="Z30" s="7" t="n"/>
      <c r="AA30" s="9" t="n"/>
      <c r="AB30" s="10">
        <f>AA30*S30</f>
        <v/>
      </c>
      <c r="AC30" s="7" t="n"/>
      <c r="AD30" s="7" t="n"/>
      <c r="AE30" s="7" t="n"/>
    </row>
    <row r="31" ht="60" customHeight="1">
      <c r="A31" s="11" t="inlineStr"/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  <c r="L31" s="11" t="inlineStr"/>
      <c r="M31" s="11" t="inlineStr"/>
      <c r="N31" s="11" t="inlineStr"/>
      <c r="O31" s="11" t="inlineStr"/>
      <c r="P31" s="11" t="inlineStr"/>
      <c r="Q31" s="11" t="inlineStr"/>
      <c r="R31" s="11" t="inlineStr"/>
      <c r="S31" s="11" t="inlineStr"/>
      <c r="T31" s="11" t="inlineStr"/>
      <c r="U31" s="11" t="inlineStr"/>
      <c r="V31" s="11" t="inlineStr"/>
      <c r="W31" s="11" t="inlineStr"/>
      <c r="X31" s="11" t="inlineStr"/>
      <c r="Y31" s="11" t="inlineStr"/>
      <c r="Z31" s="11" t="inlineStr"/>
      <c r="AA31" s="11" t="inlineStr">
        <is>
          <t>ИТОГО</t>
        </is>
      </c>
      <c r="AB31" s="12">
        <f>SUM(AB6:AB30)</f>
        <v/>
      </c>
      <c r="AC31" s="2" t="n"/>
      <c r="AD31" s="2" t="n"/>
      <c r="AE31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2026-10-28T01:41:05Z</dcterms:created>
  <dcterms:modified xmlns:dcterms="http://purl.org/dc/terms/" xmlns:xsi="http://www.w3.org/2001/XMLSchema-instance" xsi:type="dcterms:W3CDTF">2026-10-28T01:41:05Z</dcterms:modified>
</cp:coreProperties>
</file>