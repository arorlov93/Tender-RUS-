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1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«Пермский трубопроводный завод» (ООО «ПТЗ»)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1.3/23</t>
        </is>
      </c>
      <c r="C6" s="6" t="inlineStr">
        <is>
          <t>Клапан обратный 16нж10нж Ду 50 Ру 16</t>
        </is>
      </c>
      <c r="D6" s="6" t="inlineStr">
        <is>
          <t>ГОСТ 33423-2015</t>
        </is>
      </c>
      <c r="E6" s="6" t="inlineStr">
        <is>
          <t>50</t>
        </is>
      </c>
      <c r="F6" s="6" t="inlineStr">
        <is>
          <t>стандарт</t>
        </is>
      </c>
      <c r="G6" s="6" t="inlineStr">
        <is>
          <t>1.6</t>
        </is>
      </c>
      <c r="H6" s="6" t="inlineStr">
        <is>
          <t>— 60 ºC до 350 °C</t>
        </is>
      </c>
      <c r="I6" s="6" t="inlineStr">
        <is>
          <t>газ, вода, пар,</t>
        </is>
      </c>
      <c r="J6" s="6" t="inlineStr">
        <is>
          <t>08Х18Н10, 08Х18Н10Т, 12Х18Н9, 12Х18Н9ТЛ</t>
        </is>
      </c>
      <c r="K6" s="6" t="inlineStr">
        <is>
          <t>УХЛ</t>
        </is>
      </c>
      <c r="L6" s="6" t="inlineStr">
        <is>
          <t>фланцевое</t>
        </is>
      </c>
      <c r="M6" s="6" t="inlineStr">
        <is>
          <t>Клапан 16нж10нж является автоматическим и не требует управления или иного регулирования в работе.</t>
        </is>
      </c>
      <c r="N6" s="6" t="inlineStr"/>
      <c r="O6" s="6" t="inlineStr">
        <is>
          <t>на горизонтальном трубопроводе крышкой вверх; на вертикальном трубопроводе – по направлению стрелки на корпусе вверх</t>
        </is>
      </c>
      <c r="P6" s="6" t="inlineStr"/>
      <c r="Q6" s="6" t="inlineStr"/>
      <c r="R6" s="6" t="inlineStr"/>
      <c r="S6" s="5" t="n">
        <v>2</v>
      </c>
      <c r="T6" s="6" t="inlineStr">
        <is>
          <t>шт</t>
        </is>
      </c>
      <c r="U6" s="7" t="n"/>
      <c r="V6" s="8" t="inlineStr">
        <is>
          <t>ООО «ПТЗ» (Пермь)</t>
        </is>
      </c>
      <c r="W6" s="8" t="inlineStr">
        <is>
          <t>Россия</t>
        </is>
      </c>
      <c r="X6" s="8" t="inlineStr">
        <is>
          <t>10746921</t>
        </is>
      </c>
      <c r="Y6" s="8" t="inlineStr">
        <is>
          <t>23.11.2028</t>
        </is>
      </c>
      <c r="Z6" s="7" t="n"/>
      <c r="AA6" s="9" t="n"/>
      <c r="AB6" s="10">
        <f>AA6*S6</f>
        <v/>
      </c>
      <c r="AC6" s="7" t="n"/>
      <c r="AD6" s="7" t="n"/>
      <c r="AE6" s="7" t="n"/>
    </row>
    <row r="7" ht="60" customHeight="1">
      <c r="A7" s="5" t="n">
        <v>2</v>
      </c>
      <c r="B7" s="6" t="inlineStr">
        <is>
          <t>1.3/24</t>
        </is>
      </c>
      <c r="C7" s="6" t="inlineStr">
        <is>
          <t>Клапан обратный 16нж10нж Ду 32 Ру16</t>
        </is>
      </c>
      <c r="D7" s="6" t="inlineStr">
        <is>
          <t>ГОСТ 33423-2015</t>
        </is>
      </c>
      <c r="E7" s="6" t="inlineStr">
        <is>
          <t>32</t>
        </is>
      </c>
      <c r="F7" s="6" t="inlineStr">
        <is>
          <t>стандарт</t>
        </is>
      </c>
      <c r="G7" s="6" t="inlineStr">
        <is>
          <t>1.6</t>
        </is>
      </c>
      <c r="H7" s="6" t="inlineStr">
        <is>
          <t>— 60 ºC до 350 °C</t>
        </is>
      </c>
      <c r="I7" s="6" t="inlineStr">
        <is>
          <t>газ, вода, пар,</t>
        </is>
      </c>
      <c r="J7" s="6" t="inlineStr">
        <is>
          <t>08Х18Н10, 08Х18Н10Т, 12Х18Н9, 12Х18Н9ТЛ</t>
        </is>
      </c>
      <c r="K7" s="6" t="inlineStr">
        <is>
          <t>УХЛ</t>
        </is>
      </c>
      <c r="L7" s="6" t="inlineStr">
        <is>
          <t>фланцевое</t>
        </is>
      </c>
      <c r="M7" s="6" t="inlineStr">
        <is>
          <t>Клапан 16нж10нж является автоматическим и не требует управления или иного регулирования в работе.</t>
        </is>
      </c>
      <c r="N7" s="6" t="inlineStr"/>
      <c r="O7" s="6" t="inlineStr">
        <is>
          <t>на горизонтальном трубопроводе крышкой вверх; на вертикальном трубопроводе – по направлению стрелки на корпусе вверх</t>
        </is>
      </c>
      <c r="P7" s="6" t="inlineStr"/>
      <c r="Q7" s="6" t="inlineStr"/>
      <c r="R7" s="6" t="inlineStr"/>
      <c r="S7" s="5" t="n">
        <v>5</v>
      </c>
      <c r="T7" s="6" t="inlineStr">
        <is>
          <t>шт</t>
        </is>
      </c>
      <c r="U7" s="7" t="n"/>
      <c r="V7" s="8" t="inlineStr">
        <is>
          <t>ООО «ПТЗ» (Пермь)</t>
        </is>
      </c>
      <c r="W7" s="8" t="inlineStr">
        <is>
          <t>Россия</t>
        </is>
      </c>
      <c r="X7" s="8" t="inlineStr">
        <is>
          <t>10746921</t>
        </is>
      </c>
      <c r="Y7" s="8" t="inlineStr">
        <is>
          <t>23.11.2028</t>
        </is>
      </c>
      <c r="Z7" s="7" t="n"/>
      <c r="AA7" s="9" t="n"/>
      <c r="AB7" s="10">
        <f>AA7*S7</f>
        <v/>
      </c>
      <c r="AC7" s="7" t="n"/>
      <c r="AD7" s="7" t="n"/>
      <c r="AE7" s="7" t="n"/>
    </row>
    <row r="8" ht="60" customHeight="1">
      <c r="A8" s="5" t="n">
        <v>3</v>
      </c>
      <c r="B8" s="6" t="inlineStr">
        <is>
          <t>1.3/56</t>
        </is>
      </c>
      <c r="C8" s="6" t="inlineStr">
        <is>
          <t>Клапан запорны 15нж65нж Ду 125 Ру 16 фланцевый</t>
        </is>
      </c>
      <c r="D8" s="6" t="inlineStr">
        <is>
          <t>ГОСТ 9697-87</t>
        </is>
      </c>
      <c r="E8" s="6" t="inlineStr">
        <is>
          <t>125</t>
        </is>
      </c>
      <c r="F8" s="6" t="inlineStr">
        <is>
          <t>стандарт</t>
        </is>
      </c>
      <c r="G8" s="6" t="inlineStr">
        <is>
          <t>1.6</t>
        </is>
      </c>
      <c r="H8" s="6" t="inlineStr">
        <is>
          <t>от -60 до +600°С</t>
        </is>
      </c>
      <c r="I8" s="6" t="inlineStr">
        <is>
          <t>агрессивные жидкие среды</t>
        </is>
      </c>
      <c r="J8" s="6" t="inlineStr">
        <is>
          <t>12Х18Н9ТЛ</t>
        </is>
      </c>
      <c r="K8" s="6" t="inlineStr">
        <is>
          <t>УХЛ1</t>
        </is>
      </c>
      <c r="L8" s="6" t="inlineStr">
        <is>
          <t>фланец-фланец</t>
        </is>
      </c>
      <c r="M8" s="6" t="inlineStr">
        <is>
          <t>ручное</t>
        </is>
      </c>
      <c r="N8" s="6" t="inlineStr">
        <is>
          <t>штурвал</t>
        </is>
      </c>
      <c r="O8" s="6" t="inlineStr">
        <is>
          <t>Монтаж клапана односторонний по маркировке на корпусе управляющим органом вверх, допускается отклонение на горизонтальном трубопроводе на 45º в любую сторону.</t>
        </is>
      </c>
      <c r="P8" s="6" t="inlineStr">
        <is>
          <t>Материал изделия (корпус, крышка): сталь 12Х18Н9ТЛ;</t>
        </is>
      </c>
      <c r="Q8" s="6" t="inlineStr"/>
      <c r="R8" s="6" t="inlineStr"/>
      <c r="S8" s="5" t="n">
        <v>1</v>
      </c>
      <c r="T8" s="6" t="inlineStr">
        <is>
          <t>шт</t>
        </is>
      </c>
      <c r="U8" s="7" t="n"/>
      <c r="V8" s="8" t="inlineStr">
        <is>
          <t>ООО «ПТЗ» (Пермь)</t>
        </is>
      </c>
      <c r="W8" s="8" t="inlineStr">
        <is>
          <t>Россия</t>
        </is>
      </c>
      <c r="X8" s="8" t="inlineStr">
        <is>
          <t>10698937</t>
        </is>
      </c>
      <c r="Y8" s="8" t="inlineStr">
        <is>
          <t>17.02.2031</t>
        </is>
      </c>
      <c r="Z8" s="7" t="n"/>
      <c r="AA8" s="9" t="n"/>
      <c r="AB8" s="10">
        <f>AA8*S8</f>
        <v/>
      </c>
      <c r="AC8" s="7" t="n"/>
      <c r="AD8" s="7" t="n"/>
      <c r="AE8" s="7" t="n"/>
    </row>
    <row r="9" ht="60" customHeight="1">
      <c r="A9" s="5" t="n">
        <v>4</v>
      </c>
      <c r="B9" s="6" t="inlineStr">
        <is>
          <t>1.3/57</t>
        </is>
      </c>
      <c r="C9" s="6" t="inlineStr">
        <is>
          <t>Клапан запорны 15нж65нж Ду 150 Ру 16 фланцевый</t>
        </is>
      </c>
      <c r="D9" s="6" t="inlineStr">
        <is>
          <t>ГОСТ 9697-87</t>
        </is>
      </c>
      <c r="E9" s="6" t="inlineStr">
        <is>
          <t>150</t>
        </is>
      </c>
      <c r="F9" s="6" t="inlineStr">
        <is>
          <t>стандарт</t>
        </is>
      </c>
      <c r="G9" s="6" t="inlineStr">
        <is>
          <t>1.6</t>
        </is>
      </c>
      <c r="H9" s="6" t="inlineStr">
        <is>
          <t>от -60 до +600°С</t>
        </is>
      </c>
      <c r="I9" s="6" t="inlineStr">
        <is>
          <t>агрессивные жидкие среды</t>
        </is>
      </c>
      <c r="J9" s="6" t="inlineStr">
        <is>
          <t>12Х18Н9ТЛ</t>
        </is>
      </c>
      <c r="K9" s="6" t="inlineStr">
        <is>
          <t>УХЛ1</t>
        </is>
      </c>
      <c r="L9" s="6" t="inlineStr">
        <is>
          <t>фланец-фланец</t>
        </is>
      </c>
      <c r="M9" s="6" t="inlineStr">
        <is>
          <t>ручное</t>
        </is>
      </c>
      <c r="N9" s="6" t="inlineStr">
        <is>
          <t>штурвал</t>
        </is>
      </c>
      <c r="O9" s="6" t="inlineStr">
        <is>
          <t>Монтаж клапана односторонний по маркировке на корпусе управляющим органом вверх, допускается отклонение на горизонтальном трубопроводе на 45º в любую сторону.</t>
        </is>
      </c>
      <c r="P9" s="6" t="inlineStr">
        <is>
          <t>Материал изделия (корпус, крышка): сталь 12Х18Н9ТЛ;</t>
        </is>
      </c>
      <c r="Q9" s="6" t="inlineStr"/>
      <c r="R9" s="6" t="inlineStr"/>
      <c r="S9" s="5" t="n">
        <v>3</v>
      </c>
      <c r="T9" s="6" t="inlineStr">
        <is>
          <t>шт</t>
        </is>
      </c>
      <c r="U9" s="7" t="n"/>
      <c r="V9" s="8" t="inlineStr">
        <is>
          <t>ООО «ПТЗ» (Пермь)</t>
        </is>
      </c>
      <c r="W9" s="8" t="inlineStr">
        <is>
          <t>Россия</t>
        </is>
      </c>
      <c r="X9" s="8" t="inlineStr">
        <is>
          <t>10698937</t>
        </is>
      </c>
      <c r="Y9" s="8" t="inlineStr">
        <is>
          <t>17.02.2031</t>
        </is>
      </c>
      <c r="Z9" s="7" t="n"/>
      <c r="AA9" s="9" t="n"/>
      <c r="AB9" s="10">
        <f>AA9*S9</f>
        <v/>
      </c>
      <c r="AC9" s="7" t="n"/>
      <c r="AD9" s="7" t="n"/>
      <c r="AE9" s="7" t="n"/>
    </row>
    <row r="10" ht="60" customHeight="1">
      <c r="A10" s="11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11" t="inlineStr"/>
      <c r="S10" s="11" t="inlineStr"/>
      <c r="T10" s="11" t="inlineStr"/>
      <c r="U10" s="11" t="inlineStr"/>
      <c r="V10" s="11" t="inlineStr"/>
      <c r="W10" s="11" t="inlineStr"/>
      <c r="X10" s="11" t="inlineStr"/>
      <c r="Y10" s="11" t="inlineStr"/>
      <c r="Z10" s="11" t="inlineStr"/>
      <c r="AA10" s="11" t="inlineStr">
        <is>
          <t>ИТОГО</t>
        </is>
      </c>
      <c r="AB10" s="12">
        <f>SUM(AB6:AB9)</f>
        <v/>
      </c>
      <c r="AC10" s="2" t="n"/>
      <c r="AD10" s="2" t="n"/>
      <c r="AE10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2026-10-27T17:09:33Z</dcterms:created>
  <dcterms:modified xmlns:dcterms="http://purl.org/dc/terms/" xmlns:xsi="http://www.w3.org/2001/XMLSchema-instance" xsi:type="dcterms:W3CDTF">2026-10-27T17:09:33Z</dcterms:modified>
</cp:coreProperties>
</file>