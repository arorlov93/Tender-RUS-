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«Пермский трубопроводный завод» (ООО «ПТЗ»)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1.3/23</t>
        </is>
      </c>
      <c r="C5" s="6" t="inlineStr">
        <is>
          <t>Клапан обратный 16нж10нж Ду 50 Ру 16</t>
        </is>
      </c>
      <c r="D5" s="6" t="inlineStr">
        <is>
          <t>ГОСТ 33423-2015</t>
        </is>
      </c>
      <c r="E5" s="6" t="inlineStr">
        <is>
          <t>50</t>
        </is>
      </c>
      <c r="F5" s="6" t="inlineStr">
        <is>
          <t>стандарт</t>
        </is>
      </c>
      <c r="G5" s="6" t="inlineStr">
        <is>
          <t>1.6</t>
        </is>
      </c>
      <c r="H5" s="6" t="inlineStr">
        <is>
          <t>— 60 ºC до 350 °C</t>
        </is>
      </c>
      <c r="I5" s="6" t="inlineStr">
        <is>
          <t>газ, вода, пар,</t>
        </is>
      </c>
      <c r="J5" s="6" t="inlineStr">
        <is>
          <t>08Х18Н10, 08Х18Н10Т, 12Х18Н9, 12Х18Н9ТЛ</t>
        </is>
      </c>
      <c r="K5" s="6" t="inlineStr">
        <is>
          <t>УХЛ</t>
        </is>
      </c>
      <c r="L5" s="6" t="inlineStr">
        <is>
          <t>фланцевое</t>
        </is>
      </c>
      <c r="M5" s="6" t="inlineStr">
        <is>
          <t>Клапан 16нж10нж является автоматическим и не требует управления или иного регулирования в работе.</t>
        </is>
      </c>
      <c r="N5" s="6" t="inlineStr"/>
      <c r="O5" s="6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5" s="6" t="inlineStr"/>
      <c r="Q5" s="6" t="inlineStr"/>
      <c r="R5" s="6" t="inlineStr"/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1.3/24</t>
        </is>
      </c>
      <c r="C6" s="6" t="inlineStr">
        <is>
          <t>Клапан обратный 16нж10нж Ду 32 Ру16</t>
        </is>
      </c>
      <c r="D6" s="6" t="inlineStr">
        <is>
          <t>ГОСТ 33423-2015</t>
        </is>
      </c>
      <c r="E6" s="6" t="inlineStr">
        <is>
          <t>32</t>
        </is>
      </c>
      <c r="F6" s="6" t="inlineStr">
        <is>
          <t>стандарт</t>
        </is>
      </c>
      <c r="G6" s="6" t="inlineStr">
        <is>
          <t>1.6</t>
        </is>
      </c>
      <c r="H6" s="6" t="inlineStr">
        <is>
          <t>— 60 ºC до 350 °C</t>
        </is>
      </c>
      <c r="I6" s="6" t="inlineStr">
        <is>
          <t>газ, вода, пар,</t>
        </is>
      </c>
      <c r="J6" s="6" t="inlineStr">
        <is>
          <t>08Х18Н10, 08Х18Н10Т, 12Х18Н9, 12Х18Н9ТЛ</t>
        </is>
      </c>
      <c r="K6" s="6" t="inlineStr">
        <is>
          <t>УХЛ</t>
        </is>
      </c>
      <c r="L6" s="6" t="inlineStr">
        <is>
          <t>фланцевое</t>
        </is>
      </c>
      <c r="M6" s="6" t="inlineStr">
        <is>
          <t>Клапан 16нж10нж является автоматическим и не требует управления или иного регулирования в работе.</t>
        </is>
      </c>
      <c r="N6" s="6" t="inlineStr"/>
      <c r="O6" s="6" t="inlineStr">
        <is>
          <t>на горизонтальном трубопроводе крышкой вверх; на вертикальном трубопроводе – по направлению стрелки на корпусе вверх</t>
        </is>
      </c>
      <c r="P6" s="6" t="inlineStr"/>
      <c r="Q6" s="6" t="inlineStr"/>
      <c r="R6" s="6" t="inlineStr"/>
      <c r="S6" s="5" t="n">
        <v>5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1.3/56</t>
        </is>
      </c>
      <c r="C7" s="6" t="inlineStr">
        <is>
          <t>Клапан запорны 15нж65нж Ду 125 Ру 16 фланцевый</t>
        </is>
      </c>
      <c r="D7" s="6" t="inlineStr">
        <is>
          <t>ГОСТ 9697-87</t>
        </is>
      </c>
      <c r="E7" s="6" t="inlineStr">
        <is>
          <t>125</t>
        </is>
      </c>
      <c r="F7" s="6" t="inlineStr">
        <is>
          <t>стандарт</t>
        </is>
      </c>
      <c r="G7" s="6" t="inlineStr">
        <is>
          <t>1.6</t>
        </is>
      </c>
      <c r="H7" s="6" t="inlineStr">
        <is>
          <t>от -60 до +600°С</t>
        </is>
      </c>
      <c r="I7" s="6" t="inlineStr">
        <is>
          <t>агрессивные жидкие среды</t>
        </is>
      </c>
      <c r="J7" s="6" t="inlineStr">
        <is>
          <t>12Х18Н9ТЛ</t>
        </is>
      </c>
      <c r="K7" s="6" t="inlineStr">
        <is>
          <t>УХЛ1</t>
        </is>
      </c>
      <c r="L7" s="6" t="inlineStr">
        <is>
          <t>фланец-фланец</t>
        </is>
      </c>
      <c r="M7" s="6" t="inlineStr">
        <is>
          <t>ручное</t>
        </is>
      </c>
      <c r="N7" s="6" t="inlineStr">
        <is>
          <t>штурвал</t>
        </is>
      </c>
      <c r="O7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7" s="6" t="inlineStr">
        <is>
          <t>Материал изделия (корпус, крышка): сталь 12Х18Н9ТЛ;</t>
        </is>
      </c>
      <c r="Q7" s="6" t="inlineStr"/>
      <c r="R7" s="6" t="inlineStr"/>
      <c r="S7" s="5" t="n">
        <v>1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1.3/57</t>
        </is>
      </c>
      <c r="C8" s="6" t="inlineStr">
        <is>
          <t>Клапан запорны 15нж65нж Ду 150 Ру 16 фланцевый</t>
        </is>
      </c>
      <c r="D8" s="6" t="inlineStr">
        <is>
          <t>ГОСТ 9697-87</t>
        </is>
      </c>
      <c r="E8" s="6" t="inlineStr">
        <is>
          <t>150</t>
        </is>
      </c>
      <c r="F8" s="6" t="inlineStr">
        <is>
          <t>стандарт</t>
        </is>
      </c>
      <c r="G8" s="6" t="inlineStr">
        <is>
          <t>1.6</t>
        </is>
      </c>
      <c r="H8" s="6" t="inlineStr">
        <is>
          <t>от -60 до +600°С</t>
        </is>
      </c>
      <c r="I8" s="6" t="inlineStr">
        <is>
          <t>агрессивные жидкие среды</t>
        </is>
      </c>
      <c r="J8" s="6" t="inlineStr">
        <is>
          <t>12Х18Н9ТЛ</t>
        </is>
      </c>
      <c r="K8" s="6" t="inlineStr">
        <is>
          <t>УХЛ1</t>
        </is>
      </c>
      <c r="L8" s="6" t="inlineStr">
        <is>
          <t>фланец-фланец</t>
        </is>
      </c>
      <c r="M8" s="6" t="inlineStr">
        <is>
          <t>ручное</t>
        </is>
      </c>
      <c r="N8" s="6" t="inlineStr">
        <is>
          <t>штурвал</t>
        </is>
      </c>
      <c r="O8" s="6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8" s="6" t="inlineStr">
        <is>
          <t>Материал изделия (корпус, крышка): сталь 12Х18Н9ТЛ;</t>
        </is>
      </c>
      <c r="Q8" s="6" t="inlineStr"/>
      <c r="R8" s="6" t="inlineStr"/>
      <c r="S8" s="5" t="n">
        <v>3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10" t="inlineStr"/>
      <c r="B9" s="10" t="inlineStr"/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10" t="inlineStr"/>
      <c r="Y9" s="10" t="inlineStr"/>
      <c r="Z9" s="10" t="inlineStr"/>
      <c r="AA9" s="10" t="inlineStr">
        <is>
          <t>ИТОГО</t>
        </is>
      </c>
      <c r="AB9" s="11">
        <f>SUM(AB5:AB8)</f>
        <v/>
      </c>
      <c r="AC9" s="2" t="n"/>
      <c r="AD9" s="2" t="n"/>
      <c r="AE9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