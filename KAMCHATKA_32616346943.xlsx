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По таблицам" sheetId="3" state="visible" r:id="rId3"/>
    <sheet xmlns:r="http://schemas.openxmlformats.org/officeDocument/2006/relationships" name="Заводы (КП)" sheetId="4" state="visible" r:id="rId4"/>
    <sheet xmlns:r="http://schemas.openxmlformats.org/officeDocument/2006/relationships" name="Позиции по группам (для КП)" sheetId="5" state="visible" r:id="rId5"/>
  </sheets>
  <definedNames>
    <definedName name="_xlnm._FilterDatabase" localSheetId="1" hidden="1">'Позиции'!$A$2:$U$317</definedName>
    <definedName name="_xlnm._FilterDatabase" localSheetId="4" hidden="1">'Позиции по группам (для КП)'!$A$1:$E$316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n.ru/klapan/klapan-predokhranitelnyi/flantcevyi/avangard/17ls17nzh/dn200-300" TargetMode="External" Id="rId1"/><Relationship Type="http://schemas.openxmlformats.org/officeDocument/2006/relationships/hyperlink" Target="https://dn.ru/klapan/klapan-zapornyi/2hod/stalnoi/shturval/tekhgidromash/15nzh65nzh-12h18n9tl/dn150" TargetMode="External" Id="rId2"/><Relationship Type="http://schemas.openxmlformats.org/officeDocument/2006/relationships/hyperlink" Target="https://dn.ru/klapan/klapan-zapornyi/2hod/stalnoi/shturval/tekhgidromash/15nzh65nzh-12h18n9tl/dn50" TargetMode="External" Id="rId3"/><Relationship Type="http://schemas.openxmlformats.org/officeDocument/2006/relationships/hyperlink" Target="https://www.vseinstrumenti.ru/product/klapan-ventil-zapornyj-atka-15s52nzh11-du40-ru63-pod-privarku-1005021205-13916407/" TargetMode="External" Id="rId4"/><Relationship Type="http://schemas.openxmlformats.org/officeDocument/2006/relationships/hyperlink" Target="https://sibzta.ru/price/" TargetMode="External" Id="rId5"/><Relationship Type="http://schemas.openxmlformats.org/officeDocument/2006/relationships/hyperlink" Target="https://chzta.ru/catalog/zadvizhki/du-1000/" TargetMode="External" Id="rId6"/><Relationship Type="http://schemas.openxmlformats.org/officeDocument/2006/relationships/hyperlink" Target="https://sibzta.ru/price/" TargetMode="External" Id="rId7"/><Relationship Type="http://schemas.openxmlformats.org/officeDocument/2006/relationships/hyperlink" Target="https://sibzta.ru/price/" TargetMode="External" Id="rId8"/><Relationship Type="http://schemas.openxmlformats.org/officeDocument/2006/relationships/hyperlink" Target="https://sibzta.ru/price/" TargetMode="External" Id="rId9"/><Relationship Type="http://schemas.openxmlformats.org/officeDocument/2006/relationships/hyperlink" Target="https://sibzta.ru/price/" TargetMode="External" Id="rId10"/><Relationship Type="http://schemas.openxmlformats.org/officeDocument/2006/relationships/hyperlink" Target="https://www.specarmatura.ru/catalog/zadvizhka_30s576nzh/zadvizhka_30s515nzh_du300_1/" TargetMode="External" Id="rId11"/><Relationship Type="http://schemas.openxmlformats.org/officeDocument/2006/relationships/hyperlink" Target="https://bkarm.ru/zadvizhka-pod-elektroprivod-prajs-list/" TargetMode="External" Id="rId12"/><Relationship Type="http://schemas.openxmlformats.org/officeDocument/2006/relationships/hyperlink" Target="https://bkarm.ru/zadvizhka-pod-elektroprivod-prajs-list/" TargetMode="External" Id="rId13"/><Relationship Type="http://schemas.openxmlformats.org/officeDocument/2006/relationships/hyperlink" Target="https://dn.ru/sharovyi-kran/teplosnabzhenie/rezbovye-kran/standartnyi/ld/pride-47-v-v-r/dn15" TargetMode="External" Id="rId14"/><Relationship Type="http://schemas.openxmlformats.org/officeDocument/2006/relationships/hyperlink" Target="https://dn.ru/sharovyi-kran/teplosnabzhenie/rezbovye-kran/standartnyi/ld/pride-47-v-v-r/dn15" TargetMode="External" Id="rId15"/><Relationship Type="http://schemas.openxmlformats.org/officeDocument/2006/relationships/hyperlink" Target="https://dn.ru/sharovyi-kran/teplosnabzhenie/rezbovye-kran/standartnyi/ld/pride-47-v-v-r/dn15" TargetMode="External" Id="rId16"/><Relationship Type="http://schemas.openxmlformats.org/officeDocument/2006/relationships/hyperlink" Target="https://dn.ru/sharovyi-kran/teplosnabzhenie/rezbovye-kran/standartnyi/ld/pride-47-v-v-r/dn15" TargetMode="External" Id="rId17"/><Relationship Type="http://schemas.openxmlformats.org/officeDocument/2006/relationships/hyperlink" Target="https://dn.ru/sharovyi-kran/teplosnabzhenie/rezbovye-kran/standartnyi/ld/pride-47-v-v-r/dn15" TargetMode="External" Id="rId18"/><Relationship Type="http://schemas.openxmlformats.org/officeDocument/2006/relationships/hyperlink" Target="https://dn.ru/sharovyi-kran/teplosnabzhenie/rezbovye-kran/standartnyi/ld/pride-47-v-v-r/dn15" TargetMode="External" Id="rId19"/><Relationship Type="http://schemas.openxmlformats.org/officeDocument/2006/relationships/hyperlink" Target="https://dn.ru/sharovyi-kran/teplosnabzhenie/kran-pod-privarku/standartnyi/ld/st20/dn50" TargetMode="External" Id="rId20"/><Relationship Type="http://schemas.openxmlformats.org/officeDocument/2006/relationships/hyperlink" Target="https://dn.ru/sharovyi-kran/teplosnabzhenie/flantcevyi-kran/polnoprohodnoi/ld/ksh-c-f/dn100" TargetMode="External" Id="rId21"/><Relationship Type="http://schemas.openxmlformats.org/officeDocument/2006/relationships/hyperlink" Target="https://stensel.ru" TargetMode="External" Id="rId22"/><Relationship Type="http://schemas.openxmlformats.org/officeDocument/2006/relationships/hyperlink" Target="https://nhi-group.ru/catalog/truboprovodnaya_armatura/zatvory_diskovye_povorotnye/trehekstsentrikovye/" TargetMode="External" Id="rId23"/><Relationship Type="http://schemas.openxmlformats.org/officeDocument/2006/relationships/hyperlink" Target="https://productcenter.ru/producers/9642/ooo-tulaeniergokompliekt" TargetMode="External" Id="rId24"/><Relationship Type="http://schemas.openxmlformats.org/officeDocument/2006/relationships/hyperlink" Target="https://dn.ru/sharovyi-kran/teplosnabzhenie/kran-pod-privarku/standartnyi/ld/st20/dn50" TargetMode="External" Id="rId25"/><Relationship Type="http://schemas.openxmlformats.org/officeDocument/2006/relationships/hyperlink" Target="https://dn.ru/sharovyi-kran/teplosnabzhenie/kran-pod-privarku/standartnyi/ld/st20/dn50" TargetMode="External" Id="rId26"/><Relationship Type="http://schemas.openxmlformats.org/officeDocument/2006/relationships/hyperlink" Target="https://dn.ru/sharovyi-kran/teplosnabzhenie/flantcevyi-kran/polnoprohodnoi/ld/kshtsf/dn80-pn16-l-210" TargetMode="External" Id="rId27"/><Relationship Type="http://schemas.openxmlformats.org/officeDocument/2006/relationships/hyperlink" Target="https://dn.ru/sharovyi-kran/teplosnabzhenie/flantcevyi-kran/polnoprohodnoi/ld/kshtsf/dn80-pn16-l-210" TargetMode="External" Id="rId28"/><Relationship Type="http://schemas.openxmlformats.org/officeDocument/2006/relationships/hyperlink" Target="https://dn.ru/sharovyi-kran/teplosnabzhenie/flantcevyi-kran/polnoprohodnoi/ld/ksh-c-f/dn100" TargetMode="External" Id="rId29"/><Relationship Type="http://schemas.openxmlformats.org/officeDocument/2006/relationships/hyperlink" Target="https://dn.ru/klapan/klapan-reguliruiushchii/2hod/avangard/25s947nzh-ru25/dn50" TargetMode="External" Id="rId30"/><Relationship Type="http://schemas.openxmlformats.org/officeDocument/2006/relationships/hyperlink" Target="https://dn.ru/klapan/klapan-reguliruiushchii/2hod/teplosila/trv-tsl/dn15" TargetMode="External" Id="rId31"/><Relationship Type="http://schemas.openxmlformats.org/officeDocument/2006/relationships/hyperlink" Target="https://dn.ru/klapan/klapan-reguliruiushchii/2hod/teplosila/trv-tsl/dn25" TargetMode="External" Id="rId32"/><Relationship Type="http://schemas.openxmlformats.org/officeDocument/2006/relationships/hyperlink" Target="https://dn.ru/klapan/klapan-reguliruiushchii/2hod/teplosila/trv-tsl/dn50" TargetMode="External" Id="rId33"/><Relationship Type="http://schemas.openxmlformats.org/officeDocument/2006/relationships/hyperlink" Target="https://dn.ru/klapan/klapan-reguliruiushchii/2hod/teplosila/trv-tsl-4-20ma-24v/dn80" TargetMode="External" Id="rId34"/><Relationship Type="http://schemas.openxmlformats.org/officeDocument/2006/relationships/hyperlink" Target="https://dn.ru/klapan/klapan-reguliruiushchii/2hod/ridan/vfg-2r/dn100-125-m3-h" TargetMode="External" Id="rId35"/><Relationship Type="http://schemas.openxmlformats.org/officeDocument/2006/relationships/hyperlink" Target="https://dn.ru/klapan/klapan-reguliruiushchii/2hod/ridan/vfg-2r/dn32-16-m3-h" TargetMode="External" Id="rId36"/><Relationship Type="http://schemas.openxmlformats.org/officeDocument/2006/relationships/hyperlink" Target="https://dn.ru/klapan/klapan-reguliruiushchii/2hod/ridan/vfg-2r/dn80-80-m3-h" TargetMode="External" Id="rId37"/><Relationship Type="http://schemas.openxmlformats.org/officeDocument/2006/relationships/hyperlink" Target="https://dn.ru/regulyator/reguliator-davleniia-posle-sebia/teplokontrol/rd-no-chugun/dn25" TargetMode="External" Id="rId38"/><Relationship Type="http://schemas.openxmlformats.org/officeDocument/2006/relationships/hyperlink" Target="https://dn.ru/regulyator/reguliator-davleniia-posle-sebia/teplokontrol/rd-no-chugun/dn32" TargetMode="External" Id="rId39"/><Relationship Type="http://schemas.openxmlformats.org/officeDocument/2006/relationships/hyperlink" Target="https://dn.ru/regulyator/reguliator-davleniia-posle-sebia/teplokontrol/rd-no-chugun/dn50" TargetMode="External" Id="rId40"/><Relationship Type="http://schemas.openxmlformats.org/officeDocument/2006/relationships/hyperlink" Target="https://dn.ru/regulyator/reguliator-davleniia-posle-sebia/teplokontrol/rd-no-chugun/dn80" TargetMode="External" Id="rId41"/><Relationship Type="http://schemas.openxmlformats.org/officeDocument/2006/relationships/hyperlink" Target="https://docs.ridan.ru/files/TO_regulyator_davl_AFDR-VFG2R.pdf" TargetMode="External" Id="rId42"/><Relationship Type="http://schemas.openxmlformats.org/officeDocument/2006/relationships/hyperlink" Target="https://dn.ru/klapan/klapan-obratnyi/flantcevyi/povorotnyi/mzta/19s53nzh/dn80" TargetMode="External" Id="rId43"/><Relationship Type="http://schemas.openxmlformats.org/officeDocument/2006/relationships/hyperlink" Target="https://dn.ru/klapan/klapan-obratnyi/flantcevyi/povorotnyi/mzta/19s53nzh/dn150" TargetMode="External" Id="rId44"/><Relationship Type="http://schemas.openxmlformats.org/officeDocument/2006/relationships/hyperlink" Target="https://dn.ru/klapan/klapan-obratnyi/mezhflantcevyi/odnostvorchatyi/megastroy/19ch21br/dn100" TargetMode="External" Id="rId45"/><Relationship Type="http://schemas.openxmlformats.org/officeDocument/2006/relationships/hyperlink" Target="https://dn.ru/klapan/klapan-obratnyi/mezhflantcevyi/odnostvorchatyi/megastroy/19ch21br/dn50" TargetMode="External" Id="rId46"/><Relationship Type="http://schemas.openxmlformats.org/officeDocument/2006/relationships/hyperlink" Target="https://dn.ru/klapan/klapan-obratnyi/mezhflantcevyi/odnostvorchatyi/megastroy/19ch21br/dn80" TargetMode="External" Id="rId47"/><Relationship Type="http://schemas.openxmlformats.org/officeDocument/2006/relationships/hyperlink" Target="https://dn.ru/klapan/klapan-obratnyi/mezhflantcevyi/dvukhstvorchatyi/granlok/cv16/dn100" TargetMode="External" Id="rId48"/><Relationship Type="http://schemas.openxmlformats.org/officeDocument/2006/relationships/hyperlink" Target="https://dn.ru/klapan/klapan-obratnyi/mezhflantcevyi/dvukhstvorchatyi/granlok/cv16/dn200" TargetMode="External" Id="rId49"/><Relationship Type="http://schemas.openxmlformats.org/officeDocument/2006/relationships/hyperlink" Target="https://dn.ru/klapan/klapan-obratnyi/flantcevyi/povorotnyi/mzta/19s53nzh/dn50" TargetMode="External" Id="rId50"/><Relationship Type="http://schemas.openxmlformats.org/officeDocument/2006/relationships/hyperlink" Target="https://dn.ru/klapan/klapan-obratnyi/mezhflantcevyi/dvukhstvorchatyi/granlok/cv16/dn150" TargetMode="External" Id="rId51"/><Relationship Type="http://schemas.openxmlformats.org/officeDocument/2006/relationships/hyperlink" Target="https://dn.ru/klapan/klapan-obratnyi/flantcevyi/podemnyi/pobeda30/16nj10nj/dn50" TargetMode="External" Id="rId52"/><Relationship Type="http://schemas.openxmlformats.org/officeDocument/2006/relationships/hyperlink" Target="https://dn.ru/klapan/klapan-obratnyi/flantcevyi/podemnyi/pobeda30/16nj10nj/dn32" TargetMode="External" Id="rId53"/><Relationship Type="http://schemas.openxmlformats.org/officeDocument/2006/relationships/hyperlink" Target="https://dn.ru/klapan/klapan-obratnyi/flantcevyi/priemnye/luidor/16ch42r/du100" TargetMode="External" Id="rId54"/><Relationship Type="http://schemas.openxmlformats.org/officeDocument/2006/relationships/hyperlink" Target="https://dn.ru/klapan/klapan-obratnyi/flantcevyi/povorotnyi/pobeda30/19nj76nj/dn100" TargetMode="External" Id="rId55"/><Relationship Type="http://schemas.openxmlformats.org/officeDocument/2006/relationships/hyperlink" Target="https://dn.ru/klapan/klapan-obratnyi/flantcevyi/povorotnyi/mzta/19s76nzh/dn80" TargetMode="External" Id="rId56"/><Relationship Type="http://schemas.openxmlformats.org/officeDocument/2006/relationships/hyperlink" Target="https://dn.ru/klapan/klapan-obratnyi/flantcevyi/povorotnyi/mzta/19s76nzh/dn100" TargetMode="External" Id="rId57"/><Relationship Type="http://schemas.openxmlformats.org/officeDocument/2006/relationships/hyperlink" Target="https://dn.ru/klapan/klapan-obratnyi/flantcevyi/povorotnyi/mzta/19s76nzh/dn50" TargetMode="External" Id="rId58"/><Relationship Type="http://schemas.openxmlformats.org/officeDocument/2006/relationships/hyperlink" Target="https://dn.ru/klapan/klapan-obratnyi/mezhflantcevyi/pruzhinnyi/ridan/nvd-802r/dn125" TargetMode="External" Id="rId59"/><Relationship Type="http://schemas.openxmlformats.org/officeDocument/2006/relationships/hyperlink" Target="https://dn.ru/klapan/klapan-obratnyi/mezhflantcevyi/pruzhinnyi/ridan/nvd-802r/dn150" TargetMode="External" Id="rId60"/><Relationship Type="http://schemas.openxmlformats.org/officeDocument/2006/relationships/hyperlink" Target="https://ridan.ru/product/082X8474R" TargetMode="External" Id="rId61"/><Relationship Type="http://schemas.openxmlformats.org/officeDocument/2006/relationships/hyperlink" Target="https://ridan.ru/product/082X8476R" TargetMode="External" Id="rId62"/><Relationship Type="http://schemas.openxmlformats.org/officeDocument/2006/relationships/hyperlink" Target="https://ridan.ru/product/082X8477R" TargetMode="External" Id="rId63"/><Relationship Type="http://schemas.openxmlformats.org/officeDocument/2006/relationships/hyperlink" Target="https://dn.ru/klapan/klapan-obratnyi/mezhflantcevyi/pruzhinnyi/ridan/nvd-812r/dn150" TargetMode="External" Id="rId64"/><Relationship Type="http://schemas.openxmlformats.org/officeDocument/2006/relationships/hyperlink" Target="https://dn.ru/klapan/klapan-predokhranitelnyi/flantcevyi/pregran/kpp-496-01-16-on1/dn32-50" TargetMode="External" Id="rId65"/><Relationship Type="http://schemas.openxmlformats.org/officeDocument/2006/relationships/hyperlink" Target="https://dn.ru/klapan/klapan-predokhranitelnyi/flantcevyi/pregran/kpp-496-01-16-on1/dn25-40" TargetMode="External" Id="rId66"/><Relationship Type="http://schemas.openxmlformats.org/officeDocument/2006/relationships/hyperlink" Target="https://dn.ru/klapan/klapan-predokhranitelnyi/flantcevyi/pregran/kpp-496-01-16-on1/dn25-40" TargetMode="External" Id="rId67"/><Relationship Type="http://schemas.openxmlformats.org/officeDocument/2006/relationships/hyperlink" Target="https://dn.ru/klapan/klapan-zapornyi/2hod/latun/shturval/tsvetlit/15b1p/dn15" TargetMode="External" Id="rId68"/><Relationship Type="http://schemas.openxmlformats.org/officeDocument/2006/relationships/hyperlink" Target="https://dn.ru/klapan/klapan-zapornyi/2hod/latun/shturval/tsvetlit/15b1p/dn20" TargetMode="External" Id="rId69"/><Relationship Type="http://schemas.openxmlformats.org/officeDocument/2006/relationships/hyperlink" Target="https://dn.ru/klapan/klapan-zapornyi/2hod/latun/shturval/tsvetlit/15b1n-vr-vr/dn25" TargetMode="External" Id="rId70"/><Relationship Type="http://schemas.openxmlformats.org/officeDocument/2006/relationships/hyperlink" Target="https://dn.ru/klapan/klapan-zapornyi/2hod/latun/shturval/tsvetlit/15b1p/dn32" TargetMode="External" Id="rId71"/><Relationship Type="http://schemas.openxmlformats.org/officeDocument/2006/relationships/hyperlink" Target="https://dn.ru/klapan/klapan-zapornyi/2hod/latun/shturval/tsvetlit/15b1p/dn40" TargetMode="External" Id="rId72"/><Relationship Type="http://schemas.openxmlformats.org/officeDocument/2006/relationships/hyperlink" Target="https://dn.ru/klapan/klapan-zapornyi/2hod/latun/shturval/tsvetlit/15b1n-nr-vr/dn50" TargetMode="External" Id="rId73"/><Relationship Type="http://schemas.openxmlformats.org/officeDocument/2006/relationships/hyperlink" Target="https://dn.ru/klapan/klapan-zapornyi/2hod/stalnoi/shturval/tekhgidromash/15nzh65nzh-12h18n9tl/dn80" TargetMode="External" Id="rId74"/><Relationship Type="http://schemas.openxmlformats.org/officeDocument/2006/relationships/hyperlink" Target="https://dn.ru/klapan/klapan-zapornyi/2hod/stalnoi/shturval/tekhgidromash/15nzh65nzh-12h18n9tl/dn100" TargetMode="External" Id="rId75"/><Relationship Type="http://schemas.openxmlformats.org/officeDocument/2006/relationships/hyperlink" Target="https://dn.ru/klapan/klapan-zapornyi/2hod/stalnoi/shturval/tekhgidromash/15nzh65nzh-12h18n9tl/dn125" TargetMode="External" Id="rId76"/><Relationship Type="http://schemas.openxmlformats.org/officeDocument/2006/relationships/hyperlink" Target="https://dn.ru/klapan/klapan-zapornyi/2hod/stalnoi/shturval/tekhgidromash/15nzh65nzh-12h18n9tl/dn150" TargetMode="External" Id="rId77"/><Relationship Type="http://schemas.openxmlformats.org/officeDocument/2006/relationships/hyperlink" Target="https://dn.ru/klapan/klapan-zapornyi/2hod/stalnoi/shturval/tekhgidromash/15nzh65nzh-12h18n9tl/dn32" TargetMode="External" Id="rId78"/><Relationship Type="http://schemas.openxmlformats.org/officeDocument/2006/relationships/hyperlink" Target="https://dn.ru/klapan/klapan-zapornyi/2hod/stalnoi/shturval/tekhgidromash/15nzh65nzh-12h18n9tl/dn50" TargetMode="External" Id="rId79"/><Relationship Type="http://schemas.openxmlformats.org/officeDocument/2006/relationships/hyperlink" Target="https://dn.ru/klapan/klapan-zapornyi/2hod/stalnoi/shturval/russia/15s22nzh/dn40" TargetMode="External" Id="rId80"/><Relationship Type="http://schemas.openxmlformats.org/officeDocument/2006/relationships/hyperlink" Target="https://dn.ru/klapan/klapan-zapornyi/2hod/stalnoi/shturval/russia/15s22nzh/dn50" TargetMode="External" Id="rId81"/><Relationship Type="http://schemas.openxmlformats.org/officeDocument/2006/relationships/hyperlink" Target="https://dn.ru/klapan/klapan-zapornyi/2hod/stalnoi/shturval/russia/15s22nzh/dn80" TargetMode="External" Id="rId82"/><Relationship Type="http://schemas.openxmlformats.org/officeDocument/2006/relationships/hyperlink" Target="https://www.vseinstrumenti.ru/product/klapan-ventil-zapornyj-atka-15s52nzh11-du40-ru63-pod-privarku-1005021205-13916407/" TargetMode="External" Id="rId83"/><Relationship Type="http://schemas.openxmlformats.org/officeDocument/2006/relationships/hyperlink" Target="https://sibzta.ru/price/" TargetMode="External" Id="rId84"/><Relationship Type="http://schemas.openxmlformats.org/officeDocument/2006/relationships/hyperlink" Target="https://sibzta.ru/price/" TargetMode="External" Id="rId85"/><Relationship Type="http://schemas.openxmlformats.org/officeDocument/2006/relationships/hyperlink" Target="https://sibzta.ru/price/" TargetMode="External" Id="rId86"/><Relationship Type="http://schemas.openxmlformats.org/officeDocument/2006/relationships/hyperlink" Target="https://sibzta.ru/price/" TargetMode="External" Id="rId87"/><Relationship Type="http://schemas.openxmlformats.org/officeDocument/2006/relationships/hyperlink" Target="https://sibzta.ru/price/" TargetMode="External" Id="rId88"/><Relationship Type="http://schemas.openxmlformats.org/officeDocument/2006/relationships/hyperlink" Target="https://sibzta.ru/price/" TargetMode="External" Id="rId89"/><Relationship Type="http://schemas.openxmlformats.org/officeDocument/2006/relationships/hyperlink" Target="https://sibzta.ru/price/" TargetMode="External" Id="rId90"/><Relationship Type="http://schemas.openxmlformats.org/officeDocument/2006/relationships/hyperlink" Target="https://sibzta.ru/price/" TargetMode="External" Id="rId91"/><Relationship Type="http://schemas.openxmlformats.org/officeDocument/2006/relationships/hyperlink" Target="https://sibzta.ru/price/" TargetMode="External" Id="rId92"/><Relationship Type="http://schemas.openxmlformats.org/officeDocument/2006/relationships/hyperlink" Target="https://sibzta.ru/price/" TargetMode="External" Id="rId93"/><Relationship Type="http://schemas.openxmlformats.org/officeDocument/2006/relationships/hyperlink" Target="https://bkarm.ru/zadvizhki-stalnye-prajs-list/" TargetMode="External" Id="rId94"/><Relationship Type="http://schemas.openxmlformats.org/officeDocument/2006/relationships/hyperlink" Target="https://bkarm.ru/zadvizhki-stalnye-prajs-list/" TargetMode="External" Id="rId95"/><Relationship Type="http://schemas.openxmlformats.org/officeDocument/2006/relationships/hyperlink" Target="https://bkarm.ru/zadvizhki-stalnye-prajs-list/" TargetMode="External" Id="rId96"/><Relationship Type="http://schemas.openxmlformats.org/officeDocument/2006/relationships/hyperlink" Target="https://bkarm.ru/zadvizhki-stalnye-prajs-list/" TargetMode="External" Id="rId97"/><Relationship Type="http://schemas.openxmlformats.org/officeDocument/2006/relationships/hyperlink" Target="https://bkarm.ru/zadvizhki-stalnye-prajs-list/" TargetMode="External" Id="rId98"/><Relationship Type="http://schemas.openxmlformats.org/officeDocument/2006/relationships/hyperlink" Target="https://bkarm.ru/zadvizhki-stalnye-prajs-list/" TargetMode="External" Id="rId99"/><Relationship Type="http://schemas.openxmlformats.org/officeDocument/2006/relationships/hyperlink" Target="https://bkarm.ru/zadvizhki-stalnye-prajs-list/" TargetMode="External" Id="rId100"/><Relationship Type="http://schemas.openxmlformats.org/officeDocument/2006/relationships/hyperlink" Target="https://bkarm.ru/zadvizhki-stalnye-prajs-list/" TargetMode="External" Id="rId101"/><Relationship Type="http://schemas.openxmlformats.org/officeDocument/2006/relationships/hyperlink" Target="https://bkarm.ru/elektroprivodyi-prajs-list/" TargetMode="External" Id="rId102"/><Relationship Type="http://schemas.openxmlformats.org/officeDocument/2006/relationships/hyperlink" Target="https://bkarm.ru/zadvizhka-pod-elektroprivod-prajs-list/" TargetMode="External" Id="rId103"/><Relationship Type="http://schemas.openxmlformats.org/officeDocument/2006/relationships/hyperlink" Target="https://bkarm.ru/zadvizhka-pod-elektroprivod-prajs-list/" TargetMode="External" Id="rId104"/><Relationship Type="http://schemas.openxmlformats.org/officeDocument/2006/relationships/hyperlink" Target="https://bkarm.ru/zadvizhka-pod-elektroprivod-prajs-list/" TargetMode="External" Id="rId105"/><Relationship Type="http://schemas.openxmlformats.org/officeDocument/2006/relationships/hyperlink" Target="https://bkarm.ru/zadvizhka-pod-elektroprivod-prajs-list/" TargetMode="External" Id="rId106"/><Relationship Type="http://schemas.openxmlformats.org/officeDocument/2006/relationships/hyperlink" Target="https://bkarm.ru/zadvizhki-stalnye-prajs-list/" TargetMode="External" Id="rId107"/><Relationship Type="http://schemas.openxmlformats.org/officeDocument/2006/relationships/hyperlink" Target="https://bkarm.ru/zadvizhki-stalnye-prajs-list/" TargetMode="External" Id="rId108"/><Relationship Type="http://schemas.openxmlformats.org/officeDocument/2006/relationships/hyperlink" Target="https://bkarm.ru/zadvizhki-chugunnye-prajs-list/" TargetMode="External" Id="rId109"/><Relationship Type="http://schemas.openxmlformats.org/officeDocument/2006/relationships/hyperlink" Target="https://bkarm.ru/zadvizhki-chugunnye-prajs-list/" TargetMode="External" Id="rId110"/><Relationship Type="http://schemas.openxmlformats.org/officeDocument/2006/relationships/hyperlink" Target="https://bkarm.ru/zadvizhki-chugunnye-prajs-list/" TargetMode="External" Id="rId111"/><Relationship Type="http://schemas.openxmlformats.org/officeDocument/2006/relationships/hyperlink" Target="https://bkarm.ru/zadvizhki-chugunnye-prajs-list/" TargetMode="External" Id="rId112"/><Relationship Type="http://schemas.openxmlformats.org/officeDocument/2006/relationships/hyperlink" Target="https://bkarm.ru/zadvizhki-chugunnye-prajs-list/" TargetMode="External" Id="rId113"/><Relationship Type="http://schemas.openxmlformats.org/officeDocument/2006/relationships/hyperlink" Target="https://bkarm.ru/zadvizhki-chugunnye-prajs-list/" TargetMode="External" Id="rId114"/><Relationship Type="http://schemas.openxmlformats.org/officeDocument/2006/relationships/hyperlink" Target="https://bkarm.ru/zadvizhki-chugunnye-prajs-list/" TargetMode="External" Id="rId115"/><Relationship Type="http://schemas.openxmlformats.org/officeDocument/2006/relationships/hyperlink" Target="https://dn.ru/sharovyi-kran/teplosnabzhenie/rezbovye-kran/standartnyi/ld/pride-47-v-v-r/dn15" TargetMode="External" Id="rId116"/><Relationship Type="http://schemas.openxmlformats.org/officeDocument/2006/relationships/hyperlink" Target="https://dn.ru/sharovyi-kran/teplosnabzhenie/rezbovye-kran/standartnyi/ld/pride-47-v-v-r/dn15" TargetMode="External" Id="rId117"/><Relationship Type="http://schemas.openxmlformats.org/officeDocument/2006/relationships/hyperlink" Target="https://dn.ru/sharovyi-kran/teplosnabzhenie/rezbovye-kran/standartnyi/ld/pride-47-v-v-r/dn15" TargetMode="External" Id="rId118"/><Relationship Type="http://schemas.openxmlformats.org/officeDocument/2006/relationships/hyperlink" Target="https://dn.ru/sharovyi-kran/teplosnabzhenie/rezbovye-kran/standartnyi/ld/pride-47-v-v-r/dn15" TargetMode="External" Id="rId119"/><Relationship Type="http://schemas.openxmlformats.org/officeDocument/2006/relationships/hyperlink" Target="https://dn.ru/sharovyi-kran/teplosnabzhenie/rezbovye-kran/standartnyi/ld/pride-47-v-v-r/dn15" TargetMode="External" Id="rId120"/><Relationship Type="http://schemas.openxmlformats.org/officeDocument/2006/relationships/hyperlink" Target="https://dn.ru/sharovyi-kran/teplosnabzhenie/flantcevyi-kran/standartnyi/ld/st20/dn100" TargetMode="External" Id="rId121"/><Relationship Type="http://schemas.openxmlformats.org/officeDocument/2006/relationships/hyperlink" Target="https://dn.ru/sharovyi-kran/teplosnabzhenie/flantcevyi-kran/standartnyi/ld/st20/dn100" TargetMode="External" Id="rId122"/><Relationship Type="http://schemas.openxmlformats.org/officeDocument/2006/relationships/hyperlink" Target="https://dn.ru/sharovyi-kran/teplosnabzhenie/flantcevyi-kran/standartnyi/ld/st20/dn100" TargetMode="External" Id="rId123"/><Relationship Type="http://schemas.openxmlformats.org/officeDocument/2006/relationships/hyperlink" Target="https://dn.ru/sharovyi-kran/teplosnabzhenie/flantcevyi-kran/standartnyi/ld/st20/dn100" TargetMode="External" Id="rId124"/><Relationship Type="http://schemas.openxmlformats.org/officeDocument/2006/relationships/hyperlink" Target="https://dn.ru/sharovyi-kran/teplosnabzhenie/flantcevyi-kran/standartnyi/ld/st20/dn100" TargetMode="External" Id="rId125"/><Relationship Type="http://schemas.openxmlformats.org/officeDocument/2006/relationships/hyperlink" Target="https://dn.ru/sharovyi-kran/teplosnabzhenie/flantcevyi-kran/standartnyi/ld/st20/dn100" TargetMode="External" Id="rId126"/><Relationship Type="http://schemas.openxmlformats.org/officeDocument/2006/relationships/hyperlink" Target="https://dn.ru/sharovyi-kran/teplosnabzhenie/flantcevyi-kran/standartnyi/ld/st20/dn100" TargetMode="External" Id="rId127"/><Relationship Type="http://schemas.openxmlformats.org/officeDocument/2006/relationships/hyperlink" Target="https://dn.ru/sharovyi-kran/teplosnabzhenie/kran-pod-privarku/standartnyi/ld/st20/dn50" TargetMode="External" Id="rId128"/><Relationship Type="http://schemas.openxmlformats.org/officeDocument/2006/relationships/hyperlink" Target="https://dn.ru/sharovyi-kran/teplosnabzhenie/kran-pod-privarku/standartnyi/ld/st20/dn50" TargetMode="External" Id="rId129"/><Relationship Type="http://schemas.openxmlformats.org/officeDocument/2006/relationships/hyperlink" Target="https://dn.ru/sharovyi-kran/teplosnabzhenie/kran-pod-privarku/standartnyi/ld/st20/dn50" TargetMode="External" Id="rId130"/><Relationship Type="http://schemas.openxmlformats.org/officeDocument/2006/relationships/hyperlink" Target="https://dn.ru/sharovyi-kran/teplosnabzhenie/kran-pod-privarku/standartnyi/ld/st20/dn50" TargetMode="External" Id="rId131"/><Relationship Type="http://schemas.openxmlformats.org/officeDocument/2006/relationships/hyperlink" Target="https://dn.ru/sharovyi-kran/teplosnabzhenie/kran-pod-privarku/standartnyi/ld/st20/dn50" TargetMode="External" Id="rId132"/><Relationship Type="http://schemas.openxmlformats.org/officeDocument/2006/relationships/hyperlink" Target="https://dn.ru/sharovyi-kran/teplosnabzhenie/kran-pod-privarku/standartnyi/ld/st20/dn50" TargetMode="External" Id="rId133"/><Relationship Type="http://schemas.openxmlformats.org/officeDocument/2006/relationships/hyperlink" Target="https://dn.ru/sharovyi-kran/teplosnabzhenie/kran-pod-privarku/standartnyi/ld/st20/dn50" TargetMode="External" Id="rId134"/><Relationship Type="http://schemas.openxmlformats.org/officeDocument/2006/relationships/hyperlink" Target="https://dn.ru/sharovyi-kran/teplosnabzhenie/kran-pod-privarku/standartnyi/ld/st20/dn50" TargetMode="External" Id="rId135"/><Relationship Type="http://schemas.openxmlformats.org/officeDocument/2006/relationships/hyperlink" Target="https://dn.ru/sharovyi-kran/teplosnabzhenie/kran-pod-privarku/standartnyi/ld/st20/dn50" TargetMode="External" Id="rId136"/><Relationship Type="http://schemas.openxmlformats.org/officeDocument/2006/relationships/hyperlink" Target="https://dn.ru/sharovyi-kran/teplosnabzhenie/flantcevyi-kran/polnoprohodnoi/ld/kshtsf/dn80-pn16-l-210" TargetMode="External" Id="rId137"/><Relationship Type="http://schemas.openxmlformats.org/officeDocument/2006/relationships/hyperlink" Target="https://dn.ru/sharovyi-kran/teplosnabzhenie/flantcevyi-kran/polnoprohodnoi/ld/kshtsf/dn80-pn16-l-210" TargetMode="External" Id="rId138"/><Relationship Type="http://schemas.openxmlformats.org/officeDocument/2006/relationships/hyperlink" Target="https://dn.ru/sharovyi-kran/teplosnabzhenie/flantcevyi-kran/polnoprohodnoi/ld/kshtsf/dn80-pn16-l-210" TargetMode="External" Id="rId139"/><Relationship Type="http://schemas.openxmlformats.org/officeDocument/2006/relationships/hyperlink" Target="https://dn.ru/sharovyi-kran/teplosnabzhenie/flantcevyi-kran/polnoprohodnoi/ld/kshtsf/dn80-pn16-l-210" TargetMode="External" Id="rId140"/><Relationship Type="http://schemas.openxmlformats.org/officeDocument/2006/relationships/hyperlink" Target="https://dn.ru/sharovyi-kran/teplosnabzhenie/flantcevyi-kran/polnoprohodnoi/ld/kshtsf/dn80-pn16-l-210" TargetMode="External" Id="rId141"/><Relationship Type="http://schemas.openxmlformats.org/officeDocument/2006/relationships/hyperlink" Target="https://dn.ru/sharovyi-kran/teplosnabzhenie/flantcevyi-kran/polnoprohodnoi/ld/ksh-c-f/dn100" TargetMode="External" Id="rId142"/><Relationship Type="http://schemas.openxmlformats.org/officeDocument/2006/relationships/hyperlink" Target="https://dn.ru/sharovyi-kran/teplosnabzhenie/flantcevyi-kran/polnoprohodnoi/ld/ksh-c-f/dn100" TargetMode="External" Id="rId143"/><Relationship Type="http://schemas.openxmlformats.org/officeDocument/2006/relationships/hyperlink" Target="https://dn.ru/sharovyi-kran/teplosnabzhenie/flantcevyi-kran/polnoprohodnoi/ld/ksh-c-f/dn100" TargetMode="External" Id="rId144"/><Relationship Type="http://schemas.openxmlformats.org/officeDocument/2006/relationships/hyperlink" Target="https://dn.ru/sharovyi-kran/teplosnabzhenie/flantcevyi-kran/polnoprohodnoi/ld/ksh-c-f/dn100" TargetMode="External" Id="rId145"/><Relationship Type="http://schemas.openxmlformats.org/officeDocument/2006/relationships/hyperlink" Target="https://dn.ru/sharovyi-kran/teplosnabzhenie/flantcevyi-kran/polnoprohodnoi/ld/ksh-c-f/dn100" TargetMode="External" Id="rId146"/><Relationship Type="http://schemas.openxmlformats.org/officeDocument/2006/relationships/hyperlink" Target="https://dn.ru/sharovyi-kran/teplosnabzhenie/flantcevyi-kran/polnoprohodnoi/ld/ksh-c-f/dn100" TargetMode="External" Id="rId147"/><Relationship Type="http://schemas.openxmlformats.org/officeDocument/2006/relationships/hyperlink" Target="https://dn.ru/sharovyi-kran/teplosnabzhenie/flantcevyi-kran/polnoprohodnoi/ld/ksh-c-f/dn100" TargetMode="External" Id="rId148"/><Relationship Type="http://schemas.openxmlformats.org/officeDocument/2006/relationships/hyperlink" Target="https://dn.ru/sharovyi-kran/teplosnabzhenie/flantcevyi-kran/polnoprohodnoi/ld/ksh-c-f/dn100" TargetMode="External" Id="rId149"/><Relationship Type="http://schemas.openxmlformats.org/officeDocument/2006/relationships/hyperlink" Target="https://dn.ru/sharovyi-kran" TargetMode="External" Id="rId150"/><Relationship Type="http://schemas.openxmlformats.org/officeDocument/2006/relationships/hyperlink" Target="https://dn.ru/sharovyi-kran/teplosnabzhenie/flantcevyi-kran/standartnyi/ld/st20/dn100" TargetMode="External" Id="rId151"/><Relationship Type="http://schemas.openxmlformats.org/officeDocument/2006/relationships/hyperlink" Target="https://dn.ru/sharovyi-kran/teplosnabzhenie/flantcevyi-kran/polnoprohodnoi/ld/kshrf-stal-20/dn150" TargetMode="External" Id="rId152"/><Relationship Type="http://schemas.openxmlformats.org/officeDocument/2006/relationships/hyperlink" Target="https://dn.ru/sharovyi-kran/teplosnabzhenie/flantcevyi-kran/polnoprohodnoi/ld/kshrf-stal-20/dn150" TargetMode="External" Id="rId153"/><Relationship Type="http://schemas.openxmlformats.org/officeDocument/2006/relationships/hyperlink" Target="https://dn.ru/sharovyi-kran/teplosnabzhenie/flantcevyi-kran/polnoprohodnoi/ld/kshrf-stal-20/dn150" TargetMode="External" Id="rId154"/><Relationship Type="http://schemas.openxmlformats.org/officeDocument/2006/relationships/hyperlink" Target="https://dn.ru/sharovyi-kran/teplosnabzhenie/flantcevyi-kran/polnoprohodnoi/ld/kshrf-stal-20/dn150" TargetMode="External" Id="rId155"/><Relationship Type="http://schemas.openxmlformats.org/officeDocument/2006/relationships/hyperlink" Target="https://dn.ru/sharovyi-kran/teplosnabzhenie/flantcevyi-kran/polnoprohodnoi/ld/kshrf-stal-20/dn150" TargetMode="External" Id="rId156"/><Relationship Type="http://schemas.openxmlformats.org/officeDocument/2006/relationships/hyperlink" Target="https://dn.ru/sharovyi-kran/teplosnabzhenie/flantcevyi-kran/polnoprohodnoi/ld/kshrf-stal-20/dn150" TargetMode="External" Id="rId157"/><Relationship Type="http://schemas.openxmlformats.org/officeDocument/2006/relationships/hyperlink" Target="https://dn.ru/sharovyi-kran/teplosnabzhenie/flantcevyi-kran/polnoprohodnoi/ld/kshrf-stal-20/dn150" TargetMode="External" Id="rId158"/><Relationship Type="http://schemas.openxmlformats.org/officeDocument/2006/relationships/hyperlink" Target="https://dn.ru/sharovyi-kran/teplosnabzhenie/flantcevyi-kran/polnoprohodnoi/ld/kshrf-stal-20/dn150" TargetMode="External" Id="rId159"/><Relationship Type="http://schemas.openxmlformats.org/officeDocument/2006/relationships/hyperlink" Target="https://dn.ru/sharovyi-kran/teplosnabzhenie/flantcevyi-kran/polnoprohodnoi/ld/kshrf-stal-20/dn150" TargetMode="External" Id="rId160"/><Relationship Type="http://schemas.openxmlformats.org/officeDocument/2006/relationships/hyperlink" Target="https://dn.ru/sharovyi-kran/teplosnabzhenie/flantcevyi-kran/polnoprohodnoi/ld/kshrf-stal-20/dn150" TargetMode="External" Id="rId161"/><Relationship Type="http://schemas.openxmlformats.org/officeDocument/2006/relationships/hyperlink" Target="https://dn.ru/sharovyi-kran/teplosnabzhenie/flantcevyi-kran/standartnyi/ld/st20/dn100" TargetMode="External" Id="rId162"/><Relationship Type="http://schemas.openxmlformats.org/officeDocument/2006/relationships/hyperlink" Target="https://bkarm.ru/elektroprivodyi-prajs-list/" TargetMode="External" Id="rId163"/><Relationship Type="http://schemas.openxmlformats.org/officeDocument/2006/relationships/hyperlink" Target="https://ktptm.ru/products/zatvor-diskovyj-povorotnyj-shiber-zdp-150-63-1-m-a-uhl1" TargetMode="External" Id="rId164"/><Relationship Type="http://schemas.openxmlformats.org/officeDocument/2006/relationships/hyperlink" Target="https://ktptm.ru/products/zatvor-diskovyj-povorotnyj-shiber-zdp-50-63-1-m-a-uhl1" TargetMode="External" Id="rId165"/><Relationship Type="http://schemas.openxmlformats.org/officeDocument/2006/relationships/hyperlink" Target="https://www.eesk.su/goods/98853439-zatvor_diskovy_povorotny_zdp_80_6_3_1_m_a_ukhl1" TargetMode="External" Id="rId166"/><Relationship Type="http://schemas.openxmlformats.org/officeDocument/2006/relationships/hyperlink" Target="https://adl.ru/files/a7d1f80d-deeb-11e5-9f63-001f296a5bc2/Price_ADL_Valves_HVAC.XLSX" TargetMode="External" Id="rId167"/><Relationship Type="http://schemas.openxmlformats.org/officeDocument/2006/relationships/hyperlink" Target="https://adl.ru/files/a7d1f80d-deeb-11e5-9f63-001f296a5bc2/Price_ADL_Valves_HVAC.XLSX" TargetMode="External" Id="rId168"/><Relationship Type="http://schemas.openxmlformats.org/officeDocument/2006/relationships/hyperlink" Target="https://adl.ru/files/a7d1f80d-deeb-11e5-9f63-001f296a5bc2/Price_ADL_Valves_HVAC.XLSX" TargetMode="External" Id="rId169"/><Relationship Type="http://schemas.openxmlformats.org/officeDocument/2006/relationships/hyperlink" Target="https://adl.ru/files/a7d1f80d-deeb-11e5-9f63-001f296a5bc2/Price_ADL_Valves_HVAC.XLSX" TargetMode="External" Id="rId170"/><Relationship Type="http://schemas.openxmlformats.org/officeDocument/2006/relationships/hyperlink" Target="https://adl.ru/files/a7d1f80d-deeb-11e5-9f63-001f296a5bc2/Price_ADL_Valves_HVAC.XLSX" TargetMode="External" Id="rId171"/><Relationship Type="http://schemas.openxmlformats.org/officeDocument/2006/relationships/hyperlink" Target="https://adl.ru/files/a7d1f80d-deeb-11e5-9f63-001f296a5bc2/Price_ADL_Valves_HVAC.XLSX" TargetMode="External" Id="rId172"/><Relationship Type="http://schemas.openxmlformats.org/officeDocument/2006/relationships/hyperlink" Target="https://adl.ru/files/a7d1f80d-deeb-11e5-9f63-001f296a5bc2/Price_ADL_Valves_HVAC.XLSX" TargetMode="External" Id="rId173"/><Relationship Type="http://schemas.openxmlformats.org/officeDocument/2006/relationships/hyperlink" Target="https://adl.ru/files/a7d1f80d-deeb-11e5-9f63-001f296a5bc2/Price_ADL_Valves_HVAC.XLSX" TargetMode="External" Id="rId174"/><Relationship Type="http://schemas.openxmlformats.org/officeDocument/2006/relationships/hyperlink" Target="https://adl.ru/files/a7d1f80d-deeb-11e5-9f63-001f296a5bc2/Price_ADL_Valves_HVAC.XLSX" TargetMode="External" Id="rId175"/><Relationship Type="http://schemas.openxmlformats.org/officeDocument/2006/relationships/hyperlink" Target="https://dn.ru/klapan/klapan-zapornyi/2hod/chugun/shturval/kitai/15kch18p1/dn25" TargetMode="External" Id="rId176"/><Relationship Type="http://schemas.openxmlformats.org/officeDocument/2006/relationships/hyperlink" Target="https://bkarm.ru/zadvizhki-stalnye-prajs-list/" TargetMode="External" Id="rId177"/><Relationship Type="http://schemas.openxmlformats.org/officeDocument/2006/relationships/hyperlink" Target="https://bkarm.ru/zadvizhki-stalnye-prajs-list/" TargetMode="External" Id="rId178"/><Relationship Type="http://schemas.openxmlformats.org/officeDocument/2006/relationships/hyperlink" Target="https://dn.ru/sharovyi-kran/teplosnabzhenie/rezbovye-kran/standartnyi/ld/pride-47-v-v-r/dn15" TargetMode="External" Id="rId179"/><Relationship Type="http://schemas.openxmlformats.org/officeDocument/2006/relationships/hyperlink" Target="https://dn.ru/sharovyi-kran/teplosnabzhenie/rezbovye-kran/standartnyi/ld/pride-47-v-v-r/dn15" TargetMode="External" Id="rId180"/><Relationship Type="http://schemas.openxmlformats.org/officeDocument/2006/relationships/hyperlink" Target="https://dn.ru/sharovyi-kran/teplosnabzhenie/rezbovye-kran/standartnyi/ld/pride-47-v-v-r/dn15" TargetMode="External" Id="rId181"/><Relationship Type="http://schemas.openxmlformats.org/officeDocument/2006/relationships/hyperlink" Target="https://dn.ru/sharovyi-kran/teplosnabzhenie/rezbovye-kran/standartnyi/ld/pride-47-v-v-r/dn15" TargetMode="External" Id="rId182"/><Relationship Type="http://schemas.openxmlformats.org/officeDocument/2006/relationships/hyperlink" Target="https://dn.ru/sharovyi-kran/teplosnabzhenie/rezbovye-kran/standartnyi/ld/pride-47-v-v-r/dn15" TargetMode="External" Id="rId183"/><Relationship Type="http://schemas.openxmlformats.org/officeDocument/2006/relationships/hyperlink" Target="https://dn.ru/sharovyi-kran/teplosnabzhenie/flantcevyi-kran/standartnyi/ld/st20/dn100" TargetMode="External" Id="rId184"/><Relationship Type="http://schemas.openxmlformats.org/officeDocument/2006/relationships/hyperlink" Target="https://dn.ru/sharovyi-kran/teplosnabzhenie/flantcevyi-kran/standartnyi/ld/st20/dn100" TargetMode="External" Id="rId185"/><Relationship Type="http://schemas.openxmlformats.org/officeDocument/2006/relationships/hyperlink" Target="https://dn.ru/sharovyi-kran/teplosnabzhenie/flantcevyi-kran/standartnyi/ld/st20/dn100" TargetMode="External" Id="rId186"/><Relationship Type="http://schemas.openxmlformats.org/officeDocument/2006/relationships/hyperlink" Target="https://dn.ru/sharovyi-kran/teplosnabzhenie/kran-pod-privarku/standartnyi/ld/st20/dn50" TargetMode="External" Id="rId187"/><Relationship Type="http://schemas.openxmlformats.org/officeDocument/2006/relationships/hyperlink" Target="https://dn.ru/sharovyi-kran/teplosnabzhenie/kran-pod-privarku/standartnyi/ld/st20/dn50" TargetMode="External" Id="rId188"/><Relationship Type="http://schemas.openxmlformats.org/officeDocument/2006/relationships/hyperlink" Target="https://dn.ru/sharovyi-kran/teplosnabzhenie/kran-pod-privarku/standartnyi/ld/st20/dn50" TargetMode="External" Id="rId189"/><Relationship Type="http://schemas.openxmlformats.org/officeDocument/2006/relationships/hyperlink" Target="https://dn.ru/sharovyi-kran/teplosnabzhenie/kran-pod-privarku/standartnyi/ld/st20/dn50" TargetMode="External" Id="rId190"/><Relationship Type="http://schemas.openxmlformats.org/officeDocument/2006/relationships/hyperlink" Target="https://dn.ru/sharovyi-kran/teplosnabzhenie/kran-pod-privarku/standartnyi/ld/st20/dn50" TargetMode="External" Id="rId191"/><Relationship Type="http://schemas.openxmlformats.org/officeDocument/2006/relationships/hyperlink" Target="https://dn.ru/sharovyi-kran/teplosnabzhenie/kran-pod-privarku/standartnyi/ld/st20/dn50" TargetMode="External" Id="rId192"/><Relationship Type="http://schemas.openxmlformats.org/officeDocument/2006/relationships/hyperlink" Target="https://dn.ru/sharovyi-kran/teplosnabzhenie/kran-pod-privarku/standartnyi/ld/st20/dn50" TargetMode="External" Id="rId193"/><Relationship Type="http://schemas.openxmlformats.org/officeDocument/2006/relationships/hyperlink" Target="https://dn.ru/klapan/klapan-reguliruiushchii/2hod/avangard/25s947nzh-ru25/dn25" TargetMode="External" Id="rId194"/><Relationship Type="http://schemas.openxmlformats.org/officeDocument/2006/relationships/hyperlink" Target="https://dn.ru/klapan/klapan-reguliruiushchii/2hod/avangard/25s947nzh-ru25/dn50" TargetMode="External" Id="rId195"/><Relationship Type="http://schemas.openxmlformats.org/officeDocument/2006/relationships/hyperlink" Target="https://dn.ru/klapan/klapan-reguliruiushchii/2hod/ridan/vfg-2r/dn80-80-m3-h" TargetMode="External" Id="rId196"/><Relationship Type="http://schemas.openxmlformats.org/officeDocument/2006/relationships/hyperlink" Target="https://dn.ru/klapan/klapan-obratnyi/mezhflantcevyi/odnostvorchatyi/megastroy/19ch21br/dn100" TargetMode="External" Id="rId197"/><Relationship Type="http://schemas.openxmlformats.org/officeDocument/2006/relationships/hyperlink" Target="https://dn.ru/klapan/klapan-obratnyi/mezhflantcevyi/odnostvorchatyi/megastroy/19ch21br/dn50" TargetMode="External" Id="rId198"/><Relationship Type="http://schemas.openxmlformats.org/officeDocument/2006/relationships/hyperlink" Target="https://dn.ru/klapan/klapan-obratnyi/mezhflantcevyi/odnostvorchatyi/megastroy/19ch21br/dn80" TargetMode="External" Id="rId199"/><Relationship Type="http://schemas.openxmlformats.org/officeDocument/2006/relationships/hyperlink" Target="https://dn.ru/klapan/klapan-obratnyi/mezhflantcevyi/dvukhstvorchatyi/granlok/cv16/dn100" TargetMode="External" Id="rId200"/><Relationship Type="http://schemas.openxmlformats.org/officeDocument/2006/relationships/hyperlink" Target="https://dn.ru/klapan/klapan-obratnyi/mezhflantcevyi/dvukhstvorchatyi/granlok/cv16/dn150" TargetMode="External" Id="rId201"/><Relationship Type="http://schemas.openxmlformats.org/officeDocument/2006/relationships/hyperlink" Target="https://dn.ru/klapan/klapan-obratnyi/mezhflantcevyi/dvukhstvorchatyi/granlok/cv16/dn200" TargetMode="External" Id="rId202"/><Relationship Type="http://schemas.openxmlformats.org/officeDocument/2006/relationships/hyperlink" Target="https://newgaztech.ru/catalog/plant/product/id/143" TargetMode="External" Id="rId203"/><Relationship Type="http://schemas.openxmlformats.org/officeDocument/2006/relationships/hyperlink" Target="https://dn.ru/klapan/klapan-predokhranitelnyi/flantcevyi/avangard/17s28nzh/dn25-40" TargetMode="External" Id="rId204"/><Relationship Type="http://schemas.openxmlformats.org/officeDocument/2006/relationships/hyperlink" Target="https://dn.ru/klapan/klapan-predokhranitelnyi/flantcevyi/vbta/17s28nzh/dn50" TargetMode="External" Id="rId205"/><Relationship Type="http://schemas.openxmlformats.org/officeDocument/2006/relationships/hyperlink" Target="https://dn.ru/klapan/klapan-predokhranitelnyi/flantcevyi/vbta/17s6nzh/dn50" TargetMode="External" Id="rId206"/><Relationship Type="http://schemas.openxmlformats.org/officeDocument/2006/relationships/hyperlink" Target="https://dn.ru/klapan/klapan-predokhranitelnyi/flantcevyi/vbta/17s6nzh/dn80" TargetMode="External" Id="rId207"/><Relationship Type="http://schemas.openxmlformats.org/officeDocument/2006/relationships/hyperlink" Target="https://dn.ru/klapan/klapan-zapornyi/2hod/latun/shturval/tsvetlit/15b1p/dn15" TargetMode="External" Id="rId208"/><Relationship Type="http://schemas.openxmlformats.org/officeDocument/2006/relationships/hyperlink" Target="https://dn.ru/klapan/klapan-zapornyi/2hod/latun/shturval/tsvetlit/15b1p/dn20" TargetMode="External" Id="rId209"/><Relationship Type="http://schemas.openxmlformats.org/officeDocument/2006/relationships/hyperlink" Target="https://dn.ru/klapan/klapan-zapornyi/2hod/latun/shturval/tsvetlit/15b1n-vr-vr/dn25" TargetMode="External" Id="rId210"/><Relationship Type="http://schemas.openxmlformats.org/officeDocument/2006/relationships/hyperlink" Target="https://dn.ru/klapan/klapan-zapornyi/2hod/chugun/shturval/luidor/15kch16p1/dn32" TargetMode="External" Id="rId211"/><Relationship Type="http://schemas.openxmlformats.org/officeDocument/2006/relationships/hyperlink" Target="https://dn.ru/klapan/klapan-zapornyi/2hod/chugun/shturval/luidor/15kch16p1/dn32" TargetMode="External" Id="rId212"/><Relationship Type="http://schemas.openxmlformats.org/officeDocument/2006/relationships/hyperlink" Target="https://dn.ru/klapan/klapan-zapornyi/2hod/chugun/shturval/luidor/15kch16p1/dn40" TargetMode="External" Id="rId213"/><Relationship Type="http://schemas.openxmlformats.org/officeDocument/2006/relationships/hyperlink" Target="https://dn.ru/klapan/klapan-zapornyi/2hod/chugun/shturval/luidor/15kch16p1/dn50" TargetMode="External" Id="rId214"/><Relationship Type="http://schemas.openxmlformats.org/officeDocument/2006/relationships/hyperlink" Target="https://dn.ru/klapan/klapan-zapornyi/2hod/chugun/shturval/kitai/15kch19p1/dn25" TargetMode="External" Id="rId215"/><Relationship Type="http://schemas.openxmlformats.org/officeDocument/2006/relationships/hyperlink" Target="https://dn.ru/klapan/klapan-zapornyi/2hod/chugun/shturval/kitai/15kch19p1/dn50" TargetMode="External" Id="rId216"/><Relationship Type="http://schemas.openxmlformats.org/officeDocument/2006/relationships/hyperlink" Target="https://dn.ru/klapan/klapan-zapornyi/2hod/stalnoi/shturval/tekhgidromash/15nzh65nzh/dn80" TargetMode="External" Id="rId217"/><Relationship Type="http://schemas.openxmlformats.org/officeDocument/2006/relationships/hyperlink" Target="https://dn.ru/klapan/klapan-zapornyi/2hod/stalnoi/shturval/tekhgidromash/15nzh65nzh/dn100" TargetMode="External" Id="rId218"/><Relationship Type="http://schemas.openxmlformats.org/officeDocument/2006/relationships/hyperlink" Target="https://dn.ru/klapan/klapan-zapornyi/2hod/stalnoi/shturval/tekhgidromash/15nzh65nzh/dn32" TargetMode="External" Id="rId219"/><Relationship Type="http://schemas.openxmlformats.org/officeDocument/2006/relationships/hyperlink" Target="https://dn.ru/klapan/klapan-zapornyi/2hod/stalnoi/shturval/russia/15s22nzh/dn80" TargetMode="External" Id="rId220"/><Relationship Type="http://schemas.openxmlformats.org/officeDocument/2006/relationships/hyperlink" Target="https://dn.ru/klapan/klapan-zapornyi/2hod/stalnoi/shturval/russia/15s22nzh/dn40" TargetMode="External" Id="rId221"/><Relationship Type="http://schemas.openxmlformats.org/officeDocument/2006/relationships/hyperlink" Target="https://dn.ru/klapan/klapan-zapornyi/2hod/stalnoi/shturval/russia/15s22nzh/dn50" TargetMode="External" Id="rId222"/><Relationship Type="http://schemas.openxmlformats.org/officeDocument/2006/relationships/hyperlink" Target="https://dn.ru/klapan/klapan-zapornyi/2hod/stalnoi/shturval/russia/15s22nzh/dn80" TargetMode="External" Id="rId223"/><Relationship Type="http://schemas.openxmlformats.org/officeDocument/2006/relationships/hyperlink" Target="https://dn.ru/klapan/klapan-zapornyi/2hod/stalnoi/shturval/tekhgidromash/15s65nzh/dn100" TargetMode="External" Id="rId224"/><Relationship Type="http://schemas.openxmlformats.org/officeDocument/2006/relationships/hyperlink" Target="https://dn.ru/klapan/klapan-zapornyi/2hod/stalnoi/shturval/tekhgidromash/15s65nzh/dn25" TargetMode="External" Id="rId225"/><Relationship Type="http://schemas.openxmlformats.org/officeDocument/2006/relationships/hyperlink" Target="https://dn.ru/klapan/klapan-zapornyi/2hod/stalnoi/shturval/tekhgidromash/15s65nzh/dn40" TargetMode="External" Id="rId226"/><Relationship Type="http://schemas.openxmlformats.org/officeDocument/2006/relationships/hyperlink" Target="https://dn.ru/klapan/klapan-zapornyi/2hod/stalnoi/shturval/tekhgidromash/15s65nzh/dn50" TargetMode="External" Id="rId227"/><Relationship Type="http://schemas.openxmlformats.org/officeDocument/2006/relationships/hyperlink" Target="https://sibzta.ru/price/" TargetMode="External" Id="rId228"/><Relationship Type="http://schemas.openxmlformats.org/officeDocument/2006/relationships/hyperlink" Target="https://sibzta.ru/price/" TargetMode="External" Id="rId229"/><Relationship Type="http://schemas.openxmlformats.org/officeDocument/2006/relationships/hyperlink" Target="https://sibzta.ru/price/" TargetMode="External" Id="rId230"/><Relationship Type="http://schemas.openxmlformats.org/officeDocument/2006/relationships/hyperlink" Target="https://sibzta.ru/price/" TargetMode="External" Id="rId231"/><Relationship Type="http://schemas.openxmlformats.org/officeDocument/2006/relationships/hyperlink" Target="https://sibzta.ru/price/" TargetMode="External" Id="rId232"/><Relationship Type="http://schemas.openxmlformats.org/officeDocument/2006/relationships/hyperlink" Target="https://sibzta.ru/price/" TargetMode="External" Id="rId233"/><Relationship Type="http://schemas.openxmlformats.org/officeDocument/2006/relationships/hyperlink" Target="https://bkarm.ru/zadvizhki-chugunnye-prajs-list/" TargetMode="External" Id="rId234"/><Relationship Type="http://schemas.openxmlformats.org/officeDocument/2006/relationships/hyperlink" Target="https://bkarm.ru/zadvizhki-chugunnye-prajs-list/" TargetMode="External" Id="rId235"/><Relationship Type="http://schemas.openxmlformats.org/officeDocument/2006/relationships/hyperlink" Target="https://bkarm.ru/zadvizhki-chugunnye-prajs-list/" TargetMode="External" Id="rId236"/><Relationship Type="http://schemas.openxmlformats.org/officeDocument/2006/relationships/hyperlink" Target="https://dn.ru/sharovyi-kran/teplosnabzhenie/rezbovye-kran/standartnyi/ld/pride-47-v-v-r/dn15" TargetMode="External" Id="rId237"/><Relationship Type="http://schemas.openxmlformats.org/officeDocument/2006/relationships/hyperlink" Target="https://dn.ru/sharovyi-kran/teplosnabzhenie/rezbovye-kran/standartnyi/ld/pride-47-v-v-r/dn15" TargetMode="External" Id="rId238"/><Relationship Type="http://schemas.openxmlformats.org/officeDocument/2006/relationships/hyperlink" Target="https://dn.ru/sharovyi-kran/teplosnabzhenie/rezbovye-kran/standartnyi/ld/pride-47-v-v-r/dn15" TargetMode="External" Id="rId239"/><Relationship Type="http://schemas.openxmlformats.org/officeDocument/2006/relationships/hyperlink" Target="https://dn.ru/sharovyi-kran/teplosnabzhenie/rezbovye-kran/standartnyi/ld/pride-47-v-v-r/dn15" TargetMode="External" Id="rId240"/><Relationship Type="http://schemas.openxmlformats.org/officeDocument/2006/relationships/hyperlink" Target="https://dn.ru/sharovyi-kran/teplosnabzhenie/rezbovye-kran/standartnyi/ld/pride-47-v-v-r/dn15" TargetMode="External" Id="rId241"/><Relationship Type="http://schemas.openxmlformats.org/officeDocument/2006/relationships/hyperlink" Target="https://dn.ru/sharovyi-kran/teplosnabzhenie/rezbovye-kran/standartnyi/ld/pride-47-v-v-r/dn15" TargetMode="External" Id="rId242"/><Relationship Type="http://schemas.openxmlformats.org/officeDocument/2006/relationships/hyperlink" Target="https://dn.ru/sharovyi-kran/teplosnabzhenie/flantcevyi-kran/standartnyi/ld/st20/dn100" TargetMode="External" Id="rId243"/><Relationship Type="http://schemas.openxmlformats.org/officeDocument/2006/relationships/hyperlink" Target="https://dn.ru/sharovyi-kran/teplosnabzhenie/flantcevyi-kran/standartnyi/ld/st20/dn100" TargetMode="External" Id="rId244"/><Relationship Type="http://schemas.openxmlformats.org/officeDocument/2006/relationships/hyperlink" Target="https://dn.ru/sharovyi-kran/teplosnabzhenie/flantcevyi-kran/standartnyi/ld/st20/dn100" TargetMode="External" Id="rId245"/><Relationship Type="http://schemas.openxmlformats.org/officeDocument/2006/relationships/hyperlink" Target="https://dn.ru/sharovyi-kran/teplosnabzhenie/flantcevyi-kran/standartnyi/ld/st20/dn100" TargetMode="External" Id="rId246"/><Relationship Type="http://schemas.openxmlformats.org/officeDocument/2006/relationships/hyperlink" Target="https://dn.ru/sharovyi-kran/teplosnabzhenie/flantcevyi-kran/standartnyi/ld/st20/dn100" TargetMode="External" Id="rId247"/><Relationship Type="http://schemas.openxmlformats.org/officeDocument/2006/relationships/hyperlink" Target="https://dn.ru/sharovyi-kran/teplosnabzhenie/flantcevyi-kran/standartnyi/ld/st20/dn100" TargetMode="External" Id="rId248"/><Relationship Type="http://schemas.openxmlformats.org/officeDocument/2006/relationships/hyperlink" Target="https://dn.ru/sharovyi-kran/teplosnabzhenie/flantcevyi-kran/standartnyi/ld/st20/dn100" TargetMode="External" Id="rId249"/><Relationship Type="http://schemas.openxmlformats.org/officeDocument/2006/relationships/hyperlink" Target="https://dn.ru/sharovyi-kran/teplosnabzhenie/flantcevyi-kran/standartnyi/ld/st20/dn100" TargetMode="External" Id="rId250"/><Relationship Type="http://schemas.openxmlformats.org/officeDocument/2006/relationships/hyperlink" Target="https://dn.ru/sharovyi-kran/teplosnabzhenie/flantcevyi-kran/standartnyi/ld/st20/dn100" TargetMode="External" Id="rId251"/><Relationship Type="http://schemas.openxmlformats.org/officeDocument/2006/relationships/hyperlink" Target="https://dn.ru/sharovyi-kran/teplosnabzhenie/flantcevyi-kran/standartnyi/ld/st20/dn100" TargetMode="External" Id="rId252"/><Relationship Type="http://schemas.openxmlformats.org/officeDocument/2006/relationships/hyperlink" Target="https://dn.ru/sharovyi-kran/teplosnabzhenie/flantcevyi-kran/standartnyi/ld/st20/dn100" TargetMode="External" Id="rId253"/><Relationship Type="http://schemas.openxmlformats.org/officeDocument/2006/relationships/hyperlink" Target="https://dn.ru/sharovyi-kran/teplosnabzhenie/kran-pod-privarku/standartnyi/ld/st20/dn50" TargetMode="External" Id="rId254"/><Relationship Type="http://schemas.openxmlformats.org/officeDocument/2006/relationships/hyperlink" Target="https://dn.ru/sharovyi-kran/teplosnabzhenie/kran-pod-privarku/standartnyi/ld/st20/dn50" TargetMode="External" Id="rId255"/><Relationship Type="http://schemas.openxmlformats.org/officeDocument/2006/relationships/hyperlink" Target="https://dn.ru/sharovyi-kran/teplosnabzhenie/kran-pod-privarku/standartnyi/ld/st20/dn50" TargetMode="External" Id="rId256"/><Relationship Type="http://schemas.openxmlformats.org/officeDocument/2006/relationships/hyperlink" Target="https://dn.ru/sharovyi-kran/teplosnabzhenie/flantcevyi-kran/polnoprohodnoi/ld/kshtsf/dn80-pn16-l-210" TargetMode="External" Id="rId257"/><Relationship Type="http://schemas.openxmlformats.org/officeDocument/2006/relationships/hyperlink" Target="https://dn.ru/sharovyi-kran/teplosnabzhenie/flantcevyi-kran/polnoprohodnoi/ld/kshtsf/dn80-pn16-l-210" TargetMode="External" Id="rId258"/><Relationship Type="http://schemas.openxmlformats.org/officeDocument/2006/relationships/hyperlink" Target="https://dn.ru/sharovyi-kran/teplosnabzhenie/flantcevyi-kran/polnoprohodnoi/ld/kshtsf/dn80-pn16-l-210" TargetMode="External" Id="rId259"/><Relationship Type="http://schemas.openxmlformats.org/officeDocument/2006/relationships/hyperlink" Target="https://dn.ru/sharovyi-kran/teplosnabzhenie/flantcevyi-kran/polnoprohodnoi/ld/kshtsf/dn80-pn16-l-210" TargetMode="External" Id="rId260"/><Relationship Type="http://schemas.openxmlformats.org/officeDocument/2006/relationships/hyperlink" Target="https://dn.ru/sharovyi-kran/teplosnabzhenie/flantcevyi-kran/polnoprohodnoi/ld/kshtsf/dn80-pn16-l-210" TargetMode="External" Id="rId261"/><Relationship Type="http://schemas.openxmlformats.org/officeDocument/2006/relationships/hyperlink" Target="https://dn.ru/sharovyi-kran/teplosnabzhenie/flantcevyi-kran/polnoprohodnoi/ld/kshtsf/dn80-pn16-l-210" TargetMode="External" Id="rId262"/><Relationship Type="http://schemas.openxmlformats.org/officeDocument/2006/relationships/hyperlink" Target="https://dn.ru/sharovyi-kran/teplosnabzhenie/flantcevyi-kran/polnoprohodnoi/ld/ksh-c-f/dn100" TargetMode="External" Id="rId263"/><Relationship Type="http://schemas.openxmlformats.org/officeDocument/2006/relationships/hyperlink" Target="https://dn.ru/sharovyi-kran/teplosnabzhenie/flantcevyi-kran/polnoprohodnoi/ld/ksh-c-f/dn100" TargetMode="External" Id="rId264"/><Relationship Type="http://schemas.openxmlformats.org/officeDocument/2006/relationships/hyperlink" Target="https://dn.ru/sharovyi-kran/teplosnabzhenie/flantcevyi-kran/polnoprohodnoi/ld/ksh-c-f/dn100" TargetMode="External" Id="rId265"/><Relationship Type="http://schemas.openxmlformats.org/officeDocument/2006/relationships/hyperlink" Target="https://dn.ru/sharovyi-kran/teplosnabzhenie/flantcevyi-kran/polnoprohodnoi/ld/ksh-c-f/dn100" TargetMode="External" Id="rId266"/><Relationship Type="http://schemas.openxmlformats.org/officeDocument/2006/relationships/hyperlink" Target="https://dn.ru/sharovyi-kran/teplosnabzhenie/flantcevyi-kran/polnoprohodnoi/ld/ksh-c-f/dn100" TargetMode="External" Id="rId267"/><Relationship Type="http://schemas.openxmlformats.org/officeDocument/2006/relationships/hyperlink" Target="https://glotr.uz/krani/?d913=5393" TargetMode="External" Id="rId268"/><Relationship Type="http://schemas.openxmlformats.org/officeDocument/2006/relationships/hyperlink" Target="https://dn.ru/sharovyi-kran/teplosnabzhenie/flantcevyi-kran/polnoprohodnoi/ld/kshrf-stal-20/dn150" TargetMode="External" Id="rId269"/><Relationship Type="http://schemas.openxmlformats.org/officeDocument/2006/relationships/hyperlink" Target="https://dn.ru/sharovyi-kran/teplosnabzhenie/flantcevyi-kran/polnoprohodnoi/ld/kshrf-stal-20/dn150" TargetMode="External" Id="rId270"/><Relationship Type="http://schemas.openxmlformats.org/officeDocument/2006/relationships/hyperlink" Target="https://dn.ru/sharovyi-kran/teplosnabzhenie/flantcevyi-kran/polnoprohodnoi/ld/kshrf-stal-20/dn150" TargetMode="External" Id="rId271"/><Relationship Type="http://schemas.openxmlformats.org/officeDocument/2006/relationships/hyperlink" Target="https://dn.ru/sharovyi-kran/teplosnabzhenie/flantcevyi-kran/polnoprohodnoi/ld/kshrf-stal-20/dn150" TargetMode="External" Id="rId272"/><Relationship Type="http://schemas.openxmlformats.org/officeDocument/2006/relationships/hyperlink" Target="https://dn.ru/sharovyi-kran/teplosnabzhenie/flantcevyi-kran/polnoprohodnoi/ld/kshrf-stal-20/dn150" TargetMode="External" Id="rId273"/><Relationship Type="http://schemas.openxmlformats.org/officeDocument/2006/relationships/hyperlink" Target="https://dn.ru/sharovyi-kran/teplosnabzhenie/flantcevyi-kran/polnoprohodnoi/ld/kshrf-stal-20/dn150" TargetMode="External" Id="rId274"/><Relationship Type="http://schemas.openxmlformats.org/officeDocument/2006/relationships/hyperlink" Target="https://adl.ru/files/a7d1f80d-deeb-11e5-9f63-001f296a5bc2/Price_ADL_Valves_HVAC.XLSX" TargetMode="External" Id="rId275"/><Relationship Type="http://schemas.openxmlformats.org/officeDocument/2006/relationships/hyperlink" Target="https://adl.ru/files/a7d1f80d-deeb-11e5-9f63-001f296a5bc2/Price_ADL_Valves_HVAC.XLSX" TargetMode="External" Id="rId276"/><Relationship Type="http://schemas.openxmlformats.org/officeDocument/2006/relationships/hyperlink" Target="https://adl.ru/files/a7d1f80d-deeb-11e5-9f63-001f296a5bc2/Price_ADL_Valves_HVAC.XLSX" TargetMode="External" Id="rId277"/><Relationship Type="http://schemas.openxmlformats.org/officeDocument/2006/relationships/hyperlink" Target="https://www.vseinstrumenti.ru/product/regulyator-davleniya-posle-sebya-dn-ru-rdps-25l-m-ma-f-no-du50-ru25-kv40-flantsevyj-0-3-1-2mpa-d230-21196-22110260/" TargetMode="External" Id="rId278"/><Relationship Type="http://schemas.openxmlformats.org/officeDocument/2006/relationships/hyperlink" Target="https://dn.ru/sharovyi-kran/teplosnabzhenie/kran-pod-privarku/standartnyi/ld/st20/dn50" TargetMode="External" Id="rId279"/><Relationship Type="http://schemas.openxmlformats.org/officeDocument/2006/relationships/hyperlink" Target="https://dn.ru/sharovyi-kran/teplosnabzhenie/kran-pod-privarku/standartnyi/ld/st20/dn50" TargetMode="External" Id="rId280"/><Relationship Type="http://schemas.openxmlformats.org/officeDocument/2006/relationships/hyperlink" Target="https://dn.ru/sharovyi-kran/teplosnabzhenie/kran-pod-privarku/standartnyi/ld/st20/dn50" TargetMode="External" Id="rId281"/><Relationship Type="http://schemas.openxmlformats.org/officeDocument/2006/relationships/hyperlink" Target="https://sibzta.ru/price/" TargetMode="External" Id="rId282"/><Relationship Type="http://schemas.openxmlformats.org/officeDocument/2006/relationships/hyperlink" Target="https://dn.ru/sharovyi-kran/teplosnabzhenie/flantcevyi-kran/standartnyi/ld/kshcf-ru16/dn100-80-isp5" TargetMode="External" Id="rId283"/><Relationship Type="http://schemas.openxmlformats.org/officeDocument/2006/relationships/hyperlink" Target="https://dn.ru/sharovyi-kran/teplosnabzhenie/flantcevyi-kran/standartnyi/ld/kshcf-ru16/dn100-80-isp5" TargetMode="External" Id="rId284"/><Relationship Type="http://schemas.openxmlformats.org/officeDocument/2006/relationships/hyperlink" Target="https://dn.ru/sharovyi-kran/teplosnabzhenie/flantcevyi-kran/standartnyi/ld/kshcf-ru16/dn100-80-isp5" TargetMode="External" Id="rId285"/><Relationship Type="http://schemas.openxmlformats.org/officeDocument/2006/relationships/hyperlink" Target="https://dn.ru/sharovyi-kran/teplosnabzhenie/flantcevyi-kran/standartnyi/ld/st20/dn100" TargetMode="External" Id="rId286"/><Relationship Type="http://schemas.openxmlformats.org/officeDocument/2006/relationships/hyperlink" Target="https://dn.ru/sharovyi-kran/teplosnabzhenie/flantcevyi-kran/standartnyi/ld/st20/dn100" TargetMode="External" Id="rId287"/><Relationship Type="http://schemas.openxmlformats.org/officeDocument/2006/relationships/hyperlink" Target="https://dn.ru/sharovyi-kran/teplosnabzhenie/flantcevyi-kran/polnoprohodnoi/ld/kshtsf/dn80-pn16-l-210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22" customWidth="1" min="4" max="4"/>
    <col width="16" customWidth="1" min="5" max="5"/>
    <col width="18" customWidth="1" min="6" max="6"/>
    <col width="18" customWidth="1" min="7" max="7"/>
    <col width="18" customWidth="1" min="8" max="8"/>
    <col width="20" customWidth="1" min="9" max="9"/>
  </cols>
  <sheetData>
    <row r="1" ht="18" customHeight="1">
      <c r="A1" s="1" t="inlineStr">
        <is>
          <t>Камчатскэнерго 32616346943 — арматура среднего и низкого давления (Лот 0200-РЕМ ПРОД-2027-КамчЭн)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2" t="inlineStr">
        <is>
          <t>Конкурс в эл. форме, 223-ФЗ, Росэлторг (секция РусГидро). Подача до 29.10.2026. НМЦК с НДС. Наша цена = цена договора (УСН).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3" t="inlineStr">
        <is>
          <t>Себестоимость — из чего состоит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</row>
    <row r="4" ht="34" customHeight="1">
      <c r="A4" s="4" t="inlineStr">
        <is>
          <t>Группа</t>
        </is>
      </c>
      <c r="B4" s="4" t="inlineStr">
        <is>
          <t>Позиций</t>
        </is>
      </c>
      <c r="C4" s="4" t="inlineStr">
        <is>
          <t>С ценой</t>
        </is>
      </c>
      <c r="D4" s="4" t="inlineStr">
        <is>
          <t>Закупка по рынку (сайты/прайсы 2026, с НДС), ₽</t>
        </is>
      </c>
      <c r="E4" s="4" t="inlineStr">
        <is>
          <t>Торг −10%, ₽</t>
        </is>
      </c>
      <c r="F4" s="4" t="inlineStr">
        <is>
          <t>Доставка до Камчатки (55 ₽/кг), ₽</t>
        </is>
      </c>
      <c r="G4" s="4" t="inlineStr">
        <is>
          <t>Себестоимость найденных, ₽</t>
        </is>
      </c>
      <c r="H4" s="4" t="inlineStr">
        <is>
          <t>Оценка ненайденных, ₽</t>
        </is>
      </c>
      <c r="I4" s="4" t="inlineStr">
        <is>
          <t>Себестоимость группы, ₽</t>
        </is>
      </c>
    </row>
    <row r="5" ht="34" customHeight="1">
      <c r="A5" s="5" t="inlineStr">
        <is>
          <t>Задвижки и затворы</t>
        </is>
      </c>
      <c r="B5" s="6" t="n">
        <v>74</v>
      </c>
      <c r="C5" s="6" t="n">
        <v>74</v>
      </c>
      <c r="D5" s="7" t="n">
        <v>22123128</v>
      </c>
      <c r="E5" s="7" t="n">
        <v>-2212312.8</v>
      </c>
      <c r="F5" s="7" t="n">
        <v>1472372</v>
      </c>
      <c r="G5" s="7" t="n">
        <v>21383187.2</v>
      </c>
      <c r="H5" s="7" t="n">
        <v>0</v>
      </c>
      <c r="I5" s="7" t="n">
        <v>21383187.2</v>
      </c>
    </row>
    <row r="6" ht="34" customHeight="1">
      <c r="A6" s="5" t="inlineStr">
        <is>
          <t>Клапаны</t>
        </is>
      </c>
      <c r="B6" s="6" t="n">
        <v>107</v>
      </c>
      <c r="C6" s="6" t="n">
        <v>107</v>
      </c>
      <c r="D6" s="7" t="n">
        <v>11768995.54</v>
      </c>
      <c r="E6" s="7" t="n">
        <v>-1176899.554</v>
      </c>
      <c r="F6" s="7" t="n">
        <v>317869.75</v>
      </c>
      <c r="G6" s="7" t="n">
        <v>10909965.736</v>
      </c>
      <c r="H6" s="7" t="n">
        <v>0</v>
      </c>
      <c r="I6" s="7" t="n">
        <v>10909965.736</v>
      </c>
    </row>
    <row r="7" ht="34" customHeight="1">
      <c r="A7" s="5" t="inlineStr">
        <is>
          <t>Краны шаровые и прочее</t>
        </is>
      </c>
      <c r="B7" s="6" t="n">
        <v>134</v>
      </c>
      <c r="C7" s="6" t="n">
        <v>134</v>
      </c>
      <c r="D7" s="7" t="n">
        <v>18177304</v>
      </c>
      <c r="E7" s="7" t="n">
        <v>-1817730.4</v>
      </c>
      <c r="F7" s="7" t="n">
        <v>1278782.45</v>
      </c>
      <c r="G7" s="7" t="n">
        <v>17638356.05</v>
      </c>
      <c r="H7" s="7" t="n">
        <v>0</v>
      </c>
      <c r="I7" s="7" t="n">
        <v>17638356.05</v>
      </c>
    </row>
    <row r="8" ht="34" customHeight="1">
      <c r="A8" s="8" t="inlineStr">
        <is>
          <t>ИТОГО</t>
        </is>
      </c>
      <c r="B8" s="9" t="n">
        <v>315</v>
      </c>
      <c r="C8" s="9" t="n">
        <v>315</v>
      </c>
      <c r="D8" s="10" t="n">
        <v>52069427.54000001</v>
      </c>
      <c r="E8" s="10" t="n">
        <v>-5206942.754000001</v>
      </c>
      <c r="F8" s="10" t="n">
        <v>3069024.2</v>
      </c>
      <c r="G8" s="10" t="n">
        <v>49931508.986</v>
      </c>
      <c r="H8" s="10" t="n">
        <v>0</v>
      </c>
      <c r="I8" s="10" t="n">
        <v>49931508.986</v>
      </c>
    </row>
    <row r="9" ht="53" customHeight="1">
      <c r="A9" s="5" t="inlineStr">
        <is>
          <t>Как считали</t>
        </is>
      </c>
      <c r="B9" s="5" t="inlineStr">
        <is>
          <t>Себестоимость = цена поставщика за ед. × кол-во − 10% торг + вес × кол-во × 55 ₽/кг. Ненайденные позиции: по средней найденной в группе; если в группе цен нет — остаток до оценки по истории лотов (60% НМЦК + 5 млн доставки). Детально по каждой позиции — лист «Позиции» (столбец «Себес за ед.»).</t>
        </is>
      </c>
      <c r="C9" s="11" t="n"/>
      <c r="D9" s="11" t="n"/>
      <c r="E9" s="11" t="n"/>
      <c r="F9" s="11" t="n"/>
      <c r="G9" s="11" t="n"/>
      <c r="H9" s="11" t="n"/>
      <c r="I9" s="12" t="n"/>
    </row>
    <row r="10" ht="34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34" customHeight="1">
      <c r="A11" s="4" t="inlineStr">
        <is>
          <t>Показатель</t>
        </is>
      </c>
      <c r="B11" s="4" t="inlineStr">
        <is>
          <t>Значение</t>
        </is>
      </c>
      <c r="C11" s="4" t="inlineStr">
        <is>
          <t>Комментарий</t>
        </is>
      </c>
      <c r="D11" s="11" t="n"/>
      <c r="E11" s="11" t="n"/>
      <c r="F11" s="11" t="n"/>
      <c r="G11" s="11" t="n"/>
      <c r="H11" s="11" t="n"/>
      <c r="I11" s="12" t="n"/>
    </row>
    <row r="12" ht="34" customHeight="1">
      <c r="A12" s="5" t="inlineStr">
        <is>
          <t>НМЦК, ₽</t>
        </is>
      </c>
      <c r="B12" s="7" t="n">
        <v>101102908</v>
      </c>
      <c r="C12" s="5" t="inlineStr">
        <is>
          <t>весь лот, 315 позиций, 3 383 ед., 4 грузополучателя</t>
        </is>
      </c>
      <c r="D12" s="11" t="n"/>
      <c r="E12" s="11" t="n"/>
      <c r="F12" s="11" t="n"/>
      <c r="G12" s="11" t="n"/>
      <c r="H12" s="11" t="n"/>
      <c r="I12" s="12" t="n"/>
    </row>
    <row r="13" ht="34" customHeight="1">
      <c r="A13" s="5" t="inlineStr">
        <is>
          <t>Себестоимость лота, ₽</t>
        </is>
      </c>
      <c r="B13" s="7" t="n">
        <v>49931508.986</v>
      </c>
      <c r="C13" s="5" t="inlineStr">
        <is>
          <t>из таблицы выше</t>
        </is>
      </c>
      <c r="D13" s="11" t="n"/>
      <c r="E13" s="11" t="n"/>
      <c r="F13" s="11" t="n"/>
      <c r="G13" s="11" t="n"/>
      <c r="H13" s="11" t="n"/>
      <c r="I13" s="12" t="n"/>
    </row>
    <row r="14" ht="34" customHeight="1">
      <c r="A14" s="5" t="inlineStr">
        <is>
          <t>Маржа при НМЦК</t>
        </is>
      </c>
      <c r="B14" s="13">
        <f>1-B13/B12</f>
        <v/>
      </c>
      <c r="C14" s="5" t="inlineStr"/>
      <c r="D14" s="11" t="n"/>
      <c r="E14" s="11" t="n"/>
      <c r="F14" s="11" t="n"/>
      <c r="G14" s="11" t="n"/>
      <c r="H14" s="11" t="n"/>
      <c r="I14" s="12" t="n"/>
    </row>
    <row r="15" ht="34" customHeight="1">
      <c r="A15" s="5" t="inlineStr">
        <is>
          <t>Ожидаемое снижение на конкурсе</t>
        </is>
      </c>
      <c r="B15" s="14" t="n">
        <v>0.15</v>
      </c>
      <c r="C15" s="5" t="inlineStr">
        <is>
          <t>история: −7% … −23% (2025–2026), большинство заявок отклоняют</t>
        </is>
      </c>
      <c r="D15" s="11" t="n"/>
      <c r="E15" s="11" t="n"/>
      <c r="F15" s="11" t="n"/>
      <c r="G15" s="11" t="n"/>
      <c r="H15" s="11" t="n"/>
      <c r="I15" s="12" t="n"/>
    </row>
    <row r="16" ht="34" customHeight="1">
      <c r="A16" s="5" t="inlineStr">
        <is>
          <t>Цена заявки, ₽</t>
        </is>
      </c>
      <c r="B16" s="15">
        <f>B12*(1-B15)</f>
        <v/>
      </c>
      <c r="C16" s="5" t="inlineStr"/>
      <c r="D16" s="11" t="n"/>
      <c r="E16" s="11" t="n"/>
      <c r="F16" s="11" t="n"/>
      <c r="G16" s="11" t="n"/>
      <c r="H16" s="11" t="n"/>
      <c r="I16" s="12" t="n"/>
    </row>
    <row r="17" ht="34" customHeight="1">
      <c r="A17" s="5" t="inlineStr">
        <is>
          <t>Прибыль до налога, ₽</t>
        </is>
      </c>
      <c r="B17" s="15">
        <f>B16-B13-0.008*B16-B13*0.2*120/365</f>
        <v/>
      </c>
      <c r="C17" s="5" t="inlineStr">
        <is>
          <t>0,8% ЭП/банк, деньги 20% годовых на 120 дней</t>
        </is>
      </c>
      <c r="D17" s="11" t="n"/>
      <c r="E17" s="11" t="n"/>
      <c r="F17" s="11" t="n"/>
      <c r="G17" s="11" t="n"/>
      <c r="H17" s="11" t="n"/>
      <c r="I17" s="12" t="n"/>
    </row>
    <row r="18" ht="34" customHeight="1">
      <c r="A18" s="5" t="inlineStr">
        <is>
          <t>Прибыль после УСН 15%, ₽</t>
        </is>
      </c>
      <c r="B18" s="15">
        <f>B17-0.15*MAX(B17,0)</f>
        <v/>
      </c>
      <c r="C18" s="5" t="inlineStr"/>
      <c r="D18" s="11" t="n"/>
      <c r="E18" s="11" t="n"/>
      <c r="F18" s="11" t="n"/>
      <c r="G18" s="11" t="n"/>
      <c r="H18" s="11" t="n"/>
      <c r="I18" s="12" t="n"/>
    </row>
    <row r="19" ht="34" customHeight="1">
      <c r="A19" s="5" t="inlineStr">
        <is>
          <t>Маржа к цене заявки</t>
        </is>
      </c>
      <c r="B19" s="13">
        <f>B18/B16</f>
        <v/>
      </c>
      <c r="C19" s="5" t="inlineStr"/>
      <c r="D19" s="11" t="n"/>
      <c r="E19" s="11" t="n"/>
      <c r="F19" s="11" t="n"/>
      <c r="G19" s="11" t="n"/>
      <c r="H19" s="11" t="n"/>
      <c r="I19" s="12" t="n"/>
    </row>
    <row r="20" ht="34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4" customHeight="1">
      <c r="A21" s="4" t="inlineStr">
        <is>
          <t>Сценарии снижения</t>
        </is>
      </c>
      <c r="B21" s="4" t="inlineStr">
        <is>
          <t>Прибыль после УСН, ₽</t>
        </is>
      </c>
      <c r="C21" s="4" t="inlineStr"/>
      <c r="D21" s="16" t="n"/>
      <c r="E21" s="16" t="n"/>
      <c r="F21" s="16" t="n"/>
      <c r="G21" s="16" t="n"/>
      <c r="H21" s="16" t="n"/>
      <c r="I21" s="16" t="n"/>
    </row>
    <row r="22" ht="34" customHeight="1">
      <c r="A22" s="5" t="inlineStr">
        <is>
          <t>−0%</t>
        </is>
      </c>
      <c r="B22" s="15">
        <f>(B12*(1-0)-B13-0.008*B12*(1-0)-B13*0.2*120/365)*IF((B12*(1-0)-B13-0.008*B12*(1-0)-B13*0.2*120/365)&gt;0,0.85,1)</f>
        <v/>
      </c>
      <c r="C22" s="5" t="inlineStr"/>
      <c r="D22" s="6" t="n"/>
      <c r="E22" s="6" t="n"/>
      <c r="F22" s="6" t="n"/>
      <c r="G22" s="6" t="n"/>
      <c r="H22" s="6" t="n"/>
      <c r="I22" s="6" t="n"/>
    </row>
    <row r="23" ht="34" customHeight="1">
      <c r="A23" s="5" t="inlineStr">
        <is>
          <t>−7%</t>
        </is>
      </c>
      <c r="B23" s="15">
        <f>(B12*(1-0.07)-B13-0.008*B12*(1-0.07)-B13*0.2*120/365)*IF((B12*(1-0.07)-B13-0.008*B12*(1-0.07)-B13*0.2*120/365)&gt;0,0.85,1)</f>
        <v/>
      </c>
      <c r="C23" s="5" t="inlineStr"/>
      <c r="D23" s="6" t="n"/>
      <c r="E23" s="6" t="n"/>
      <c r="F23" s="6" t="n"/>
      <c r="G23" s="6" t="n"/>
      <c r="H23" s="6" t="n"/>
      <c r="I23" s="6" t="n"/>
    </row>
    <row r="24" ht="34" customHeight="1">
      <c r="A24" s="5" t="inlineStr">
        <is>
          <t>−15%</t>
        </is>
      </c>
      <c r="B24" s="15">
        <f>(B12*(1-0.15)-B13-0.008*B12*(1-0.15)-B13*0.2*120/365)*IF((B12*(1-0.15)-B13-0.008*B12*(1-0.15)-B13*0.2*120/365)&gt;0,0.85,1)</f>
        <v/>
      </c>
      <c r="C24" s="5" t="inlineStr"/>
      <c r="D24" s="6" t="n"/>
      <c r="E24" s="6" t="n"/>
      <c r="F24" s="6" t="n"/>
      <c r="G24" s="6" t="n"/>
      <c r="H24" s="6" t="n"/>
      <c r="I24" s="6" t="n"/>
    </row>
    <row r="25" ht="34" customHeight="1">
      <c r="A25" s="5" t="inlineStr">
        <is>
          <t>−23%</t>
        </is>
      </c>
      <c r="B25" s="15">
        <f>(B12*(1-0.23)-B13-0.008*B12*(1-0.23)-B13*0.2*120/365)*IF((B12*(1-0.23)-B13-0.008*B12*(1-0.23)-B13*0.2*120/365)&gt;0,0.85,1)</f>
        <v/>
      </c>
      <c r="C25" s="5" t="inlineStr"/>
      <c r="D25" s="6" t="n"/>
      <c r="E25" s="6" t="n"/>
      <c r="F25" s="6" t="n"/>
      <c r="G25" s="6" t="n"/>
      <c r="H25" s="6" t="n"/>
      <c r="I25" s="6" t="n"/>
    </row>
    <row r="26" ht="34" customHeight="1">
      <c r="A26" s="5" t="inlineStr">
        <is>
          <t>−30%</t>
        </is>
      </c>
      <c r="B26" s="15">
        <f>(B12*(1-0.3)-B13-0.008*B12*(1-0.3)-B13*0.2*120/365)*IF((B12*(1-0.3)-B13-0.008*B12*(1-0.3)-B13*0.2*120/365)&gt;0,0.85,1)</f>
        <v/>
      </c>
      <c r="C26" s="5" t="inlineStr"/>
      <c r="D26" s="6" t="n"/>
      <c r="E26" s="6" t="n"/>
      <c r="F26" s="6" t="n"/>
      <c r="G26" s="6" t="n"/>
      <c r="H26" s="6" t="n"/>
      <c r="I26" s="6" t="n"/>
    </row>
    <row r="27" ht="34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 ht="34" customHeight="1">
      <c r="A28" s="4" t="inlineStr">
        <is>
          <t>Условия</t>
        </is>
      </c>
      <c r="B28" s="4" t="inlineStr"/>
      <c r="C28" s="4" t="inlineStr"/>
      <c r="D28" s="16" t="n"/>
      <c r="E28" s="16" t="n"/>
      <c r="F28" s="16" t="n"/>
      <c r="G28" s="16" t="n"/>
      <c r="H28" s="16" t="n"/>
      <c r="I28" s="16" t="n"/>
    </row>
    <row r="29" ht="38" customHeight="1">
      <c r="A29" s="5" t="inlineStr">
        <is>
          <t>Поставка</t>
        </is>
      </c>
      <c r="B29" s="5" t="inlineStr">
        <is>
          <t>в течение 120 календарных дней с подписания договора; Петропавловск-Камчатский (ул. Пограничная 75А, ул. Степная 50, пр. Победы 24) и Елизовский р-н, пос. Светлый</t>
        </is>
      </c>
      <c r="C29" s="11" t="n"/>
      <c r="D29" s="11" t="n"/>
      <c r="E29" s="11" t="n"/>
      <c r="F29" s="11" t="n"/>
      <c r="G29" s="11" t="n"/>
      <c r="H29" s="11" t="n"/>
      <c r="I29" s="12" t="n"/>
    </row>
    <row r="30" ht="23" customHeight="1">
      <c r="A30" s="5" t="inlineStr">
        <is>
          <t>Обеспечение заявки</t>
        </is>
      </c>
      <c r="B30" s="5" t="inlineStr">
        <is>
          <t>1 005 499,42 ₽ (БГ или деньги)</t>
        </is>
      </c>
      <c r="C30" s="11" t="n"/>
      <c r="D30" s="11" t="n"/>
      <c r="E30" s="11" t="n"/>
      <c r="F30" s="11" t="n"/>
      <c r="G30" s="11" t="n"/>
      <c r="H30" s="11" t="n"/>
      <c r="I30" s="12" t="n"/>
    </row>
    <row r="31" ht="23" customHeight="1">
      <c r="A31" s="5" t="inlineStr">
        <is>
          <t>Аванс</t>
        </is>
      </c>
      <c r="B31" s="5" t="inlineStr">
        <is>
          <t>предусмотрен; обеспечение возврата аванса — 100% суммы аванса (БГ); размер — в проекте договора</t>
        </is>
      </c>
      <c r="C31" s="11" t="n"/>
      <c r="D31" s="11" t="n"/>
      <c r="E31" s="11" t="n"/>
      <c r="F31" s="11" t="n"/>
      <c r="G31" s="11" t="n"/>
      <c r="H31" s="11" t="n"/>
      <c r="I31" s="12" t="n"/>
    </row>
    <row r="32" ht="23" customHeight="1">
      <c r="A32" s="5" t="inlineStr">
        <is>
          <t>Гарантия</t>
        </is>
      </c>
      <c r="B32" s="5" t="inlineStr">
        <is>
          <t>по заводу, не менее 12 мес.; изготовление — год поставки или предыдущий</t>
        </is>
      </c>
      <c r="C32" s="11" t="n"/>
      <c r="D32" s="11" t="n"/>
      <c r="E32" s="11" t="n"/>
      <c r="F32" s="11" t="n"/>
      <c r="G32" s="11" t="n"/>
      <c r="H32" s="11" t="n"/>
      <c r="I32" s="12" t="n"/>
    </row>
    <row r="33" ht="23" customHeight="1">
      <c r="A33" s="5" t="inlineStr">
        <is>
          <t>Нацрежим</t>
        </is>
      </c>
      <c r="B33" s="5" t="inlineStr">
        <is>
          <t>ПП 1875 — ограничение + преимущество: по каждой позиции номер записи в реестре Минпромторга/ЕАЭС</t>
        </is>
      </c>
      <c r="C33" s="11" t="n"/>
      <c r="D33" s="11" t="n"/>
      <c r="E33" s="11" t="n"/>
      <c r="F33" s="11" t="n"/>
      <c r="G33" s="11" t="n"/>
      <c r="H33" s="11" t="n"/>
      <c r="I33" s="12" t="n"/>
    </row>
    <row r="34" ht="23" customHeight="1">
      <c r="A34" s="5" t="inlineStr">
        <is>
          <t>Документы</t>
        </is>
      </c>
      <c r="B34" s="5" t="inlineStr">
        <is>
          <t>сертификаты/декларации ТР ТС 032/2013 и 010/2011 со схемами 1с/5Д и протоколами испытаний; техпредложение по Прил. 1</t>
        </is>
      </c>
      <c r="C34" s="11" t="n"/>
      <c r="D34" s="11" t="n"/>
      <c r="E34" s="11" t="n"/>
      <c r="F34" s="11" t="n"/>
      <c r="G34" s="11" t="n"/>
      <c r="H34" s="11" t="n"/>
      <c r="I34" s="12" t="n"/>
    </row>
    <row r="35" ht="23" customHeight="1">
      <c r="A35" s="5" t="inlineStr">
        <is>
          <t>Аккредитация</t>
        </is>
      </c>
      <c r="B35" s="5" t="inlineStr">
        <is>
          <t>аккредитация в РусГидро (Прил. 10)</t>
        </is>
      </c>
      <c r="C35" s="11" t="n"/>
      <c r="D35" s="11" t="n"/>
      <c r="E35" s="11" t="n"/>
      <c r="F35" s="11" t="n"/>
      <c r="G35" s="11" t="n"/>
      <c r="H35" s="11" t="n"/>
      <c r="I35" s="12" t="n"/>
    </row>
    <row r="36" ht="34" customHeight="1">
      <c r="A36" s="5" t="inlineStr">
        <is>
          <t>Подача на часть лота</t>
        </is>
      </c>
      <c r="B36" s="5" t="inlineStr">
        <is>
          <t>нельзя — лот неделимый</t>
        </is>
      </c>
      <c r="C36" s="5" t="inlineStr"/>
      <c r="D36" s="6" t="n"/>
      <c r="E36" s="6" t="n"/>
      <c r="F36" s="6" t="n"/>
      <c r="G36" s="6" t="n"/>
      <c r="H36" s="6" t="n"/>
      <c r="I36" s="6" t="n"/>
    </row>
    <row r="37" ht="23" customHeight="1">
      <c r="A37" s="5" t="inlineStr">
        <is>
          <t>Эквиваленты</t>
        </is>
      </c>
      <c r="B37" s="5" t="inlineStr">
        <is>
          <t>допускаются, марка носит описательный характер; нужно обоснование эквивалентности</t>
        </is>
      </c>
      <c r="C37" s="11" t="n"/>
      <c r="D37" s="11" t="n"/>
      <c r="E37" s="11" t="n"/>
      <c r="F37" s="11" t="n"/>
      <c r="G37" s="11" t="n"/>
      <c r="H37" s="11" t="n"/>
      <c r="I37" s="12" t="n"/>
    </row>
    <row r="38" ht="34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</row>
    <row r="39" ht="34" customHeight="1">
      <c r="A39" s="4" t="inlineStr">
        <is>
          <t>История лотов Камчатскэнерго</t>
        </is>
      </c>
      <c r="B39" s="4" t="inlineStr"/>
      <c r="C39" s="4" t="inlineStr"/>
      <c r="D39" s="16" t="n"/>
      <c r="E39" s="16" t="n"/>
      <c r="F39" s="16" t="n"/>
      <c r="G39" s="16" t="n"/>
      <c r="H39" s="16" t="n"/>
      <c r="I39" s="16" t="n"/>
    </row>
    <row r="40" ht="23" customHeight="1">
      <c r="A40" s="5" t="inlineStr">
        <is>
          <t>13000-РЕМ ПРОД-2026-КамчЭн</t>
        </is>
      </c>
      <c r="B40" s="5" t="inlineStr">
        <is>
          <t>НМЦК 119 527 144 ₽ → победитель 92043800; снижение 0.23</t>
        </is>
      </c>
      <c r="C40" s="11" t="n"/>
      <c r="D40" s="11" t="n"/>
      <c r="E40" s="11" t="n"/>
      <c r="F40" s="11" t="n"/>
      <c r="G40" s="11" t="n"/>
      <c r="H40" s="11" t="n"/>
      <c r="I40" s="12" t="n"/>
    </row>
    <row r="41" ht="23" customHeight="1">
      <c r="A41" s="5" t="inlineStr">
        <is>
          <t>25900-РЕМ ПРОД-2025-КамчЭн</t>
        </is>
      </c>
      <c r="B41" s="5" t="inlineStr">
        <is>
          <t>НМЦК 85 866 140 ₽ → победитель 79900000; снижение 0.07</t>
        </is>
      </c>
      <c r="C41" s="11" t="n"/>
      <c r="D41" s="11" t="n"/>
      <c r="E41" s="11" t="n"/>
      <c r="F41" s="11" t="n"/>
      <c r="G41" s="11" t="n"/>
      <c r="H41" s="11" t="n"/>
      <c r="I41" s="12" t="n"/>
    </row>
    <row r="42" ht="23" customHeight="1">
      <c r="A42" s="5" t="inlineStr">
        <is>
          <t>1000-РЕМ ПРОД-2026-КамчЭн (арматура среднего давления)</t>
        </is>
      </c>
      <c r="B42" s="5" t="inlineStr">
        <is>
          <t>НМЦК 52 886 220 ₽ → победитель 52100110; снижение 0.015</t>
        </is>
      </c>
      <c r="C42" s="11" t="n"/>
      <c r="D42" s="11" t="n"/>
      <c r="E42" s="11" t="n"/>
      <c r="F42" s="11" t="n"/>
      <c r="G42" s="11" t="n"/>
      <c r="H42" s="11" t="n"/>
      <c r="I42" s="12" t="n"/>
    </row>
    <row r="43" ht="23" customHeight="1">
      <c r="A43" s="5" t="inlineStr">
        <is>
          <t>0100-РЕМ ПРОД-2027-КамчЭн (арматура высокого давления)</t>
        </is>
      </c>
      <c r="B43" s="5" t="inlineStr">
        <is>
          <t>НМЦК 180 965 509 ₽ → победитель 157097600; снижение 0.132</t>
        </is>
      </c>
      <c r="C43" s="11" t="n"/>
      <c r="D43" s="11" t="n"/>
      <c r="E43" s="11" t="n"/>
      <c r="F43" s="11" t="n"/>
      <c r="G43" s="11" t="n"/>
      <c r="H43" s="11" t="n"/>
      <c r="I43" s="12" t="n"/>
    </row>
  </sheetData>
  <mergeCells count="22">
    <mergeCell ref="C17:I17"/>
    <mergeCell ref="B31:I31"/>
    <mergeCell ref="C19:I19"/>
    <mergeCell ref="B43:I43"/>
    <mergeCell ref="C13:I13"/>
    <mergeCell ref="C18:I18"/>
    <mergeCell ref="B42:I42"/>
    <mergeCell ref="C15:I15"/>
    <mergeCell ref="B32:I32"/>
    <mergeCell ref="C14:I14"/>
    <mergeCell ref="B29:I29"/>
    <mergeCell ref="B34:I34"/>
    <mergeCell ref="B37:I37"/>
    <mergeCell ref="C16:I16"/>
    <mergeCell ref="B40:I40"/>
    <mergeCell ref="B9:I9"/>
    <mergeCell ref="B30:I30"/>
    <mergeCell ref="B33:I33"/>
    <mergeCell ref="C12:I12"/>
    <mergeCell ref="B41:I41"/>
    <mergeCell ref="C11:I11"/>
    <mergeCell ref="B35:I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3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16" customWidth="1" min="3" max="3"/>
    <col width="46" customWidth="1" min="4" max="4"/>
    <col width="7" customWidth="1" min="5" max="5"/>
    <col width="5" customWidth="1" min="6" max="6"/>
    <col width="6" customWidth="1" min="7" max="7"/>
    <col width="7" customWidth="1" min="8" max="8"/>
    <col width="18" customWidth="1" min="9" max="9"/>
    <col width="16" customWidth="1" min="10" max="10"/>
    <col width="13" customWidth="1" min="11" max="11"/>
    <col width="13" customWidth="1" min="12" max="12"/>
    <col width="8" customWidth="1" min="13" max="13"/>
    <col width="14" customWidth="1" min="14" max="14"/>
    <col width="12" customWidth="1" min="15" max="15"/>
    <col width="14" customWidth="1" min="16" max="16"/>
    <col width="13" customWidth="1" min="17" max="17"/>
    <col width="22" customWidth="1" min="18" max="18"/>
    <col width="26" customWidth="1" min="19" max="19"/>
    <col width="26" customWidth="1" min="20" max="20"/>
    <col width="30" customWidth="1" min="21" max="21"/>
  </cols>
  <sheetData>
    <row r="1" ht="18" customHeight="1">
      <c r="A1" s="17" t="inlineStr">
        <is>
          <t>Камчатскэнерго 32616346943 — позиции, количества, себестоимость (заполненные цены — рынок 2026 с НДС; пустые — ещё ищем, можно вписать вручную)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51" customHeight="1">
      <c r="A2" s="18" t="inlineStr">
        <is>
          <t>Таблица</t>
        </is>
      </c>
      <c r="B2" s="18" t="inlineStr">
        <is>
          <t>№</t>
        </is>
      </c>
      <c r="C2" s="18" t="inlineStr">
        <is>
          <t>Группа</t>
        </is>
      </c>
      <c r="D2" s="18" t="inlineStr">
        <is>
          <t>Позиция</t>
        </is>
      </c>
      <c r="E2" s="18" t="inlineStr">
        <is>
          <t>Кол-во</t>
        </is>
      </c>
      <c r="F2" s="18" t="inlineStr">
        <is>
          <t>Ед.</t>
        </is>
      </c>
      <c r="G2" s="18" t="inlineStr">
        <is>
          <t>DN</t>
        </is>
      </c>
      <c r="H2" s="18" t="inlineStr">
        <is>
          <t>PN, МПа</t>
        </is>
      </c>
      <c r="I2" s="18" t="inlineStr">
        <is>
          <t>Материал корпуса</t>
        </is>
      </c>
      <c r="J2" s="18" t="inlineStr">
        <is>
          <t>Привод</t>
        </is>
      </c>
      <c r="K2" s="18" t="inlineStr">
        <is>
          <t>Цена за ед. (рынок), ₽</t>
        </is>
      </c>
      <c r="L2" s="18" t="inlineStr">
        <is>
          <t>Цена после торга −10%, ₽</t>
        </is>
      </c>
      <c r="M2" s="18" t="inlineStr">
        <is>
          <t>Вес ед., кг</t>
        </is>
      </c>
      <c r="N2" s="18" t="inlineStr">
        <is>
          <t>Сумма закупки, ₽</t>
        </is>
      </c>
      <c r="O2" s="18" t="inlineStr">
        <is>
          <t>Доставка, ₽</t>
        </is>
      </c>
      <c r="P2" s="18" t="inlineStr">
        <is>
          <t>Себестоимость позиции, ₽</t>
        </is>
      </c>
      <c r="Q2" s="18" t="inlineStr">
        <is>
          <t>Себес за ед. (торг+доставка), ₽</t>
        </is>
      </c>
      <c r="R2" s="18" t="inlineStr">
        <is>
          <t>Поставщик</t>
        </is>
      </c>
      <c r="S2" s="18" t="inlineStr">
        <is>
          <t>Тип цены / подтверждение 2026</t>
        </is>
      </c>
      <c r="T2" s="18" t="inlineStr">
        <is>
          <t>Аналог / реестр МПТ</t>
        </is>
      </c>
      <c r="U2" s="18" t="inlineStr">
        <is>
          <t>Ссылка</t>
        </is>
      </c>
    </row>
    <row r="3" ht="34" customHeight="1">
      <c r="A3" s="5" t="inlineStr">
        <is>
          <t>1.1</t>
        </is>
      </c>
      <c r="B3" s="6" t="n">
        <v>1</v>
      </c>
      <c r="C3" s="5" t="inlineStr">
        <is>
          <t>Клапаны</t>
        </is>
      </c>
      <c r="D3" s="5" t="inlineStr">
        <is>
          <t>Клапан предохранительный 17лс17нж Ду 200-300  Ру 16-6 полноподъемный пружинный фланцевый</t>
        </is>
      </c>
      <c r="E3" s="6" t="n">
        <v>1</v>
      </c>
      <c r="F3" s="5" t="inlineStr">
        <is>
          <t>шт</t>
        </is>
      </c>
      <c r="G3" s="6" t="n">
        <v>200</v>
      </c>
      <c r="H3" s="6" t="n">
        <v>1.6</v>
      </c>
      <c r="I3" s="5" t="inlineStr">
        <is>
          <t>Корпус — сталь 20ГЛ ГОСТ 977-88;  Крышка</t>
        </is>
      </c>
      <c r="J3" s="5" t="inlineStr">
        <is>
          <t>автоматическое/ручное</t>
        </is>
      </c>
      <c r="K3" s="7" t="n">
        <v>477825.81</v>
      </c>
      <c r="L3" s="15">
        <f>IF(K3="","",K3*(1-0.1))</f>
        <v/>
      </c>
      <c r="M3" s="6" t="n">
        <v>420</v>
      </c>
      <c r="N3" s="15">
        <f>IF(K3="","",L3*E3)</f>
        <v/>
      </c>
      <c r="O3" s="15">
        <f>IF(M3="","",M3*E3*55)</f>
        <v/>
      </c>
      <c r="P3" s="15">
        <f>IF(N3="","",N3+N(O3))</f>
        <v/>
      </c>
      <c r="Q3" s="15">
        <f>IF(P3="","",P3/E3)</f>
        <v/>
      </c>
      <c r="R3" s="5" t="inlineStr">
        <is>
          <t>ДН.ру (dn.ru), бренд Авангард</t>
        </is>
      </c>
      <c r="S3" s="5" t="inlineStr">
        <is>
          <t>розница · B: dn.ru — живой магазин ООО «ДН.ру», © 2026,</t>
        </is>
      </c>
      <c r="T3" s="5" t="inlineStr">
        <is>
          <t>exact · не проверено</t>
        </is>
      </c>
      <c r="U3" s="5" t="inlineStr">
        <is>
          <t>https://dn.ru/klapan/klapan-predokhranitelnyi/flantcevyi/avangard/17ls17nzh/dn200-300</t>
        </is>
      </c>
    </row>
    <row r="4" ht="34" customHeight="1">
      <c r="A4" s="5" t="inlineStr">
        <is>
          <t>1.1</t>
        </is>
      </c>
      <c r="B4" s="6" t="n">
        <v>2</v>
      </c>
      <c r="C4" s="5" t="inlineStr">
        <is>
          <t>Клапаны</t>
        </is>
      </c>
      <c r="D4" s="5" t="inlineStr">
        <is>
          <t>Клапан запорный 15нж65нж Ду 200 Ру 16</t>
        </is>
      </c>
      <c r="E4" s="6" t="n">
        <v>4</v>
      </c>
      <c r="F4" s="5" t="inlineStr">
        <is>
          <t>шт</t>
        </is>
      </c>
      <c r="G4" s="6" t="n">
        <v>200</v>
      </c>
      <c r="H4" s="6" t="n">
        <v>1.6</v>
      </c>
      <c r="I4" s="5" t="inlineStr">
        <is>
          <t>12Х18Н10Т</t>
        </is>
      </c>
      <c r="J4" s="5" t="inlineStr">
        <is>
          <t xml:space="preserve">Ручное </t>
        </is>
      </c>
      <c r="K4" s="7" t="n">
        <v>169700</v>
      </c>
      <c r="L4" s="15">
        <f>IF(K4="","",K4*(1-0.1))</f>
        <v/>
      </c>
      <c r="M4" s="6" t="n">
        <v>150</v>
      </c>
      <c r="N4" s="15">
        <f>IF(K4="","",L4*E4)</f>
        <v/>
      </c>
      <c r="O4" s="15">
        <f>IF(M4="","",M4*E4*55)</f>
        <v/>
      </c>
      <c r="P4" s="15">
        <f>IF(N4="","",N4+N(O4))</f>
        <v/>
      </c>
      <c r="Q4" s="15">
        <f>IF(P4="","",P4/E4)</f>
        <v/>
      </c>
      <c r="R4" s="5" t="inlineStr">
        <is>
          <t>ДН.ру / ТехГидроМаш</t>
        </is>
      </c>
      <c r="S4" s="5" t="inlineStr">
        <is>
          <t>оценка · оценка по соседнему типоразмеру/аналогу (источ</t>
        </is>
      </c>
      <c r="T4" s="5" t="inlineStr">
        <is>
          <t>analog: 15нж65нж Ду200 (масштаб от Ду150) · не проверен</t>
        </is>
      </c>
      <c r="U4" s="5" t="inlineStr">
        <is>
          <t>https://dn.ru/klapan/klapan-zapornyi/2hod/stalnoi/shturval/tekhgidromash/15nzh65nzh-12h18n9tl/dn150</t>
        </is>
      </c>
    </row>
    <row r="5" ht="34" customHeight="1">
      <c r="A5" s="5" t="inlineStr">
        <is>
          <t>1.1</t>
        </is>
      </c>
      <c r="B5" s="6" t="n">
        <v>3</v>
      </c>
      <c r="C5" s="5" t="inlineStr">
        <is>
          <t>Клапаны</t>
        </is>
      </c>
      <c r="D5" s="5" t="inlineStr">
        <is>
          <t>Клапан запорный15нж65нж Ду 50 Ру 16</t>
        </is>
      </c>
      <c r="E5" s="6" t="n">
        <v>3</v>
      </c>
      <c r="F5" s="5" t="inlineStr">
        <is>
          <t>шт</t>
        </is>
      </c>
      <c r="G5" s="6" t="n">
        <v>50</v>
      </c>
      <c r="H5" s="6" t="n">
        <v>1.6</v>
      </c>
      <c r="I5" s="5" t="inlineStr">
        <is>
          <t>12Х18Н10Т</t>
        </is>
      </c>
      <c r="J5" s="5" t="inlineStr">
        <is>
          <t xml:space="preserve">Ручное </t>
        </is>
      </c>
      <c r="K5" s="7" t="n">
        <v>16371.18</v>
      </c>
      <c r="L5" s="15">
        <f>IF(K5="","",K5*(1-0.1))</f>
        <v/>
      </c>
      <c r="M5" s="6" t="n">
        <v>14</v>
      </c>
      <c r="N5" s="15">
        <f>IF(K5="","",L5*E5)</f>
        <v/>
      </c>
      <c r="O5" s="15">
        <f>IF(M5="","",M5*E5*55)</f>
        <v/>
      </c>
      <c r="P5" s="15">
        <f>IF(N5="","",N5+N(O5))</f>
        <v/>
      </c>
      <c r="Q5" s="15">
        <f>IF(P5="","",P5/E5)</f>
        <v/>
      </c>
      <c r="R5" s="5" t="inlineStr">
        <is>
          <t>ДН.ру (dn.ru), бренд ТехГидроМаш</t>
        </is>
      </c>
      <c r="S5" s="5" t="inlineStr">
        <is>
          <t>розница · B: dn.ru — живой магазин ООО «ДН.ру», © 2026,</t>
        </is>
      </c>
      <c r="T5" s="5" t="inlineStr">
        <is>
          <t>analog: корпус 12Х18Н9ТЛ вместо 12Х18Н10Т · не проверен</t>
        </is>
      </c>
      <c r="U5" s="5" t="inlineStr">
        <is>
          <t>https://dn.ru/klapan/klapan-zapornyi/2hod/stalnoi/shturval/tekhgidromash/15nzh65nzh-12h18n9tl/dn50</t>
        </is>
      </c>
    </row>
    <row r="6" ht="34" customHeight="1">
      <c r="A6" s="5" t="inlineStr">
        <is>
          <t>1.1</t>
        </is>
      </c>
      <c r="B6" s="6" t="n">
        <v>4</v>
      </c>
      <c r="C6" s="5" t="inlineStr">
        <is>
          <t>Клапаны</t>
        </is>
      </c>
      <c r="D6" s="5" t="inlineStr">
        <is>
          <t>Клапан запорный15с52нж11 Ду 32 Ру 63 под приварку</t>
        </is>
      </c>
      <c r="E6" s="6" t="n">
        <v>12</v>
      </c>
      <c r="F6" s="5" t="inlineStr">
        <is>
          <t>шт</t>
        </is>
      </c>
      <c r="G6" s="6" t="n">
        <v>32</v>
      </c>
      <c r="H6" s="6" t="n">
        <v>6.3</v>
      </c>
      <c r="I6" s="5" t="inlineStr">
        <is>
          <t>Сталь 20</t>
        </is>
      </c>
      <c r="J6" s="5" t="inlineStr">
        <is>
          <t xml:space="preserve">ручное </t>
        </is>
      </c>
      <c r="K6" s="7" t="n">
        <v>11000</v>
      </c>
      <c r="L6" s="15">
        <f>IF(K6="","",K6*(1-0.1))</f>
        <v/>
      </c>
      <c r="M6" s="6" t="n">
        <v>7.5</v>
      </c>
      <c r="N6" s="15">
        <f>IF(K6="","",L6*E6)</f>
        <v/>
      </c>
      <c r="O6" s="15">
        <f>IF(M6="","",M6*E6*55)</f>
        <v/>
      </c>
      <c r="P6" s="15">
        <f>IF(N6="","",N6+N(O6))</f>
        <v/>
      </c>
      <c r="Q6" s="15">
        <f>IF(P6="","",P6/E6)</f>
        <v/>
      </c>
      <c r="R6" s="5" t="inlineStr">
        <is>
          <t>АТКА через ВсеИнструменты</t>
        </is>
      </c>
      <c r="S6" s="5" t="inlineStr">
        <is>
          <t>оценка · оценка по соседнему типоразмеру/аналогу (источ</t>
        </is>
      </c>
      <c r="T6" s="5" t="inlineStr">
        <is>
          <t>exact (марка), цена оценочная · не проверено</t>
        </is>
      </c>
      <c r="U6" s="5" t="inlineStr">
        <is>
          <t>https://www.vseinstrumenti.ru/product/klapan-ventil-zapornyj-atka-15s52nzh11-du40-ru63-pod-privarku-1005021205-13916407/</t>
        </is>
      </c>
    </row>
    <row r="7" ht="34" customHeight="1">
      <c r="A7" s="5" t="inlineStr">
        <is>
          <t>1.1</t>
        </is>
      </c>
      <c r="B7" s="6" t="n">
        <v>5</v>
      </c>
      <c r="C7" s="5" t="inlineStr">
        <is>
          <t>Задвижки и затворы</t>
        </is>
      </c>
      <c r="D7" s="5" t="inlineStr">
        <is>
          <t>Задвижка 30нж41нж Ду 150 Ру 16 1исп. САЗ</t>
        </is>
      </c>
      <c r="E7" s="6" t="n">
        <v>1</v>
      </c>
      <c r="F7" s="5" t="inlineStr">
        <is>
          <t>шт</t>
        </is>
      </c>
      <c r="G7" s="6" t="n">
        <v>150</v>
      </c>
      <c r="H7" s="6" t="n">
        <v>1.6</v>
      </c>
      <c r="I7" s="5" t="inlineStr">
        <is>
          <t>сталь 12Х18Н9ТЛ</t>
        </is>
      </c>
      <c r="J7" s="5" t="inlineStr">
        <is>
          <t>ручной (маховик)</t>
        </is>
      </c>
      <c r="K7" s="7" t="n">
        <v>108193</v>
      </c>
      <c r="L7" s="15">
        <f>IF(K7="","",K7*(1-0.1))</f>
        <v/>
      </c>
      <c r="M7" s="6" t="n">
        <v>62</v>
      </c>
      <c r="N7" s="15">
        <f>IF(K7="","",L7*E7)</f>
        <v/>
      </c>
      <c r="O7" s="15">
        <f>IF(M7="","",M7*E7*55)</f>
        <v/>
      </c>
      <c r="P7" s="15">
        <f>IF(N7="","",N7+N(O7))</f>
        <v/>
      </c>
      <c r="Q7" s="15">
        <f>IF(P7="","",P7/E7)</f>
        <v/>
      </c>
      <c r="R7" s="5" t="inlineStr">
        <is>
          <t>СибЗТА (sibzta.ru, Москва)</t>
        </is>
      </c>
      <c r="S7" s="5" t="inlineStr">
        <is>
          <t>розница · A: прайс-лист от 12.01.2026 (розничная цена)</t>
        </is>
      </c>
      <c r="T7" s="5" t="inlineStr">
        <is>
          <t>analog: 30нж41нж СибЗТА вместо исп.1 САЗ (та же марка/D</t>
        </is>
      </c>
      <c r="U7" s="5" t="inlineStr">
        <is>
          <t>https://sibzta.ru/price/</t>
        </is>
      </c>
    </row>
    <row r="8" ht="34" customHeight="1">
      <c r="A8" s="5" t="inlineStr">
        <is>
          <t>1.1</t>
        </is>
      </c>
      <c r="B8" s="6" t="n">
        <v>6</v>
      </c>
      <c r="C8" s="5" t="inlineStr">
        <is>
          <t>Задвижки и затворы</t>
        </is>
      </c>
      <c r="D8" s="5" t="inlineStr">
        <is>
          <t>Задвижка 30нж947нж Ду 1000 Ру 4</t>
        </is>
      </c>
      <c r="E8" s="6" t="n">
        <v>1</v>
      </c>
      <c r="F8" s="5" t="inlineStr">
        <is>
          <t>шт</t>
        </is>
      </c>
      <c r="G8" s="6" t="n">
        <v>1000</v>
      </c>
      <c r="H8" s="6" t="n">
        <v>0.4</v>
      </c>
      <c r="I8" s="5" t="inlineStr">
        <is>
          <t>Ст.12Х18Н10Т</t>
        </is>
      </c>
      <c r="J8" s="5" t="inlineStr">
        <is>
          <t>Под привод , тип присоединения</t>
        </is>
      </c>
      <c r="K8" s="7" t="n">
        <v>2100000</v>
      </c>
      <c r="L8" s="15">
        <f>IF(K8="","",K8*(1-0.1))</f>
        <v/>
      </c>
      <c r="M8" s="6" t="n">
        <v>1500</v>
      </c>
      <c r="N8" s="15">
        <f>IF(K8="","",L8*E8)</f>
        <v/>
      </c>
      <c r="O8" s="15">
        <f>IF(M8="","",M8*E8*55)</f>
        <v/>
      </c>
      <c r="P8" s="15">
        <f>IF(N8="","",N8+N(O8))</f>
        <v/>
      </c>
      <c r="Q8" s="15">
        <f>IF(P8="","",P8/E8)</f>
        <v/>
      </c>
      <c r="R8" s="5" t="inlineStr">
        <is>
          <t>[оценка] рос. производители нерж. ш</t>
        </is>
      </c>
      <c r="S8" s="5" t="inlineStr">
        <is>
          <t xml:space="preserve">оценка · оценка; ориентир: 30с947нж DN1000 PN4 (сталь) </t>
        </is>
      </c>
      <c r="T8" s="5" t="inlineStr">
        <is>
          <t xml:space="preserve">analog/оценка: стальная 30с947нж DN1000 PN4 (~700 тыс. </t>
        </is>
      </c>
      <c r="U8" s="5" t="inlineStr">
        <is>
          <t>https://chzta.ru/catalog/zadvizhki/du-1000/</t>
        </is>
      </c>
    </row>
    <row r="9" ht="34" customHeight="1">
      <c r="A9" s="5" t="inlineStr">
        <is>
          <t>1.1</t>
        </is>
      </c>
      <c r="B9" s="6" t="n">
        <v>7</v>
      </c>
      <c r="C9" s="5" t="inlineStr">
        <is>
          <t>Задвижки и затворы</t>
        </is>
      </c>
      <c r="D9" s="5" t="inlineStr">
        <is>
          <t>Задвижка 30с41нж Ду 50 Ру 16</t>
        </is>
      </c>
      <c r="E9" s="6" t="n">
        <v>10</v>
      </c>
      <c r="F9" s="5" t="inlineStr">
        <is>
          <t>шт</t>
        </is>
      </c>
      <c r="G9" s="6" t="n">
        <v>50</v>
      </c>
      <c r="H9" s="6" t="n">
        <v>1.6</v>
      </c>
      <c r="I9" s="5" t="inlineStr">
        <is>
          <t>Сталь 25 Л</t>
        </is>
      </c>
      <c r="J9" s="5" t="inlineStr">
        <is>
          <t xml:space="preserve">Ручное  </t>
        </is>
      </c>
      <c r="K9" s="7" t="n">
        <v>7482</v>
      </c>
      <c r="L9" s="15">
        <f>IF(K9="","",K9*(1-0.1))</f>
        <v/>
      </c>
      <c r="M9" s="6" t="n">
        <v>16</v>
      </c>
      <c r="N9" s="15">
        <f>IF(K9="","",L9*E9)</f>
        <v/>
      </c>
      <c r="O9" s="15">
        <f>IF(M9="","",M9*E9*55)</f>
        <v/>
      </c>
      <c r="P9" s="15">
        <f>IF(N9="","",N9+N(O9))</f>
        <v/>
      </c>
      <c r="Q9" s="15">
        <f>IF(P9="","",P9/E9)</f>
        <v/>
      </c>
      <c r="R9" s="5" t="inlineStr">
        <is>
          <t>СибЗТА (sibzta.ru, Москва)</t>
        </is>
      </c>
      <c r="S9" s="5" t="inlineStr">
        <is>
          <t>розница · A: прайс-лист от 12.01.2026 (розничная цена)</t>
        </is>
      </c>
      <c r="T9" s="5" t="inlineStr">
        <is>
          <t>exact · не проверено</t>
        </is>
      </c>
      <c r="U9" s="5" t="inlineStr">
        <is>
          <t>https://sibzta.ru/price/</t>
        </is>
      </c>
    </row>
    <row r="10" ht="34" customHeight="1">
      <c r="A10" s="5" t="inlineStr">
        <is>
          <t>1.1</t>
        </is>
      </c>
      <c r="B10" s="6" t="n">
        <v>8</v>
      </c>
      <c r="C10" s="5" t="inlineStr">
        <is>
          <t>Задвижки и затворы</t>
        </is>
      </c>
      <c r="D10" s="5" t="inlineStr">
        <is>
          <t>Задвижка 30с41нж Ду 100 Ру 16</t>
        </is>
      </c>
      <c r="E10" s="6" t="n">
        <v>7</v>
      </c>
      <c r="F10" s="5" t="inlineStr">
        <is>
          <t>шт</t>
        </is>
      </c>
      <c r="G10" s="6" t="n">
        <v>100</v>
      </c>
      <c r="H10" s="6" t="n">
        <v>1.6</v>
      </c>
      <c r="I10" s="5" t="inlineStr">
        <is>
          <t>сталь 25Л</t>
        </is>
      </c>
      <c r="J10" s="5" t="inlineStr">
        <is>
          <t>ручной (маховик)</t>
        </is>
      </c>
      <c r="K10" s="7" t="n">
        <v>14448</v>
      </c>
      <c r="L10" s="15">
        <f>IF(K10="","",K10*(1-0.1))</f>
        <v/>
      </c>
      <c r="M10" s="6" t="n">
        <v>34</v>
      </c>
      <c r="N10" s="15">
        <f>IF(K10="","",L10*E10)</f>
        <v/>
      </c>
      <c r="O10" s="15">
        <f>IF(M10="","",M10*E10*55)</f>
        <v/>
      </c>
      <c r="P10" s="15">
        <f>IF(N10="","",N10+N(O10))</f>
        <v/>
      </c>
      <c r="Q10" s="15">
        <f>IF(P10="","",P10/E10)</f>
        <v/>
      </c>
      <c r="R10" s="5" t="inlineStr">
        <is>
          <t>СибЗТА (sibzta.ru, Москва)</t>
        </is>
      </c>
      <c r="S10" s="5" t="inlineStr">
        <is>
          <t>розница · A: прайс-лист от 12.01.2026 (розничная цена)</t>
        </is>
      </c>
      <c r="T10" s="5" t="inlineStr">
        <is>
          <t>exact · не проверено</t>
        </is>
      </c>
      <c r="U10" s="5" t="inlineStr">
        <is>
          <t>https://sibzta.ru/price/</t>
        </is>
      </c>
    </row>
    <row r="11" ht="34" customHeight="1">
      <c r="A11" s="5" t="inlineStr">
        <is>
          <t>1.1</t>
        </is>
      </c>
      <c r="B11" s="6" t="n">
        <v>9</v>
      </c>
      <c r="C11" s="5" t="inlineStr">
        <is>
          <t>Задвижки и затворы</t>
        </is>
      </c>
      <c r="D11" s="5" t="inlineStr">
        <is>
          <t>Задвижка 30с41нж Ду 150 Ру 16</t>
        </is>
      </c>
      <c r="E11" s="6" t="n">
        <v>10</v>
      </c>
      <c r="F11" s="5" t="inlineStr">
        <is>
          <t>шт</t>
        </is>
      </c>
      <c r="G11" s="6" t="n">
        <v>150</v>
      </c>
      <c r="H11" s="6" t="n">
        <v>1.6</v>
      </c>
      <c r="I11" s="5" t="inlineStr">
        <is>
          <t>сталь 25Л</t>
        </is>
      </c>
      <c r="J11" s="5" t="inlineStr">
        <is>
          <t>ручной (маховик)</t>
        </is>
      </c>
      <c r="K11" s="7" t="n">
        <v>27735</v>
      </c>
      <c r="L11" s="15">
        <f>IF(K11="","",K11*(1-0.1))</f>
        <v/>
      </c>
      <c r="M11" s="6" t="n">
        <v>60</v>
      </c>
      <c r="N11" s="15">
        <f>IF(K11="","",L11*E11)</f>
        <v/>
      </c>
      <c r="O11" s="15">
        <f>IF(M11="","",M11*E11*55)</f>
        <v/>
      </c>
      <c r="P11" s="15">
        <f>IF(N11="","",N11+N(O11))</f>
        <v/>
      </c>
      <c r="Q11" s="15">
        <f>IF(P11="","",P11/E11)</f>
        <v/>
      </c>
      <c r="R11" s="5" t="inlineStr">
        <is>
          <t>СибЗТА (sibzta.ru, Москва)</t>
        </is>
      </c>
      <c r="S11" s="5" t="inlineStr">
        <is>
          <t>розница · A: прайс-лист от 12.01.2026 (розничная цена)</t>
        </is>
      </c>
      <c r="T11" s="5" t="inlineStr">
        <is>
          <t>exact · не проверено</t>
        </is>
      </c>
      <c r="U11" s="5" t="inlineStr">
        <is>
          <t>https://sibzta.ru/price/</t>
        </is>
      </c>
    </row>
    <row r="12" ht="34" customHeight="1">
      <c r="A12" s="5" t="inlineStr">
        <is>
          <t>1.1</t>
        </is>
      </c>
      <c r="B12" s="6" t="n">
        <v>10</v>
      </c>
      <c r="C12" s="5" t="inlineStr">
        <is>
          <t>Задвижки и затворы</t>
        </is>
      </c>
      <c r="D12" s="5" t="inlineStr">
        <is>
          <t>Задвижка клиновая фланцевая 30с41нж Ду 300 Ру 16 с КОФ</t>
        </is>
      </c>
      <c r="E12" s="6" t="n">
        <v>2</v>
      </c>
      <c r="F12" s="5" t="inlineStr">
        <is>
          <t>шт</t>
        </is>
      </c>
      <c r="G12" s="6" t="n">
        <v>300</v>
      </c>
      <c r="H12" s="6" t="n">
        <v>1.6</v>
      </c>
      <c r="I12" s="5" t="inlineStr">
        <is>
          <t>сталь 25Л</t>
        </is>
      </c>
      <c r="J12" s="5" t="inlineStr">
        <is>
          <t xml:space="preserve">Ручное  </t>
        </is>
      </c>
      <c r="K12" s="7" t="n">
        <v>94850</v>
      </c>
      <c r="L12" s="15">
        <f>IF(K12="","",K12*(1-0.1))</f>
        <v/>
      </c>
      <c r="M12" s="6" t="n">
        <v>230</v>
      </c>
      <c r="N12" s="15">
        <f>IF(K12="","",L12*E12)</f>
        <v/>
      </c>
      <c r="O12" s="15">
        <f>IF(M12="","",M12*E12*55)</f>
        <v/>
      </c>
      <c r="P12" s="15">
        <f>IF(N12="","",N12+N(O12))</f>
        <v/>
      </c>
      <c r="Q12" s="15">
        <f>IF(P12="","",P12/E12)</f>
        <v/>
      </c>
      <c r="R12" s="5" t="inlineStr">
        <is>
          <t>СибЗТА (sibzta.ru, Москва)</t>
        </is>
      </c>
      <c r="S12" s="5" t="inlineStr">
        <is>
          <t>розница · A: прайс-лист от 12.01.2026 (розничная цена)</t>
        </is>
      </c>
      <c r="T12" s="5" t="inlineStr">
        <is>
          <t>exact + КОФ · не проверено</t>
        </is>
      </c>
      <c r="U12" s="5" t="inlineStr">
        <is>
          <t>https://sibzta.ru/price/</t>
        </is>
      </c>
    </row>
    <row r="13" ht="34" customHeight="1">
      <c r="A13" s="5" t="inlineStr">
        <is>
          <t>1.1</t>
        </is>
      </c>
      <c r="B13" s="6" t="n">
        <v>11</v>
      </c>
      <c r="C13" s="5" t="inlineStr">
        <is>
          <t>Задвижки и затворы</t>
        </is>
      </c>
      <c r="D13" s="5" t="inlineStr">
        <is>
          <t>Задвижка 30С576НЖ Ду 300 Ру 63 с редуктором РК-Г-1М, в комплекте с крепежом и ответными фланцами.</t>
        </is>
      </c>
      <c r="E13" s="6" t="n">
        <v>2</v>
      </c>
      <c r="F13" s="5" t="inlineStr">
        <is>
          <t>шт</t>
        </is>
      </c>
      <c r="G13" s="6" t="n">
        <v>300</v>
      </c>
      <c r="H13" s="6" t="n">
        <v>6.3</v>
      </c>
      <c r="I13" s="5" t="inlineStr">
        <is>
          <t>Сталь 25Л</t>
        </is>
      </c>
      <c r="J13" s="5" t="inlineStr">
        <is>
          <t>редуктор РК-Г1</t>
        </is>
      </c>
      <c r="K13" s="7" t="n">
        <v>480500</v>
      </c>
      <c r="L13" s="15">
        <f>IF(K13="","",K13*(1-0.1))</f>
        <v/>
      </c>
      <c r="M13" s="6" t="n">
        <v>520</v>
      </c>
      <c r="N13" s="15">
        <f>IF(K13="","",L13*E13)</f>
        <v/>
      </c>
      <c r="O13" s="15">
        <f>IF(M13="","",M13*E13*55)</f>
        <v/>
      </c>
      <c r="P13" s="15">
        <f>IF(N13="","",N13+N(O13))</f>
        <v/>
      </c>
      <c r="Q13" s="15">
        <f>IF(P13="","",P13/E13)</f>
        <v/>
      </c>
      <c r="R13" s="5" t="inlineStr">
        <is>
          <t>Спецарматура (specarmatura.ru) + КО</t>
        </is>
      </c>
      <c r="S13" s="5" t="inlineStr">
        <is>
          <t>розница · B: магазин, под заказ; tdnhi.ru 488 000 ₽ без</t>
        </is>
      </c>
      <c r="T13" s="5" t="inlineStr">
        <is>
          <t>analog: 30с576нж DN300 PN63 фланцевая с редуктором; под</t>
        </is>
      </c>
      <c r="U13" s="5" t="inlineStr">
        <is>
          <t>https://www.specarmatura.ru/catalog/zadvizhka_30s576nzh/zadvizhka_30s515nzh_du300_1/</t>
        </is>
      </c>
    </row>
    <row r="14" ht="34" customHeight="1">
      <c r="A14" s="5" t="inlineStr">
        <is>
          <t>1.1</t>
        </is>
      </c>
      <c r="B14" s="6" t="n">
        <v>12</v>
      </c>
      <c r="C14" s="5" t="inlineStr">
        <is>
          <t>Задвижки и затворы</t>
        </is>
      </c>
      <c r="D14" s="5" t="inlineStr">
        <is>
          <t>Задвижка клиновая фланцевая 30с941нж Ду 500 Ру 16 с КОФ под электропривод Bernard ST-30</t>
        </is>
      </c>
      <c r="E14" s="6" t="n">
        <v>1</v>
      </c>
      <c r="F14" s="5" t="inlineStr">
        <is>
          <t>шт</t>
        </is>
      </c>
      <c r="G14" s="6" t="n">
        <v>500</v>
      </c>
      <c r="H14" s="5" t="inlineStr">
        <is>
          <t>1,6 МПа</t>
        </is>
      </c>
      <c r="I14" s="5" t="inlineStr">
        <is>
          <t>сталь 25Л</t>
        </is>
      </c>
      <c r="J14" s="5" t="inlineStr">
        <is>
          <t>под электропривод</t>
        </is>
      </c>
      <c r="K14" s="7" t="n">
        <v>565341</v>
      </c>
      <c r="L14" s="15">
        <f>IF(K14="","",K14*(1-0.1))</f>
        <v/>
      </c>
      <c r="M14" s="6" t="n">
        <v>960</v>
      </c>
      <c r="N14" s="15">
        <f>IF(K14="","",L14*E14)</f>
        <v/>
      </c>
      <c r="O14" s="15">
        <f>IF(M14="","",M14*E14*55)</f>
        <v/>
      </c>
      <c r="P14" s="15">
        <f>IF(N14="","",N14+N(O14))</f>
        <v/>
      </c>
      <c r="Q14" s="15">
        <f>IF(P14="","",P14/E14)</f>
        <v/>
      </c>
      <c r="R14" s="5" t="inlineStr">
        <is>
          <t>БК-Арматура (bkarm.ru)</t>
        </is>
      </c>
      <c r="S14" s="5" t="inlineStr">
        <is>
          <t>розница · C: © 1994-2026, прайс-страница, цены с НДС</t>
        </is>
      </c>
      <c r="T14" s="5" t="inlineStr">
        <is>
          <t>analog: 30с941нж DN500 PN16 под эл/п тип В (ГЗ-В); прис</t>
        </is>
      </c>
      <c r="U14" s="5" t="inlineStr">
        <is>
          <t>https://bkarm.ru/zadvizhka-pod-elektroprivod-prajs-list/</t>
        </is>
      </c>
    </row>
    <row r="15" ht="34" customHeight="1">
      <c r="A15" s="5" t="inlineStr">
        <is>
          <t>1.1</t>
        </is>
      </c>
      <c r="B15" s="6" t="n">
        <v>13</v>
      </c>
      <c r="C15" s="5" t="inlineStr">
        <is>
          <t>Задвижки и затворы</t>
        </is>
      </c>
      <c r="D15" s="5" t="inlineStr">
        <is>
          <t>Задвижка 30с964нж Ду 300 Ру 25</t>
        </is>
      </c>
      <c r="E15" s="6" t="n">
        <v>1</v>
      </c>
      <c r="F15" s="5" t="inlineStr">
        <is>
          <t>шт</t>
        </is>
      </c>
      <c r="G15" s="6" t="n">
        <v>300</v>
      </c>
      <c r="H15" s="6" t="n">
        <v>2.5</v>
      </c>
      <c r="I15" s="5" t="inlineStr">
        <is>
          <t>Сталь 25Л</t>
        </is>
      </c>
      <c r="J15" s="5" t="inlineStr">
        <is>
          <t>Под привод, ручное</t>
        </is>
      </c>
      <c r="K15" s="7" t="n">
        <v>132193</v>
      </c>
      <c r="L15" s="15">
        <f>IF(K15="","",K15*(1-0.1))</f>
        <v/>
      </c>
      <c r="M15" s="6" t="n">
        <v>230</v>
      </c>
      <c r="N15" s="15">
        <f>IF(K15="","",L15*E15)</f>
        <v/>
      </c>
      <c r="O15" s="15">
        <f>IF(M15="","",M15*E15*55)</f>
        <v/>
      </c>
      <c r="P15" s="15">
        <f>IF(N15="","",N15+N(O15))</f>
        <v/>
      </c>
      <c r="Q15" s="15">
        <f>IF(P15="","",P15/E15)</f>
        <v/>
      </c>
      <c r="R15" s="5" t="inlineStr">
        <is>
          <t>БК-Арматура (bkarm.ru)</t>
        </is>
      </c>
      <c r="S15" s="5" t="inlineStr">
        <is>
          <t>розница · C: © 1994-2026, прайс-страница, цены с НДС</t>
        </is>
      </c>
      <c r="T15" s="5" t="inlineStr">
        <is>
          <t>analog: 30с964нж DN300 PN25 фланцевая под эл/п Б (вариа</t>
        </is>
      </c>
      <c r="U15" s="5" t="inlineStr">
        <is>
          <t>https://bkarm.ru/zadvizhka-pod-elektroprivod-prajs-list/</t>
        </is>
      </c>
    </row>
    <row r="16" ht="34" customHeight="1">
      <c r="A16" s="5" t="inlineStr">
        <is>
          <t>1.1</t>
        </is>
      </c>
      <c r="B16" s="6" t="n">
        <v>14</v>
      </c>
      <c r="C16" s="5" t="inlineStr">
        <is>
          <t>Краны шаровые и прочее</t>
        </is>
      </c>
      <c r="D16" s="5" t="inlineStr">
        <is>
          <t>Кран шаровой 11б27п1 Ду 15 Ру 16</t>
        </is>
      </c>
      <c r="E16" s="6" t="n">
        <v>35</v>
      </c>
      <c r="F16" s="5" t="inlineStr">
        <is>
          <t>шт</t>
        </is>
      </c>
      <c r="G16" s="6" t="n">
        <v>15</v>
      </c>
      <c r="H16" s="6" t="n">
        <v>1.6</v>
      </c>
      <c r="I16" s="5" t="inlineStr">
        <is>
          <t>латунь HPb58-2A</t>
        </is>
      </c>
      <c r="J16" s="5" t="inlineStr">
        <is>
          <t xml:space="preserve">Ручное </t>
        </is>
      </c>
      <c r="K16" s="7" t="n">
        <v>302</v>
      </c>
      <c r="L16" s="15">
        <f>IF(K16="","",K16*(1-0.1))</f>
        <v/>
      </c>
      <c r="M16" s="6" t="n">
        <v>0.15</v>
      </c>
      <c r="N16" s="15">
        <f>IF(K16="","",L16*E16)</f>
        <v/>
      </c>
      <c r="O16" s="15">
        <f>IF(M16="","",M16*E16*55)</f>
        <v/>
      </c>
      <c r="P16" s="15">
        <f>IF(N16="","",N16+N(O16))</f>
        <v/>
      </c>
      <c r="Q16" s="15">
        <f>IF(P16="","",P16/E16)</f>
        <v/>
      </c>
      <c r="R16" s="5" t="inlineStr">
        <is>
          <t>ДН.ру (dn.ru), дилер LD / пр-ль ООО</t>
        </is>
      </c>
      <c r="S16" s="5" t="inlineStr">
        <is>
          <t>розница · B: dn.ru ©2026, цена «на 2026-10/11», товар в</t>
        </is>
      </c>
      <c r="T16" s="5" t="inlineStr">
        <is>
          <t>exact · не проверено</t>
        </is>
      </c>
      <c r="U16" s="5" t="inlineStr">
        <is>
          <t>https://dn.ru/sharovyi-kran/teplosnabzhenie/rezbovye-kran/standartnyi/ld/pride-47-v-v-r/dn15</t>
        </is>
      </c>
    </row>
    <row r="17" ht="34" customHeight="1">
      <c r="A17" s="5" t="inlineStr">
        <is>
          <t>1.1</t>
        </is>
      </c>
      <c r="B17" s="6" t="n">
        <v>15</v>
      </c>
      <c r="C17" s="5" t="inlineStr">
        <is>
          <t>Краны шаровые и прочее</t>
        </is>
      </c>
      <c r="D17" s="5" t="inlineStr">
        <is>
          <t>Кран шаровой 11б27п1 Ду 20 Ру 16</t>
        </is>
      </c>
      <c r="E17" s="6" t="n">
        <v>35</v>
      </c>
      <c r="F17" s="5" t="inlineStr">
        <is>
          <t>шт</t>
        </is>
      </c>
      <c r="G17" s="6" t="n">
        <v>20</v>
      </c>
      <c r="H17" s="6" t="n">
        <v>1.6</v>
      </c>
      <c r="I17" s="5" t="inlineStr">
        <is>
          <t>латунь HPb58-2A</t>
        </is>
      </c>
      <c r="J17" s="5" t="inlineStr">
        <is>
          <t xml:space="preserve">Ручное </t>
        </is>
      </c>
      <c r="K17" s="7" t="n">
        <v>402</v>
      </c>
      <c r="L17" s="15">
        <f>IF(K17="","",K17*(1-0.1))</f>
        <v/>
      </c>
      <c r="M17" s="6" t="n">
        <v>0.24</v>
      </c>
      <c r="N17" s="15">
        <f>IF(K17="","",L17*E17)</f>
        <v/>
      </c>
      <c r="O17" s="15">
        <f>IF(M17="","",M17*E17*55)</f>
        <v/>
      </c>
      <c r="P17" s="15">
        <f>IF(N17="","",N17+N(O17))</f>
        <v/>
      </c>
      <c r="Q17" s="15">
        <f>IF(P17="","",P17/E17)</f>
        <v/>
      </c>
      <c r="R17" s="5" t="inlineStr">
        <is>
          <t>ДН.ру (dn.ru), дилер LD / пр-ль ООО</t>
        </is>
      </c>
      <c r="S17" s="5" t="inlineStr">
        <is>
          <t>розница · B: dn.ru ©2026, цена «на 2026-10/11», товар в</t>
        </is>
      </c>
      <c r="T17" s="5" t="inlineStr">
        <is>
          <t>exact · не проверено</t>
        </is>
      </c>
      <c r="U17" s="5" t="inlineStr">
        <is>
          <t>https://dn.ru/sharovyi-kran/teplosnabzhenie/rezbovye-kran/standartnyi/ld/pride-47-v-v-r/dn15</t>
        </is>
      </c>
    </row>
    <row r="18" ht="34" customHeight="1">
      <c r="A18" s="5" t="inlineStr">
        <is>
          <t>1.1</t>
        </is>
      </c>
      <c r="B18" s="6" t="n">
        <v>16</v>
      </c>
      <c r="C18" s="5" t="inlineStr">
        <is>
          <t>Краны шаровые и прочее</t>
        </is>
      </c>
      <c r="D18" s="5" t="inlineStr">
        <is>
          <t>Кран шаровой 11б27п1 Ду 25 Ру 16</t>
        </is>
      </c>
      <c r="E18" s="6" t="n">
        <v>20</v>
      </c>
      <c r="F18" s="5" t="inlineStr">
        <is>
          <t>шт</t>
        </is>
      </c>
      <c r="G18" s="6" t="n">
        <v>25</v>
      </c>
      <c r="H18" s="6" t="n">
        <v>1.6</v>
      </c>
      <c r="I18" s="5" t="inlineStr">
        <is>
          <t>латунь HPb58-2A</t>
        </is>
      </c>
      <c r="J18" s="5" t="inlineStr">
        <is>
          <t xml:space="preserve">Ручное </t>
        </is>
      </c>
      <c r="K18" s="7" t="n">
        <v>919</v>
      </c>
      <c r="L18" s="15">
        <f>IF(K18="","",K18*(1-0.1))</f>
        <v/>
      </c>
      <c r="M18" s="6" t="n">
        <v>0.4</v>
      </c>
      <c r="N18" s="15">
        <f>IF(K18="","",L18*E18)</f>
        <v/>
      </c>
      <c r="O18" s="15">
        <f>IF(M18="","",M18*E18*55)</f>
        <v/>
      </c>
      <c r="P18" s="15">
        <f>IF(N18="","",N18+N(O18))</f>
        <v/>
      </c>
      <c r="Q18" s="15">
        <f>IF(P18="","",P18/E18)</f>
        <v/>
      </c>
      <c r="R18" s="5" t="inlineStr">
        <is>
          <t>ДН.ру (dn.ru), дилер LD / пр-ль ООО</t>
        </is>
      </c>
      <c r="S18" s="5" t="inlineStr">
        <is>
          <t>розница · B: dn.ru ©2026, цена «на 2026-10/11», товар в</t>
        </is>
      </c>
      <c r="T18" s="5" t="inlineStr">
        <is>
          <t>exact · не проверено</t>
        </is>
      </c>
      <c r="U18" s="5" t="inlineStr">
        <is>
          <t>https://dn.ru/sharovyi-kran/teplosnabzhenie/rezbovye-kran/standartnyi/ld/pride-47-v-v-r/dn15</t>
        </is>
      </c>
    </row>
    <row r="19" ht="34" customHeight="1">
      <c r="A19" s="5" t="inlineStr">
        <is>
          <t>1.1</t>
        </is>
      </c>
      <c r="B19" s="6" t="n">
        <v>17</v>
      </c>
      <c r="C19" s="5" t="inlineStr">
        <is>
          <t>Краны шаровые и прочее</t>
        </is>
      </c>
      <c r="D19" s="5" t="inlineStr">
        <is>
          <t>Кран шаровой 11б27п1 Ду 32 Ру 16</t>
        </is>
      </c>
      <c r="E19" s="6" t="n">
        <v>25</v>
      </c>
      <c r="F19" s="5" t="inlineStr">
        <is>
          <t>шт</t>
        </is>
      </c>
      <c r="G19" s="6" t="n">
        <v>32</v>
      </c>
      <c r="H19" s="6" t="n">
        <v>1.6</v>
      </c>
      <c r="I19" s="5" t="inlineStr">
        <is>
          <t>латунь HPb58-2A</t>
        </is>
      </c>
      <c r="J19" s="5" t="inlineStr">
        <is>
          <t xml:space="preserve">Ручное </t>
        </is>
      </c>
      <c r="K19" s="7" t="n">
        <v>1495</v>
      </c>
      <c r="L19" s="15">
        <f>IF(K19="","",K19*(1-0.1))</f>
        <v/>
      </c>
      <c r="M19" s="6" t="n">
        <v>0.65</v>
      </c>
      <c r="N19" s="15">
        <f>IF(K19="","",L19*E19)</f>
        <v/>
      </c>
      <c r="O19" s="15">
        <f>IF(M19="","",M19*E19*55)</f>
        <v/>
      </c>
      <c r="P19" s="15">
        <f>IF(N19="","",N19+N(O19))</f>
        <v/>
      </c>
      <c r="Q19" s="15">
        <f>IF(P19="","",P19/E19)</f>
        <v/>
      </c>
      <c r="R19" s="5" t="inlineStr">
        <is>
          <t>ДН.ру (dn.ru), дилер LD / пр-ль ООО</t>
        </is>
      </c>
      <c r="S19" s="5" t="inlineStr">
        <is>
          <t>розница · B: dn.ru ©2026, цена «на 2026-10/11», товар в</t>
        </is>
      </c>
      <c r="T19" s="5" t="inlineStr">
        <is>
          <t>exact · не проверено</t>
        </is>
      </c>
      <c r="U19" s="5" t="inlineStr">
        <is>
          <t>https://dn.ru/sharovyi-kran/teplosnabzhenie/rezbovye-kran/standartnyi/ld/pride-47-v-v-r/dn15</t>
        </is>
      </c>
    </row>
    <row r="20" ht="34" customHeight="1">
      <c r="A20" s="5" t="inlineStr">
        <is>
          <t>1.1</t>
        </is>
      </c>
      <c r="B20" s="6" t="n">
        <v>18</v>
      </c>
      <c r="C20" s="5" t="inlineStr">
        <is>
          <t>Краны шаровые и прочее</t>
        </is>
      </c>
      <c r="D20" s="5" t="inlineStr">
        <is>
          <t>Кран шаровой 11б27п1 Ду 40 Ру 16</t>
        </is>
      </c>
      <c r="E20" s="6" t="n">
        <v>8</v>
      </c>
      <c r="F20" s="5" t="inlineStr">
        <is>
          <t>шт</t>
        </is>
      </c>
      <c r="G20" s="6" t="n">
        <v>40</v>
      </c>
      <c r="H20" s="6" t="n">
        <v>1.6</v>
      </c>
      <c r="I20" s="5" t="inlineStr">
        <is>
          <t>латунь HPb58-2A</t>
        </is>
      </c>
      <c r="J20" s="5" t="inlineStr">
        <is>
          <t xml:space="preserve">Ручное </t>
        </is>
      </c>
      <c r="K20" s="7" t="n">
        <v>2022</v>
      </c>
      <c r="L20" s="15">
        <f>IF(K20="","",K20*(1-0.1))</f>
        <v/>
      </c>
      <c r="M20" s="6" t="n">
        <v>0.95</v>
      </c>
      <c r="N20" s="15">
        <f>IF(K20="","",L20*E20)</f>
        <v/>
      </c>
      <c r="O20" s="15">
        <f>IF(M20="","",M20*E20*55)</f>
        <v/>
      </c>
      <c r="P20" s="15">
        <f>IF(N20="","",N20+N(O20))</f>
        <v/>
      </c>
      <c r="Q20" s="15">
        <f>IF(P20="","",P20/E20)</f>
        <v/>
      </c>
      <c r="R20" s="5" t="inlineStr">
        <is>
          <t>ДН.ру (dn.ru), дилер LD / пр-ль ООО</t>
        </is>
      </c>
      <c r="S20" s="5" t="inlineStr">
        <is>
          <t>розница · B: dn.ru ©2026, цена «на 2026-10/11», товар в</t>
        </is>
      </c>
      <c r="T20" s="5" t="inlineStr">
        <is>
          <t>exact · не проверено</t>
        </is>
      </c>
      <c r="U20" s="5" t="inlineStr">
        <is>
          <t>https://dn.ru/sharovyi-kran/teplosnabzhenie/rezbovye-kran/standartnyi/ld/pride-47-v-v-r/dn15</t>
        </is>
      </c>
    </row>
    <row r="21" ht="34" customHeight="1">
      <c r="A21" s="5" t="inlineStr">
        <is>
          <t>1.1</t>
        </is>
      </c>
      <c r="B21" s="6" t="n">
        <v>19</v>
      </c>
      <c r="C21" s="5" t="inlineStr">
        <is>
          <t>Краны шаровые и прочее</t>
        </is>
      </c>
      <c r="D21" s="5" t="inlineStr">
        <is>
          <t>Кран шаровой 11б27п1 Ду 50 Ру 16</t>
        </is>
      </c>
      <c r="E21" s="6" t="n">
        <v>8</v>
      </c>
      <c r="F21" s="5" t="inlineStr">
        <is>
          <t>шт</t>
        </is>
      </c>
      <c r="G21" s="6" t="n">
        <v>50</v>
      </c>
      <c r="H21" s="6" t="n">
        <v>1.6</v>
      </c>
      <c r="I21" s="5" t="inlineStr">
        <is>
          <t>латунь HPb58-2A</t>
        </is>
      </c>
      <c r="J21" s="5" t="inlineStr">
        <is>
          <t xml:space="preserve">Ручное </t>
        </is>
      </c>
      <c r="K21" s="7" t="n">
        <v>3781</v>
      </c>
      <c r="L21" s="15">
        <f>IF(K21="","",K21*(1-0.1))</f>
        <v/>
      </c>
      <c r="M21" s="6" t="n">
        <v>1.5</v>
      </c>
      <c r="N21" s="15">
        <f>IF(K21="","",L21*E21)</f>
        <v/>
      </c>
      <c r="O21" s="15">
        <f>IF(M21="","",M21*E21*55)</f>
        <v/>
      </c>
      <c r="P21" s="15">
        <f>IF(N21="","",N21+N(O21))</f>
        <v/>
      </c>
      <c r="Q21" s="15">
        <f>IF(P21="","",P21/E21)</f>
        <v/>
      </c>
      <c r="R21" s="5" t="inlineStr">
        <is>
          <t>ДН.ру (dn.ru), дилер LD / пр-ль ООО</t>
        </is>
      </c>
      <c r="S21" s="5" t="inlineStr">
        <is>
          <t>розница · B: dn.ru ©2026, цена «на 2026-10/11», товар в</t>
        </is>
      </c>
      <c r="T21" s="5" t="inlineStr">
        <is>
          <t>exact · не проверено</t>
        </is>
      </c>
      <c r="U21" s="5" t="inlineStr">
        <is>
          <t>https://dn.ru/sharovyi-kran/teplosnabzhenie/rezbovye-kran/standartnyi/ld/pride-47-v-v-r/dn15</t>
        </is>
      </c>
    </row>
    <row r="22" ht="34" customHeight="1">
      <c r="A22" s="5" t="inlineStr">
        <is>
          <t>1.1</t>
        </is>
      </c>
      <c r="B22" s="6" t="n">
        <v>20</v>
      </c>
      <c r="C22" s="5" t="inlineStr">
        <is>
          <t>Краны шаровые и прочее</t>
        </is>
      </c>
      <c r="D22" s="5" t="inlineStr">
        <is>
          <t>Кран шаровой 11с67п Ду 150 Ру 25 цельносварной под приварку</t>
        </is>
      </c>
      <c r="E22" s="6" t="n">
        <v>2</v>
      </c>
      <c r="F22" s="5" t="inlineStr">
        <is>
          <t>шт</t>
        </is>
      </c>
      <c r="G22" s="6" t="n">
        <v>150</v>
      </c>
      <c r="H22" s="6" t="n">
        <v>2.5</v>
      </c>
      <c r="I22" s="5" t="inlineStr">
        <is>
          <t>Сталь 20</t>
        </is>
      </c>
      <c r="J22" s="5" t="inlineStr">
        <is>
          <t xml:space="preserve">Ручное </t>
        </is>
      </c>
      <c r="K22" s="7" t="n">
        <v>14368</v>
      </c>
      <c r="L22" s="15">
        <f>IF(K22="","",K22*(1-0.1))</f>
        <v/>
      </c>
      <c r="M22" s="6" t="n">
        <v>21</v>
      </c>
      <c r="N22" s="15">
        <f>IF(K22="","",L22*E22)</f>
        <v/>
      </c>
      <c r="O22" s="15">
        <f>IF(M22="","",M22*E22*55)</f>
        <v/>
      </c>
      <c r="P22" s="15">
        <f>IF(N22="","",N22+N(O22))</f>
        <v/>
      </c>
      <c r="Q22" s="15">
        <f>IF(P22="","",P22/E22)</f>
        <v/>
      </c>
      <c r="R22" s="5" t="inlineStr">
        <is>
          <t>ДН.ру (dn.ru), дилер LD / пр-ль ООО</t>
        </is>
      </c>
      <c r="S22" s="5" t="inlineStr">
        <is>
          <t>розница · B: dn.ru ©2026, цена «на 2026-10/11», товар в</t>
        </is>
      </c>
      <c r="T22" s="5" t="inlineStr">
        <is>
          <t>exact · не проверено</t>
        </is>
      </c>
      <c r="U22" s="5" t="inlineStr">
        <is>
          <t>https://dn.ru/sharovyi-kran/teplosnabzhenie/kran-pod-privarku/standartnyi/ld/st20/dn50</t>
        </is>
      </c>
    </row>
    <row r="23" ht="34" customHeight="1">
      <c r="A23" s="5" t="inlineStr">
        <is>
          <t>1.1</t>
        </is>
      </c>
      <c r="B23" s="6" t="n">
        <v>21</v>
      </c>
      <c r="C23" s="5" t="inlineStr">
        <is>
          <t>Краны шаровые и прочее</t>
        </is>
      </c>
      <c r="D23" s="5" t="inlineStr">
        <is>
          <t>Кран шаровой 11с67п Ду 200 Ру 16 ЦУФ.001 КШ укороченный полнопроходной фланцевый с рукояткой</t>
        </is>
      </c>
      <c r="E23" s="6" t="n">
        <v>2</v>
      </c>
      <c r="F23" s="5" t="inlineStr">
        <is>
          <t>шт</t>
        </is>
      </c>
      <c r="G23" s="6" t="n">
        <v>200</v>
      </c>
      <c r="H23" s="6" t="n">
        <v>1.6</v>
      </c>
      <c r="I23" s="5" t="inlineStr">
        <is>
          <t>Сталь 20</t>
        </is>
      </c>
      <c r="J23" s="5" t="inlineStr">
        <is>
          <t xml:space="preserve">Ручное </t>
        </is>
      </c>
      <c r="K23" s="7" t="n">
        <v>60208</v>
      </c>
      <c r="L23" s="15">
        <f>IF(K23="","",K23*(1-0.1))</f>
        <v/>
      </c>
      <c r="M23" s="6" t="n">
        <v>75</v>
      </c>
      <c r="N23" s="15">
        <f>IF(K23="","",L23*E23)</f>
        <v/>
      </c>
      <c r="O23" s="15">
        <f>IF(M23="","",M23*E23*55)</f>
        <v/>
      </c>
      <c r="P23" s="15">
        <f>IF(N23="","",N23+N(O23))</f>
        <v/>
      </c>
      <c r="Q23" s="15">
        <f>IF(P23="","",P23/E23)</f>
        <v/>
      </c>
      <c r="R23" s="5" t="inlineStr">
        <is>
          <t>ДН.ру (dn.ru), дилер LD / пр-ль ООО</t>
        </is>
      </c>
      <c r="S23" s="5" t="inlineStr">
        <is>
          <t>розница · B: dn.ru ©2026, цена «на 2026-10/11», товар в</t>
        </is>
      </c>
      <c r="T23" s="5" t="inlineStr">
        <is>
          <t>analog: LD КШ.Ц.Ф П/П (аналог 11с67п ЦУФ.001 полнопрохо</t>
        </is>
      </c>
      <c r="U23" s="5" t="inlineStr">
        <is>
          <t>https://dn.ru/sharovyi-kran/teplosnabzhenie/flantcevyi-kran/polnoprohodnoi/ld/ksh-c-f/dn100</t>
        </is>
      </c>
    </row>
    <row r="24" ht="34" customHeight="1">
      <c r="A24" s="5" t="inlineStr">
        <is>
          <t>1.1</t>
        </is>
      </c>
      <c r="B24" s="6" t="n">
        <v>22</v>
      </c>
      <c r="C24" s="5" t="inlineStr">
        <is>
          <t>Задвижки и затворы</t>
        </is>
      </c>
      <c r="D24" s="5" t="inlineStr">
        <is>
          <t>Затвор дисковый поворотный межфланцевый Stensel 31070-01 Ду 200 Ру 25</t>
        </is>
      </c>
      <c r="E24" s="6" t="n">
        <v>3</v>
      </c>
      <c r="F24" s="5" t="inlineStr">
        <is>
          <t>шт</t>
        </is>
      </c>
      <c r="G24" s="6" t="n">
        <v>200</v>
      </c>
      <c r="H24" s="6" t="n">
        <v>2.5</v>
      </c>
      <c r="I24" s="5" t="inlineStr">
        <is>
          <t>Корпус - нержавеющая сталь</t>
        </is>
      </c>
      <c r="J24" s="5" t="inlineStr">
        <is>
          <t>Верхний фланец выполнен по ста</t>
        </is>
      </c>
      <c r="K24" s="7" t="n">
        <v>240000</v>
      </c>
      <c r="L24" s="15">
        <f>IF(K24="","",K24*(1-0.1))</f>
        <v/>
      </c>
      <c r="M24" s="6" t="n">
        <v>60</v>
      </c>
      <c r="N24" s="15">
        <f>IF(K24="","",L24*E24)</f>
        <v/>
      </c>
      <c r="O24" s="15">
        <f>IF(M24="","",M24*E24*55)</f>
        <v/>
      </c>
      <c r="P24" s="15">
        <f>IF(N24="","",N24+N(O24))</f>
        <v/>
      </c>
      <c r="Q24" s="15">
        <f>IF(P24="","",P24/E24)</f>
        <v/>
      </c>
      <c r="R24" s="5" t="inlineStr">
        <is>
          <t>[оценка] рос. производители затворо</t>
        </is>
      </c>
      <c r="S24" s="5" t="inlineStr">
        <is>
          <t>оценка · оценка; ориентир: трёхэксц. стальные затворы Н</t>
        </is>
      </c>
      <c r="T24" s="5" t="inlineStr">
        <is>
          <t xml:space="preserve">analog: затвор нерж. трёхэксцентриковый DN200 PN25 под </t>
        </is>
      </c>
      <c r="U24" s="5" t="inlineStr">
        <is>
          <t>https://stensel.ru</t>
        </is>
      </c>
    </row>
    <row r="25" ht="34" customHeight="1">
      <c r="A25" s="5" t="inlineStr">
        <is>
          <t>1.1</t>
        </is>
      </c>
      <c r="B25" s="6" t="n">
        <v>23</v>
      </c>
      <c r="C25" s="5" t="inlineStr">
        <is>
          <t>Задвижки и затворы</t>
        </is>
      </c>
      <c r="D25" s="5" t="inlineStr">
        <is>
          <t>Затвор дисковый поворотный межфланцевый ПА954.450.10-05 Ду 450 Ру 10</t>
        </is>
      </c>
      <c r="E25" s="6" t="n">
        <v>1</v>
      </c>
      <c r="F25" s="5" t="inlineStr">
        <is>
          <t>шт</t>
        </is>
      </c>
      <c r="G25" s="6" t="n">
        <v>450</v>
      </c>
      <c r="H25" s="6" t="n">
        <v>1</v>
      </c>
      <c r="I25" s="5" t="inlineStr">
        <is>
          <t>Корпус - коррозионностойкая молибденосод</t>
        </is>
      </c>
      <c r="J25" s="5" t="inlineStr">
        <is>
          <t>Редуктор DN 450</t>
        </is>
      </c>
      <c r="K25" s="7" t="n">
        <v>680000</v>
      </c>
      <c r="L25" s="15">
        <f>IF(K25="","",K25*(1-0.1))</f>
        <v/>
      </c>
      <c r="M25" s="6" t="n">
        <v>350</v>
      </c>
      <c r="N25" s="15">
        <f>IF(K25="","",L25*E25)</f>
        <v/>
      </c>
      <c r="O25" s="15">
        <f>IF(M25="","",M25*E25*55)</f>
        <v/>
      </c>
      <c r="P25" s="15">
        <f>IF(N25="","",N25+N(O25))</f>
        <v/>
      </c>
      <c r="Q25" s="15">
        <f>IF(P25="","",P25/E25)</f>
        <v/>
      </c>
      <c r="R25" s="5" t="inlineStr">
        <is>
          <t>[оценка] ПромАрм (серия ПА 900, дер</t>
        </is>
      </c>
      <c r="S25" s="5" t="inlineStr">
        <is>
          <t>оценка · оценка; ориентир: НХИ ЗДП-ТЭ DN450 PN10 с реду</t>
        </is>
      </c>
      <c r="T25" s="5" t="inlineStr">
        <is>
          <t xml:space="preserve">analog/оценка: трёхэксц. DN450 PN10 с редуктором (НХИ) </t>
        </is>
      </c>
      <c r="U25" s="5" t="inlineStr">
        <is>
          <t>https://nhi-group.ru/catalog/truboprovodnaya_armatura/zatvory_diskovye_povorotnye/trehekstsentrikovye/</t>
        </is>
      </c>
    </row>
    <row r="26" ht="34" customHeight="1">
      <c r="A26" s="5" t="inlineStr">
        <is>
          <t>1.1</t>
        </is>
      </c>
      <c r="B26" s="6" t="n">
        <v>24</v>
      </c>
      <c r="C26" s="5" t="inlineStr">
        <is>
          <t>Краны шаровые и прочее</t>
        </is>
      </c>
      <c r="D26" s="5" t="inlineStr">
        <is>
          <t>Электропривод общепромышленный Н-В-02 У2</t>
        </is>
      </c>
      <c r="E26" s="6" t="n">
        <v>2</v>
      </c>
      <c r="F26" s="5" t="inlineStr">
        <is>
          <t>шт</t>
        </is>
      </c>
      <c r="G26" s="5" t="inlineStr">
        <is>
          <t>Под задвижку 30с964нж Ду 300</t>
        </is>
      </c>
      <c r="H26" s="5" t="inlineStr">
        <is>
          <t>-</t>
        </is>
      </c>
      <c r="I26" s="5" t="inlineStr">
        <is>
          <t>-</t>
        </is>
      </c>
      <c r="J26" s="5" t="inlineStr">
        <is>
          <t>Электропривод Н-В-02 У2</t>
        </is>
      </c>
      <c r="K26" s="7" t="n">
        <v>165000</v>
      </c>
      <c r="L26" s="15">
        <f>IF(K26="","",K26*(1-0.1))</f>
        <v/>
      </c>
      <c r="M26" s="6" t="n">
        <v>85</v>
      </c>
      <c r="N26" s="15">
        <f>IF(K26="","",L26*E26)</f>
        <v/>
      </c>
      <c r="O26" s="15">
        <f>IF(M26="","",M26*E26*55)</f>
        <v/>
      </c>
      <c r="P26" s="15">
        <f>IF(N26="","",N26+N(O26))</f>
        <v/>
      </c>
      <c r="Q26" s="15">
        <f>IF(P26="","",P26/E26)</f>
        <v/>
      </c>
      <c r="R26" s="5" t="inlineStr">
        <is>
          <t>АО «Тулаэлектропривод» (Тула) / Тул</t>
        </is>
      </c>
      <c r="S26" s="5" t="inlineStr">
        <is>
          <t>оценка · нет открытого прайса 2026</t>
        </is>
      </c>
      <c r="T26" s="5" t="inlineStr">
        <is>
          <t>exact · не проверено</t>
        </is>
      </c>
      <c r="U26" s="5" t="inlineStr">
        <is>
          <t>https://productcenter.ru/producers/9642/ooo-tulaeniergokompliekt</t>
        </is>
      </c>
    </row>
    <row r="27" ht="34" customHeight="1">
      <c r="A27" s="5" t="inlineStr">
        <is>
          <t>1.2</t>
        </is>
      </c>
      <c r="B27" s="6" t="n">
        <v>1</v>
      </c>
      <c r="C27" s="5" t="inlineStr">
        <is>
          <t>Краны шаровые и прочее</t>
        </is>
      </c>
      <c r="D27" s="5" t="inlineStr">
        <is>
          <t>Кран шаровой 11с67п Ду 32 Ру 25 цельносварной под приварку</t>
        </is>
      </c>
      <c r="E27" s="6" t="n">
        <v>2</v>
      </c>
      <c r="F27" s="5" t="inlineStr">
        <is>
          <t>шт</t>
        </is>
      </c>
      <c r="G27" s="6" t="n">
        <v>32</v>
      </c>
      <c r="H27" s="6" t="n">
        <v>2.5</v>
      </c>
      <c r="I27" s="5" t="inlineStr">
        <is>
          <t>сталь 20</t>
        </is>
      </c>
      <c r="J27" s="5" t="inlineStr">
        <is>
          <t>ручной (рукоятка)</t>
        </is>
      </c>
      <c r="K27" s="7" t="n">
        <v>1713</v>
      </c>
      <c r="L27" s="15">
        <f>IF(K27="","",K27*(1-0.1))</f>
        <v/>
      </c>
      <c r="M27" s="6" t="n">
        <v>1.4</v>
      </c>
      <c r="N27" s="15">
        <f>IF(K27="","",L27*E27)</f>
        <v/>
      </c>
      <c r="O27" s="15">
        <f>IF(M27="","",M27*E27*55)</f>
        <v/>
      </c>
      <c r="P27" s="15">
        <f>IF(N27="","",N27+N(O27))</f>
        <v/>
      </c>
      <c r="Q27" s="15">
        <f>IF(P27="","",P27/E27)</f>
        <v/>
      </c>
      <c r="R27" s="5" t="inlineStr">
        <is>
          <t>ДН.ру (dn.ru), дилер LD / пр-ль ООО</t>
        </is>
      </c>
      <c r="S27" s="5" t="inlineStr">
        <is>
          <t>розница · B: dn.ru ©2026, цена «на 2026-10/11», товар в</t>
        </is>
      </c>
      <c r="T27" s="5" t="inlineStr">
        <is>
          <t>exact · не проверено</t>
        </is>
      </c>
      <c r="U27" s="5" t="inlineStr">
        <is>
          <t>https://dn.ru/sharovyi-kran/teplosnabzhenie/kran-pod-privarku/standartnyi/ld/st20/dn50</t>
        </is>
      </c>
    </row>
    <row r="28" ht="34" customHeight="1">
      <c r="A28" s="5" t="inlineStr">
        <is>
          <t>1.2</t>
        </is>
      </c>
      <c r="B28" s="6" t="n">
        <v>2</v>
      </c>
      <c r="C28" s="5" t="inlineStr">
        <is>
          <t>Краны шаровые и прочее</t>
        </is>
      </c>
      <c r="D28" s="5" t="inlineStr">
        <is>
          <t>Кран шаровой 11с67п Ду 100 Ру 25 цельносварной под приварку</t>
        </is>
      </c>
      <c r="E28" s="6" t="n">
        <v>4</v>
      </c>
      <c r="F28" s="5" t="inlineStr">
        <is>
          <t>шт</t>
        </is>
      </c>
      <c r="G28" s="6" t="n">
        <v>100</v>
      </c>
      <c r="H28" s="6" t="n">
        <v>2.5</v>
      </c>
      <c r="I28" s="5" t="inlineStr">
        <is>
          <t>сталь 20</t>
        </is>
      </c>
      <c r="J28" s="5" t="inlineStr">
        <is>
          <t>ручное</t>
        </is>
      </c>
      <c r="K28" s="7" t="n">
        <v>5590</v>
      </c>
      <c r="L28" s="15">
        <f>IF(K28="","",K28*(1-0.1))</f>
        <v/>
      </c>
      <c r="M28" s="6" t="n">
        <v>8.5</v>
      </c>
      <c r="N28" s="15">
        <f>IF(K28="","",L28*E28)</f>
        <v/>
      </c>
      <c r="O28" s="15">
        <f>IF(M28="","",M28*E28*55)</f>
        <v/>
      </c>
      <c r="P28" s="15">
        <f>IF(N28="","",N28+N(O28))</f>
        <v/>
      </c>
      <c r="Q28" s="15">
        <f>IF(P28="","",P28/E28)</f>
        <v/>
      </c>
      <c r="R28" s="5" t="inlineStr">
        <is>
          <t>ДН.ру (dn.ru), дилер LD / пр-ль ООО</t>
        </is>
      </c>
      <c r="S28" s="5" t="inlineStr">
        <is>
          <t>розница · B: dn.ru ©2026, цена «на 2026-10/11», товар в</t>
        </is>
      </c>
      <c r="T28" s="5" t="inlineStr">
        <is>
          <t>exact · не проверено</t>
        </is>
      </c>
      <c r="U28" s="5" t="inlineStr">
        <is>
          <t>https://dn.ru/sharovyi-kran/teplosnabzhenie/kran-pod-privarku/standartnyi/ld/st20/dn50</t>
        </is>
      </c>
    </row>
    <row r="29" ht="34" customHeight="1">
      <c r="A29" s="5" t="inlineStr">
        <is>
          <t>1.2</t>
        </is>
      </c>
      <c r="B29" s="6" t="n">
        <v>3</v>
      </c>
      <c r="C29" s="5" t="inlineStr">
        <is>
          <t>Краны шаровые и прочее</t>
        </is>
      </c>
      <c r="D29" s="5" t="inlineStr">
        <is>
          <t>Кран шаровой 11с67п Ду 50 Ру 25 полнопрох. с КОФ (КЗШС41нж)</t>
        </is>
      </c>
      <c r="E29" s="6" t="n">
        <v>18</v>
      </c>
      <c r="F29" s="5" t="inlineStr">
        <is>
          <t>шт</t>
        </is>
      </c>
      <c r="G29" s="6" t="n">
        <v>50</v>
      </c>
      <c r="H29" s="6" t="n">
        <v>2.5</v>
      </c>
      <c r="I29" s="5" t="inlineStr">
        <is>
          <t>сталь 20</t>
        </is>
      </c>
      <c r="J29" s="5" t="inlineStr">
        <is>
          <t xml:space="preserve">Ручное </t>
        </is>
      </c>
      <c r="K29" s="7" t="n">
        <v>4107</v>
      </c>
      <c r="L29" s="15">
        <f>IF(K29="","",K29*(1-0.1))</f>
        <v/>
      </c>
      <c r="M29" s="6" t="n">
        <v>7.2</v>
      </c>
      <c r="N29" s="15">
        <f>IF(K29="","",L29*E29)</f>
        <v/>
      </c>
      <c r="O29" s="15">
        <f>IF(M29="","",M29*E29*55)</f>
        <v/>
      </c>
      <c r="P29" s="15">
        <f>IF(N29="","",N29+N(O29))</f>
        <v/>
      </c>
      <c r="Q29" s="15">
        <f>IF(P29="","",P29/E29)</f>
        <v/>
      </c>
      <c r="R29" s="5" t="inlineStr">
        <is>
          <t>ДН.ру (dn.ru), дилер LD / пр-ль ООО</t>
        </is>
      </c>
      <c r="S29" s="5" t="inlineStr">
        <is>
          <t>розница · B: dn.ru ©2026, цена «на 2026-10/11», товар в</t>
        </is>
      </c>
      <c r="T29" s="5" t="inlineStr">
        <is>
          <t>analog: LD КШ.Ц.Ф П/П PN25/PN40 (аналог КЗШС41нж/11с67п</t>
        </is>
      </c>
      <c r="U29" s="5" t="inlineStr">
        <is>
          <t>https://dn.ru/sharovyi-kran/teplosnabzhenie/flantcevyi-kran/polnoprohodnoi/ld/kshtsf/dn80-pn16-l-210</t>
        </is>
      </c>
    </row>
    <row r="30" ht="34" customHeight="1">
      <c r="A30" s="5" t="inlineStr">
        <is>
          <t>1.2</t>
        </is>
      </c>
      <c r="B30" s="6" t="n">
        <v>4</v>
      </c>
      <c r="C30" s="5" t="inlineStr">
        <is>
          <t>Краны шаровые и прочее</t>
        </is>
      </c>
      <c r="D30" s="5" t="inlineStr">
        <is>
          <t>Кран шаровой 11с67п Ду 80 Ру 25 полнопрох. с КОФ (КЗШС41нж)</t>
        </is>
      </c>
      <c r="E30" s="6" t="n">
        <v>4</v>
      </c>
      <c r="F30" s="5" t="inlineStr">
        <is>
          <t>шт</t>
        </is>
      </c>
      <c r="G30" s="6" t="n">
        <v>80</v>
      </c>
      <c r="H30" s="6" t="n">
        <v>2.5</v>
      </c>
      <c r="I30" s="5" t="inlineStr">
        <is>
          <t>сталь 20</t>
        </is>
      </c>
      <c r="J30" s="5" t="inlineStr">
        <is>
          <t xml:space="preserve">Ручное </t>
        </is>
      </c>
      <c r="K30" s="7" t="n">
        <v>8770</v>
      </c>
      <c r="L30" s="15">
        <f>IF(K30="","",K30*(1-0.1))</f>
        <v/>
      </c>
      <c r="M30" s="6" t="n">
        <v>14</v>
      </c>
      <c r="N30" s="15">
        <f>IF(K30="","",L30*E30)</f>
        <v/>
      </c>
      <c r="O30" s="15">
        <f>IF(M30="","",M30*E30*55)</f>
        <v/>
      </c>
      <c r="P30" s="15">
        <f>IF(N30="","",N30+N(O30))</f>
        <v/>
      </c>
      <c r="Q30" s="15">
        <f>IF(P30="","",P30/E30)</f>
        <v/>
      </c>
      <c r="R30" s="5" t="inlineStr">
        <is>
          <t>ДН.ру (dn.ru), дилер LD / пр-ль ООО</t>
        </is>
      </c>
      <c r="S30" s="5" t="inlineStr">
        <is>
          <t>розница · B: dn.ru ©2026, цена «на 2026-10/11», товар в</t>
        </is>
      </c>
      <c r="T30" s="5" t="inlineStr">
        <is>
          <t>analog: LD КШ.Ц.Ф П/П PN25/PN40 (аналог КЗШС41нж/11с67п</t>
        </is>
      </c>
      <c r="U30" s="5" t="inlineStr">
        <is>
          <t>https://dn.ru/sharovyi-kran/teplosnabzhenie/flantcevyi-kran/polnoprohodnoi/ld/kshtsf/dn80-pn16-l-210</t>
        </is>
      </c>
    </row>
    <row r="31" ht="34" customHeight="1">
      <c r="A31" s="5" t="inlineStr">
        <is>
          <t>1.2</t>
        </is>
      </c>
      <c r="B31" s="6" t="n">
        <v>5</v>
      </c>
      <c r="C31" s="5" t="inlineStr">
        <is>
          <t>Краны шаровые и прочее</t>
        </is>
      </c>
      <c r="D31" s="5" t="inlineStr">
        <is>
          <t>Кран шаровой 11с67п Ду 100 Ру 16 ЦУФ.001 КШ укороченный полнопроходной фланцевый с рукояткой</t>
        </is>
      </c>
      <c r="E31" s="6" t="n">
        <v>2</v>
      </c>
      <c r="F31" s="5" t="inlineStr">
        <is>
          <t>шт</t>
        </is>
      </c>
      <c r="G31" s="6" t="n">
        <v>100</v>
      </c>
      <c r="H31" s="6" t="n">
        <v>1.6</v>
      </c>
      <c r="I31" s="5" t="inlineStr">
        <is>
          <t>сталь 20</t>
        </is>
      </c>
      <c r="J31" s="5" t="inlineStr">
        <is>
          <t>ручное</t>
        </is>
      </c>
      <c r="K31" s="7" t="n">
        <v>17788</v>
      </c>
      <c r="L31" s="15">
        <f>IF(K31="","",K31*(1-0.1))</f>
        <v/>
      </c>
      <c r="M31" s="6" t="n">
        <v>20</v>
      </c>
      <c r="N31" s="15">
        <f>IF(K31="","",L31*E31)</f>
        <v/>
      </c>
      <c r="O31" s="15">
        <f>IF(M31="","",M31*E31*55)</f>
        <v/>
      </c>
      <c r="P31" s="15">
        <f>IF(N31="","",N31+N(O31))</f>
        <v/>
      </c>
      <c r="Q31" s="15">
        <f>IF(P31="","",P31/E31)</f>
        <v/>
      </c>
      <c r="R31" s="5" t="inlineStr">
        <is>
          <t>ДН.ру (dn.ru), дилер LD / пр-ль ООО</t>
        </is>
      </c>
      <c r="S31" s="5" t="inlineStr">
        <is>
          <t>розница · B: dn.ru ©2026, цена «на 2026-10/11», товар в</t>
        </is>
      </c>
      <c r="T31" s="5" t="inlineStr">
        <is>
          <t>analog: LD КШ.Ц.Ф П/П (аналог 11с67п ЦУФ.001 полнопрохо</t>
        </is>
      </c>
      <c r="U31" s="5" t="inlineStr">
        <is>
          <t>https://dn.ru/sharovyi-kran/teplosnabzhenie/flantcevyi-kran/polnoprohodnoi/ld/ksh-c-f/dn100</t>
        </is>
      </c>
    </row>
    <row r="32" ht="34" customHeight="1">
      <c r="A32" s="5" t="inlineStr">
        <is>
          <t>1.3</t>
        </is>
      </c>
      <c r="B32" s="6" t="n">
        <v>1</v>
      </c>
      <c r="C32" s="5" t="inlineStr">
        <is>
          <t>Клапаны</t>
        </is>
      </c>
      <c r="D32" s="5" t="inlineStr">
        <is>
          <t>Клапан регулирующий 25с947нж Ду 50 Ру 25 с ЭИМ</t>
        </is>
      </c>
      <c r="E32" s="6" t="n">
        <v>1</v>
      </c>
      <c r="F32" s="5" t="inlineStr">
        <is>
          <t>шт</t>
        </is>
      </c>
      <c r="G32" s="6" t="n">
        <v>50</v>
      </c>
      <c r="H32" s="6" t="n">
        <v>2.5</v>
      </c>
      <c r="I32" s="5" t="inlineStr">
        <is>
          <t>Сталь марки 25Л ГОСТ 977-88</t>
        </is>
      </c>
      <c r="J32" s="5" t="inlineStr">
        <is>
          <t>электропривод</t>
        </is>
      </c>
      <c r="K32" s="7" t="n">
        <v>101097.74</v>
      </c>
      <c r="L32" s="15">
        <f>IF(K32="","",K32*(1-0.1))</f>
        <v/>
      </c>
      <c r="M32" s="6" t="n">
        <v>26</v>
      </c>
      <c r="N32" s="15">
        <f>IF(K32="","",L32*E32)</f>
        <v/>
      </c>
      <c r="O32" s="15">
        <f>IF(M32="","",M32*E32*55)</f>
        <v/>
      </c>
      <c r="P32" s="15">
        <f>IF(N32="","",N32+N(O32))</f>
        <v/>
      </c>
      <c r="Q32" s="15">
        <f>IF(P32="","",P32/E32)</f>
        <v/>
      </c>
      <c r="R32" s="5" t="inlineStr">
        <is>
          <t>ДН.ру (dn.ru), бренд Авангард</t>
        </is>
      </c>
      <c r="S32" s="5" t="inlineStr">
        <is>
          <t>розница · B: dn.ru — живой магазин ООО «ДН.ру», © 2026,</t>
        </is>
      </c>
      <c r="T32" s="5" t="inlineStr">
        <is>
          <t>exact · не проверено</t>
        </is>
      </c>
      <c r="U32" s="5" t="inlineStr">
        <is>
          <t>https://dn.ru/klapan/klapan-reguliruiushchii/2hod/avangard/25s947nzh-ru25/dn50</t>
        </is>
      </c>
    </row>
    <row r="33" ht="34" customHeight="1">
      <c r="A33" s="5" t="inlineStr">
        <is>
          <t>1.3</t>
        </is>
      </c>
      <c r="B33" s="6" t="n">
        <v>2</v>
      </c>
      <c r="C33" s="5" t="inlineStr">
        <is>
          <t>Клапаны</t>
        </is>
      </c>
      <c r="D33" s="5" t="inlineStr">
        <is>
          <t>Клапан регулирующий 25ч945п Ду 15 Ру 16 с ЭИМ</t>
        </is>
      </c>
      <c r="E33" s="6" t="n">
        <v>2</v>
      </c>
      <c r="F33" s="5" t="inlineStr">
        <is>
          <t>шт</t>
        </is>
      </c>
      <c r="G33" s="6" t="n">
        <v>15</v>
      </c>
      <c r="H33" s="6" t="n">
        <v>1.6</v>
      </c>
      <c r="I33" s="5" t="inlineStr">
        <is>
          <t>чугун СЧ20</t>
        </is>
      </c>
      <c r="J33" s="5" t="inlineStr">
        <is>
          <t>автоматический</t>
        </is>
      </c>
      <c r="K33" s="7" t="n">
        <v>69709.58</v>
      </c>
      <c r="L33" s="15">
        <f>IF(K33="","",K33*(1-0.1))</f>
        <v/>
      </c>
      <c r="M33" s="6" t="n">
        <v>9</v>
      </c>
      <c r="N33" s="15">
        <f>IF(K33="","",L33*E33)</f>
        <v/>
      </c>
      <c r="O33" s="15">
        <f>IF(M33="","",M33*E33*55)</f>
        <v/>
      </c>
      <c r="P33" s="15">
        <f>IF(N33="","",N33+N(O33))</f>
        <v/>
      </c>
      <c r="Q33" s="15">
        <f>IF(P33="","",P33/E33)</f>
        <v/>
      </c>
      <c r="R33" s="5" t="inlineStr">
        <is>
          <t>ДН.ру (dn.ru), бренд Теплосила</t>
        </is>
      </c>
      <c r="S33" s="5" t="inlineStr">
        <is>
          <t>розница · B: dn.ru — живой магазин ООО «ДН.ру», © 2026,</t>
        </is>
      </c>
      <c r="T33" s="5" t="inlineStr">
        <is>
          <t>analog: Теплосила TRV (25ч945п) + электропривод TSL 230</t>
        </is>
      </c>
      <c r="U33" s="5" t="inlineStr">
        <is>
          <t>https://dn.ru/klapan/klapan-reguliruiushchii/2hod/teplosila/trv-tsl/dn15</t>
        </is>
      </c>
    </row>
    <row r="34" ht="34" customHeight="1">
      <c r="A34" s="5" t="inlineStr">
        <is>
          <t>1.3</t>
        </is>
      </c>
      <c r="B34" s="6" t="n">
        <v>3</v>
      </c>
      <c r="C34" s="5" t="inlineStr">
        <is>
          <t>Клапаны</t>
        </is>
      </c>
      <c r="D34" s="5" t="inlineStr">
        <is>
          <t>Клапан регулирующий 25ч945п Ду 25 Ру 16 с ЭИМ</t>
        </is>
      </c>
      <c r="E34" s="6" t="n">
        <v>1</v>
      </c>
      <c r="F34" s="5" t="inlineStr">
        <is>
          <t>шт</t>
        </is>
      </c>
      <c r="G34" s="6" t="n">
        <v>25</v>
      </c>
      <c r="H34" s="6" t="n">
        <v>1.6</v>
      </c>
      <c r="I34" s="5" t="inlineStr">
        <is>
          <t>чугун СЧ20</t>
        </is>
      </c>
      <c r="J34" s="5" t="inlineStr">
        <is>
          <t>автоматический</t>
        </is>
      </c>
      <c r="K34" s="7" t="n">
        <v>76636.74000000001</v>
      </c>
      <c r="L34" s="15">
        <f>IF(K34="","",K34*(1-0.1))</f>
        <v/>
      </c>
      <c r="M34" s="6" t="n">
        <v>13</v>
      </c>
      <c r="N34" s="15">
        <f>IF(K34="","",L34*E34)</f>
        <v/>
      </c>
      <c r="O34" s="15">
        <f>IF(M34="","",M34*E34*55)</f>
        <v/>
      </c>
      <c r="P34" s="15">
        <f>IF(N34="","",N34+N(O34))</f>
        <v/>
      </c>
      <c r="Q34" s="15">
        <f>IF(P34="","",P34/E34)</f>
        <v/>
      </c>
      <c r="R34" s="5" t="inlineStr">
        <is>
          <t>ДН.ру (dn.ru), бренд Теплосила</t>
        </is>
      </c>
      <c r="S34" s="5" t="inlineStr">
        <is>
          <t>розница · B: dn.ru — живой магазин ООО «ДН.ру», © 2026,</t>
        </is>
      </c>
      <c r="T34" s="5" t="inlineStr">
        <is>
          <t>analog: Теплосила TRV (25ч945п) + электропривод TSL 230</t>
        </is>
      </c>
      <c r="U34" s="5" t="inlineStr">
        <is>
          <t>https://dn.ru/klapan/klapan-reguliruiushchii/2hod/teplosila/trv-tsl/dn25</t>
        </is>
      </c>
    </row>
    <row r="35" ht="34" customHeight="1">
      <c r="A35" s="5" t="inlineStr">
        <is>
          <t>1.3</t>
        </is>
      </c>
      <c r="B35" s="6" t="n">
        <v>4</v>
      </c>
      <c r="C35" s="5" t="inlineStr">
        <is>
          <t>Клапаны</t>
        </is>
      </c>
      <c r="D35" s="5" t="inlineStr">
        <is>
          <t>Клапан регулирующий 25ч945п Ду 50 Ру 16 KV100 с ЭИМ</t>
        </is>
      </c>
      <c r="E35" s="6" t="n">
        <v>2</v>
      </c>
      <c r="F35" s="5" t="inlineStr">
        <is>
          <t>шт</t>
        </is>
      </c>
      <c r="G35" s="6" t="n">
        <v>50</v>
      </c>
      <c r="H35" s="6" t="n">
        <v>1.6</v>
      </c>
      <c r="I35" s="5" t="inlineStr">
        <is>
          <t>чугун СЧ20</t>
        </is>
      </c>
      <c r="J35" s="5" t="inlineStr">
        <is>
          <t>автоматический</t>
        </is>
      </c>
      <c r="K35" s="7" t="n">
        <v>94264.52</v>
      </c>
      <c r="L35" s="15">
        <f>IF(K35="","",K35*(1-0.1))</f>
        <v/>
      </c>
      <c r="M35" s="6" t="n">
        <v>26</v>
      </c>
      <c r="N35" s="15">
        <f>IF(K35="","",L35*E35)</f>
        <v/>
      </c>
      <c r="O35" s="15">
        <f>IF(M35="","",M35*E35*55)</f>
        <v/>
      </c>
      <c r="P35" s="15">
        <f>IF(N35="","",N35+N(O35))</f>
        <v/>
      </c>
      <c r="Q35" s="15">
        <f>IF(P35="","",P35/E35)</f>
        <v/>
      </c>
      <c r="R35" s="5" t="inlineStr">
        <is>
          <t>ДН.ру (dn.ru), бренд Теплосила</t>
        </is>
      </c>
      <c r="S35" s="5" t="inlineStr">
        <is>
          <t>розница · B: dn.ru — живой магазин ООО «ДН.ру», © 2026,</t>
        </is>
      </c>
      <c r="T35" s="5" t="inlineStr">
        <is>
          <t>analog: Теплосила TRV (25ч945п) + электропривод TSL 230</t>
        </is>
      </c>
      <c r="U35" s="5" t="inlineStr">
        <is>
          <t>https://dn.ru/klapan/klapan-reguliruiushchii/2hod/teplosila/trv-tsl/dn50</t>
        </is>
      </c>
    </row>
    <row r="36" ht="34" customHeight="1">
      <c r="A36" s="5" t="inlineStr">
        <is>
          <t>1.3</t>
        </is>
      </c>
      <c r="B36" s="6" t="n">
        <v>5</v>
      </c>
      <c r="C36" s="5" t="inlineStr">
        <is>
          <t>Клапаны</t>
        </is>
      </c>
      <c r="D36" s="5" t="inlineStr">
        <is>
          <t>Клапан регулирующий 25ч945п Ду 80 Ру 16 с ЭИМ</t>
        </is>
      </c>
      <c r="E36" s="6" t="n">
        <v>8</v>
      </c>
      <c r="F36" s="5" t="inlineStr">
        <is>
          <t>шт</t>
        </is>
      </c>
      <c r="G36" s="6" t="n">
        <v>80</v>
      </c>
      <c r="H36" s="6" t="n">
        <v>1.6</v>
      </c>
      <c r="I36" s="5" t="inlineStr">
        <is>
          <t>чугун СЧ20</t>
        </is>
      </c>
      <c r="J36" s="5" t="inlineStr">
        <is>
          <t>автоматический</t>
        </is>
      </c>
      <c r="K36" s="7" t="n">
        <v>159871.24</v>
      </c>
      <c r="L36" s="15">
        <f>IF(K36="","",K36*(1-0.1))</f>
        <v/>
      </c>
      <c r="M36" s="6" t="n">
        <v>45</v>
      </c>
      <c r="N36" s="15">
        <f>IF(K36="","",L36*E36)</f>
        <v/>
      </c>
      <c r="O36" s="15">
        <f>IF(M36="","",M36*E36*55)</f>
        <v/>
      </c>
      <c r="P36" s="15">
        <f>IF(N36="","",N36+N(O36))</f>
        <v/>
      </c>
      <c r="Q36" s="15">
        <f>IF(P36="","",P36/E36)</f>
        <v/>
      </c>
      <c r="R36" s="5" t="inlineStr">
        <is>
          <t>ДН.ру (dn.ru), бренд Теплосила</t>
        </is>
      </c>
      <c r="S36" s="5" t="inlineStr">
        <is>
          <t>розница · B: dn.ru — живой магазин ООО «ДН.ру», © 2026,</t>
        </is>
      </c>
      <c r="T36" s="5" t="inlineStr">
        <is>
          <t>analog: Теплосила TRV Ду80 + привод TSL-2200 (24В, анал</t>
        </is>
      </c>
      <c r="U36" s="5" t="inlineStr">
        <is>
          <t>https://dn.ru/klapan/klapan-reguliruiushchii/2hod/teplosila/trv-tsl-4-20ma-24v/dn80</t>
        </is>
      </c>
    </row>
    <row r="37" ht="34" customHeight="1">
      <c r="A37" s="5" t="inlineStr">
        <is>
          <t>1.3</t>
        </is>
      </c>
      <c r="B37" s="6" t="n">
        <v>6</v>
      </c>
      <c r="C37" s="5" t="inlineStr">
        <is>
          <t>Клапаны</t>
        </is>
      </c>
      <c r="D37" s="5" t="inlineStr">
        <is>
          <t>Регулирующий клапан Ридан VFG-2R Ду 100, Kvs 125, Ру 16</t>
        </is>
      </c>
      <c r="E37" s="6" t="n">
        <v>2</v>
      </c>
      <c r="F37" s="5" t="inlineStr">
        <is>
          <t>шт</t>
        </is>
      </c>
      <c r="G37" s="6" t="n">
        <v>100</v>
      </c>
      <c r="H37" s="6" t="n">
        <v>1.6</v>
      </c>
      <c r="I37" s="5" t="inlineStr">
        <is>
          <t>Углеродистая сталь WCB</t>
        </is>
      </c>
      <c r="J37" s="5" t="inlineStr"/>
      <c r="K37" s="7" t="n">
        <v>334724.08</v>
      </c>
      <c r="L37" s="15">
        <f>IF(K37="","",K37*(1-0.1))</f>
        <v/>
      </c>
      <c r="M37" s="6" t="n">
        <v>60</v>
      </c>
      <c r="N37" s="15">
        <f>IF(K37="","",L37*E37)</f>
        <v/>
      </c>
      <c r="O37" s="15">
        <f>IF(M37="","",M37*E37*55)</f>
        <v/>
      </c>
      <c r="P37" s="15">
        <f>IF(N37="","",N37+N(O37))</f>
        <v/>
      </c>
      <c r="Q37" s="15">
        <f>IF(P37="","",P37/E37)</f>
        <v/>
      </c>
      <c r="R37" s="5" t="inlineStr">
        <is>
          <t>ДН.ру (dn.ru), бренд Ридан</t>
        </is>
      </c>
      <c r="S37" s="5" t="inlineStr">
        <is>
          <t>розница · B: dn.ru — живой магазин ООО «ДН.ру», © 2026,</t>
        </is>
      </c>
      <c r="T37" s="5" t="inlineStr">
        <is>
          <t>analog: Ду100 Ру25 (Ру16 в каталоге нет, Ру25 перекрыва</t>
        </is>
      </c>
      <c r="U37" s="5" t="inlineStr">
        <is>
          <t>https://dn.ru/klapan/klapan-reguliruiushchii/2hod/ridan/vfg-2r/dn100-125-m3-h</t>
        </is>
      </c>
    </row>
    <row r="38" ht="34" customHeight="1">
      <c r="A38" s="5" t="inlineStr">
        <is>
          <t>1.3</t>
        </is>
      </c>
      <c r="B38" s="6" t="n">
        <v>7</v>
      </c>
      <c r="C38" s="5" t="inlineStr">
        <is>
          <t>Клапаны</t>
        </is>
      </c>
      <c r="D38" s="5" t="inlineStr">
        <is>
          <t>Регулирующий клапан Ридан VFG-2R Ду 32, Kvs 16,  Ру 16</t>
        </is>
      </c>
      <c r="E38" s="6" t="n">
        <v>4</v>
      </c>
      <c r="F38" s="5" t="inlineStr">
        <is>
          <t>шт</t>
        </is>
      </c>
      <c r="G38" s="6" t="n">
        <v>32</v>
      </c>
      <c r="H38" s="6" t="n">
        <v>1.6</v>
      </c>
      <c r="I38" s="5" t="inlineStr">
        <is>
          <t>Углеродистая сталь WCB</t>
        </is>
      </c>
      <c r="J38" s="5" t="inlineStr"/>
      <c r="K38" s="7" t="n">
        <v>206414.85</v>
      </c>
      <c r="L38" s="15">
        <f>IF(K38="","",K38*(1-0.1))</f>
        <v/>
      </c>
      <c r="M38" s="6" t="n">
        <v>16</v>
      </c>
      <c r="N38" s="15">
        <f>IF(K38="","",L38*E38)</f>
        <v/>
      </c>
      <c r="O38" s="15">
        <f>IF(M38="","",M38*E38*55)</f>
        <v/>
      </c>
      <c r="P38" s="15">
        <f>IF(N38="","",N38+N(O38))</f>
        <v/>
      </c>
      <c r="Q38" s="15">
        <f>IF(P38="","",P38/E38)</f>
        <v/>
      </c>
      <c r="R38" s="5" t="inlineStr">
        <is>
          <t>ДН.ру (dn.ru), бренд Ридан</t>
        </is>
      </c>
      <c r="S38" s="5" t="inlineStr">
        <is>
          <t>розница · B: dn.ru — живой магазин ООО «ДН.ру», © 2026,</t>
        </is>
      </c>
      <c r="T38" s="5" t="inlineStr">
        <is>
          <t>exact · не проверено</t>
        </is>
      </c>
      <c r="U38" s="5" t="inlineStr">
        <is>
          <t>https://dn.ru/klapan/klapan-reguliruiushchii/2hod/ridan/vfg-2r/dn32-16-m3-h</t>
        </is>
      </c>
    </row>
    <row r="39" ht="34" customHeight="1">
      <c r="A39" s="5" t="inlineStr">
        <is>
          <t>1.3</t>
        </is>
      </c>
      <c r="B39" s="6" t="n">
        <v>8</v>
      </c>
      <c r="C39" s="5" t="inlineStr">
        <is>
          <t>Клапаны</t>
        </is>
      </c>
      <c r="D39" s="5" t="inlineStr">
        <is>
          <t>регулирующий клапан Ридан VFG-2R Ду 80, Kvs 80,  Ру 16</t>
        </is>
      </c>
      <c r="E39" s="6" t="n">
        <v>2</v>
      </c>
      <c r="F39" s="5" t="inlineStr">
        <is>
          <t>шт</t>
        </is>
      </c>
      <c r="G39" s="6" t="n">
        <v>80</v>
      </c>
      <c r="H39" s="6" t="n">
        <v>1.6</v>
      </c>
      <c r="I39" s="5" t="inlineStr">
        <is>
          <t>Углеродистая сталь WCB</t>
        </is>
      </c>
      <c r="J39" s="5" t="inlineStr"/>
      <c r="K39" s="7" t="n">
        <v>226123.95</v>
      </c>
      <c r="L39" s="15">
        <f>IF(K39="","",K39*(1-0.1))</f>
        <v/>
      </c>
      <c r="M39" s="6" t="n">
        <v>45</v>
      </c>
      <c r="N39" s="15">
        <f>IF(K39="","",L39*E39)</f>
        <v/>
      </c>
      <c r="O39" s="15">
        <f>IF(M39="","",M39*E39*55)</f>
        <v/>
      </c>
      <c r="P39" s="15">
        <f>IF(N39="","",N39+N(O39))</f>
        <v/>
      </c>
      <c r="Q39" s="15">
        <f>IF(P39="","",P39/E39)</f>
        <v/>
      </c>
      <c r="R39" s="5" t="inlineStr">
        <is>
          <t>ДН.ру (dn.ru), бренд Ридан</t>
        </is>
      </c>
      <c r="S39" s="5" t="inlineStr">
        <is>
          <t>розница · B: dn.ru — живой магазин ООО «ДН.ру», © 2026,</t>
        </is>
      </c>
      <c r="T39" s="5" t="inlineStr">
        <is>
          <t>exact · не проверено</t>
        </is>
      </c>
      <c r="U39" s="5" t="inlineStr">
        <is>
          <t>https://dn.ru/klapan/klapan-reguliruiushchii/2hod/ridan/vfg-2r/dn80-80-m3-h</t>
        </is>
      </c>
    </row>
    <row r="40" ht="34" customHeight="1">
      <c r="A40" s="5" t="inlineStr">
        <is>
          <t>1.3</t>
        </is>
      </c>
      <c r="B40" s="6" t="n">
        <v>9</v>
      </c>
      <c r="C40" s="5" t="inlineStr">
        <is>
          <t>Клапаны</t>
        </is>
      </c>
      <c r="D40" s="5" t="inlineStr">
        <is>
          <t>Регулятор давления РД-НО (Нормально открытый) Ду 25 Ру 16</t>
        </is>
      </c>
      <c r="E40" s="6" t="n">
        <v>2</v>
      </c>
      <c r="F40" s="5" t="inlineStr">
        <is>
          <t>шт</t>
        </is>
      </c>
      <c r="G40" s="6" t="n">
        <v>25</v>
      </c>
      <c r="H40" s="6" t="n">
        <v>1.6</v>
      </c>
      <c r="I40" s="5" t="inlineStr">
        <is>
          <t>чугун СЧ20 ГОСТ1412</t>
        </is>
      </c>
      <c r="J40" s="5" t="inlineStr">
        <is>
          <t>автоматически действующая труб</t>
        </is>
      </c>
      <c r="K40" s="7" t="n">
        <v>58471.55</v>
      </c>
      <c r="L40" s="15">
        <f>IF(K40="","",K40*(1-0.1))</f>
        <v/>
      </c>
      <c r="M40" s="6" t="n">
        <v>13</v>
      </c>
      <c r="N40" s="15">
        <f>IF(K40="","",L40*E40)</f>
        <v/>
      </c>
      <c r="O40" s="15">
        <f>IF(M40="","",M40*E40*55)</f>
        <v/>
      </c>
      <c r="P40" s="15">
        <f>IF(N40="","",N40+N(O40))</f>
        <v/>
      </c>
      <c r="Q40" s="15">
        <f>IF(P40="","",P40/E40)</f>
        <v/>
      </c>
      <c r="R40" s="5" t="inlineStr">
        <is>
          <t>ДН.ру (dn.ru), бренд Теплоконтроль</t>
        </is>
      </c>
      <c r="S40" s="5" t="inlineStr">
        <is>
          <t>розница · B: dn.ru — живой магазин ООО «ДН.ру», © 2026,</t>
        </is>
      </c>
      <c r="T40" s="5" t="inlineStr">
        <is>
          <t>exact · не проверено</t>
        </is>
      </c>
      <c r="U40" s="5" t="inlineStr">
        <is>
          <t>https://dn.ru/regulyator/reguliator-davleniia-posle-sebia/teplokontrol/rd-no-chugun/dn25</t>
        </is>
      </c>
    </row>
    <row r="41" ht="34" customHeight="1">
      <c r="A41" s="5" t="inlineStr">
        <is>
          <t>1.3</t>
        </is>
      </c>
      <c r="B41" s="6" t="n">
        <v>10</v>
      </c>
      <c r="C41" s="5" t="inlineStr">
        <is>
          <t>Клапаны</t>
        </is>
      </c>
      <c r="D41" s="5" t="inlineStr">
        <is>
          <t>Регулятор давления РД-НО (Нормально открытый) Ду 32 Ру 16</t>
        </is>
      </c>
      <c r="E41" s="6" t="n">
        <v>1</v>
      </c>
      <c r="F41" s="5" t="inlineStr">
        <is>
          <t>шт</t>
        </is>
      </c>
      <c r="G41" s="6" t="n">
        <v>32</v>
      </c>
      <c r="H41" s="6" t="n">
        <v>1.6</v>
      </c>
      <c r="I41" s="5" t="inlineStr">
        <is>
          <t>чугун СЧ20 ГОСТ1412</t>
        </is>
      </c>
      <c r="J41" s="5" t="inlineStr">
        <is>
          <t>автоматический</t>
        </is>
      </c>
      <c r="K41" s="7" t="n">
        <v>54538.27</v>
      </c>
      <c r="L41" s="15">
        <f>IF(K41="","",K41*(1-0.1))</f>
        <v/>
      </c>
      <c r="M41" s="6" t="n">
        <v>16</v>
      </c>
      <c r="N41" s="15">
        <f>IF(K41="","",L41*E41)</f>
        <v/>
      </c>
      <c r="O41" s="15">
        <f>IF(M41="","",M41*E41*55)</f>
        <v/>
      </c>
      <c r="P41" s="15">
        <f>IF(N41="","",N41+N(O41))</f>
        <v/>
      </c>
      <c r="Q41" s="15">
        <f>IF(P41="","",P41/E41)</f>
        <v/>
      </c>
      <c r="R41" s="5" t="inlineStr">
        <is>
          <t>ДН.ру (dn.ru), бренд Теплоконтроль</t>
        </is>
      </c>
      <c r="S41" s="5" t="inlineStr">
        <is>
          <t>розница · B: dn.ru — живой магазин ООО «ДН.ру», © 2026,</t>
        </is>
      </c>
      <c r="T41" s="5" t="inlineStr">
        <is>
          <t>exact · не проверено</t>
        </is>
      </c>
      <c r="U41" s="5" t="inlineStr">
        <is>
          <t>https://dn.ru/regulyator/reguliator-davleniia-posle-sebia/teplokontrol/rd-no-chugun/dn32</t>
        </is>
      </c>
    </row>
    <row r="42" ht="34" customHeight="1">
      <c r="A42" s="5" t="inlineStr">
        <is>
          <t>1.3</t>
        </is>
      </c>
      <c r="B42" s="6" t="n">
        <v>11</v>
      </c>
      <c r="C42" s="5" t="inlineStr">
        <is>
          <t>Клапаны</t>
        </is>
      </c>
      <c r="D42" s="5" t="inlineStr">
        <is>
          <t>Регулятор давления РД-НО (Нормально открытый) Ду 50 Ру 16</t>
        </is>
      </c>
      <c r="E42" s="6" t="n">
        <v>3</v>
      </c>
      <c r="F42" s="5" t="inlineStr">
        <is>
          <t>шт</t>
        </is>
      </c>
      <c r="G42" s="6" t="n">
        <v>50</v>
      </c>
      <c r="H42" s="6" t="n">
        <v>1.6</v>
      </c>
      <c r="I42" s="5" t="inlineStr">
        <is>
          <t>чугун СЧ20 ГОСТ1412</t>
        </is>
      </c>
      <c r="J42" s="5" t="inlineStr">
        <is>
          <t>автоматический</t>
        </is>
      </c>
      <c r="K42" s="7" t="n">
        <v>79717.24000000001</v>
      </c>
      <c r="L42" s="15">
        <f>IF(K42="","",K42*(1-0.1))</f>
        <v/>
      </c>
      <c r="M42" s="6" t="n">
        <v>26</v>
      </c>
      <c r="N42" s="15">
        <f>IF(K42="","",L42*E42)</f>
        <v/>
      </c>
      <c r="O42" s="15">
        <f>IF(M42="","",M42*E42*55)</f>
        <v/>
      </c>
      <c r="P42" s="15">
        <f>IF(N42="","",N42+N(O42))</f>
        <v/>
      </c>
      <c r="Q42" s="15">
        <f>IF(P42="","",P42/E42)</f>
        <v/>
      </c>
      <c r="R42" s="5" t="inlineStr">
        <is>
          <t>ДН.ру (dn.ru), бренд Теплоконтроль</t>
        </is>
      </c>
      <c r="S42" s="5" t="inlineStr">
        <is>
          <t>розница · B: dn.ru — живой магазин ООО «ДН.ру», © 2026,</t>
        </is>
      </c>
      <c r="T42" s="5" t="inlineStr">
        <is>
          <t>exact · не проверено</t>
        </is>
      </c>
      <c r="U42" s="5" t="inlineStr">
        <is>
          <t>https://dn.ru/regulyator/reguliator-davleniia-posle-sebia/teplokontrol/rd-no-chugun/dn50</t>
        </is>
      </c>
    </row>
    <row r="43" ht="34" customHeight="1">
      <c r="A43" s="5" t="inlineStr">
        <is>
          <t>1.3</t>
        </is>
      </c>
      <c r="B43" s="6" t="n">
        <v>12</v>
      </c>
      <c r="C43" s="5" t="inlineStr">
        <is>
          <t>Клапаны</t>
        </is>
      </c>
      <c r="D43" s="5" t="inlineStr">
        <is>
          <t>Регулятор давления РД-НО (Нормально открытый) Ду 80 Ру 16</t>
        </is>
      </c>
      <c r="E43" s="6" t="n">
        <v>3</v>
      </c>
      <c r="F43" s="5" t="inlineStr">
        <is>
          <t>шт</t>
        </is>
      </c>
      <c r="G43" s="6" t="n">
        <v>80</v>
      </c>
      <c r="H43" s="6" t="n">
        <v>1.6</v>
      </c>
      <c r="I43" s="5" t="inlineStr">
        <is>
          <t>Сталь марки 20</t>
        </is>
      </c>
      <c r="J43" s="5" t="inlineStr">
        <is>
          <t>автоматический</t>
        </is>
      </c>
      <c r="K43" s="7" t="n">
        <v>101011.12</v>
      </c>
      <c r="L43" s="15">
        <f>IF(K43="","",K43*(1-0.1))</f>
        <v/>
      </c>
      <c r="M43" s="6" t="n">
        <v>45</v>
      </c>
      <c r="N43" s="15">
        <f>IF(K43="","",L43*E43)</f>
        <v/>
      </c>
      <c r="O43" s="15">
        <f>IF(M43="","",M43*E43*55)</f>
        <v/>
      </c>
      <c r="P43" s="15">
        <f>IF(N43="","",N43+N(O43))</f>
        <v/>
      </c>
      <c r="Q43" s="15">
        <f>IF(P43="","",P43/E43)</f>
        <v/>
      </c>
      <c r="R43" s="5" t="inlineStr">
        <is>
          <t>ДН.ру (dn.ru), бренд Теплоконтроль</t>
        </is>
      </c>
      <c r="S43" s="5" t="inlineStr">
        <is>
          <t>розница · B: dn.ru — живой магазин ООО «ДН.ру», © 2026,</t>
        </is>
      </c>
      <c r="T43" s="5" t="inlineStr">
        <is>
          <t>exact · не проверено</t>
        </is>
      </c>
      <c r="U43" s="5" t="inlineStr">
        <is>
          <t>https://dn.ru/regulyator/reguliator-davleniia-posle-sebia/teplokontrol/rd-no-chugun/dn80</t>
        </is>
      </c>
    </row>
    <row r="44" ht="34" customHeight="1">
      <c r="A44" s="5" t="inlineStr">
        <is>
          <t>1.3</t>
        </is>
      </c>
      <c r="B44" s="6" t="n">
        <v>13</v>
      </c>
      <c r="C44" s="5" t="inlineStr">
        <is>
          <t>Краны шаровые и прочее</t>
        </is>
      </c>
      <c r="D44" s="5" t="inlineStr">
        <is>
          <t>Регулирующий блок после себя AFD Ду 15-250 с диапазоном настройки Ру 25</t>
        </is>
      </c>
      <c r="E44" s="6" t="n">
        <v>2</v>
      </c>
      <c r="F44" s="5" t="inlineStr">
        <is>
          <t>шт</t>
        </is>
      </c>
      <c r="G44" s="5" t="inlineStr">
        <is>
          <t>15-250</t>
        </is>
      </c>
      <c r="H44" s="5" t="inlineStr">
        <is>
          <t>Условное давление датчика (PN), погружная
гильза,
2,5</t>
        </is>
      </c>
      <c r="I44" s="5" t="inlineStr">
        <is>
          <t>Нержавеющая сталь</t>
        </is>
      </c>
      <c r="J44" s="5" t="inlineStr">
        <is>
          <t>отсутствует</t>
        </is>
      </c>
      <c r="K44" s="7" t="n">
        <v>45000</v>
      </c>
      <c r="L44" s="15">
        <f>IF(K44="","",K44*(1-0.1))</f>
        <v/>
      </c>
      <c r="M44" s="6" t="n">
        <v>4.5</v>
      </c>
      <c r="N44" s="15">
        <f>IF(K44="","",L44*E44)</f>
        <v/>
      </c>
      <c r="O44" s="15">
        <f>IF(M44="","",M44*E44*55)</f>
        <v/>
      </c>
      <c r="P44" s="15">
        <f>IF(N44="","",N44+N(O44))</f>
        <v/>
      </c>
      <c r="Q44" s="15">
        <f>IF(P44="","",P44/E44)</f>
        <v/>
      </c>
      <c r="R44" s="5" t="inlineStr">
        <is>
          <t>Ридан (Россия, бывш. Danfoss) — бло</t>
        </is>
      </c>
      <c r="S44" s="5" t="inlineStr">
        <is>
          <t>оценка · тех.описание Ридан; открытой цены нет</t>
        </is>
      </c>
      <c r="T44" s="5" t="inlineStr">
        <is>
          <t>analog: Ридан AFD-R 003G1002R (рос. замена Danfoss AFD)</t>
        </is>
      </c>
      <c r="U44" s="5" t="inlineStr">
        <is>
          <t>https://docs.ridan.ru/files/TO_regulyator_davl_AFDR-VFG2R.pdf</t>
        </is>
      </c>
    </row>
    <row r="45" ht="34" customHeight="1">
      <c r="A45" s="5" t="inlineStr">
        <is>
          <t>1.3</t>
        </is>
      </c>
      <c r="B45" s="6" t="n">
        <v>14</v>
      </c>
      <c r="C45" s="5" t="inlineStr">
        <is>
          <t>Клапаны</t>
        </is>
      </c>
      <c r="D45" s="5" t="inlineStr">
        <is>
          <t>Клапан обратный 19с53нж Ду 80 Ру 40</t>
        </is>
      </c>
      <c r="E45" s="6" t="n">
        <v>2</v>
      </c>
      <c r="F45" s="5" t="inlineStr">
        <is>
          <t>шт</t>
        </is>
      </c>
      <c r="G45" s="6" t="n">
        <v>80</v>
      </c>
      <c r="H45" s="6" t="n">
        <v>4</v>
      </c>
      <c r="I45" s="5" t="inlineStr">
        <is>
          <t xml:space="preserve">Углеродистая сталь </t>
        </is>
      </c>
      <c r="J45" s="5" t="inlineStr"/>
      <c r="K45" s="7" t="n">
        <v>19411.42</v>
      </c>
      <c r="L45" s="15">
        <f>IF(K45="","",K45*(1-0.1))</f>
        <v/>
      </c>
      <c r="M45" s="6" t="n">
        <v>22</v>
      </c>
      <c r="N45" s="15">
        <f>IF(K45="","",L45*E45)</f>
        <v/>
      </c>
      <c r="O45" s="15">
        <f>IF(M45="","",M45*E45*55)</f>
        <v/>
      </c>
      <c r="P45" s="15">
        <f>IF(N45="","",N45+N(O45))</f>
        <v/>
      </c>
      <c r="Q45" s="15">
        <f>IF(P45="","",P45/E45)</f>
        <v/>
      </c>
      <c r="R45" s="5" t="inlineStr">
        <is>
          <t>ДН.ру (dn.ru), бренд МЗТА</t>
        </is>
      </c>
      <c r="S45" s="5" t="inlineStr">
        <is>
          <t>розница · B: dn.ru — живой магазин ООО «ДН.ру», © 2026,</t>
        </is>
      </c>
      <c r="T45" s="5" t="inlineStr">
        <is>
          <t>exact · не проверено</t>
        </is>
      </c>
      <c r="U45" s="5" t="inlineStr">
        <is>
          <t>https://dn.ru/klapan/klapan-obratnyi/flantcevyi/povorotnyi/mzta/19s53nzh/dn80</t>
        </is>
      </c>
    </row>
    <row r="46" ht="34" customHeight="1">
      <c r="A46" s="5" t="inlineStr">
        <is>
          <t>1.3</t>
        </is>
      </c>
      <c r="B46" s="6" t="n">
        <v>15</v>
      </c>
      <c r="C46" s="5" t="inlineStr">
        <is>
          <t>Клапаны</t>
        </is>
      </c>
      <c r="D46" s="5" t="inlineStr">
        <is>
          <t>Клапан обратный 19с53нж Ду 150 Ру 40</t>
        </is>
      </c>
      <c r="E46" s="6" t="n">
        <v>2</v>
      </c>
      <c r="F46" s="5" t="inlineStr">
        <is>
          <t>шт</t>
        </is>
      </c>
      <c r="G46" s="6" t="n">
        <v>150</v>
      </c>
      <c r="H46" s="6" t="n">
        <v>4</v>
      </c>
      <c r="I46" s="5" t="inlineStr">
        <is>
          <t xml:space="preserve">Углеродистая сталь </t>
        </is>
      </c>
      <c r="J46" s="5" t="inlineStr"/>
      <c r="K46" s="7" t="n">
        <v>51476.68</v>
      </c>
      <c r="L46" s="15">
        <f>IF(K46="","",K46*(1-0.1))</f>
        <v/>
      </c>
      <c r="M46" s="6" t="n">
        <v>60</v>
      </c>
      <c r="N46" s="15">
        <f>IF(K46="","",L46*E46)</f>
        <v/>
      </c>
      <c r="O46" s="15">
        <f>IF(M46="","",M46*E46*55)</f>
        <v/>
      </c>
      <c r="P46" s="15">
        <f>IF(N46="","",N46+N(O46))</f>
        <v/>
      </c>
      <c r="Q46" s="15">
        <f>IF(P46="","",P46/E46)</f>
        <v/>
      </c>
      <c r="R46" s="5" t="inlineStr">
        <is>
          <t>ДН.ру (dn.ru), бренд МЗТА</t>
        </is>
      </c>
      <c r="S46" s="5" t="inlineStr">
        <is>
          <t>розница · B: dn.ru — живой магазин ООО «ДН.ру», © 2026,</t>
        </is>
      </c>
      <c r="T46" s="5" t="inlineStr">
        <is>
          <t>exact · не проверено</t>
        </is>
      </c>
      <c r="U46" s="5" t="inlineStr">
        <is>
          <t>https://dn.ru/klapan/klapan-obratnyi/flantcevyi/povorotnyi/mzta/19s53nzh/dn150</t>
        </is>
      </c>
    </row>
    <row r="47" ht="34" customHeight="1">
      <c r="A47" s="5" t="inlineStr">
        <is>
          <t>1.3</t>
        </is>
      </c>
      <c r="B47" s="6" t="n">
        <v>16</v>
      </c>
      <c r="C47" s="5" t="inlineStr">
        <is>
          <t>Клапаны</t>
        </is>
      </c>
      <c r="D47" s="5" t="inlineStr">
        <is>
          <t>Клапан обратный межфланцевый 19ч21бр Ду 100 Ру 16</t>
        </is>
      </c>
      <c r="E47" s="6" t="n">
        <v>4</v>
      </c>
      <c r="F47" s="5" t="inlineStr">
        <is>
          <t>шт</t>
        </is>
      </c>
      <c r="G47" s="6" t="n">
        <v>100</v>
      </c>
      <c r="H47" s="6" t="n">
        <v>1.6</v>
      </c>
      <c r="I47" s="5" t="inlineStr">
        <is>
          <t>чугун СЧ18</t>
        </is>
      </c>
      <c r="J47" s="5" t="inlineStr">
        <is>
          <t>автоматический</t>
        </is>
      </c>
      <c r="K47" s="7" t="n">
        <v>4596.35</v>
      </c>
      <c r="L47" s="15">
        <f>IF(K47="","",K47*(1-0.1))</f>
        <v/>
      </c>
      <c r="M47" s="6" t="n">
        <v>3.5</v>
      </c>
      <c r="N47" s="15">
        <f>IF(K47="","",L47*E47)</f>
        <v/>
      </c>
      <c r="O47" s="15">
        <f>IF(M47="","",M47*E47*55)</f>
        <v/>
      </c>
      <c r="P47" s="15">
        <f>IF(N47="","",N47+N(O47))</f>
        <v/>
      </c>
      <c r="Q47" s="15">
        <f>IF(P47="","",P47/E47)</f>
        <v/>
      </c>
      <c r="R47" s="5" t="inlineStr">
        <is>
          <t>ДН.ру (dn.ru), бренд Мегастрой</t>
        </is>
      </c>
      <c r="S47" s="5" t="inlineStr">
        <is>
          <t>розница · B: dn.ru — живой магазин ООО «ДН.ру», © 2026,</t>
        </is>
      </c>
      <c r="T47" s="5" t="inlineStr">
        <is>
          <t>exact · не проверено</t>
        </is>
      </c>
      <c r="U47" s="5" t="inlineStr">
        <is>
          <t>https://dn.ru/klapan/klapan-obratnyi/mezhflantcevyi/odnostvorchatyi/megastroy/19ch21br/dn100</t>
        </is>
      </c>
    </row>
    <row r="48" ht="34" customHeight="1">
      <c r="A48" s="5" t="inlineStr">
        <is>
          <t>1.3</t>
        </is>
      </c>
      <c r="B48" s="6" t="n">
        <v>17</v>
      </c>
      <c r="C48" s="5" t="inlineStr">
        <is>
          <t>Клапаны</t>
        </is>
      </c>
      <c r="D48" s="5" t="inlineStr">
        <is>
          <t>Клапан обратный межфланцевый 19ч21бр Ду 50 Ру 16</t>
        </is>
      </c>
      <c r="E48" s="6" t="n">
        <v>6</v>
      </c>
      <c r="F48" s="5" t="inlineStr">
        <is>
          <t>шт</t>
        </is>
      </c>
      <c r="G48" s="6" t="n">
        <v>50</v>
      </c>
      <c r="H48" s="6" t="n">
        <v>1.6</v>
      </c>
      <c r="I48" s="5" t="inlineStr">
        <is>
          <t>чугун СЧ18</t>
        </is>
      </c>
      <c r="J48" s="5" t="inlineStr">
        <is>
          <t>автоматический</t>
        </is>
      </c>
      <c r="K48" s="7" t="n">
        <v>2280.79</v>
      </c>
      <c r="L48" s="15">
        <f>IF(K48="","",K48*(1-0.1))</f>
        <v/>
      </c>
      <c r="M48" s="6" t="n">
        <v>1.5</v>
      </c>
      <c r="N48" s="15">
        <f>IF(K48="","",L48*E48)</f>
        <v/>
      </c>
      <c r="O48" s="15">
        <f>IF(M48="","",M48*E48*55)</f>
        <v/>
      </c>
      <c r="P48" s="15">
        <f>IF(N48="","",N48+N(O48))</f>
        <v/>
      </c>
      <c r="Q48" s="15">
        <f>IF(P48="","",P48/E48)</f>
        <v/>
      </c>
      <c r="R48" s="5" t="inlineStr">
        <is>
          <t>ДН.ру (dn.ru), бренд Мегастрой</t>
        </is>
      </c>
      <c r="S48" s="5" t="inlineStr">
        <is>
          <t>розница · B: dn.ru — живой магазин ООО «ДН.ру», © 2026,</t>
        </is>
      </c>
      <c r="T48" s="5" t="inlineStr">
        <is>
          <t>exact · не проверено</t>
        </is>
      </c>
      <c r="U48" s="5" t="inlineStr">
        <is>
          <t>https://dn.ru/klapan/klapan-obratnyi/mezhflantcevyi/odnostvorchatyi/megastroy/19ch21br/dn50</t>
        </is>
      </c>
    </row>
    <row r="49" ht="34" customHeight="1">
      <c r="A49" s="5" t="inlineStr">
        <is>
          <t>1.3</t>
        </is>
      </c>
      <c r="B49" s="6" t="n">
        <v>18</v>
      </c>
      <c r="C49" s="5" t="inlineStr">
        <is>
          <t>Клапаны</t>
        </is>
      </c>
      <c r="D49" s="5" t="inlineStr">
        <is>
          <t>Клапан обратный межфланцевый 19ч21бр Ду 80 Ру 16</t>
        </is>
      </c>
      <c r="E49" s="6" t="n">
        <v>7</v>
      </c>
      <c r="F49" s="5" t="inlineStr">
        <is>
          <t>шт</t>
        </is>
      </c>
      <c r="G49" s="6" t="n">
        <v>80</v>
      </c>
      <c r="H49" s="6" t="n">
        <v>1.6</v>
      </c>
      <c r="I49" s="5" t="inlineStr">
        <is>
          <t>чугун СЧ18</t>
        </is>
      </c>
      <c r="J49" s="5" t="inlineStr">
        <is>
          <t>автоматический</t>
        </is>
      </c>
      <c r="K49" s="7" t="n">
        <v>3351.34</v>
      </c>
      <c r="L49" s="15">
        <f>IF(K49="","",K49*(1-0.1))</f>
        <v/>
      </c>
      <c r="M49" s="6" t="n">
        <v>2.5</v>
      </c>
      <c r="N49" s="15">
        <f>IF(K49="","",L49*E49)</f>
        <v/>
      </c>
      <c r="O49" s="15">
        <f>IF(M49="","",M49*E49*55)</f>
        <v/>
      </c>
      <c r="P49" s="15">
        <f>IF(N49="","",N49+N(O49))</f>
        <v/>
      </c>
      <c r="Q49" s="15">
        <f>IF(P49="","",P49/E49)</f>
        <v/>
      </c>
      <c r="R49" s="5" t="inlineStr">
        <is>
          <t>ДН.ру (dn.ru), бренд Мегастрой</t>
        </is>
      </c>
      <c r="S49" s="5" t="inlineStr">
        <is>
          <t>розница · B: dn.ru — живой магазин ООО «ДН.ру», © 2026,</t>
        </is>
      </c>
      <c r="T49" s="5" t="inlineStr">
        <is>
          <t>exact · не проверено</t>
        </is>
      </c>
      <c r="U49" s="5" t="inlineStr">
        <is>
          <t>https://dn.ru/klapan/klapan-obratnyi/mezhflantcevyi/odnostvorchatyi/megastroy/19ch21br/dn80</t>
        </is>
      </c>
    </row>
    <row r="50" ht="34" customHeight="1">
      <c r="A50" s="5" t="inlineStr">
        <is>
          <t>1.3</t>
        </is>
      </c>
      <c r="B50" s="6" t="n">
        <v>19</v>
      </c>
      <c r="C50" s="5" t="inlineStr">
        <is>
          <t>Клапаны</t>
        </is>
      </c>
      <c r="D50" s="5" t="inlineStr">
        <is>
          <t>Клапан обратный двухстворчатый DENDOR 010C Ду 100 Ру 16</t>
        </is>
      </c>
      <c r="E50" s="6" t="n">
        <v>5</v>
      </c>
      <c r="F50" s="5" t="inlineStr">
        <is>
          <t>шт</t>
        </is>
      </c>
      <c r="G50" s="6" t="n">
        <v>100</v>
      </c>
      <c r="H50" s="6" t="n">
        <v>1.6</v>
      </c>
      <c r="I50" s="5" t="inlineStr">
        <is>
          <t>Чугун EN-GJS-400-15</t>
        </is>
      </c>
      <c r="J50" s="5" t="inlineStr">
        <is>
          <t>-</t>
        </is>
      </c>
      <c r="K50" s="7" t="n">
        <v>10936.08</v>
      </c>
      <c r="L50" s="15">
        <f>IF(K50="","",K50*(1-0.1))</f>
        <v/>
      </c>
      <c r="M50" s="6" t="n">
        <v>5</v>
      </c>
      <c r="N50" s="15">
        <f>IF(K50="","",L50*E50)</f>
        <v/>
      </c>
      <c r="O50" s="15">
        <f>IF(M50="","",M50*E50*55)</f>
        <v/>
      </c>
      <c r="P50" s="15">
        <f>IF(N50="","",N50+N(O50))</f>
        <v/>
      </c>
      <c r="Q50" s="15">
        <f>IF(P50="","",P50/E50)</f>
        <v/>
      </c>
      <c r="R50" s="5" t="inlineStr">
        <is>
          <t>ДН.ру (dn.ru), бренд АДЛ Гранлок</t>
        </is>
      </c>
      <c r="S50" s="5" t="inlineStr">
        <is>
          <t>розница · B: dn.ru — живой магазин ООО «ДН.ру», © 2026,</t>
        </is>
      </c>
      <c r="T50" s="5" t="inlineStr">
        <is>
          <t xml:space="preserve">analog: АДЛ Гранлок CV16 (двухстворчатый межфланцевый, </t>
        </is>
      </c>
      <c r="U50" s="5" t="inlineStr">
        <is>
          <t>https://dn.ru/klapan/klapan-obratnyi/mezhflantcevyi/dvukhstvorchatyi/granlok/cv16/dn100</t>
        </is>
      </c>
    </row>
    <row r="51" ht="34" customHeight="1">
      <c r="A51" s="5" t="inlineStr">
        <is>
          <t>1.3</t>
        </is>
      </c>
      <c r="B51" s="6" t="n">
        <v>20</v>
      </c>
      <c r="C51" s="5" t="inlineStr">
        <is>
          <t>Клапаны</t>
        </is>
      </c>
      <c r="D51" s="5" t="inlineStr">
        <is>
          <t>Клапан обратный двухстворчатый DENDOR 010C Ду 200 Ру 16</t>
        </is>
      </c>
      <c r="E51" s="6" t="n">
        <v>5</v>
      </c>
      <c r="F51" s="5" t="inlineStr">
        <is>
          <t>шт</t>
        </is>
      </c>
      <c r="G51" s="6" t="n">
        <v>200</v>
      </c>
      <c r="H51" s="6" t="n">
        <v>1.6</v>
      </c>
      <c r="I51" s="5" t="inlineStr">
        <is>
          <t>Чугун EN-GJS-400-15</t>
        </is>
      </c>
      <c r="J51" s="5" t="inlineStr">
        <is>
          <t>-</t>
        </is>
      </c>
      <c r="K51" s="7" t="n">
        <v>29968.69</v>
      </c>
      <c r="L51" s="15">
        <f>IF(K51="","",K51*(1-0.1))</f>
        <v/>
      </c>
      <c r="M51" s="6" t="n">
        <v>16</v>
      </c>
      <c r="N51" s="15">
        <f>IF(K51="","",L51*E51)</f>
        <v/>
      </c>
      <c r="O51" s="15">
        <f>IF(M51="","",M51*E51*55)</f>
        <v/>
      </c>
      <c r="P51" s="15">
        <f>IF(N51="","",N51+N(O51))</f>
        <v/>
      </c>
      <c r="Q51" s="15">
        <f>IF(P51="","",P51/E51)</f>
        <v/>
      </c>
      <c r="R51" s="5" t="inlineStr">
        <is>
          <t>ДН.ру (dn.ru), бренд АДЛ Гранлок</t>
        </is>
      </c>
      <c r="S51" s="5" t="inlineStr">
        <is>
          <t>розница · B: dn.ru — живой магазин ООО «ДН.ру», © 2026,</t>
        </is>
      </c>
      <c r="T51" s="5" t="inlineStr">
        <is>
          <t xml:space="preserve">analog: АДЛ Гранлок CV16 (двухстворчатый межфланцевый, </t>
        </is>
      </c>
      <c r="U51" s="5" t="inlineStr">
        <is>
          <t>https://dn.ru/klapan/klapan-obratnyi/mezhflantcevyi/dvukhstvorchatyi/granlok/cv16/dn200</t>
        </is>
      </c>
    </row>
    <row r="52" ht="34" customHeight="1">
      <c r="A52" s="5" t="inlineStr">
        <is>
          <t>1.3</t>
        </is>
      </c>
      <c r="B52" s="6" t="n">
        <v>21</v>
      </c>
      <c r="C52" s="5" t="inlineStr">
        <is>
          <t>Клапаны</t>
        </is>
      </c>
      <c r="D52" s="5" t="inlineStr">
        <is>
          <t>Клапан обратный фланцевый Ду 50 Ру 40</t>
        </is>
      </c>
      <c r="E52" s="6" t="n">
        <v>1</v>
      </c>
      <c r="F52" s="5" t="inlineStr">
        <is>
          <t>шт</t>
        </is>
      </c>
      <c r="G52" s="6" t="n">
        <v>50</v>
      </c>
      <c r="H52" s="6" t="n">
        <v>4</v>
      </c>
      <c r="I52" s="5" t="inlineStr">
        <is>
          <t xml:space="preserve">Углеродистая сталь </t>
        </is>
      </c>
      <c r="J52" s="5" t="inlineStr"/>
      <c r="K52" s="7" t="n">
        <v>15063.34</v>
      </c>
      <c r="L52" s="15">
        <f>IF(K52="","",K52*(1-0.1))</f>
        <v/>
      </c>
      <c r="M52" s="6" t="n">
        <v>13</v>
      </c>
      <c r="N52" s="15">
        <f>IF(K52="","",L52*E52)</f>
        <v/>
      </c>
      <c r="O52" s="15">
        <f>IF(M52="","",M52*E52*55)</f>
        <v/>
      </c>
      <c r="P52" s="15">
        <f>IF(N52="","",N52+N(O52))</f>
        <v/>
      </c>
      <c r="Q52" s="15">
        <f>IF(P52="","",P52/E52)</f>
        <v/>
      </c>
      <c r="R52" s="5" t="inlineStr">
        <is>
          <t>ДН.ру (dn.ru), бренд МЗТА</t>
        </is>
      </c>
      <c r="S52" s="5" t="inlineStr">
        <is>
          <t>розница · B: dn.ru — живой магазин ООО «ДН.ру», © 2026,</t>
        </is>
      </c>
      <c r="T52" s="5" t="inlineStr">
        <is>
          <t>analog: МЗТА 19с53нж Ду50 Ру40 (поворотный фланцевый) ·</t>
        </is>
      </c>
      <c r="U52" s="5" t="inlineStr">
        <is>
          <t>https://dn.ru/klapan/klapan-obratnyi/flantcevyi/povorotnyi/mzta/19s53nzh/dn50</t>
        </is>
      </c>
    </row>
    <row r="53" ht="34" customHeight="1">
      <c r="A53" s="5" t="inlineStr">
        <is>
          <t>1.3</t>
        </is>
      </c>
      <c r="B53" s="6" t="n">
        <v>22</v>
      </c>
      <c r="C53" s="5" t="inlineStr">
        <is>
          <t>Клапаны</t>
        </is>
      </c>
      <c r="D53" s="5" t="inlineStr">
        <is>
          <t>Обратный клапан «Гранлок» серии CV16 Ду 150 Ру 16</t>
        </is>
      </c>
      <c r="E53" s="6" t="n">
        <v>4</v>
      </c>
      <c r="F53" s="5" t="inlineStr">
        <is>
          <t>шт</t>
        </is>
      </c>
      <c r="G53" s="6" t="n">
        <v>150</v>
      </c>
      <c r="H53" s="6" t="n">
        <v>1.6</v>
      </c>
      <c r="I53" s="5" t="inlineStr">
        <is>
          <t>чугун GG25</t>
        </is>
      </c>
      <c r="J53" s="5" t="inlineStr">
        <is>
          <t>-</t>
        </is>
      </c>
      <c r="K53" s="7" t="n">
        <v>12109.11</v>
      </c>
      <c r="L53" s="15">
        <f>IF(K53="","",K53*(1-0.1))</f>
        <v/>
      </c>
      <c r="M53" s="6" t="n">
        <v>9</v>
      </c>
      <c r="N53" s="15">
        <f>IF(K53="","",L53*E53)</f>
        <v/>
      </c>
      <c r="O53" s="15">
        <f>IF(M53="","",M53*E53*55)</f>
        <v/>
      </c>
      <c r="P53" s="15">
        <f>IF(N53="","",N53+N(O53))</f>
        <v/>
      </c>
      <c r="Q53" s="15">
        <f>IF(P53="","",P53/E53)</f>
        <v/>
      </c>
      <c r="R53" s="5" t="inlineStr">
        <is>
          <t>ДН.ру (dn.ru), бренд АДЛ Гранлок</t>
        </is>
      </c>
      <c r="S53" s="5" t="inlineStr">
        <is>
          <t>розница · B: dn.ru — живой магазин ООО «ДН.ру», © 2026,</t>
        </is>
      </c>
      <c r="T53" s="5" t="inlineStr">
        <is>
          <t>exact · не проверено</t>
        </is>
      </c>
      <c r="U53" s="5" t="inlineStr">
        <is>
          <t>https://dn.ru/klapan/klapan-obratnyi/mezhflantcevyi/dvukhstvorchatyi/granlok/cv16/dn150</t>
        </is>
      </c>
    </row>
    <row r="54" ht="34" customHeight="1">
      <c r="A54" s="5" t="inlineStr">
        <is>
          <t>1.3</t>
        </is>
      </c>
      <c r="B54" s="6" t="n">
        <v>23</v>
      </c>
      <c r="C54" s="5" t="inlineStr">
        <is>
          <t>Клапаны</t>
        </is>
      </c>
      <c r="D54" s="5" t="inlineStr">
        <is>
          <t>Клапан обратный 16нж10нж Ду 50 Ру 16</t>
        </is>
      </c>
      <c r="E54" s="6" t="n">
        <v>2</v>
      </c>
      <c r="F54" s="5" t="inlineStr">
        <is>
          <t>шт</t>
        </is>
      </c>
      <c r="G54" s="6" t="n">
        <v>50</v>
      </c>
      <c r="H54" s="6" t="n">
        <v>1.6</v>
      </c>
      <c r="I54" s="5" t="inlineStr">
        <is>
          <t xml:space="preserve"> 08Х18Н10, 08Х18Н10Т, 12Х18Н9, 12Х18Н9ТЛ</t>
        </is>
      </c>
      <c r="J54" s="5" t="inlineStr">
        <is>
          <t>Клапан 16нж10нж является автом</t>
        </is>
      </c>
      <c r="K54" s="7" t="n">
        <v>42016.8</v>
      </c>
      <c r="L54" s="15">
        <f>IF(K54="","",K54*(1-0.1))</f>
        <v/>
      </c>
      <c r="M54" s="6" t="n">
        <v>14</v>
      </c>
      <c r="N54" s="15">
        <f>IF(K54="","",L54*E54)</f>
        <v/>
      </c>
      <c r="O54" s="15">
        <f>IF(M54="","",M54*E54*55)</f>
        <v/>
      </c>
      <c r="P54" s="15">
        <f>IF(N54="","",N54+N(O54))</f>
        <v/>
      </c>
      <c r="Q54" s="15">
        <f>IF(P54="","",P54/E54)</f>
        <v/>
      </c>
      <c r="R54" s="5" t="inlineStr">
        <is>
          <t>ДН.ру (dn.ru), бренд Победа-30</t>
        </is>
      </c>
      <c r="S54" s="5" t="inlineStr">
        <is>
          <t>розница · B: dn.ru — живой магазин ООО «ДН.ру», © 2026,</t>
        </is>
      </c>
      <c r="T54" s="5" t="inlineStr">
        <is>
          <t>exact · не проверено</t>
        </is>
      </c>
      <c r="U54" s="5" t="inlineStr">
        <is>
          <t>https://dn.ru/klapan/klapan-obratnyi/flantcevyi/podemnyi/pobeda30/16nj10nj/dn50</t>
        </is>
      </c>
    </row>
    <row r="55" ht="34" customHeight="1">
      <c r="A55" s="5" t="inlineStr">
        <is>
          <t>1.3</t>
        </is>
      </c>
      <c r="B55" s="6" t="n">
        <v>24</v>
      </c>
      <c r="C55" s="5" t="inlineStr">
        <is>
          <t>Клапаны</t>
        </is>
      </c>
      <c r="D55" s="5" t="inlineStr">
        <is>
          <t>Клапан обратный 16нж10нж Ду 32 Ру16</t>
        </is>
      </c>
      <c r="E55" s="6" t="n">
        <v>5</v>
      </c>
      <c r="F55" s="5" t="inlineStr">
        <is>
          <t>шт</t>
        </is>
      </c>
      <c r="G55" s="6" t="n">
        <v>32</v>
      </c>
      <c r="H55" s="6" t="n">
        <v>1.6</v>
      </c>
      <c r="I55" s="5" t="inlineStr">
        <is>
          <t xml:space="preserve"> 08Х18Н10, 08Х18Н10Т, 12Х18Н9, 12Х18Н9ТЛ</t>
        </is>
      </c>
      <c r="J55" s="5" t="inlineStr">
        <is>
          <t>Клапан 16нж10нж является автом</t>
        </is>
      </c>
      <c r="K55" s="7" t="n">
        <v>30012</v>
      </c>
      <c r="L55" s="15">
        <f>IF(K55="","",K55*(1-0.1))</f>
        <v/>
      </c>
      <c r="M55" s="6" t="n">
        <v>7.5</v>
      </c>
      <c r="N55" s="15">
        <f>IF(K55="","",L55*E55)</f>
        <v/>
      </c>
      <c r="O55" s="15">
        <f>IF(M55="","",M55*E55*55)</f>
        <v/>
      </c>
      <c r="P55" s="15">
        <f>IF(N55="","",N55+N(O55))</f>
        <v/>
      </c>
      <c r="Q55" s="15">
        <f>IF(P55="","",P55/E55)</f>
        <v/>
      </c>
      <c r="R55" s="5" t="inlineStr">
        <is>
          <t>ДН.ру (dn.ru), бренд Победа-30</t>
        </is>
      </c>
      <c r="S55" s="5" t="inlineStr">
        <is>
          <t>розница · B: dn.ru — живой магазин ООО «ДН.ру», © 2026,</t>
        </is>
      </c>
      <c r="T55" s="5" t="inlineStr">
        <is>
          <t>exact · не проверено</t>
        </is>
      </c>
      <c r="U55" s="5" t="inlineStr">
        <is>
          <t>https://dn.ru/klapan/klapan-obratnyi/flantcevyi/podemnyi/pobeda30/16nj10nj/dn32</t>
        </is>
      </c>
    </row>
    <row r="56" ht="34" customHeight="1">
      <c r="A56" s="5" t="inlineStr">
        <is>
          <t>1.3</t>
        </is>
      </c>
      <c r="B56" s="6" t="n">
        <v>25</v>
      </c>
      <c r="C56" s="5" t="inlineStr">
        <is>
          <t>Клапаны</t>
        </is>
      </c>
      <c r="D56" s="5" t="inlineStr">
        <is>
          <t>Клапан обратный 16ч42р Ду 100 Ру 2,5</t>
        </is>
      </c>
      <c r="E56" s="6" t="n">
        <v>3</v>
      </c>
      <c r="F56" s="5" t="inlineStr">
        <is>
          <t>шт</t>
        </is>
      </c>
      <c r="G56" s="6" t="n">
        <v>100</v>
      </c>
      <c r="H56" s="6" t="n">
        <v>0.25</v>
      </c>
      <c r="I56" s="5" t="inlineStr">
        <is>
          <t>Чугун СЧ 15, СЧ20</t>
        </is>
      </c>
      <c r="J56" s="5" t="inlineStr">
        <is>
          <t>нет</t>
        </is>
      </c>
      <c r="K56" s="7" t="n">
        <v>7205.32</v>
      </c>
      <c r="L56" s="15">
        <f>IF(K56="","",K56*(1-0.1))</f>
        <v/>
      </c>
      <c r="M56" s="6" t="n">
        <v>30</v>
      </c>
      <c r="N56" s="15">
        <f>IF(K56="","",L56*E56)</f>
        <v/>
      </c>
      <c r="O56" s="15">
        <f>IF(M56="","",M56*E56*55)</f>
        <v/>
      </c>
      <c r="P56" s="15">
        <f>IF(N56="","",N56+N(O56))</f>
        <v/>
      </c>
      <c r="Q56" s="15">
        <f>IF(P56="","",P56/E56)</f>
        <v/>
      </c>
      <c r="R56" s="5" t="inlineStr">
        <is>
          <t>ДН.ру (dn.ru), бренд луидор</t>
        </is>
      </c>
      <c r="S56" s="5" t="inlineStr">
        <is>
          <t>розница · B: dn.ru — живой магазин ООО «ДН.ру», © 2026,</t>
        </is>
      </c>
      <c r="T56" s="5" t="inlineStr">
        <is>
          <t>exact · не проверено</t>
        </is>
      </c>
      <c r="U56" s="5" t="inlineStr">
        <is>
          <t>https://dn.ru/klapan/klapan-obratnyi/flantcevyi/priemnye/luidor/16ch42r/du100</t>
        </is>
      </c>
    </row>
    <row r="57" ht="34" customHeight="1">
      <c r="A57" s="5" t="inlineStr">
        <is>
          <t>1.3</t>
        </is>
      </c>
      <c r="B57" s="6" t="n">
        <v>26</v>
      </c>
      <c r="C57" s="5" t="inlineStr">
        <is>
          <t>Клапаны</t>
        </is>
      </c>
      <c r="D57" s="5" t="inlineStr">
        <is>
          <t>Клапан обратный 19нж76нж Ду 100 Ру 16</t>
        </is>
      </c>
      <c r="E57" s="6" t="n">
        <v>2</v>
      </c>
      <c r="F57" s="5" t="inlineStr">
        <is>
          <t>шт</t>
        </is>
      </c>
      <c r="G57" s="6" t="n">
        <v>100</v>
      </c>
      <c r="H57" s="6" t="n">
        <v>1.6</v>
      </c>
      <c r="I57" s="5" t="inlineStr">
        <is>
          <t>12Х18Н9ТЛ</t>
        </is>
      </c>
      <c r="J57" s="5" t="inlineStr">
        <is>
          <t>ручное</t>
        </is>
      </c>
      <c r="K57" s="7" t="n">
        <v>180072</v>
      </c>
      <c r="L57" s="15">
        <f>IF(K57="","",K57*(1-0.1))</f>
        <v/>
      </c>
      <c r="M57" s="6" t="n">
        <v>30</v>
      </c>
      <c r="N57" s="15">
        <f>IF(K57="","",L57*E57)</f>
        <v/>
      </c>
      <c r="O57" s="15">
        <f>IF(M57="","",M57*E57*55)</f>
        <v/>
      </c>
      <c r="P57" s="15">
        <f>IF(N57="","",N57+N(O57))</f>
        <v/>
      </c>
      <c r="Q57" s="15">
        <f>IF(P57="","",P57/E57)</f>
        <v/>
      </c>
      <c r="R57" s="5" t="inlineStr">
        <is>
          <t>ДН.ру (dn.ru), бренд Победа-30</t>
        </is>
      </c>
      <c r="S57" s="5" t="inlineStr">
        <is>
          <t>розница · B: dn.ru — живой магазин ООО «ДН.ру», © 2026,</t>
        </is>
      </c>
      <c r="T57" s="5" t="inlineStr">
        <is>
          <t>exact · не проверено</t>
        </is>
      </c>
      <c r="U57" s="5" t="inlineStr">
        <is>
          <t>https://dn.ru/klapan/klapan-obratnyi/flantcevyi/povorotnyi/pobeda30/19nj76nj/dn100</t>
        </is>
      </c>
    </row>
    <row r="58" ht="34" customHeight="1">
      <c r="A58" s="5" t="inlineStr">
        <is>
          <t>1.3</t>
        </is>
      </c>
      <c r="B58" s="6" t="n">
        <v>27</v>
      </c>
      <c r="C58" s="5" t="inlineStr">
        <is>
          <t>Клапаны</t>
        </is>
      </c>
      <c r="D58" s="5" t="inlineStr">
        <is>
          <t>Клапан обратный 19с76нж Ду 80 Ру 16</t>
        </is>
      </c>
      <c r="E58" s="6" t="n">
        <v>1</v>
      </c>
      <c r="F58" s="5" t="inlineStr">
        <is>
          <t>шт</t>
        </is>
      </c>
      <c r="G58" s="6" t="n">
        <v>80</v>
      </c>
      <c r="H58" s="6" t="n">
        <v>1.6</v>
      </c>
      <c r="I58" s="5" t="inlineStr">
        <is>
          <t>Сталь 25Л</t>
        </is>
      </c>
      <c r="J58" s="5" t="inlineStr">
        <is>
          <t>нет</t>
        </is>
      </c>
      <c r="K58" s="7" t="n">
        <v>16748.16</v>
      </c>
      <c r="L58" s="15">
        <f>IF(K58="","",K58*(1-0.1))</f>
        <v/>
      </c>
      <c r="M58" s="6" t="n">
        <v>22</v>
      </c>
      <c r="N58" s="15">
        <f>IF(K58="","",L58*E58)</f>
        <v/>
      </c>
      <c r="O58" s="15">
        <f>IF(M58="","",M58*E58*55)</f>
        <v/>
      </c>
      <c r="P58" s="15">
        <f>IF(N58="","",N58+N(O58))</f>
        <v/>
      </c>
      <c r="Q58" s="15">
        <f>IF(P58="","",P58/E58)</f>
        <v/>
      </c>
      <c r="R58" s="5" t="inlineStr">
        <is>
          <t>ДН.ру (dn.ru), бренд МЗТА</t>
        </is>
      </c>
      <c r="S58" s="5" t="inlineStr">
        <is>
          <t>розница · B: dn.ru — живой магазин ООО «ДН.ру», © 2026,</t>
        </is>
      </c>
      <c r="T58" s="5" t="inlineStr">
        <is>
          <t>exact · не проверено</t>
        </is>
      </c>
      <c r="U58" s="5" t="inlineStr">
        <is>
          <t>https://dn.ru/klapan/klapan-obratnyi/flantcevyi/povorotnyi/mzta/19s76nzh/dn80</t>
        </is>
      </c>
    </row>
    <row r="59" ht="34" customHeight="1">
      <c r="A59" s="5" t="inlineStr">
        <is>
          <t>1.3</t>
        </is>
      </c>
      <c r="B59" s="6" t="n">
        <v>28</v>
      </c>
      <c r="C59" s="5" t="inlineStr">
        <is>
          <t>Клапаны</t>
        </is>
      </c>
      <c r="D59" s="5" t="inlineStr">
        <is>
          <t>Клапан обратный 19с76нж Ду 100 Ру 16</t>
        </is>
      </c>
      <c r="E59" s="6" t="n">
        <v>2</v>
      </c>
      <c r="F59" s="5" t="inlineStr">
        <is>
          <t>шт</t>
        </is>
      </c>
      <c r="G59" s="6" t="n">
        <v>100</v>
      </c>
      <c r="H59" s="6" t="n">
        <v>1.6</v>
      </c>
      <c r="I59" s="5" t="inlineStr">
        <is>
          <t xml:space="preserve"> сталь 25Л, 20, 20Х13</t>
        </is>
      </c>
      <c r="J59" s="5" t="inlineStr">
        <is>
          <t>нет</t>
        </is>
      </c>
      <c r="K59" s="7" t="n">
        <v>21720.27</v>
      </c>
      <c r="L59" s="15">
        <f>IF(K59="","",K59*(1-0.1))</f>
        <v/>
      </c>
      <c r="M59" s="6" t="n">
        <v>30</v>
      </c>
      <c r="N59" s="15">
        <f>IF(K59="","",L59*E59)</f>
        <v/>
      </c>
      <c r="O59" s="15">
        <f>IF(M59="","",M59*E59*55)</f>
        <v/>
      </c>
      <c r="P59" s="15">
        <f>IF(N59="","",N59+N(O59))</f>
        <v/>
      </c>
      <c r="Q59" s="15">
        <f>IF(P59="","",P59/E59)</f>
        <v/>
      </c>
      <c r="R59" s="5" t="inlineStr">
        <is>
          <t>ДН.ру (dn.ru), бренд МЗТА</t>
        </is>
      </c>
      <c r="S59" s="5" t="inlineStr">
        <is>
          <t>розница · B: dn.ru — живой магазин ООО «ДН.ру», © 2026,</t>
        </is>
      </c>
      <c r="T59" s="5" t="inlineStr">
        <is>
          <t>exact · не проверено</t>
        </is>
      </c>
      <c r="U59" s="5" t="inlineStr">
        <is>
          <t>https://dn.ru/klapan/klapan-obratnyi/flantcevyi/povorotnyi/mzta/19s76nzh/dn100</t>
        </is>
      </c>
    </row>
    <row r="60" ht="34" customHeight="1">
      <c r="A60" s="5" t="inlineStr">
        <is>
          <t>1.3</t>
        </is>
      </c>
      <c r="B60" s="6" t="n">
        <v>29</v>
      </c>
      <c r="C60" s="5" t="inlineStr">
        <is>
          <t>Клапаны</t>
        </is>
      </c>
      <c r="D60" s="5" t="inlineStr">
        <is>
          <t>Клапан обратный 19с76нж Ду 50 Ру 16</t>
        </is>
      </c>
      <c r="E60" s="6" t="n">
        <v>2</v>
      </c>
      <c r="F60" s="5" t="inlineStr">
        <is>
          <t>шт</t>
        </is>
      </c>
      <c r="G60" s="6" t="n">
        <v>50</v>
      </c>
      <c r="H60" s="6" t="n">
        <v>1.6</v>
      </c>
      <c r="I60" s="5" t="inlineStr">
        <is>
          <t xml:space="preserve"> сталь 25Л, 20, 20Х13</t>
        </is>
      </c>
      <c r="J60" s="5" t="inlineStr">
        <is>
          <t>нет</t>
        </is>
      </c>
      <c r="K60" s="7" t="n">
        <v>12705.69</v>
      </c>
      <c r="L60" s="15">
        <f>IF(K60="","",K60*(1-0.1))</f>
        <v/>
      </c>
      <c r="M60" s="6" t="n">
        <v>13</v>
      </c>
      <c r="N60" s="15">
        <f>IF(K60="","",L60*E60)</f>
        <v/>
      </c>
      <c r="O60" s="15">
        <f>IF(M60="","",M60*E60*55)</f>
        <v/>
      </c>
      <c r="P60" s="15">
        <f>IF(N60="","",N60+N(O60))</f>
        <v/>
      </c>
      <c r="Q60" s="15">
        <f>IF(P60="","",P60/E60)</f>
        <v/>
      </c>
      <c r="R60" s="5" t="inlineStr">
        <is>
          <t>ДН.ру (dn.ru), бренд МЗТА</t>
        </is>
      </c>
      <c r="S60" s="5" t="inlineStr">
        <is>
          <t>розница · B: dn.ru — живой магазин ООО «ДН.ру», © 2026,</t>
        </is>
      </c>
      <c r="T60" s="5" t="inlineStr">
        <is>
          <t>exact · не проверено</t>
        </is>
      </c>
      <c r="U60" s="5" t="inlineStr">
        <is>
          <t>https://dn.ru/klapan/klapan-obratnyi/flantcevyi/povorotnyi/mzta/19s76nzh/dn50</t>
        </is>
      </c>
    </row>
    <row r="61" ht="34" customHeight="1">
      <c r="A61" s="5" t="inlineStr">
        <is>
          <t>1.3</t>
        </is>
      </c>
      <c r="B61" s="6" t="n">
        <v>30</v>
      </c>
      <c r="C61" s="5" t="inlineStr">
        <is>
          <t>Клапаны</t>
        </is>
      </c>
      <c r="D61" s="5" t="inlineStr">
        <is>
          <t>Клапан обратный межфланцевый пружинный тарельчатый NVD-802R Ду 125 Ру 16</t>
        </is>
      </c>
      <c r="E61" s="6" t="n">
        <v>2</v>
      </c>
      <c r="F61" s="5" t="inlineStr">
        <is>
          <t>шт</t>
        </is>
      </c>
      <c r="G61" s="6" t="n">
        <v>125</v>
      </c>
      <c r="H61" s="6" t="n">
        <v>1.6</v>
      </c>
      <c r="I61" s="5" t="inlineStr">
        <is>
          <t xml:space="preserve">серый чугун </t>
        </is>
      </c>
      <c r="J61" s="5" t="inlineStr"/>
      <c r="K61" s="7" t="n">
        <v>71182.73</v>
      </c>
      <c r="L61" s="15">
        <f>IF(K61="","",K61*(1-0.1))</f>
        <v/>
      </c>
      <c r="M61" s="6" t="n">
        <v>6</v>
      </c>
      <c r="N61" s="15">
        <f>IF(K61="","",L61*E61)</f>
        <v/>
      </c>
      <c r="O61" s="15">
        <f>IF(M61="","",M61*E61*55)</f>
        <v/>
      </c>
      <c r="P61" s="15">
        <f>IF(N61="","",N61+N(O61))</f>
        <v/>
      </c>
      <c r="Q61" s="15">
        <f>IF(P61="","",P61/E61)</f>
        <v/>
      </c>
      <c r="R61" s="5" t="inlineStr">
        <is>
          <t>ДН.ру (dn.ru), бренд Ридан</t>
        </is>
      </c>
      <c r="S61" s="5" t="inlineStr">
        <is>
          <t>розница · B: dn.ru — живой магазин ООО «ДН.ру», © 2026,</t>
        </is>
      </c>
      <c r="T61" s="5" t="inlineStr">
        <is>
          <t>exact · не проверено</t>
        </is>
      </c>
      <c r="U61" s="5" t="inlineStr">
        <is>
          <t>https://dn.ru/klapan/klapan-obratnyi/mezhflantcevyi/pruzhinnyi/ridan/nvd-802r/dn125</t>
        </is>
      </c>
    </row>
    <row r="62" ht="34" customHeight="1">
      <c r="A62" s="5" t="inlineStr">
        <is>
          <t>1.3</t>
        </is>
      </c>
      <c r="B62" s="6" t="n">
        <v>31</v>
      </c>
      <c r="C62" s="5" t="inlineStr">
        <is>
          <t>Клапаны</t>
        </is>
      </c>
      <c r="D62" s="5" t="inlineStr">
        <is>
          <t>Клапан обратный межфланцевый пружинный тарельчатый NVD-802R Ду 150 Ру 16</t>
        </is>
      </c>
      <c r="E62" s="6" t="n">
        <v>10</v>
      </c>
      <c r="F62" s="5" t="inlineStr">
        <is>
          <t>шт</t>
        </is>
      </c>
      <c r="G62" s="6" t="n">
        <v>150</v>
      </c>
      <c r="H62" s="6" t="n">
        <v>1.6</v>
      </c>
      <c r="I62" s="5" t="inlineStr">
        <is>
          <t xml:space="preserve">серый чугун </t>
        </is>
      </c>
      <c r="J62" s="5" t="inlineStr"/>
      <c r="K62" s="7" t="n">
        <v>97307.81</v>
      </c>
      <c r="L62" s="15">
        <f>IF(K62="","",K62*(1-0.1))</f>
        <v/>
      </c>
      <c r="M62" s="6" t="n">
        <v>8</v>
      </c>
      <c r="N62" s="15">
        <f>IF(K62="","",L62*E62)</f>
        <v/>
      </c>
      <c r="O62" s="15">
        <f>IF(M62="","",M62*E62*55)</f>
        <v/>
      </c>
      <c r="P62" s="15">
        <f>IF(N62="","",N62+N(O62))</f>
        <v/>
      </c>
      <c r="Q62" s="15">
        <f>IF(P62="","",P62/E62)</f>
        <v/>
      </c>
      <c r="R62" s="5" t="inlineStr">
        <is>
          <t>ДН.ру (dn.ru), бренд Ридан</t>
        </is>
      </c>
      <c r="S62" s="5" t="inlineStr">
        <is>
          <t>розница · B: dn.ru — живой магазин ООО «ДН.ру», © 2026,</t>
        </is>
      </c>
      <c r="T62" s="5" t="inlineStr">
        <is>
          <t>exact · не проверено</t>
        </is>
      </c>
      <c r="U62" s="5" t="inlineStr">
        <is>
          <t>https://dn.ru/klapan/klapan-obratnyi/mezhflantcevyi/pruzhinnyi/ridan/nvd-802r/dn150</t>
        </is>
      </c>
    </row>
    <row r="63" ht="34" customHeight="1">
      <c r="A63" s="5" t="inlineStr">
        <is>
          <t>1.3</t>
        </is>
      </c>
      <c r="B63" s="6" t="n">
        <v>32</v>
      </c>
      <c r="C63" s="5" t="inlineStr">
        <is>
          <t>Задвижки и затворы</t>
        </is>
      </c>
      <c r="D63" s="5" t="inlineStr">
        <is>
          <t>Клапан обратный фланцевый пружинный с аксиальным затвором NVD-402R Ду 100 Ру 16</t>
        </is>
      </c>
      <c r="E63" s="6" t="n">
        <v>2</v>
      </c>
      <c r="F63" s="5" t="inlineStr">
        <is>
          <t>шт</t>
        </is>
      </c>
      <c r="G63" s="6" t="n">
        <v>100</v>
      </c>
      <c r="H63" s="6" t="n">
        <v>1.6</v>
      </c>
      <c r="I63" s="5" t="inlineStr">
        <is>
          <t xml:space="preserve">серый чугун </t>
        </is>
      </c>
      <c r="J63" s="5" t="inlineStr"/>
      <c r="K63" s="7" t="n">
        <v>42155</v>
      </c>
      <c r="L63" s="15">
        <f>IF(K63="","",K63*(1-0.1))</f>
        <v/>
      </c>
      <c r="M63" s="6" t="n">
        <v>16</v>
      </c>
      <c r="N63" s="15">
        <f>IF(K63="","",L63*E63)</f>
        <v/>
      </c>
      <c r="O63" s="15">
        <f>IF(M63="","",M63*E63*55)</f>
        <v/>
      </c>
      <c r="P63" s="15">
        <f>IF(N63="","",N63+N(O63))</f>
        <v/>
      </c>
      <c r="Q63" s="15">
        <f>IF(P63="","",P63/E63)</f>
        <v/>
      </c>
      <c r="R63" s="5" t="inlineStr">
        <is>
          <t>Ридан (ridan.ru), производитель</t>
        </is>
      </c>
      <c r="S63" s="5" t="inlineStr">
        <is>
          <t>прайс завода · B: офиц. интернет-магазин, страница от 1</t>
        </is>
      </c>
      <c r="T63" s="5" t="inlineStr">
        <is>
          <t>exact · не проверено (Ридан — российское производство)</t>
        </is>
      </c>
      <c r="U63" s="5" t="inlineStr">
        <is>
          <t>https://ridan.ru/product/082X8474R</t>
        </is>
      </c>
    </row>
    <row r="64" ht="34" customHeight="1">
      <c r="A64" s="5" t="inlineStr">
        <is>
          <t>1.3</t>
        </is>
      </c>
      <c r="B64" s="6" t="n">
        <v>33</v>
      </c>
      <c r="C64" s="5" t="inlineStr">
        <is>
          <t>Задвижки и затворы</t>
        </is>
      </c>
      <c r="D64" s="5" t="inlineStr">
        <is>
          <t>Клапан обратный фланцевый пружинный с аксиальным затвором NVD-402R Ду 150 Ру 16</t>
        </is>
      </c>
      <c r="E64" s="6" t="n">
        <v>5</v>
      </c>
      <c r="F64" s="5" t="inlineStr">
        <is>
          <t>шт</t>
        </is>
      </c>
      <c r="G64" s="6" t="n">
        <v>150</v>
      </c>
      <c r="H64" s="6" t="n">
        <v>1.6</v>
      </c>
      <c r="I64" s="5" t="inlineStr">
        <is>
          <t>Чугун GG25 с эпоксидным покрытием</t>
        </is>
      </c>
      <c r="J64" s="5" t="inlineStr">
        <is>
          <t>-</t>
        </is>
      </c>
      <c r="K64" s="7" t="n">
        <v>72368</v>
      </c>
      <c r="L64" s="15">
        <f>IF(K64="","",K64*(1-0.1))</f>
        <v/>
      </c>
      <c r="M64" s="6" t="n">
        <v>28.5</v>
      </c>
      <c r="N64" s="15">
        <f>IF(K64="","",L64*E64)</f>
        <v/>
      </c>
      <c r="O64" s="15">
        <f>IF(M64="","",M64*E64*55)</f>
        <v/>
      </c>
      <c r="P64" s="15">
        <f>IF(N64="","",N64+N(O64))</f>
        <v/>
      </c>
      <c r="Q64" s="15">
        <f>IF(P64="","",P64/E64)</f>
        <v/>
      </c>
      <c r="R64" s="5" t="inlineStr">
        <is>
          <t>Ридан (ridan.ru), производитель</t>
        </is>
      </c>
      <c r="S64" s="5" t="inlineStr">
        <is>
          <t>прайс завода · B: офиц. интернет-магазин, страница от 1</t>
        </is>
      </c>
      <c r="T64" s="5" t="inlineStr">
        <is>
          <t>exact · не проверено (Ридан — российское производство)</t>
        </is>
      </c>
      <c r="U64" s="5" t="inlineStr">
        <is>
          <t>https://ridan.ru/product/082X8476R</t>
        </is>
      </c>
    </row>
    <row r="65" ht="34" customHeight="1">
      <c r="A65" s="5" t="inlineStr">
        <is>
          <t>1.3</t>
        </is>
      </c>
      <c r="B65" s="6" t="n">
        <v>34</v>
      </c>
      <c r="C65" s="5" t="inlineStr">
        <is>
          <t>Задвижки и затворы</t>
        </is>
      </c>
      <c r="D65" s="5" t="inlineStr">
        <is>
          <t>Клапан обратный фланцевый пружинный с аксиальным затвором NVD-402R Ду 200 Ру 16</t>
        </is>
      </c>
      <c r="E65" s="6" t="n">
        <v>4</v>
      </c>
      <c r="F65" s="5" t="inlineStr">
        <is>
          <t>шт</t>
        </is>
      </c>
      <c r="G65" s="6" t="n">
        <v>200</v>
      </c>
      <c r="H65" s="6" t="n">
        <v>1.6</v>
      </c>
      <c r="I65" s="5" t="inlineStr">
        <is>
          <t>Чугун GJL250</t>
        </is>
      </c>
      <c r="J65" s="5" t="inlineStr"/>
      <c r="K65" s="7" t="n">
        <v>119261</v>
      </c>
      <c r="L65" s="15">
        <f>IF(K65="","",K65*(1-0.1))</f>
        <v/>
      </c>
      <c r="M65" s="6" t="n">
        <v>48.6</v>
      </c>
      <c r="N65" s="15">
        <f>IF(K65="","",L65*E65)</f>
        <v/>
      </c>
      <c r="O65" s="15">
        <f>IF(M65="","",M65*E65*55)</f>
        <v/>
      </c>
      <c r="P65" s="15">
        <f>IF(N65="","",N65+N(O65))</f>
        <v/>
      </c>
      <c r="Q65" s="15">
        <f>IF(P65="","",P65/E65)</f>
        <v/>
      </c>
      <c r="R65" s="5" t="inlineStr">
        <is>
          <t>Ридан (ridan.ru), производитель</t>
        </is>
      </c>
      <c r="S65" s="5" t="inlineStr">
        <is>
          <t>прайс завода · B: офиц. интернет-магазин, страница от 1</t>
        </is>
      </c>
      <c r="T65" s="5" t="inlineStr">
        <is>
          <t>exact · не проверено (Ридан — российское производство)</t>
        </is>
      </c>
      <c r="U65" s="5" t="inlineStr">
        <is>
          <t>https://ridan.ru/product/082X8477R</t>
        </is>
      </c>
    </row>
    <row r="66" ht="34" customHeight="1">
      <c r="A66" s="5" t="inlineStr">
        <is>
          <t>1.3</t>
        </is>
      </c>
      <c r="B66" s="6" t="n">
        <v>35</v>
      </c>
      <c r="C66" s="5" t="inlineStr">
        <is>
          <t>Клапаны</t>
        </is>
      </c>
      <c r="D66" s="5" t="inlineStr">
        <is>
          <t>Обратный клапан пружинный NVD-812R Ду 150 Ру 40</t>
        </is>
      </c>
      <c r="E66" s="6" t="n">
        <v>1</v>
      </c>
      <c r="F66" s="5" t="inlineStr">
        <is>
          <t>шт</t>
        </is>
      </c>
      <c r="G66" s="6" t="n">
        <v>150</v>
      </c>
      <c r="H66" s="6" t="n">
        <v>4</v>
      </c>
      <c r="I66" s="5" t="inlineStr">
        <is>
          <t>Нержавеющая сталь</t>
        </is>
      </c>
      <c r="J66" s="5" t="inlineStr"/>
      <c r="K66" s="7" t="n">
        <v>195004.8</v>
      </c>
      <c r="L66" s="15">
        <f>IF(K66="","",K66*(1-0.1))</f>
        <v/>
      </c>
      <c r="M66" s="6" t="n">
        <v>6</v>
      </c>
      <c r="N66" s="15">
        <f>IF(K66="","",L66*E66)</f>
        <v/>
      </c>
      <c r="O66" s="15">
        <f>IF(M66="","",M66*E66*55)</f>
        <v/>
      </c>
      <c r="P66" s="15">
        <f>IF(N66="","",N66+N(O66))</f>
        <v/>
      </c>
      <c r="Q66" s="15">
        <f>IF(P66="","",P66/E66)</f>
        <v/>
      </c>
      <c r="R66" s="5" t="inlineStr">
        <is>
          <t>ДН.ру (dn.ru), бренд Ридан</t>
        </is>
      </c>
      <c r="S66" s="5" t="inlineStr">
        <is>
          <t>розница · B: dn.ru — живой магазин ООО «ДН.ру», © 2026,</t>
        </is>
      </c>
      <c r="T66" s="5" t="inlineStr">
        <is>
          <t>exact · не проверено</t>
        </is>
      </c>
      <c r="U66" s="5" t="inlineStr">
        <is>
          <t>https://dn.ru/klapan/klapan-obratnyi/mezhflantcevyi/pruzhinnyi/ridan/nvd-812r/dn150</t>
        </is>
      </c>
    </row>
    <row r="67" ht="34" customHeight="1">
      <c r="A67" s="5" t="inlineStr">
        <is>
          <t>1.3</t>
        </is>
      </c>
      <c r="B67" s="6" t="n">
        <v>36</v>
      </c>
      <c r="C67" s="5" t="inlineStr">
        <is>
          <t>Клапаны</t>
        </is>
      </c>
      <c r="D67" s="5" t="inlineStr">
        <is>
          <t>Предохранительный клапан ARI-SAFE 12.903 Ду 32/50 Ру 16</t>
        </is>
      </c>
      <c r="E67" s="6" t="n">
        <v>2</v>
      </c>
      <c r="F67" s="5" t="inlineStr">
        <is>
          <t>шт</t>
        </is>
      </c>
      <c r="G67" s="5" t="inlineStr">
        <is>
          <t>32/50</t>
        </is>
      </c>
      <c r="H67" s="6" t="n">
        <v>1.6</v>
      </c>
      <c r="I67" s="5" t="inlineStr">
        <is>
          <t>серый чугун</t>
        </is>
      </c>
      <c r="J67" s="5" t="inlineStr"/>
      <c r="K67" s="7" t="n">
        <v>100164.44</v>
      </c>
      <c r="L67" s="15">
        <f>IF(K67="","",K67*(1-0.1))</f>
        <v/>
      </c>
      <c r="M67" s="6" t="n">
        <v>18</v>
      </c>
      <c r="N67" s="15">
        <f>IF(K67="","",L67*E67)</f>
        <v/>
      </c>
      <c r="O67" s="15">
        <f>IF(M67="","",M67*E67*55)</f>
        <v/>
      </c>
      <c r="P67" s="15">
        <f>IF(N67="","",N67+N(O67))</f>
        <v/>
      </c>
      <c r="Q67" s="15">
        <f>IF(P67="","",P67/E67)</f>
        <v/>
      </c>
      <c r="R67" s="5" t="inlineStr">
        <is>
          <t>ДН.ру (dn.ru), бренд АДЛ Прегран</t>
        </is>
      </c>
      <c r="S67" s="5" t="inlineStr">
        <is>
          <t>розница · B: dn.ru — живой магазин ООО «ДН.ру», © 2026,</t>
        </is>
      </c>
      <c r="T67" s="5" t="inlineStr">
        <is>
          <t>analog: АДЛ Прегран КПП 496 Ду32x50 Ру16 вместо ARI-SAF</t>
        </is>
      </c>
      <c r="U67" s="5" t="inlineStr">
        <is>
          <t>https://dn.ru/klapan/klapan-predokhranitelnyi/flantcevyi/pregran/kpp-496-01-16-on1/dn32-50</t>
        </is>
      </c>
    </row>
    <row r="68" ht="34" customHeight="1">
      <c r="A68" s="5" t="inlineStr">
        <is>
          <t>1.3</t>
        </is>
      </c>
      <c r="B68" s="6" t="n">
        <v>37</v>
      </c>
      <c r="C68" s="5" t="inlineStr">
        <is>
          <t>Клапаны</t>
        </is>
      </c>
      <c r="D68" s="5" t="inlineStr">
        <is>
          <t>Предохранительный клапан ARI-SAFE 12.903 Ду 25/40 Ру 16</t>
        </is>
      </c>
      <c r="E68" s="6" t="n">
        <v>2</v>
      </c>
      <c r="F68" s="5" t="inlineStr">
        <is>
          <t>шт</t>
        </is>
      </c>
      <c r="G68" s="5" t="inlineStr">
        <is>
          <t>25/40</t>
        </is>
      </c>
      <c r="H68" s="6" t="n">
        <v>1.6</v>
      </c>
      <c r="I68" s="5" t="inlineStr">
        <is>
          <t>серый чугун</t>
        </is>
      </c>
      <c r="J68" s="5" t="inlineStr"/>
      <c r="K68" s="7" t="n">
        <v>81586.28</v>
      </c>
      <c r="L68" s="15">
        <f>IF(K68="","",K68*(1-0.1))</f>
        <v/>
      </c>
      <c r="M68" s="6" t="n">
        <v>13</v>
      </c>
      <c r="N68" s="15">
        <f>IF(K68="","",L68*E68)</f>
        <v/>
      </c>
      <c r="O68" s="15">
        <f>IF(M68="","",M68*E68*55)</f>
        <v/>
      </c>
      <c r="P68" s="15">
        <f>IF(N68="","",N68+N(O68))</f>
        <v/>
      </c>
      <c r="Q68" s="15">
        <f>IF(P68="","",P68/E68)</f>
        <v/>
      </c>
      <c r="R68" s="5" t="inlineStr">
        <is>
          <t>ДН.ру (dn.ru), бренд АДЛ Прегран</t>
        </is>
      </c>
      <c r="S68" s="5" t="inlineStr">
        <is>
          <t>розница · B: dn.ru — живой магазин ООО «ДН.ру», © 2026,</t>
        </is>
      </c>
      <c r="T68" s="5" t="inlineStr">
        <is>
          <t>analog: АДЛ Прегран КПП 496 Ду25x40 Ру16 вместо ARI-SAF</t>
        </is>
      </c>
      <c r="U68" s="5" t="inlineStr">
        <is>
          <t>https://dn.ru/klapan/klapan-predokhranitelnyi/flantcevyi/pregran/kpp-496-01-16-on1/dn25-40</t>
        </is>
      </c>
    </row>
    <row r="69" ht="34" customHeight="1">
      <c r="A69" s="5" t="inlineStr">
        <is>
          <t>1.3</t>
        </is>
      </c>
      <c r="B69" s="6" t="n">
        <v>38</v>
      </c>
      <c r="C69" s="5" t="inlineStr">
        <is>
          <t>Клапаны</t>
        </is>
      </c>
      <c r="D69" s="5" t="inlineStr">
        <is>
          <t>Предохранительный клапан ARI-SAFE 12.903 Ду 25/40 Ру 16</t>
        </is>
      </c>
      <c r="E69" s="6" t="n">
        <v>2</v>
      </c>
      <c r="F69" s="5" t="inlineStr">
        <is>
          <t>шт</t>
        </is>
      </c>
      <c r="G69" s="5" t="inlineStr">
        <is>
          <t>25/40</t>
        </is>
      </c>
      <c r="H69" s="6" t="n">
        <v>1.6</v>
      </c>
      <c r="I69" s="5" t="inlineStr">
        <is>
          <t>серый чугун</t>
        </is>
      </c>
      <c r="J69" s="5" t="inlineStr"/>
      <c r="K69" s="7" t="n">
        <v>81586.28</v>
      </c>
      <c r="L69" s="15">
        <f>IF(K69="","",K69*(1-0.1))</f>
        <v/>
      </c>
      <c r="M69" s="6" t="n">
        <v>13</v>
      </c>
      <c r="N69" s="15">
        <f>IF(K69="","",L69*E69)</f>
        <v/>
      </c>
      <c r="O69" s="15">
        <f>IF(M69="","",M69*E69*55)</f>
        <v/>
      </c>
      <c r="P69" s="15">
        <f>IF(N69="","",N69+N(O69))</f>
        <v/>
      </c>
      <c r="Q69" s="15">
        <f>IF(P69="","",P69/E69)</f>
        <v/>
      </c>
      <c r="R69" s="5" t="inlineStr">
        <is>
          <t>ДН.ру (dn.ru), бренд АДЛ Прегран</t>
        </is>
      </c>
      <c r="S69" s="5" t="inlineStr">
        <is>
          <t>розница · B: dn.ru — живой магазин ООО «ДН.ру», © 2026,</t>
        </is>
      </c>
      <c r="T69" s="5" t="inlineStr">
        <is>
          <t>analog: АДЛ Прегран КПП 496 Ду25x40 Ру16 вместо ARI-SAF</t>
        </is>
      </c>
      <c r="U69" s="5" t="inlineStr">
        <is>
          <t>https://dn.ru/klapan/klapan-predokhranitelnyi/flantcevyi/pregran/kpp-496-01-16-on1/dn25-40</t>
        </is>
      </c>
    </row>
    <row r="70" ht="34" customHeight="1">
      <c r="A70" s="5" t="inlineStr">
        <is>
          <t>1.3</t>
        </is>
      </c>
      <c r="B70" s="6" t="n">
        <v>39</v>
      </c>
      <c r="C70" s="5" t="inlineStr">
        <is>
          <t>Краны шаровые и прочее</t>
        </is>
      </c>
      <c r="D70" s="5" t="inlineStr">
        <is>
          <t>Кран для манометра трехходовой Ду 15 Ру 16</t>
        </is>
      </c>
      <c r="E70" s="6" t="n">
        <v>34</v>
      </c>
      <c r="F70" s="5" t="inlineStr">
        <is>
          <t>шт</t>
        </is>
      </c>
      <c r="G70" s="6" t="n">
        <v>15</v>
      </c>
      <c r="H70" s="5" t="inlineStr">
        <is>
          <t>1.6</t>
        </is>
      </c>
      <c r="I70" s="5" t="inlineStr">
        <is>
          <t>латунь ЛЦ40Сд</t>
        </is>
      </c>
      <c r="J70" s="5" t="inlineStr">
        <is>
          <t>флажок/рычаг</t>
        </is>
      </c>
      <c r="K70" s="7" t="n">
        <v>420</v>
      </c>
      <c r="L70" s="15">
        <f>IF(K70="","",K70*(1-0.1))</f>
        <v/>
      </c>
      <c r="M70" s="6" t="n">
        <v>0.15</v>
      </c>
      <c r="N70" s="15">
        <f>IF(K70="","",L70*E70)</f>
        <v/>
      </c>
      <c r="O70" s="15">
        <f>IF(M70="","",M70*E70*55)</f>
        <v/>
      </c>
      <c r="P70" s="15">
        <f>IF(N70="","",N70+N(O70))</f>
        <v/>
      </c>
      <c r="Q70" s="15">
        <f>IF(P70="","",P70/E70)</f>
        <v/>
      </c>
      <c r="R70" s="5" t="inlineStr">
        <is>
          <t>рос. производители 11б18бк (напр. Р</t>
        </is>
      </c>
      <c r="S70" s="5" t="inlineStr">
        <is>
          <t>оценка · открытой рублёвой цены 2026 не найдено</t>
        </is>
      </c>
      <c r="T70" s="5" t="inlineStr">
        <is>
          <t>analog: кран трёхходовой 11б18бк латунь G1/2–М20х1,5 PN</t>
        </is>
      </c>
      <c r="U70" s="5" t="inlineStr"/>
    </row>
    <row r="71" ht="34" customHeight="1">
      <c r="A71" s="5" t="inlineStr">
        <is>
          <t>1.3</t>
        </is>
      </c>
      <c r="B71" s="6" t="n">
        <v>40</v>
      </c>
      <c r="C71" s="5" t="inlineStr">
        <is>
          <t>Клапаны</t>
        </is>
      </c>
      <c r="D71" s="5" t="inlineStr">
        <is>
          <t>Клапан 22б16п (15б34бк1) запорный вакуумный сильфонный Ду6 Ру16</t>
        </is>
      </c>
      <c r="E71" s="6" t="n">
        <v>2</v>
      </c>
      <c r="F71" s="5" t="inlineStr">
        <is>
          <t>шт</t>
        </is>
      </c>
      <c r="G71" s="6" t="n">
        <v>6</v>
      </c>
      <c r="H71" s="6" t="n">
        <v>1.6</v>
      </c>
      <c r="I71" s="5" t="inlineStr">
        <is>
          <t>ЛС59-1Л</t>
        </is>
      </c>
      <c r="J71" s="5" t="inlineStr">
        <is>
          <t>Ручной</t>
        </is>
      </c>
      <c r="K71" s="7" t="n">
        <v>4500</v>
      </c>
      <c r="L71" s="15">
        <f>IF(K71="","",K71*(1-0.1))</f>
        <v/>
      </c>
      <c r="M71" s="6" t="n">
        <v>1.2</v>
      </c>
      <c r="N71" s="15">
        <f>IF(K71="","",L71*E71)</f>
        <v/>
      </c>
      <c r="O71" s="15">
        <f>IF(M71="","",M71*E71*55)</f>
        <v/>
      </c>
      <c r="P71" s="15">
        <f>IF(N71="","",N71+N(O71))</f>
        <v/>
      </c>
      <c r="Q71" s="15">
        <f>IF(P71="","",P71/E71)</f>
        <v/>
      </c>
      <c r="R71" s="5" t="inlineStr">
        <is>
          <t>оценка</t>
        </is>
      </c>
      <c r="S71" s="5" t="inlineStr">
        <is>
          <t>оценка · оценка, без прямого прайса</t>
        </is>
      </c>
      <c r="T71" s="5" t="inlineStr">
        <is>
          <t>exact (марка 22б16п/15б34бк1), цена оценочная · не пров</t>
        </is>
      </c>
      <c r="U71" s="5" t="inlineStr"/>
    </row>
    <row r="72" ht="34" customHeight="1">
      <c r="A72" s="5" t="inlineStr">
        <is>
          <t>1.3</t>
        </is>
      </c>
      <c r="B72" s="6" t="n">
        <v>41</v>
      </c>
      <c r="C72" s="5" t="inlineStr">
        <is>
          <t>Клапаны</t>
        </is>
      </c>
      <c r="D72" s="5" t="inlineStr">
        <is>
          <t>Клапан ВДХ Ду 80 Ру 10</t>
        </is>
      </c>
      <c r="E72" s="6" t="n">
        <v>2</v>
      </c>
      <c r="F72" s="5" t="inlineStr">
        <is>
          <t>шт</t>
        </is>
      </c>
      <c r="G72" s="6" t="n">
        <v>80</v>
      </c>
      <c r="H72" s="6" t="n">
        <v>1.6</v>
      </c>
      <c r="I72" s="5" t="inlineStr">
        <is>
          <t>углеродистая сталь</t>
        </is>
      </c>
      <c r="J72" s="5" t="inlineStr">
        <is>
          <t xml:space="preserve">Ручное </t>
        </is>
      </c>
      <c r="K72" s="7" t="n">
        <v>26000</v>
      </c>
      <c r="L72" s="15">
        <f>IF(K72="","",K72*(1-0.1))</f>
        <v/>
      </c>
      <c r="M72" s="6" t="n">
        <v>27</v>
      </c>
      <c r="N72" s="15">
        <f>IF(K72="","",L72*E72)</f>
        <v/>
      </c>
      <c r="O72" s="15">
        <f>IF(M72="","",M72*E72*55)</f>
        <v/>
      </c>
      <c r="P72" s="15">
        <f>IF(N72="","",N72+N(O72))</f>
        <v/>
      </c>
      <c r="Q72" s="15">
        <f>IF(P72="","",P72/E72)</f>
        <v/>
      </c>
      <c r="R72" s="5" t="inlineStr">
        <is>
          <t>оценка</t>
        </is>
      </c>
      <c r="S72" s="5" t="inlineStr">
        <is>
          <t>оценка · оценка, без прямого прайса</t>
        </is>
      </c>
      <c r="T72" s="5" t="inlineStr">
        <is>
          <t>exact (ВДХ), цена оценочная · не проверено</t>
        </is>
      </c>
      <c r="U72" s="5" t="inlineStr"/>
    </row>
    <row r="73" ht="34" customHeight="1">
      <c r="A73" s="5" t="inlineStr">
        <is>
          <t>1.3</t>
        </is>
      </c>
      <c r="B73" s="6" t="n">
        <v>42</v>
      </c>
      <c r="C73" s="5" t="inlineStr">
        <is>
          <t>Клапаны</t>
        </is>
      </c>
      <c r="D73" s="5" t="inlineStr">
        <is>
          <t>Клапан диафрагменный химический ВДХ Ду 150 Ру 16</t>
        </is>
      </c>
      <c r="E73" s="6" t="n">
        <v>1</v>
      </c>
      <c r="F73" s="5" t="inlineStr">
        <is>
          <t>шт</t>
        </is>
      </c>
      <c r="G73" s="6" t="n">
        <v>150</v>
      </c>
      <c r="H73" s="6" t="n">
        <v>1.6</v>
      </c>
      <c r="I73" s="5" t="inlineStr">
        <is>
          <t>углеродистая сталь</t>
        </is>
      </c>
      <c r="J73" s="5" t="inlineStr">
        <is>
          <t xml:space="preserve">Ручное </t>
        </is>
      </c>
      <c r="K73" s="7" t="n">
        <v>70000</v>
      </c>
      <c r="L73" s="15">
        <f>IF(K73="","",K73*(1-0.1))</f>
        <v/>
      </c>
      <c r="M73" s="6" t="n">
        <v>85</v>
      </c>
      <c r="N73" s="15">
        <f>IF(K73="","",L73*E73)</f>
        <v/>
      </c>
      <c r="O73" s="15">
        <f>IF(M73="","",M73*E73*55)</f>
        <v/>
      </c>
      <c r="P73" s="15">
        <f>IF(N73="","",N73+N(O73))</f>
        <v/>
      </c>
      <c r="Q73" s="15">
        <f>IF(P73="","",P73/E73)</f>
        <v/>
      </c>
      <c r="R73" s="5" t="inlineStr">
        <is>
          <t>оценка</t>
        </is>
      </c>
      <c r="S73" s="5" t="inlineStr">
        <is>
          <t>оценка · оценка, без прямого прайса</t>
        </is>
      </c>
      <c r="T73" s="5" t="inlineStr">
        <is>
          <t>exact (ВДХ), цена оценочная · не проверено</t>
        </is>
      </c>
      <c r="U73" s="5" t="inlineStr"/>
    </row>
    <row r="74" ht="34" customHeight="1">
      <c r="A74" s="5" t="inlineStr">
        <is>
          <t>1.3</t>
        </is>
      </c>
      <c r="B74" s="6" t="n">
        <v>43</v>
      </c>
      <c r="C74" s="5" t="inlineStr">
        <is>
          <t>Клапаны</t>
        </is>
      </c>
      <c r="D74" s="5" t="inlineStr">
        <is>
          <t>Клапан диафрагменный химический ВДХ Ду 50, Ру 16</t>
        </is>
      </c>
      <c r="E74" s="6" t="n">
        <v>1</v>
      </c>
      <c r="F74" s="5" t="inlineStr">
        <is>
          <t>шт</t>
        </is>
      </c>
      <c r="G74" s="6" t="n">
        <v>50</v>
      </c>
      <c r="H74" s="6" t="n">
        <v>1.6</v>
      </c>
      <c r="I74" s="5" t="inlineStr">
        <is>
          <t>углеродистая сталь</t>
        </is>
      </c>
      <c r="J74" s="5" t="inlineStr">
        <is>
          <t xml:space="preserve">Ручное </t>
        </is>
      </c>
      <c r="K74" s="7" t="n">
        <v>16000</v>
      </c>
      <c r="L74" s="15">
        <f>IF(K74="","",K74*(1-0.1))</f>
        <v/>
      </c>
      <c r="M74" s="6" t="n">
        <v>14</v>
      </c>
      <c r="N74" s="15">
        <f>IF(K74="","",L74*E74)</f>
        <v/>
      </c>
      <c r="O74" s="15">
        <f>IF(M74="","",M74*E74*55)</f>
        <v/>
      </c>
      <c r="P74" s="15">
        <f>IF(N74="","",N74+N(O74))</f>
        <v/>
      </c>
      <c r="Q74" s="15">
        <f>IF(P74="","",P74/E74)</f>
        <v/>
      </c>
      <c r="R74" s="5" t="inlineStr">
        <is>
          <t>оценка</t>
        </is>
      </c>
      <c r="S74" s="5" t="inlineStr">
        <is>
          <t>оценка · оценка, без прямого прайса</t>
        </is>
      </c>
      <c r="T74" s="5" t="inlineStr">
        <is>
          <t>exact (ВДХ), цена оценочная · не проверено</t>
        </is>
      </c>
      <c r="U74" s="5" t="inlineStr"/>
    </row>
    <row r="75" ht="34" customHeight="1">
      <c r="A75" s="5" t="inlineStr">
        <is>
          <t>1.3</t>
        </is>
      </c>
      <c r="B75" s="6" t="n">
        <v>44</v>
      </c>
      <c r="C75" s="5" t="inlineStr">
        <is>
          <t>Клапаны</t>
        </is>
      </c>
      <c r="D75" s="5" t="inlineStr">
        <is>
          <t>Клапан диафрагменный химический ВДХ Ду 80 Ру 16</t>
        </is>
      </c>
      <c r="E75" s="6" t="n">
        <v>3</v>
      </c>
      <c r="F75" s="5" t="inlineStr">
        <is>
          <t>шт</t>
        </is>
      </c>
      <c r="G75" s="6" t="n">
        <v>80</v>
      </c>
      <c r="H75" s="6" t="n">
        <v>1.6</v>
      </c>
      <c r="I75" s="5" t="inlineStr">
        <is>
          <t>углеродистая сталь</t>
        </is>
      </c>
      <c r="J75" s="5" t="inlineStr">
        <is>
          <t xml:space="preserve">Ручное </t>
        </is>
      </c>
      <c r="K75" s="7" t="n">
        <v>26000</v>
      </c>
      <c r="L75" s="15">
        <f>IF(K75="","",K75*(1-0.1))</f>
        <v/>
      </c>
      <c r="M75" s="6" t="n">
        <v>27</v>
      </c>
      <c r="N75" s="15">
        <f>IF(K75="","",L75*E75)</f>
        <v/>
      </c>
      <c r="O75" s="15">
        <f>IF(M75="","",M75*E75*55)</f>
        <v/>
      </c>
      <c r="P75" s="15">
        <f>IF(N75="","",N75+N(O75))</f>
        <v/>
      </c>
      <c r="Q75" s="15">
        <f>IF(P75="","",P75/E75)</f>
        <v/>
      </c>
      <c r="R75" s="5" t="inlineStr">
        <is>
          <t>оценка</t>
        </is>
      </c>
      <c r="S75" s="5" t="inlineStr">
        <is>
          <t>оценка · оценка, без прямого прайса</t>
        </is>
      </c>
      <c r="T75" s="5" t="inlineStr">
        <is>
          <t>exact (ВДХ), цена оценочная · не проверено</t>
        </is>
      </c>
      <c r="U75" s="5" t="inlineStr"/>
    </row>
    <row r="76" ht="34" customHeight="1">
      <c r="A76" s="5" t="inlineStr">
        <is>
          <t>1.3</t>
        </is>
      </c>
      <c r="B76" s="6" t="n">
        <v>45</v>
      </c>
      <c r="C76" s="5" t="inlineStr">
        <is>
          <t>Клапаны</t>
        </is>
      </c>
      <c r="D76" s="5" t="inlineStr">
        <is>
          <t>Клапан запорный 14нж17п Ду 15 Ру 10 цапковый</t>
        </is>
      </c>
      <c r="E76" s="6" t="n">
        <v>2</v>
      </c>
      <c r="F76" s="5" t="inlineStr">
        <is>
          <t>шт</t>
        </is>
      </c>
      <c r="G76" s="6" t="n">
        <v>15</v>
      </c>
      <c r="H76" s="6" t="n">
        <v>1</v>
      </c>
      <c r="I76" s="5" t="inlineStr">
        <is>
          <t>Сталь марки 12Х18Н9Т</t>
        </is>
      </c>
      <c r="J76" s="5" t="inlineStr">
        <is>
          <t>Ручной</t>
        </is>
      </c>
      <c r="K76" s="7" t="n">
        <v>3500</v>
      </c>
      <c r="L76" s="15">
        <f>IF(K76="","",K76*(1-0.1))</f>
        <v/>
      </c>
      <c r="M76" s="6" t="n">
        <v>3</v>
      </c>
      <c r="N76" s="15">
        <f>IF(K76="","",L76*E76)</f>
        <v/>
      </c>
      <c r="O76" s="15">
        <f>IF(M76="","",M76*E76*55)</f>
        <v/>
      </c>
      <c r="P76" s="15">
        <f>IF(N76="","",N76+N(O76))</f>
        <v/>
      </c>
      <c r="Q76" s="15">
        <f>IF(P76="","",P76/E76)</f>
        <v/>
      </c>
      <c r="R76" s="5" t="inlineStr">
        <is>
          <t>оценка</t>
        </is>
      </c>
      <c r="S76" s="5" t="inlineStr">
        <is>
          <t>оценка · оценка, без прямого прайса</t>
        </is>
      </c>
      <c r="T76" s="5" t="inlineStr">
        <is>
          <t>exact (марка), цена оценочная · не проверено</t>
        </is>
      </c>
      <c r="U76" s="5" t="inlineStr"/>
    </row>
    <row r="77" ht="34" customHeight="1">
      <c r="A77" s="5" t="inlineStr">
        <is>
          <t>1.3</t>
        </is>
      </c>
      <c r="B77" s="6" t="n">
        <v>46</v>
      </c>
      <c r="C77" s="5" t="inlineStr">
        <is>
          <t>Клапаны</t>
        </is>
      </c>
      <c r="D77" s="5" t="inlineStr">
        <is>
          <t>Клапан запорный 14нж17п Ду 25 Ру 10 цапковый</t>
        </is>
      </c>
      <c r="E77" s="6" t="n">
        <v>2</v>
      </c>
      <c r="F77" s="5" t="inlineStr">
        <is>
          <t>шт</t>
        </is>
      </c>
      <c r="G77" s="6" t="n">
        <v>25</v>
      </c>
      <c r="H77" s="6" t="n">
        <v>1</v>
      </c>
      <c r="I77" s="5" t="inlineStr">
        <is>
          <t>Сталь марки 12Х18Н9Т</t>
        </is>
      </c>
      <c r="J77" s="5" t="inlineStr">
        <is>
          <t>Ручной</t>
        </is>
      </c>
      <c r="K77" s="7" t="n">
        <v>5500</v>
      </c>
      <c r="L77" s="15">
        <f>IF(K77="","",K77*(1-0.1))</f>
        <v/>
      </c>
      <c r="M77" s="6" t="n">
        <v>5</v>
      </c>
      <c r="N77" s="15">
        <f>IF(K77="","",L77*E77)</f>
        <v/>
      </c>
      <c r="O77" s="15">
        <f>IF(M77="","",M77*E77*55)</f>
        <v/>
      </c>
      <c r="P77" s="15">
        <f>IF(N77="","",N77+N(O77))</f>
        <v/>
      </c>
      <c r="Q77" s="15">
        <f>IF(P77="","",P77/E77)</f>
        <v/>
      </c>
      <c r="R77" s="5" t="inlineStr">
        <is>
          <t>оценка</t>
        </is>
      </c>
      <c r="S77" s="5" t="inlineStr">
        <is>
          <t>оценка · оценка, без прямого прайса</t>
        </is>
      </c>
      <c r="T77" s="5" t="inlineStr">
        <is>
          <t>exact (марка), цена оценочная · не проверено</t>
        </is>
      </c>
      <c r="U77" s="5" t="inlineStr"/>
    </row>
    <row r="78" ht="34" customHeight="1">
      <c r="A78" s="5" t="inlineStr">
        <is>
          <t>1.3</t>
        </is>
      </c>
      <c r="B78" s="6" t="n">
        <v>47</v>
      </c>
      <c r="C78" s="5" t="inlineStr">
        <is>
          <t>Клапаны</t>
        </is>
      </c>
      <c r="D78" s="5" t="inlineStr">
        <is>
          <t>Клапан запорный 14нж17п Ду 32 Ру 10 цапковый</t>
        </is>
      </c>
      <c r="E78" s="6" t="n">
        <v>1</v>
      </c>
      <c r="F78" s="5" t="inlineStr">
        <is>
          <t>шт</t>
        </is>
      </c>
      <c r="G78" s="6" t="n">
        <v>32</v>
      </c>
      <c r="H78" s="6" t="n">
        <v>1</v>
      </c>
      <c r="I78" s="5" t="inlineStr">
        <is>
          <t>Сталь марки 12Х18Н9Т</t>
        </is>
      </c>
      <c r="J78" s="5" t="inlineStr">
        <is>
          <t>Ручной</t>
        </is>
      </c>
      <c r="K78" s="7" t="n">
        <v>8000</v>
      </c>
      <c r="L78" s="15">
        <f>IF(K78="","",K78*(1-0.1))</f>
        <v/>
      </c>
      <c r="M78" s="6" t="n">
        <v>7.5</v>
      </c>
      <c r="N78" s="15">
        <f>IF(K78="","",L78*E78)</f>
        <v/>
      </c>
      <c r="O78" s="15">
        <f>IF(M78="","",M78*E78*55)</f>
        <v/>
      </c>
      <c r="P78" s="15">
        <f>IF(N78="","",N78+N(O78))</f>
        <v/>
      </c>
      <c r="Q78" s="15">
        <f>IF(P78="","",P78/E78)</f>
        <v/>
      </c>
      <c r="R78" s="5" t="inlineStr">
        <is>
          <t>оценка</t>
        </is>
      </c>
      <c r="S78" s="5" t="inlineStr">
        <is>
          <t>оценка · оценка, без прямого прайса</t>
        </is>
      </c>
      <c r="T78" s="5" t="inlineStr">
        <is>
          <t>exact (марка), цена оценочная · не проверено</t>
        </is>
      </c>
      <c r="U78" s="5" t="inlineStr"/>
    </row>
    <row r="79" ht="34" customHeight="1">
      <c r="A79" s="5" t="inlineStr">
        <is>
          <t>1.3</t>
        </is>
      </c>
      <c r="B79" s="6" t="n">
        <v>48</v>
      </c>
      <c r="C79" s="5" t="inlineStr">
        <is>
          <t>Клапаны</t>
        </is>
      </c>
      <c r="D79" s="5" t="inlineStr">
        <is>
          <t>Клапан запорный 15б1п Ду 15 Ру16</t>
        </is>
      </c>
      <c r="E79" s="6" t="n">
        <v>45</v>
      </c>
      <c r="F79" s="5" t="inlineStr">
        <is>
          <t>шт</t>
        </is>
      </c>
      <c r="G79" s="6" t="n">
        <v>15</v>
      </c>
      <c r="H79" s="6" t="n">
        <v>1.6</v>
      </c>
      <c r="I79" s="5" t="inlineStr">
        <is>
          <t>латунь ЛС59-1 ГОСТ 15527-2004</t>
        </is>
      </c>
      <c r="J79" s="5" t="inlineStr">
        <is>
          <t>Ручной</t>
        </is>
      </c>
      <c r="K79" s="7" t="n">
        <v>496.54</v>
      </c>
      <c r="L79" s="15">
        <f>IF(K79="","",K79*(1-0.1))</f>
        <v/>
      </c>
      <c r="M79" s="6" t="n">
        <v>0.35</v>
      </c>
      <c r="N79" s="15">
        <f>IF(K79="","",L79*E79)</f>
        <v/>
      </c>
      <c r="O79" s="15">
        <f>IF(M79="","",M79*E79*55)</f>
        <v/>
      </c>
      <c r="P79" s="15">
        <f>IF(N79="","",N79+N(O79))</f>
        <v/>
      </c>
      <c r="Q79" s="15">
        <f>IF(P79="","",P79/E79)</f>
        <v/>
      </c>
      <c r="R79" s="5" t="inlineStr">
        <is>
          <t>ДН.ру (dn.ru), бренд Цветлит</t>
        </is>
      </c>
      <c r="S79" s="5" t="inlineStr">
        <is>
          <t>розница · B: dn.ru — живой магазин ООО «ДН.ру», © 2026,</t>
        </is>
      </c>
      <c r="T79" s="5" t="inlineStr">
        <is>
          <t>exact · не проверено</t>
        </is>
      </c>
      <c r="U79" s="5" t="inlineStr">
        <is>
          <t>https://dn.ru/klapan/klapan-zapornyi/2hod/latun/shturval/tsvetlit/15b1p/dn15</t>
        </is>
      </c>
    </row>
    <row r="80" ht="34" customHeight="1">
      <c r="A80" s="5" t="inlineStr">
        <is>
          <t>1.3</t>
        </is>
      </c>
      <c r="B80" s="6" t="n">
        <v>49</v>
      </c>
      <c r="C80" s="5" t="inlineStr">
        <is>
          <t>Клапаны</t>
        </is>
      </c>
      <c r="D80" s="5" t="inlineStr">
        <is>
          <t>Клапан запорный 15б1п Ду 20 Ру16</t>
        </is>
      </c>
      <c r="E80" s="6" t="n">
        <v>15</v>
      </c>
      <c r="F80" s="5" t="inlineStr">
        <is>
          <t>шт</t>
        </is>
      </c>
      <c r="G80" s="6" t="n">
        <v>20</v>
      </c>
      <c r="H80" s="6" t="n">
        <v>1.6</v>
      </c>
      <c r="I80" s="5" t="inlineStr">
        <is>
          <t>латунь ЛС59-1 ГОСТ 15527-2004</t>
        </is>
      </c>
      <c r="J80" s="5" t="inlineStr">
        <is>
          <t>Ручной</t>
        </is>
      </c>
      <c r="K80" s="7" t="n">
        <v>653.3099999999999</v>
      </c>
      <c r="L80" s="15">
        <f>IF(K80="","",K80*(1-0.1))</f>
        <v/>
      </c>
      <c r="M80" s="6" t="n">
        <v>0.5</v>
      </c>
      <c r="N80" s="15">
        <f>IF(K80="","",L80*E80)</f>
        <v/>
      </c>
      <c r="O80" s="15">
        <f>IF(M80="","",M80*E80*55)</f>
        <v/>
      </c>
      <c r="P80" s="15">
        <f>IF(N80="","",N80+N(O80))</f>
        <v/>
      </c>
      <c r="Q80" s="15">
        <f>IF(P80="","",P80/E80)</f>
        <v/>
      </c>
      <c r="R80" s="5" t="inlineStr">
        <is>
          <t>ДН.ру (dn.ru), бренд Цветлит</t>
        </is>
      </c>
      <c r="S80" s="5" t="inlineStr">
        <is>
          <t>розница · B: dn.ru — живой магазин ООО «ДН.ру», © 2026,</t>
        </is>
      </c>
      <c r="T80" s="5" t="inlineStr">
        <is>
          <t>exact · не проверено</t>
        </is>
      </c>
      <c r="U80" s="5" t="inlineStr">
        <is>
          <t>https://dn.ru/klapan/klapan-zapornyi/2hod/latun/shturval/tsvetlit/15b1p/dn20</t>
        </is>
      </c>
    </row>
    <row r="81" ht="34" customHeight="1">
      <c r="A81" s="5" t="inlineStr">
        <is>
          <t>1.3</t>
        </is>
      </c>
      <c r="B81" s="6" t="n">
        <v>50</v>
      </c>
      <c r="C81" s="5" t="inlineStr">
        <is>
          <t>Клапаны</t>
        </is>
      </c>
      <c r="D81" s="5" t="inlineStr">
        <is>
          <t>Клапан запорный 15б1п Ду 25 Ру16</t>
        </is>
      </c>
      <c r="E81" s="6" t="n">
        <v>10</v>
      </c>
      <c r="F81" s="5" t="inlineStr">
        <is>
          <t>шт</t>
        </is>
      </c>
      <c r="G81" s="6" t="n">
        <v>25</v>
      </c>
      <c r="H81" s="6" t="n">
        <v>1.6</v>
      </c>
      <c r="I81" s="5" t="inlineStr">
        <is>
          <t>латунь ЛС59-1 ГОСТ 15527-2004</t>
        </is>
      </c>
      <c r="J81" s="5" t="inlineStr">
        <is>
          <t>Ручной</t>
        </is>
      </c>
      <c r="K81" s="7" t="n">
        <v>923.54</v>
      </c>
      <c r="L81" s="15">
        <f>IF(K81="","",K81*(1-0.1))</f>
        <v/>
      </c>
      <c r="M81" s="6" t="n">
        <v>0.8</v>
      </c>
      <c r="N81" s="15">
        <f>IF(K81="","",L81*E81)</f>
        <v/>
      </c>
      <c r="O81" s="15">
        <f>IF(M81="","",M81*E81*55)</f>
        <v/>
      </c>
      <c r="P81" s="15">
        <f>IF(N81="","",N81+N(O81))</f>
        <v/>
      </c>
      <c r="Q81" s="15">
        <f>IF(P81="","",P81/E81)</f>
        <v/>
      </c>
      <c r="R81" s="5" t="inlineStr">
        <is>
          <t>ДН.ру (dn.ru), бренд Цветлит</t>
        </is>
      </c>
      <c r="S81" s="5" t="inlineStr">
        <is>
          <t>розница · B: dn.ru — живой магазин ООО «ДН.ру», © 2026,</t>
        </is>
      </c>
      <c r="T81" s="5" t="inlineStr">
        <is>
          <t>exact · не проверено</t>
        </is>
      </c>
      <c r="U81" s="5" t="inlineStr">
        <is>
          <t>https://dn.ru/klapan/klapan-zapornyi/2hod/latun/shturval/tsvetlit/15b1n-vr-vr/dn25</t>
        </is>
      </c>
    </row>
    <row r="82" ht="34" customHeight="1">
      <c r="A82" s="5" t="inlineStr">
        <is>
          <t>1.3</t>
        </is>
      </c>
      <c r="B82" s="6" t="n">
        <v>51</v>
      </c>
      <c r="C82" s="5" t="inlineStr">
        <is>
          <t>Клапаны</t>
        </is>
      </c>
      <c r="D82" s="5" t="inlineStr">
        <is>
          <t>Клапан запорный 15б1п Ду 32 Ру16</t>
        </is>
      </c>
      <c r="E82" s="6" t="n">
        <v>10</v>
      </c>
      <c r="F82" s="5" t="inlineStr">
        <is>
          <t>шт</t>
        </is>
      </c>
      <c r="G82" s="6" t="n">
        <v>32</v>
      </c>
      <c r="H82" s="6" t="n">
        <v>1.6</v>
      </c>
      <c r="I82" s="5" t="inlineStr">
        <is>
          <t>латунь ЛС59-1 ГОСТ 15527-2004</t>
        </is>
      </c>
      <c r="J82" s="5" t="inlineStr">
        <is>
          <t>Ручной</t>
        </is>
      </c>
      <c r="K82" s="7" t="n">
        <v>1027.85</v>
      </c>
      <c r="L82" s="15">
        <f>IF(K82="","",K82*(1-0.1))</f>
        <v/>
      </c>
      <c r="M82" s="6" t="n">
        <v>1.2</v>
      </c>
      <c r="N82" s="15">
        <f>IF(K82="","",L82*E82)</f>
        <v/>
      </c>
      <c r="O82" s="15">
        <f>IF(M82="","",M82*E82*55)</f>
        <v/>
      </c>
      <c r="P82" s="15">
        <f>IF(N82="","",N82+N(O82))</f>
        <v/>
      </c>
      <c r="Q82" s="15">
        <f>IF(P82="","",P82/E82)</f>
        <v/>
      </c>
      <c r="R82" s="5" t="inlineStr">
        <is>
          <t>ДН.ру (dn.ru), бренд Цветлит</t>
        </is>
      </c>
      <c r="S82" s="5" t="inlineStr">
        <is>
          <t>розница · B: dn.ru — живой магазин ООО «ДН.ру», © 2026,</t>
        </is>
      </c>
      <c r="T82" s="5" t="inlineStr">
        <is>
          <t>exact · не проверено</t>
        </is>
      </c>
      <c r="U82" s="5" t="inlineStr">
        <is>
          <t>https://dn.ru/klapan/klapan-zapornyi/2hod/latun/shturval/tsvetlit/15b1p/dn32</t>
        </is>
      </c>
    </row>
    <row r="83" ht="34" customHeight="1">
      <c r="A83" s="5" t="inlineStr">
        <is>
          <t>1.3</t>
        </is>
      </c>
      <c r="B83" s="6" t="n">
        <v>52</v>
      </c>
      <c r="C83" s="5" t="inlineStr">
        <is>
          <t>Клапаны</t>
        </is>
      </c>
      <c r="D83" s="5" t="inlineStr">
        <is>
          <t>Клапан запорный 15б1п Ду 40 Ру16</t>
        </is>
      </c>
      <c r="E83" s="6" t="n">
        <v>5</v>
      </c>
      <c r="F83" s="5" t="inlineStr">
        <is>
          <t>шт</t>
        </is>
      </c>
      <c r="G83" s="6" t="n">
        <v>40</v>
      </c>
      <c r="H83" s="6" t="n">
        <v>1.6</v>
      </c>
      <c r="I83" s="5" t="inlineStr">
        <is>
          <t>латунь ЛС59-1 ГОСТ 15527-2004</t>
        </is>
      </c>
      <c r="J83" s="5" t="inlineStr">
        <is>
          <t>Ручной</t>
        </is>
      </c>
      <c r="K83" s="7" t="n">
        <v>1731.18</v>
      </c>
      <c r="L83" s="15">
        <f>IF(K83="","",K83*(1-0.1))</f>
        <v/>
      </c>
      <c r="M83" s="6" t="n">
        <v>1.8</v>
      </c>
      <c r="N83" s="15">
        <f>IF(K83="","",L83*E83)</f>
        <v/>
      </c>
      <c r="O83" s="15">
        <f>IF(M83="","",M83*E83*55)</f>
        <v/>
      </c>
      <c r="P83" s="15">
        <f>IF(N83="","",N83+N(O83))</f>
        <v/>
      </c>
      <c r="Q83" s="15">
        <f>IF(P83="","",P83/E83)</f>
        <v/>
      </c>
      <c r="R83" s="5" t="inlineStr">
        <is>
          <t>ДН.ру (dn.ru), бренд Цветлит</t>
        </is>
      </c>
      <c r="S83" s="5" t="inlineStr">
        <is>
          <t>розница · B: dn.ru — живой магазин ООО «ДН.ру», © 2026,</t>
        </is>
      </c>
      <c r="T83" s="5" t="inlineStr">
        <is>
          <t>exact · не проверено</t>
        </is>
      </c>
      <c r="U83" s="5" t="inlineStr">
        <is>
          <t>https://dn.ru/klapan/klapan-zapornyi/2hod/latun/shturval/tsvetlit/15b1p/dn40</t>
        </is>
      </c>
    </row>
    <row r="84" ht="34" customHeight="1">
      <c r="A84" s="5" t="inlineStr">
        <is>
          <t>1.3</t>
        </is>
      </c>
      <c r="B84" s="6" t="n">
        <v>53</v>
      </c>
      <c r="C84" s="5" t="inlineStr">
        <is>
          <t>Клапаны</t>
        </is>
      </c>
      <c r="D84" s="5" t="inlineStr">
        <is>
          <t>Клапан запорный 15б1п Ду 50 Ру16</t>
        </is>
      </c>
      <c r="E84" s="6" t="n">
        <v>7</v>
      </c>
      <c r="F84" s="5" t="inlineStr">
        <is>
          <t>шт</t>
        </is>
      </c>
      <c r="G84" s="6" t="n">
        <v>50</v>
      </c>
      <c r="H84" s="6" t="n">
        <v>1.6</v>
      </c>
      <c r="I84" s="5" t="inlineStr">
        <is>
          <t>латунь ЛС59-1 ГОСТ 15527-2004</t>
        </is>
      </c>
      <c r="J84" s="5" t="inlineStr">
        <is>
          <t>Ручной</t>
        </is>
      </c>
      <c r="K84" s="7" t="n">
        <v>2197.83</v>
      </c>
      <c r="L84" s="15">
        <f>IF(K84="","",K84*(1-0.1))</f>
        <v/>
      </c>
      <c r="M84" s="6" t="n">
        <v>2.8</v>
      </c>
      <c r="N84" s="15">
        <f>IF(K84="","",L84*E84)</f>
        <v/>
      </c>
      <c r="O84" s="15">
        <f>IF(M84="","",M84*E84*55)</f>
        <v/>
      </c>
      <c r="P84" s="15">
        <f>IF(N84="","",N84+N(O84))</f>
        <v/>
      </c>
      <c r="Q84" s="15">
        <f>IF(P84="","",P84/E84)</f>
        <v/>
      </c>
      <c r="R84" s="5" t="inlineStr">
        <is>
          <t>ДН.ру (dn.ru), бренд Цветлит</t>
        </is>
      </c>
      <c r="S84" s="5" t="inlineStr">
        <is>
          <t>розница · B: dn.ru — живой магазин ООО «ДН.ру», © 2026,</t>
        </is>
      </c>
      <c r="T84" s="5" t="inlineStr">
        <is>
          <t>exact · не проверено</t>
        </is>
      </c>
      <c r="U84" s="5" t="inlineStr">
        <is>
          <t>https://dn.ru/klapan/klapan-zapornyi/2hod/latun/shturval/tsvetlit/15b1n-nr-vr/dn50</t>
        </is>
      </c>
    </row>
    <row r="85" ht="34" customHeight="1">
      <c r="A85" s="5" t="inlineStr">
        <is>
          <t>1.3</t>
        </is>
      </c>
      <c r="B85" s="6" t="n">
        <v>54</v>
      </c>
      <c r="C85" s="5" t="inlineStr">
        <is>
          <t>Клапаны</t>
        </is>
      </c>
      <c r="D85" s="5" t="inlineStr">
        <is>
          <t>Клапан запорны 15нж65нж Ду 80 Ру 16 фланцевый</t>
        </is>
      </c>
      <c r="E85" s="6" t="n">
        <v>2</v>
      </c>
      <c r="F85" s="5" t="inlineStr">
        <is>
          <t>шт</t>
        </is>
      </c>
      <c r="G85" s="6" t="n">
        <v>80</v>
      </c>
      <c r="H85" s="6" t="n">
        <v>1.6</v>
      </c>
      <c r="I85" s="5" t="inlineStr">
        <is>
          <t>12Х18Н9ТЛ</t>
        </is>
      </c>
      <c r="J85" s="5" t="inlineStr">
        <is>
          <t>ручное</t>
        </is>
      </c>
      <c r="K85" s="7" t="n">
        <v>38136.59</v>
      </c>
      <c r="L85" s="15">
        <f>IF(K85="","",K85*(1-0.1))</f>
        <v/>
      </c>
      <c r="M85" s="6" t="n">
        <v>27</v>
      </c>
      <c r="N85" s="15">
        <f>IF(K85="","",L85*E85)</f>
        <v/>
      </c>
      <c r="O85" s="15">
        <f>IF(M85="","",M85*E85*55)</f>
        <v/>
      </c>
      <c r="P85" s="15">
        <f>IF(N85="","",N85+N(O85))</f>
        <v/>
      </c>
      <c r="Q85" s="15">
        <f>IF(P85="","",P85/E85)</f>
        <v/>
      </c>
      <c r="R85" s="5" t="inlineStr">
        <is>
          <t>ДН.ру (dn.ru), бренд ТехГидроМаш</t>
        </is>
      </c>
      <c r="S85" s="5" t="inlineStr">
        <is>
          <t>розница · B: dn.ru — живой магазин ООО «ДН.ру», © 2026,</t>
        </is>
      </c>
      <c r="T85" s="5" t="inlineStr">
        <is>
          <t>exact · не проверено</t>
        </is>
      </c>
      <c r="U85" s="5" t="inlineStr">
        <is>
          <t>https://dn.ru/klapan/klapan-zapornyi/2hod/stalnoi/shturval/tekhgidromash/15nzh65nzh-12h18n9tl/dn80</t>
        </is>
      </c>
    </row>
    <row r="86" ht="34" customHeight="1">
      <c r="A86" s="5" t="inlineStr">
        <is>
          <t>1.3</t>
        </is>
      </c>
      <c r="B86" s="6" t="n">
        <v>55</v>
      </c>
      <c r="C86" s="5" t="inlineStr">
        <is>
          <t>Клапаны</t>
        </is>
      </c>
      <c r="D86" s="5" t="inlineStr">
        <is>
          <t>Клапан запорны 15нж65нж Ду 100 Ру 16 фланцевый</t>
        </is>
      </c>
      <c r="E86" s="6" t="n">
        <v>9</v>
      </c>
      <c r="F86" s="5" t="inlineStr">
        <is>
          <t>шт</t>
        </is>
      </c>
      <c r="G86" s="6" t="n">
        <v>100</v>
      </c>
      <c r="H86" s="6" t="n">
        <v>1.6</v>
      </c>
      <c r="I86" s="5" t="inlineStr">
        <is>
          <t>12Х18Н9ТЛ</t>
        </is>
      </c>
      <c r="J86" s="5" t="inlineStr">
        <is>
          <t>ручное</t>
        </is>
      </c>
      <c r="K86" s="7" t="n">
        <v>43344.16</v>
      </c>
      <c r="L86" s="15">
        <f>IF(K86="","",K86*(1-0.1))</f>
        <v/>
      </c>
      <c r="M86" s="6" t="n">
        <v>40</v>
      </c>
      <c r="N86" s="15">
        <f>IF(K86="","",L86*E86)</f>
        <v/>
      </c>
      <c r="O86" s="15">
        <f>IF(M86="","",M86*E86*55)</f>
        <v/>
      </c>
      <c r="P86" s="15">
        <f>IF(N86="","",N86+N(O86))</f>
        <v/>
      </c>
      <c r="Q86" s="15">
        <f>IF(P86="","",P86/E86)</f>
        <v/>
      </c>
      <c r="R86" s="5" t="inlineStr">
        <is>
          <t>ДН.ру (dn.ru), бренд ТехГидроМаш</t>
        </is>
      </c>
      <c r="S86" s="5" t="inlineStr">
        <is>
          <t>розница · B: dn.ru — живой магазин ООО «ДН.ру», © 2026,</t>
        </is>
      </c>
      <c r="T86" s="5" t="inlineStr">
        <is>
          <t>exact · не проверено</t>
        </is>
      </c>
      <c r="U86" s="5" t="inlineStr">
        <is>
          <t>https://dn.ru/klapan/klapan-zapornyi/2hod/stalnoi/shturval/tekhgidromash/15nzh65nzh-12h18n9tl/dn100</t>
        </is>
      </c>
    </row>
    <row r="87" ht="34" customHeight="1">
      <c r="A87" s="5" t="inlineStr">
        <is>
          <t>1.3</t>
        </is>
      </c>
      <c r="B87" s="6" t="n">
        <v>56</v>
      </c>
      <c r="C87" s="5" t="inlineStr">
        <is>
          <t>Клапаны</t>
        </is>
      </c>
      <c r="D87" s="5" t="inlineStr">
        <is>
          <t>Клапан запорны 15нж65нж Ду 125 Ру 16 фланцевый</t>
        </is>
      </c>
      <c r="E87" s="6" t="n">
        <v>1</v>
      </c>
      <c r="F87" s="5" t="inlineStr">
        <is>
          <t>шт</t>
        </is>
      </c>
      <c r="G87" s="6" t="n">
        <v>125</v>
      </c>
      <c r="H87" s="6" t="n">
        <v>1.6</v>
      </c>
      <c r="I87" s="5" t="inlineStr">
        <is>
          <t>12Х18Н9ТЛ</t>
        </is>
      </c>
      <c r="J87" s="5" t="inlineStr">
        <is>
          <t>ручное</t>
        </is>
      </c>
      <c r="K87" s="7" t="n">
        <v>77477.92999999999</v>
      </c>
      <c r="L87" s="15">
        <f>IF(K87="","",K87*(1-0.1))</f>
        <v/>
      </c>
      <c r="M87" s="6" t="n">
        <v>60</v>
      </c>
      <c r="N87" s="15">
        <f>IF(K87="","",L87*E87)</f>
        <v/>
      </c>
      <c r="O87" s="15">
        <f>IF(M87="","",M87*E87*55)</f>
        <v/>
      </c>
      <c r="P87" s="15">
        <f>IF(N87="","",N87+N(O87))</f>
        <v/>
      </c>
      <c r="Q87" s="15">
        <f>IF(P87="","",P87/E87)</f>
        <v/>
      </c>
      <c r="R87" s="5" t="inlineStr">
        <is>
          <t>ДН.ру (dn.ru), бренд ТехГидроМаш</t>
        </is>
      </c>
      <c r="S87" s="5" t="inlineStr">
        <is>
          <t>розница · B: dn.ru — живой магазин ООО «ДН.ру», © 2026,</t>
        </is>
      </c>
      <c r="T87" s="5" t="inlineStr">
        <is>
          <t>exact · не проверено</t>
        </is>
      </c>
      <c r="U87" s="5" t="inlineStr">
        <is>
          <t>https://dn.ru/klapan/klapan-zapornyi/2hod/stalnoi/shturval/tekhgidromash/15nzh65nzh-12h18n9tl/dn125</t>
        </is>
      </c>
    </row>
    <row r="88" ht="34" customHeight="1">
      <c r="A88" s="5" t="inlineStr">
        <is>
          <t>1.3</t>
        </is>
      </c>
      <c r="B88" s="6" t="n">
        <v>57</v>
      </c>
      <c r="C88" s="5" t="inlineStr">
        <is>
          <t>Клапаны</t>
        </is>
      </c>
      <c r="D88" s="5" t="inlineStr">
        <is>
          <t>Клапан запорны 15нж65нж Ду 150 Ру 16 фланцевый</t>
        </is>
      </c>
      <c r="E88" s="6" t="n">
        <v>3</v>
      </c>
      <c r="F88" s="5" t="inlineStr">
        <is>
          <t>шт</t>
        </is>
      </c>
      <c r="G88" s="6" t="n">
        <v>150</v>
      </c>
      <c r="H88" s="6" t="n">
        <v>1.6</v>
      </c>
      <c r="I88" s="5" t="inlineStr">
        <is>
          <t>12Х18Н9ТЛ</t>
        </is>
      </c>
      <c r="J88" s="5" t="inlineStr">
        <is>
          <t>ручное</t>
        </is>
      </c>
      <c r="K88" s="7" t="n">
        <v>102852.71</v>
      </c>
      <c r="L88" s="15">
        <f>IF(K88="","",K88*(1-0.1))</f>
        <v/>
      </c>
      <c r="M88" s="6" t="n">
        <v>85</v>
      </c>
      <c r="N88" s="15">
        <f>IF(K88="","",L88*E88)</f>
        <v/>
      </c>
      <c r="O88" s="15">
        <f>IF(M88="","",M88*E88*55)</f>
        <v/>
      </c>
      <c r="P88" s="15">
        <f>IF(N88="","",N88+N(O88))</f>
        <v/>
      </c>
      <c r="Q88" s="15">
        <f>IF(P88="","",P88/E88)</f>
        <v/>
      </c>
      <c r="R88" s="5" t="inlineStr">
        <is>
          <t>ДН.ру (dn.ru), бренд ТехГидроМаш</t>
        </is>
      </c>
      <c r="S88" s="5" t="inlineStr">
        <is>
          <t>розница · B: dn.ru — живой магазин ООО «ДН.ру», © 2026,</t>
        </is>
      </c>
      <c r="T88" s="5" t="inlineStr">
        <is>
          <t>exact · не проверено</t>
        </is>
      </c>
      <c r="U88" s="5" t="inlineStr">
        <is>
          <t>https://dn.ru/klapan/klapan-zapornyi/2hod/stalnoi/shturval/tekhgidromash/15nzh65nzh-12h18n9tl/dn150</t>
        </is>
      </c>
    </row>
    <row r="89" ht="34" customHeight="1">
      <c r="A89" s="5" t="inlineStr">
        <is>
          <t>1.3</t>
        </is>
      </c>
      <c r="B89" s="6" t="n">
        <v>58</v>
      </c>
      <c r="C89" s="5" t="inlineStr">
        <is>
          <t>Клапаны</t>
        </is>
      </c>
      <c r="D89" s="5" t="inlineStr">
        <is>
          <t>Клапан запорны 15нж65нж Ду 32 Ру 16 фланцевый</t>
        </is>
      </c>
      <c r="E89" s="6" t="n">
        <v>4</v>
      </c>
      <c r="F89" s="5" t="inlineStr">
        <is>
          <t>шт</t>
        </is>
      </c>
      <c r="G89" s="6" t="n">
        <v>32</v>
      </c>
      <c r="H89" s="6" t="n">
        <v>1.6</v>
      </c>
      <c r="I89" s="5" t="inlineStr">
        <is>
          <t>12Х18Н9ТЛ</t>
        </is>
      </c>
      <c r="J89" s="5" t="inlineStr">
        <is>
          <t>ручное</t>
        </is>
      </c>
      <c r="K89" s="7" t="n">
        <v>11899.88</v>
      </c>
      <c r="L89" s="15">
        <f>IF(K89="","",K89*(1-0.1))</f>
        <v/>
      </c>
      <c r="M89" s="6" t="n">
        <v>7.5</v>
      </c>
      <c r="N89" s="15">
        <f>IF(K89="","",L89*E89)</f>
        <v/>
      </c>
      <c r="O89" s="15">
        <f>IF(M89="","",M89*E89*55)</f>
        <v/>
      </c>
      <c r="P89" s="15">
        <f>IF(N89="","",N89+N(O89))</f>
        <v/>
      </c>
      <c r="Q89" s="15">
        <f>IF(P89="","",P89/E89)</f>
        <v/>
      </c>
      <c r="R89" s="5" t="inlineStr">
        <is>
          <t>ДН.ру (dn.ru), бренд ТехГидроМаш</t>
        </is>
      </c>
      <c r="S89" s="5" t="inlineStr">
        <is>
          <t>розница · B: dn.ru — живой магазин ООО «ДН.ру», © 2026,</t>
        </is>
      </c>
      <c r="T89" s="5" t="inlineStr">
        <is>
          <t>exact · не проверено</t>
        </is>
      </c>
      <c r="U89" s="5" t="inlineStr">
        <is>
          <t>https://dn.ru/klapan/klapan-zapornyi/2hod/stalnoi/shturval/tekhgidromash/15nzh65nzh-12h18n9tl/dn32</t>
        </is>
      </c>
    </row>
    <row r="90" ht="34" customHeight="1">
      <c r="A90" s="5" t="inlineStr">
        <is>
          <t>1.3</t>
        </is>
      </c>
      <c r="B90" s="6" t="n">
        <v>59</v>
      </c>
      <c r="C90" s="5" t="inlineStr">
        <is>
          <t>Клапаны</t>
        </is>
      </c>
      <c r="D90" s="5" t="inlineStr">
        <is>
          <t>Клапан запорны 15нж65нж Ду 50 Ру 16 фланцевый</t>
        </is>
      </c>
      <c r="E90" s="6" t="n">
        <v>4</v>
      </c>
      <c r="F90" s="5" t="inlineStr">
        <is>
          <t>шт</t>
        </is>
      </c>
      <c r="G90" s="6" t="n">
        <v>50</v>
      </c>
      <c r="H90" s="6" t="n">
        <v>1.6</v>
      </c>
      <c r="I90" s="5" t="inlineStr">
        <is>
          <t>12Х18Н9ТЛ</t>
        </is>
      </c>
      <c r="J90" s="5" t="inlineStr">
        <is>
          <t>ручное</t>
        </is>
      </c>
      <c r="K90" s="7" t="n">
        <v>16371.18</v>
      </c>
      <c r="L90" s="15">
        <f>IF(K90="","",K90*(1-0.1))</f>
        <v/>
      </c>
      <c r="M90" s="6" t="n">
        <v>14</v>
      </c>
      <c r="N90" s="15">
        <f>IF(K90="","",L90*E90)</f>
        <v/>
      </c>
      <c r="O90" s="15">
        <f>IF(M90="","",M90*E90*55)</f>
        <v/>
      </c>
      <c r="P90" s="15">
        <f>IF(N90="","",N90+N(O90))</f>
        <v/>
      </c>
      <c r="Q90" s="15">
        <f>IF(P90="","",P90/E90)</f>
        <v/>
      </c>
      <c r="R90" s="5" t="inlineStr">
        <is>
          <t>ДН.ру (dn.ru), бренд ТехГидроМаш</t>
        </is>
      </c>
      <c r="S90" s="5" t="inlineStr">
        <is>
          <t>розница · B: dn.ru — живой магазин ООО «ДН.ру», © 2026,</t>
        </is>
      </c>
      <c r="T90" s="5" t="inlineStr">
        <is>
          <t>exact · не проверено</t>
        </is>
      </c>
      <c r="U90" s="5" t="inlineStr">
        <is>
          <t>https://dn.ru/klapan/klapan-zapornyi/2hod/stalnoi/shturval/tekhgidromash/15nzh65nzh-12h18n9tl/dn50</t>
        </is>
      </c>
    </row>
    <row r="91" ht="34" customHeight="1">
      <c r="A91" s="5" t="inlineStr">
        <is>
          <t>1.3</t>
        </is>
      </c>
      <c r="B91" s="6" t="n">
        <v>60</v>
      </c>
      <c r="C91" s="5" t="inlineStr">
        <is>
          <t>Клапаны</t>
        </is>
      </c>
      <c r="D91" s="5" t="inlineStr">
        <is>
          <t>Клапан запорный 15с22нж Ду 32 Ру 40</t>
        </is>
      </c>
      <c r="E91" s="6" t="n">
        <v>2</v>
      </c>
      <c r="F91" s="5" t="inlineStr">
        <is>
          <t>шт</t>
        </is>
      </c>
      <c r="G91" s="6" t="n">
        <v>32</v>
      </c>
      <c r="H91" s="6" t="n">
        <v>4</v>
      </c>
      <c r="I91" s="5" t="inlineStr">
        <is>
          <t>сталь 25Л</t>
        </is>
      </c>
      <c r="J91" s="5" t="inlineStr">
        <is>
          <t>ручное</t>
        </is>
      </c>
      <c r="K91" s="7" t="n">
        <v>7500</v>
      </c>
      <c r="L91" s="15">
        <f>IF(K91="","",K91*(1-0.1))</f>
        <v/>
      </c>
      <c r="M91" s="6" t="n">
        <v>7.5</v>
      </c>
      <c r="N91" s="15">
        <f>IF(K91="","",L91*E91)</f>
        <v/>
      </c>
      <c r="O91" s="15">
        <f>IF(M91="","",M91*E91*55)</f>
        <v/>
      </c>
      <c r="P91" s="15">
        <f>IF(N91="","",N91+N(O91))</f>
        <v/>
      </c>
      <c r="Q91" s="15">
        <f>IF(P91="","",P91/E91)</f>
        <v/>
      </c>
      <c r="R91" s="5" t="inlineStr">
        <is>
          <t>ДН.ру, «Россия»</t>
        </is>
      </c>
      <c r="S91" s="5" t="inlineStr">
        <is>
          <t>оценка · оценка по соседнему типоразмеру/аналогу (источ</t>
        </is>
      </c>
      <c r="T91" s="5" t="inlineStr">
        <is>
          <t>exact (марка), оценка по соседнему Ду · не проверено</t>
        </is>
      </c>
      <c r="U91" s="5" t="inlineStr">
        <is>
          <t>https://dn.ru/klapan/klapan-zapornyi/2hod/stalnoi/shturval/russia/15s22nzh/dn40</t>
        </is>
      </c>
    </row>
    <row r="92" ht="34" customHeight="1">
      <c r="A92" s="5" t="inlineStr">
        <is>
          <t>1.3</t>
        </is>
      </c>
      <c r="B92" s="6" t="n">
        <v>61</v>
      </c>
      <c r="C92" s="5" t="inlineStr">
        <is>
          <t>Клапаны</t>
        </is>
      </c>
      <c r="D92" s="5" t="inlineStr">
        <is>
          <t>Клапан запорный 15с22нж Ду 50 Ру 40</t>
        </is>
      </c>
      <c r="E92" s="6" t="n">
        <v>9</v>
      </c>
      <c r="F92" s="5" t="inlineStr">
        <is>
          <t>шт</t>
        </is>
      </c>
      <c r="G92" s="6" t="n">
        <v>50</v>
      </c>
      <c r="H92" s="6" t="n">
        <v>4</v>
      </c>
      <c r="I92" s="5" t="inlineStr">
        <is>
          <t>сталь 25Л</t>
        </is>
      </c>
      <c r="J92" s="5" t="inlineStr">
        <is>
          <t>ручной (маховик)</t>
        </is>
      </c>
      <c r="K92" s="7" t="n">
        <v>10529.82</v>
      </c>
      <c r="L92" s="15">
        <f>IF(K92="","",K92*(1-0.1))</f>
        <v/>
      </c>
      <c r="M92" s="6" t="n">
        <v>14</v>
      </c>
      <c r="N92" s="15">
        <f>IF(K92="","",L92*E92)</f>
        <v/>
      </c>
      <c r="O92" s="15">
        <f>IF(M92="","",M92*E92*55)</f>
        <v/>
      </c>
      <c r="P92" s="15">
        <f>IF(N92="","",N92+N(O92))</f>
        <v/>
      </c>
      <c r="Q92" s="15">
        <f>IF(P92="","",P92/E92)</f>
        <v/>
      </c>
      <c r="R92" s="5" t="inlineStr">
        <is>
          <t>ДН.ру (dn.ru), бренд Россия</t>
        </is>
      </c>
      <c r="S92" s="5" t="inlineStr">
        <is>
          <t>розница · B: dn.ru — живой магазин ООО «ДН.ру», © 2026,</t>
        </is>
      </c>
      <c r="T92" s="5" t="inlineStr">
        <is>
          <t>exact · не проверено</t>
        </is>
      </c>
      <c r="U92" s="5" t="inlineStr">
        <is>
          <t>https://dn.ru/klapan/klapan-zapornyi/2hod/stalnoi/shturval/russia/15s22nzh/dn50</t>
        </is>
      </c>
    </row>
    <row r="93" ht="34" customHeight="1">
      <c r="A93" s="5" t="inlineStr">
        <is>
          <t>1.3</t>
        </is>
      </c>
      <c r="B93" s="6" t="n">
        <v>62</v>
      </c>
      <c r="C93" s="5" t="inlineStr">
        <is>
          <t>Клапаны</t>
        </is>
      </c>
      <c r="D93" s="5" t="inlineStr">
        <is>
          <t>Клапан запорный 15с22нж Ду 80 Ру 40</t>
        </is>
      </c>
      <c r="E93" s="6" t="n">
        <v>6</v>
      </c>
      <c r="F93" s="5" t="inlineStr">
        <is>
          <t>шт</t>
        </is>
      </c>
      <c r="G93" s="6" t="n">
        <v>80</v>
      </c>
      <c r="H93" s="6" t="n">
        <v>4</v>
      </c>
      <c r="I93" s="5" t="inlineStr">
        <is>
          <t>сталь 25Л</t>
        </is>
      </c>
      <c r="J93" s="5" t="inlineStr">
        <is>
          <t>ручной (маховик)</t>
        </is>
      </c>
      <c r="K93" s="7" t="n">
        <v>19907.96</v>
      </c>
      <c r="L93" s="15">
        <f>IF(K93="","",K93*(1-0.1))</f>
        <v/>
      </c>
      <c r="M93" s="6" t="n">
        <v>27</v>
      </c>
      <c r="N93" s="15">
        <f>IF(K93="","",L93*E93)</f>
        <v/>
      </c>
      <c r="O93" s="15">
        <f>IF(M93="","",M93*E93*55)</f>
        <v/>
      </c>
      <c r="P93" s="15">
        <f>IF(N93="","",N93+N(O93))</f>
        <v/>
      </c>
      <c r="Q93" s="15">
        <f>IF(P93="","",P93/E93)</f>
        <v/>
      </c>
      <c r="R93" s="5" t="inlineStr">
        <is>
          <t>ДН.ру (dn.ru), бренд Россия</t>
        </is>
      </c>
      <c r="S93" s="5" t="inlineStr">
        <is>
          <t>розница · B: dn.ru — живой магазин ООО «ДН.ру», © 2026,</t>
        </is>
      </c>
      <c r="T93" s="5" t="inlineStr">
        <is>
          <t>exact · не проверено</t>
        </is>
      </c>
      <c r="U93" s="5" t="inlineStr">
        <is>
          <t>https://dn.ru/klapan/klapan-zapornyi/2hod/stalnoi/shturval/russia/15s22nzh/dn80</t>
        </is>
      </c>
    </row>
    <row r="94" ht="34" customHeight="1">
      <c r="A94" s="5" t="inlineStr">
        <is>
          <t>1.3</t>
        </is>
      </c>
      <c r="B94" s="6" t="n">
        <v>63</v>
      </c>
      <c r="C94" s="5" t="inlineStr">
        <is>
          <t>Клапаны</t>
        </is>
      </c>
      <c r="D94" s="5" t="inlineStr">
        <is>
          <t>Клапан запорный 15с52нж11 Ду 20 Ру 63 под приварку</t>
        </is>
      </c>
      <c r="E94" s="6" t="n">
        <v>6</v>
      </c>
      <c r="F94" s="5" t="inlineStr">
        <is>
          <t>шт</t>
        </is>
      </c>
      <c r="G94" s="6" t="n">
        <v>20</v>
      </c>
      <c r="H94" s="6" t="n">
        <v>6.3</v>
      </c>
      <c r="I94" s="5" t="inlineStr">
        <is>
          <t>Сталь 25 Л</t>
        </is>
      </c>
      <c r="J94" s="5" t="inlineStr">
        <is>
          <t>ручное</t>
        </is>
      </c>
      <c r="K94" s="7" t="n">
        <v>8000</v>
      </c>
      <c r="L94" s="15">
        <f>IF(K94="","",K94*(1-0.1))</f>
        <v/>
      </c>
      <c r="M94" s="6" t="n">
        <v>4</v>
      </c>
      <c r="N94" s="15">
        <f>IF(K94="","",L94*E94)</f>
        <v/>
      </c>
      <c r="O94" s="15">
        <f>IF(M94="","",M94*E94*55)</f>
        <v/>
      </c>
      <c r="P94" s="15">
        <f>IF(N94="","",N94+N(O94))</f>
        <v/>
      </c>
      <c r="Q94" s="15">
        <f>IF(P94="","",P94/E94)</f>
        <v/>
      </c>
      <c r="R94" s="5" t="inlineStr">
        <is>
          <t>АТКА</t>
        </is>
      </c>
      <c r="S94" s="5" t="inlineStr">
        <is>
          <t>оценка · оценка по соседнему типоразмеру/аналогу (источ</t>
        </is>
      </c>
      <c r="T94" s="5" t="inlineStr">
        <is>
          <t>exact (марка), цена оценочная · не проверено</t>
        </is>
      </c>
      <c r="U94" s="5" t="inlineStr">
        <is>
          <t>https://www.vseinstrumenti.ru/product/klapan-ventil-zapornyj-atka-15s52nzh11-du40-ru63-pod-privarku-1005021205-13916407/</t>
        </is>
      </c>
    </row>
    <row r="95" ht="34" customHeight="1">
      <c r="A95" s="5" t="inlineStr">
        <is>
          <t>1.3</t>
        </is>
      </c>
      <c r="B95" s="6" t="n">
        <v>64</v>
      </c>
      <c r="C95" s="5" t="inlineStr">
        <is>
          <t>Клапаны</t>
        </is>
      </c>
      <c r="D95" s="5" t="inlineStr">
        <is>
          <t>Клапан запорный 15ч75п2 Ду 25 Ру10</t>
        </is>
      </c>
      <c r="E95" s="6" t="n">
        <v>3</v>
      </c>
      <c r="F95" s="5" t="inlineStr">
        <is>
          <t>шт</t>
        </is>
      </c>
      <c r="G95" s="6" t="n">
        <v>25</v>
      </c>
      <c r="H95" s="6" t="n">
        <v>1</v>
      </c>
      <c r="I95" s="5" t="inlineStr">
        <is>
          <t>Серый чугун</t>
        </is>
      </c>
      <c r="J95" s="5" t="inlineStr">
        <is>
          <t>ручное</t>
        </is>
      </c>
      <c r="K95" s="7" t="n">
        <v>4500</v>
      </c>
      <c r="L95" s="15">
        <f>IF(K95="","",K95*(1-0.1))</f>
        <v/>
      </c>
      <c r="M95" s="6" t="n">
        <v>5</v>
      </c>
      <c r="N95" s="15">
        <f>IF(K95="","",L95*E95)</f>
        <v/>
      </c>
      <c r="O95" s="15">
        <f>IF(M95="","",M95*E95*55)</f>
        <v/>
      </c>
      <c r="P95" s="15">
        <f>IF(N95="","",N95+N(O95))</f>
        <v/>
      </c>
      <c r="Q95" s="15">
        <f>IF(P95="","",P95/E95)</f>
        <v/>
      </c>
      <c r="R95" s="5" t="inlineStr">
        <is>
          <t>оценка</t>
        </is>
      </c>
      <c r="S95" s="5" t="inlineStr">
        <is>
          <t>оценка · оценка, без прямого прайса</t>
        </is>
      </c>
      <c r="T95" s="5" t="inlineStr">
        <is>
          <t>exact (марка), цена оценочная · не проверено</t>
        </is>
      </c>
      <c r="U95" s="5" t="inlineStr"/>
    </row>
    <row r="96" ht="34" customHeight="1">
      <c r="A96" s="5" t="inlineStr">
        <is>
          <t>1.3</t>
        </is>
      </c>
      <c r="B96" s="6" t="n">
        <v>65</v>
      </c>
      <c r="C96" s="5" t="inlineStr">
        <is>
          <t>Клапаны</t>
        </is>
      </c>
      <c r="D96" s="5" t="inlineStr">
        <is>
          <t>Клапан запорный 15ч75п2 Ду 50 Ру10</t>
        </is>
      </c>
      <c r="E96" s="6" t="n">
        <v>9</v>
      </c>
      <c r="F96" s="5" t="inlineStr">
        <is>
          <t>шт</t>
        </is>
      </c>
      <c r="G96" s="6" t="n">
        <v>50</v>
      </c>
      <c r="H96" s="6" t="n">
        <v>1</v>
      </c>
      <c r="I96" s="5" t="inlineStr">
        <is>
          <t>Серый чугун</t>
        </is>
      </c>
      <c r="J96" s="5" t="inlineStr">
        <is>
          <t>ручное</t>
        </is>
      </c>
      <c r="K96" s="7" t="n">
        <v>8000</v>
      </c>
      <c r="L96" s="15">
        <f>IF(K96="","",K96*(1-0.1))</f>
        <v/>
      </c>
      <c r="M96" s="6" t="n">
        <v>14</v>
      </c>
      <c r="N96" s="15">
        <f>IF(K96="","",L96*E96)</f>
        <v/>
      </c>
      <c r="O96" s="15">
        <f>IF(M96="","",M96*E96*55)</f>
        <v/>
      </c>
      <c r="P96" s="15">
        <f>IF(N96="","",N96+N(O96))</f>
        <v/>
      </c>
      <c r="Q96" s="15">
        <f>IF(P96="","",P96/E96)</f>
        <v/>
      </c>
      <c r="R96" s="5" t="inlineStr">
        <is>
          <t>оценка</t>
        </is>
      </c>
      <c r="S96" s="5" t="inlineStr">
        <is>
          <t>оценка · оценка, без прямого прайса</t>
        </is>
      </c>
      <c r="T96" s="5" t="inlineStr">
        <is>
          <t>exact (марка), цена оценочная · не проверено</t>
        </is>
      </c>
      <c r="U96" s="5" t="inlineStr"/>
    </row>
    <row r="97" ht="34" customHeight="1">
      <c r="A97" s="5" t="inlineStr">
        <is>
          <t>1.3</t>
        </is>
      </c>
      <c r="B97" s="6" t="n">
        <v>66</v>
      </c>
      <c r="C97" s="5" t="inlineStr">
        <is>
          <t>Клапаны</t>
        </is>
      </c>
      <c r="D97" s="5" t="inlineStr">
        <is>
          <t>Клапан запорный 15ч76п2 Ду 80 Ру 6,3</t>
        </is>
      </c>
      <c r="E97" s="6" t="n">
        <v>3</v>
      </c>
      <c r="F97" s="5" t="inlineStr">
        <is>
          <t>шт</t>
        </is>
      </c>
      <c r="G97" s="6" t="n">
        <v>80</v>
      </c>
      <c r="H97" s="6" t="n">
        <v>0.63</v>
      </c>
      <c r="I97" s="5" t="inlineStr">
        <is>
          <t>Чугун СЧ 15, СЧ20</t>
        </is>
      </c>
      <c r="J97" s="5" t="inlineStr">
        <is>
          <t>ручное</t>
        </is>
      </c>
      <c r="K97" s="7" t="n">
        <v>12000</v>
      </c>
      <c r="L97" s="15">
        <f>IF(K97="","",K97*(1-0.1))</f>
        <v/>
      </c>
      <c r="M97" s="6" t="n">
        <v>27</v>
      </c>
      <c r="N97" s="15">
        <f>IF(K97="","",L97*E97)</f>
        <v/>
      </c>
      <c r="O97" s="15">
        <f>IF(M97="","",M97*E97*55)</f>
        <v/>
      </c>
      <c r="P97" s="15">
        <f>IF(N97="","",N97+N(O97))</f>
        <v/>
      </c>
      <c r="Q97" s="15">
        <f>IF(P97="","",P97/E97)</f>
        <v/>
      </c>
      <c r="R97" s="5" t="inlineStr">
        <is>
          <t>оценка</t>
        </is>
      </c>
      <c r="S97" s="5" t="inlineStr">
        <is>
          <t>оценка · оценка, без прямого прайса</t>
        </is>
      </c>
      <c r="T97" s="5" t="inlineStr">
        <is>
          <t>exact (марка), цена оценочная · не проверено</t>
        </is>
      </c>
      <c r="U97" s="5" t="inlineStr"/>
    </row>
    <row r="98" ht="34" customHeight="1">
      <c r="A98" s="5" t="inlineStr">
        <is>
          <t>1.3</t>
        </is>
      </c>
      <c r="B98" s="6" t="n">
        <v>67</v>
      </c>
      <c r="C98" s="5" t="inlineStr">
        <is>
          <t>Клапаны</t>
        </is>
      </c>
      <c r="D98" s="5" t="inlineStr">
        <is>
          <t>Клапан запорный 15ч93эм Ду 20 Ру 16</t>
        </is>
      </c>
      <c r="E98" s="6" t="n">
        <v>2</v>
      </c>
      <c r="F98" s="5" t="inlineStr">
        <is>
          <t>шт</t>
        </is>
      </c>
      <c r="G98" s="6" t="n">
        <v>20</v>
      </c>
      <c r="H98" s="6" t="n">
        <v>1.6</v>
      </c>
      <c r="I98" s="5" t="inlineStr">
        <is>
          <t>Серый чугун СЧ18</t>
        </is>
      </c>
      <c r="J98" s="5" t="inlineStr">
        <is>
          <t>ручное</t>
        </is>
      </c>
      <c r="K98" s="7" t="n">
        <v>6000</v>
      </c>
      <c r="L98" s="15">
        <f>IF(K98="","",K98*(1-0.1))</f>
        <v/>
      </c>
      <c r="M98" s="6" t="n">
        <v>4</v>
      </c>
      <c r="N98" s="15">
        <f>IF(K98="","",L98*E98)</f>
        <v/>
      </c>
      <c r="O98" s="15">
        <f>IF(M98="","",M98*E98*55)</f>
        <v/>
      </c>
      <c r="P98" s="15">
        <f>IF(N98="","",N98+N(O98))</f>
        <v/>
      </c>
      <c r="Q98" s="15">
        <f>IF(P98="","",P98/E98)</f>
        <v/>
      </c>
      <c r="R98" s="5" t="inlineStr">
        <is>
          <t>оценка</t>
        </is>
      </c>
      <c r="S98" s="5" t="inlineStr">
        <is>
          <t>оценка · оценка, без прямого прайса</t>
        </is>
      </c>
      <c r="T98" s="5" t="inlineStr">
        <is>
          <t>exact (марка), цена оценочная · не проверено</t>
        </is>
      </c>
      <c r="U98" s="5" t="inlineStr"/>
    </row>
    <row r="99" ht="34" customHeight="1">
      <c r="A99" s="5" t="inlineStr">
        <is>
          <t>1.3</t>
        </is>
      </c>
      <c r="B99" s="6" t="n">
        <v>68</v>
      </c>
      <c r="C99" s="5" t="inlineStr">
        <is>
          <t>Задвижки и затворы</t>
        </is>
      </c>
      <c r="D99" s="5" t="inlineStr">
        <is>
          <t>Задвижка 30нж41нж DN 100 PN 16 1исп. САЗ</t>
        </is>
      </c>
      <c r="E99" s="6" t="n">
        <v>2</v>
      </c>
      <c r="F99" s="5" t="inlineStr">
        <is>
          <t>шт</t>
        </is>
      </c>
      <c r="G99" s="6" t="n">
        <v>100</v>
      </c>
      <c r="H99" s="6" t="n">
        <v>1.6</v>
      </c>
      <c r="I99" s="5" t="inlineStr">
        <is>
          <t>сталь 12Х18Н9ТЛ</t>
        </is>
      </c>
      <c r="J99" s="5" t="inlineStr">
        <is>
          <t>ручной (маховик)</t>
        </is>
      </c>
      <c r="K99" s="7" t="n">
        <v>64622</v>
      </c>
      <c r="L99" s="15">
        <f>IF(K99="","",K99*(1-0.1))</f>
        <v/>
      </c>
      <c r="M99" s="6" t="n">
        <v>35</v>
      </c>
      <c r="N99" s="15">
        <f>IF(K99="","",L99*E99)</f>
        <v/>
      </c>
      <c r="O99" s="15">
        <f>IF(M99="","",M99*E99*55)</f>
        <v/>
      </c>
      <c r="P99" s="15">
        <f>IF(N99="","",N99+N(O99))</f>
        <v/>
      </c>
      <c r="Q99" s="15">
        <f>IF(P99="","",P99/E99)</f>
        <v/>
      </c>
      <c r="R99" s="5" t="inlineStr">
        <is>
          <t>СибЗТА (sibzta.ru, Москва)</t>
        </is>
      </c>
      <c r="S99" s="5" t="inlineStr">
        <is>
          <t>розница · A: прайс-лист от 12.01.2026 (розничная цена)</t>
        </is>
      </c>
      <c r="T99" s="5" t="inlineStr">
        <is>
          <t>analog: 30нж41нж СибЗТА вместо исп.1 САЗ (та же марка/D</t>
        </is>
      </c>
      <c r="U99" s="5" t="inlineStr">
        <is>
          <t>https://sibzta.ru/price/</t>
        </is>
      </c>
    </row>
    <row r="100" ht="34" customHeight="1">
      <c r="A100" s="5" t="inlineStr">
        <is>
          <t>1.3</t>
        </is>
      </c>
      <c r="B100" s="6" t="n">
        <v>69</v>
      </c>
      <c r="C100" s="5" t="inlineStr">
        <is>
          <t>Задвижки и затворы</t>
        </is>
      </c>
      <c r="D100" s="5" t="inlineStr">
        <is>
          <t>Задвижка 30нж41нж DN 150 PN 16 1исп. САЗ</t>
        </is>
      </c>
      <c r="E100" s="6" t="n">
        <v>2</v>
      </c>
      <c r="F100" s="5" t="inlineStr">
        <is>
          <t>шт</t>
        </is>
      </c>
      <c r="G100" s="6" t="n">
        <v>150</v>
      </c>
      <c r="H100" s="6" t="n">
        <v>1.6</v>
      </c>
      <c r="I100" s="5" t="inlineStr">
        <is>
          <t>сталь 12Х18Н9ТЛ</t>
        </is>
      </c>
      <c r="J100" s="5" t="inlineStr">
        <is>
          <t>ручной (маховик)</t>
        </is>
      </c>
      <c r="K100" s="7" t="n">
        <v>108193</v>
      </c>
      <c r="L100" s="15">
        <f>IF(K100="","",K100*(1-0.1))</f>
        <v/>
      </c>
      <c r="M100" s="6" t="n">
        <v>62</v>
      </c>
      <c r="N100" s="15">
        <f>IF(K100="","",L100*E100)</f>
        <v/>
      </c>
      <c r="O100" s="15">
        <f>IF(M100="","",M100*E100*55)</f>
        <v/>
      </c>
      <c r="P100" s="15">
        <f>IF(N100="","",N100+N(O100))</f>
        <v/>
      </c>
      <c r="Q100" s="15">
        <f>IF(P100="","",P100/E100)</f>
        <v/>
      </c>
      <c r="R100" s="5" t="inlineStr">
        <is>
          <t>СибЗТА (sibzta.ru, Москва)</t>
        </is>
      </c>
      <c r="S100" s="5" t="inlineStr">
        <is>
          <t>розница · A: прайс-лист от 12.01.2026 (розничная цена)</t>
        </is>
      </c>
      <c r="T100" s="5" t="inlineStr">
        <is>
          <t>analog: 30нж41нж СибЗТА вместо исп.1 САЗ (та же марка/D</t>
        </is>
      </c>
      <c r="U100" s="5" t="inlineStr">
        <is>
          <t>https://sibzta.ru/price/</t>
        </is>
      </c>
    </row>
    <row r="101" ht="34" customHeight="1">
      <c r="A101" s="5" t="inlineStr">
        <is>
          <t>1.3</t>
        </is>
      </c>
      <c r="B101" s="6" t="n">
        <v>70</v>
      </c>
      <c r="C101" s="5" t="inlineStr">
        <is>
          <t>Задвижки и затворы</t>
        </is>
      </c>
      <c r="D101" s="5" t="inlineStr">
        <is>
          <t>Задвижка 30нж41нж DN 200 PN 16 1исп. САЗ</t>
        </is>
      </c>
      <c r="E101" s="6" t="n">
        <v>2</v>
      </c>
      <c r="F101" s="5" t="inlineStr">
        <is>
          <t>шт</t>
        </is>
      </c>
      <c r="G101" s="6" t="n">
        <v>200</v>
      </c>
      <c r="H101" s="6" t="n">
        <v>1.6</v>
      </c>
      <c r="I101" s="5" t="inlineStr">
        <is>
          <t>сталь 12Х18Н9ТЛ</t>
        </is>
      </c>
      <c r="J101" s="5" t="inlineStr">
        <is>
          <t xml:space="preserve">Ручное </t>
        </is>
      </c>
      <c r="K101" s="7" t="n">
        <v>196132</v>
      </c>
      <c r="L101" s="15">
        <f>IF(K101="","",K101*(1-0.1))</f>
        <v/>
      </c>
      <c r="M101" s="6" t="n">
        <v>115</v>
      </c>
      <c r="N101" s="15">
        <f>IF(K101="","",L101*E101)</f>
        <v/>
      </c>
      <c r="O101" s="15">
        <f>IF(M101="","",M101*E101*55)</f>
        <v/>
      </c>
      <c r="P101" s="15">
        <f>IF(N101="","",N101+N(O101))</f>
        <v/>
      </c>
      <c r="Q101" s="15">
        <f>IF(P101="","",P101/E101)</f>
        <v/>
      </c>
      <c r="R101" s="5" t="inlineStr">
        <is>
          <t>СибЗТА (sibzta.ru, Москва)</t>
        </is>
      </c>
      <c r="S101" s="5" t="inlineStr">
        <is>
          <t>розница · A: прайс-лист от 12.01.2026 (розничная цена)</t>
        </is>
      </c>
      <c r="T101" s="5" t="inlineStr">
        <is>
          <t>analog: 30нж41нж СибЗТА вместо исп.1 САЗ (та же марка/D</t>
        </is>
      </c>
      <c r="U101" s="5" t="inlineStr">
        <is>
          <t>https://sibzta.ru/price/</t>
        </is>
      </c>
    </row>
    <row r="102" ht="34" customHeight="1">
      <c r="A102" s="5" t="inlineStr">
        <is>
          <t>1.3</t>
        </is>
      </c>
      <c r="B102" s="6" t="n">
        <v>71</v>
      </c>
      <c r="C102" s="5" t="inlineStr">
        <is>
          <t>Задвижки и затворы</t>
        </is>
      </c>
      <c r="D102" s="5" t="inlineStr">
        <is>
          <t>Задвижка 30нж41нж DN 50 PN 16 1исп. САЗ</t>
        </is>
      </c>
      <c r="E102" s="6" t="n">
        <v>2</v>
      </c>
      <c r="F102" s="5" t="inlineStr">
        <is>
          <t>шт</t>
        </is>
      </c>
      <c r="G102" s="6" t="n">
        <v>50</v>
      </c>
      <c r="H102" s="6" t="n">
        <v>1.6</v>
      </c>
      <c r="I102" s="5" t="inlineStr">
        <is>
          <t>сталь 12Х18Н9ТЛ</t>
        </is>
      </c>
      <c r="J102" s="5" t="inlineStr">
        <is>
          <t>ручной (маховик)</t>
        </is>
      </c>
      <c r="K102" s="7" t="n">
        <v>29397</v>
      </c>
      <c r="L102" s="15">
        <f>IF(K102="","",K102*(1-0.1))</f>
        <v/>
      </c>
      <c r="M102" s="6" t="n">
        <v>17</v>
      </c>
      <c r="N102" s="15">
        <f>IF(K102="","",L102*E102)</f>
        <v/>
      </c>
      <c r="O102" s="15">
        <f>IF(M102="","",M102*E102*55)</f>
        <v/>
      </c>
      <c r="P102" s="15">
        <f>IF(N102="","",N102+N(O102))</f>
        <v/>
      </c>
      <c r="Q102" s="15">
        <f>IF(P102="","",P102/E102)</f>
        <v/>
      </c>
      <c r="R102" s="5" t="inlineStr">
        <is>
          <t>СибЗТА (sibzta.ru, Москва)</t>
        </is>
      </c>
      <c r="S102" s="5" t="inlineStr">
        <is>
          <t>розница · A: прайс-лист от 12.01.2026 (розничная цена)</t>
        </is>
      </c>
      <c r="T102" s="5" t="inlineStr">
        <is>
          <t>analog: 30нж41нж СибЗТА вместо исп.1 САЗ (та же марка/D</t>
        </is>
      </c>
      <c r="U102" s="5" t="inlineStr">
        <is>
          <t>https://sibzta.ru/price/</t>
        </is>
      </c>
    </row>
    <row r="103" ht="34" customHeight="1">
      <c r="A103" s="5" t="inlineStr">
        <is>
          <t>1.3</t>
        </is>
      </c>
      <c r="B103" s="6" t="n">
        <v>72</v>
      </c>
      <c r="C103" s="5" t="inlineStr">
        <is>
          <t>Задвижки и затворы</t>
        </is>
      </c>
      <c r="D103" s="5" t="inlineStr">
        <is>
          <t>Задвижка 30нж41нж DN 80 PN 16 1исп. САЗ</t>
        </is>
      </c>
      <c r="E103" s="6" t="n">
        <v>2</v>
      </c>
      <c r="F103" s="5" t="inlineStr">
        <is>
          <t>шт</t>
        </is>
      </c>
      <c r="G103" s="6" t="n">
        <v>80</v>
      </c>
      <c r="H103" s="6" t="n">
        <v>1.6</v>
      </c>
      <c r="I103" s="5" t="inlineStr">
        <is>
          <t>сталь 12Х18Н9ТЛ</t>
        </is>
      </c>
      <c r="J103" s="5" t="inlineStr">
        <is>
          <t>ручной (маховик)</t>
        </is>
      </c>
      <c r="K103" s="7" t="n">
        <v>47283</v>
      </c>
      <c r="L103" s="15">
        <f>IF(K103="","",K103*(1-0.1))</f>
        <v/>
      </c>
      <c r="M103" s="6" t="n">
        <v>26</v>
      </c>
      <c r="N103" s="15">
        <f>IF(K103="","",L103*E103)</f>
        <v/>
      </c>
      <c r="O103" s="15">
        <f>IF(M103="","",M103*E103*55)</f>
        <v/>
      </c>
      <c r="P103" s="15">
        <f>IF(N103="","",N103+N(O103))</f>
        <v/>
      </c>
      <c r="Q103" s="15">
        <f>IF(P103="","",P103/E103)</f>
        <v/>
      </c>
      <c r="R103" s="5" t="inlineStr">
        <is>
          <t>СибЗТА (sibzta.ru, Москва)</t>
        </is>
      </c>
      <c r="S103" s="5" t="inlineStr">
        <is>
          <t>розница · A: прайс-лист от 12.01.2026 (розничная цена)</t>
        </is>
      </c>
      <c r="T103" s="5" t="inlineStr">
        <is>
          <t>analog: 30нж41нж СибЗТА вместо исп.1 САЗ (та же марка/D</t>
        </is>
      </c>
      <c r="U103" s="5" t="inlineStr">
        <is>
          <t>https://sibzta.ru/price/</t>
        </is>
      </c>
    </row>
    <row r="104" ht="34" customHeight="1">
      <c r="A104" s="5" t="inlineStr">
        <is>
          <t>1.3</t>
        </is>
      </c>
      <c r="B104" s="6" t="n">
        <v>73</v>
      </c>
      <c r="C104" s="5" t="inlineStr">
        <is>
          <t>Задвижки и затворы</t>
        </is>
      </c>
      <c r="D104" s="5" t="inlineStr">
        <is>
          <t>Задвижка 30с41нж Ду 50 Ру 16</t>
        </is>
      </c>
      <c r="E104" s="6" t="n">
        <v>6</v>
      </c>
      <c r="F104" s="5" t="inlineStr">
        <is>
          <t>шт</t>
        </is>
      </c>
      <c r="G104" s="6" t="n">
        <v>50</v>
      </c>
      <c r="H104" s="6" t="n">
        <v>1.6</v>
      </c>
      <c r="I104" s="5" t="inlineStr">
        <is>
          <t>Сталь 25 Л</t>
        </is>
      </c>
      <c r="J104" s="5" t="inlineStr">
        <is>
          <t xml:space="preserve">Ручное  </t>
        </is>
      </c>
      <c r="K104" s="7" t="n">
        <v>7482</v>
      </c>
      <c r="L104" s="15">
        <f>IF(K104="","",K104*(1-0.1))</f>
        <v/>
      </c>
      <c r="M104" s="6" t="n">
        <v>16</v>
      </c>
      <c r="N104" s="15">
        <f>IF(K104="","",L104*E104)</f>
        <v/>
      </c>
      <c r="O104" s="15">
        <f>IF(M104="","",M104*E104*55)</f>
        <v/>
      </c>
      <c r="P104" s="15">
        <f>IF(N104="","",N104+N(O104))</f>
        <v/>
      </c>
      <c r="Q104" s="15">
        <f>IF(P104="","",P104/E104)</f>
        <v/>
      </c>
      <c r="R104" s="5" t="inlineStr">
        <is>
          <t>СибЗТА (sibzta.ru, Москва)</t>
        </is>
      </c>
      <c r="S104" s="5" t="inlineStr">
        <is>
          <t>розница · A: прайс-лист от 12.01.2026 (розничная цена)</t>
        </is>
      </c>
      <c r="T104" s="5" t="inlineStr">
        <is>
          <t>exact · не проверено</t>
        </is>
      </c>
      <c r="U104" s="5" t="inlineStr">
        <is>
          <t>https://sibzta.ru/price/</t>
        </is>
      </c>
    </row>
    <row r="105" ht="34" customHeight="1">
      <c r="A105" s="5" t="inlineStr">
        <is>
          <t>1.3</t>
        </is>
      </c>
      <c r="B105" s="6" t="n">
        <v>74</v>
      </c>
      <c r="C105" s="5" t="inlineStr">
        <is>
          <t>Задвижки и затворы</t>
        </is>
      </c>
      <c r="D105" s="5" t="inlineStr">
        <is>
          <t>Задвижка 30с41нж Ду 80 Ру 16</t>
        </is>
      </c>
      <c r="E105" s="6" t="n">
        <v>12</v>
      </c>
      <c r="F105" s="5" t="inlineStr">
        <is>
          <t>шт</t>
        </is>
      </c>
      <c r="G105" s="6" t="n">
        <v>80</v>
      </c>
      <c r="H105" s="6" t="n">
        <v>1.6</v>
      </c>
      <c r="I105" s="5" t="inlineStr">
        <is>
          <t>сталь 25Л</t>
        </is>
      </c>
      <c r="J105" s="5" t="inlineStr">
        <is>
          <t xml:space="preserve">Ручное </t>
        </is>
      </c>
      <c r="K105" s="7" t="n">
        <v>12083</v>
      </c>
      <c r="L105" s="15">
        <f>IF(K105="","",K105*(1-0.1))</f>
        <v/>
      </c>
      <c r="M105" s="6" t="n">
        <v>25</v>
      </c>
      <c r="N105" s="15">
        <f>IF(K105="","",L105*E105)</f>
        <v/>
      </c>
      <c r="O105" s="15">
        <f>IF(M105="","",M105*E105*55)</f>
        <v/>
      </c>
      <c r="P105" s="15">
        <f>IF(N105="","",N105+N(O105))</f>
        <v/>
      </c>
      <c r="Q105" s="15">
        <f>IF(P105="","",P105/E105)</f>
        <v/>
      </c>
      <c r="R105" s="5" t="inlineStr">
        <is>
          <t>СибЗТА (sibzta.ru, Москва)</t>
        </is>
      </c>
      <c r="S105" s="5" t="inlineStr">
        <is>
          <t>розница · A: прайс-лист от 12.01.2026 (розничная цена)</t>
        </is>
      </c>
      <c r="T105" s="5" t="inlineStr">
        <is>
          <t>exact · не проверено</t>
        </is>
      </c>
      <c r="U105" s="5" t="inlineStr">
        <is>
          <t>https://sibzta.ru/price/</t>
        </is>
      </c>
    </row>
    <row r="106" ht="34" customHeight="1">
      <c r="A106" s="5" t="inlineStr">
        <is>
          <t>1.3</t>
        </is>
      </c>
      <c r="B106" s="6" t="n">
        <v>75</v>
      </c>
      <c r="C106" s="5" t="inlineStr">
        <is>
          <t>Задвижки и затворы</t>
        </is>
      </c>
      <c r="D106" s="5" t="inlineStr">
        <is>
          <t>Задвижка 30с41нж Ду 100 Ру 16</t>
        </is>
      </c>
      <c r="E106" s="6" t="n">
        <v>2</v>
      </c>
      <c r="F106" s="5" t="inlineStr">
        <is>
          <t>шт</t>
        </is>
      </c>
      <c r="G106" s="6" t="n">
        <v>100</v>
      </c>
      <c r="H106" s="6" t="n">
        <v>1.6</v>
      </c>
      <c r="I106" s="5" t="inlineStr">
        <is>
          <t>Сталь 25 Л</t>
        </is>
      </c>
      <c r="J106" s="5" t="inlineStr">
        <is>
          <t xml:space="preserve">Ручное  </t>
        </is>
      </c>
      <c r="K106" s="7" t="n">
        <v>14448</v>
      </c>
      <c r="L106" s="15">
        <f>IF(K106="","",K106*(1-0.1))</f>
        <v/>
      </c>
      <c r="M106" s="6" t="n">
        <v>34</v>
      </c>
      <c r="N106" s="15">
        <f>IF(K106="","",L106*E106)</f>
        <v/>
      </c>
      <c r="O106" s="15">
        <f>IF(M106="","",M106*E106*55)</f>
        <v/>
      </c>
      <c r="P106" s="15">
        <f>IF(N106="","",N106+N(O106))</f>
        <v/>
      </c>
      <c r="Q106" s="15">
        <f>IF(P106="","",P106/E106)</f>
        <v/>
      </c>
      <c r="R106" s="5" t="inlineStr">
        <is>
          <t>СибЗТА (sibzta.ru, Москва)</t>
        </is>
      </c>
      <c r="S106" s="5" t="inlineStr">
        <is>
          <t>розница · A: прайс-лист от 12.01.2026 (розничная цена)</t>
        </is>
      </c>
      <c r="T106" s="5" t="inlineStr">
        <is>
          <t>exact · не проверено</t>
        </is>
      </c>
      <c r="U106" s="5" t="inlineStr">
        <is>
          <t>https://sibzta.ru/price/</t>
        </is>
      </c>
    </row>
    <row r="107" ht="34" customHeight="1">
      <c r="A107" s="5" t="inlineStr">
        <is>
          <t>1.3</t>
        </is>
      </c>
      <c r="B107" s="6" t="n">
        <v>76</v>
      </c>
      <c r="C107" s="5" t="inlineStr">
        <is>
          <t>Задвижки и затворы</t>
        </is>
      </c>
      <c r="D107" s="5" t="inlineStr">
        <is>
          <t>Задвижка 30с41нж Ду 150 Ру 16</t>
        </is>
      </c>
      <c r="E107" s="6" t="n">
        <v>5</v>
      </c>
      <c r="F107" s="5" t="inlineStr">
        <is>
          <t>шт</t>
        </is>
      </c>
      <c r="G107" s="6" t="n">
        <v>150</v>
      </c>
      <c r="H107" s="6" t="n">
        <v>1.6</v>
      </c>
      <c r="I107" s="5" t="inlineStr">
        <is>
          <t>Сталь 25 Л</t>
        </is>
      </c>
      <c r="J107" s="5" t="inlineStr">
        <is>
          <t xml:space="preserve">Ручное  </t>
        </is>
      </c>
      <c r="K107" s="7" t="n">
        <v>27735</v>
      </c>
      <c r="L107" s="15">
        <f>IF(K107="","",K107*(1-0.1))</f>
        <v/>
      </c>
      <c r="M107" s="6" t="n">
        <v>60</v>
      </c>
      <c r="N107" s="15">
        <f>IF(K107="","",L107*E107)</f>
        <v/>
      </c>
      <c r="O107" s="15">
        <f>IF(M107="","",M107*E107*55)</f>
        <v/>
      </c>
      <c r="P107" s="15">
        <f>IF(N107="","",N107+N(O107))</f>
        <v/>
      </c>
      <c r="Q107" s="15">
        <f>IF(P107="","",P107/E107)</f>
        <v/>
      </c>
      <c r="R107" s="5" t="inlineStr">
        <is>
          <t>СибЗТА (sibzta.ru, Москва)</t>
        </is>
      </c>
      <c r="S107" s="5" t="inlineStr">
        <is>
          <t>розница · A: прайс-лист от 12.01.2026 (розничная цена)</t>
        </is>
      </c>
      <c r="T107" s="5" t="inlineStr">
        <is>
          <t>exact · не проверено</t>
        </is>
      </c>
      <c r="U107" s="5" t="inlineStr">
        <is>
          <t>https://sibzta.ru/price/</t>
        </is>
      </c>
    </row>
    <row r="108" ht="34" customHeight="1">
      <c r="A108" s="5" t="inlineStr">
        <is>
          <t>1.3</t>
        </is>
      </c>
      <c r="B108" s="6" t="n">
        <v>77</v>
      </c>
      <c r="C108" s="5" t="inlineStr">
        <is>
          <t>Задвижки и затворы</t>
        </is>
      </c>
      <c r="D108" s="5" t="inlineStr">
        <is>
          <t>Задвижка 30с564нж Ду 400 Ру 25</t>
        </is>
      </c>
      <c r="E108" s="6" t="n">
        <v>3</v>
      </c>
      <c r="F108" s="5" t="inlineStr">
        <is>
          <t>шт</t>
        </is>
      </c>
      <c r="G108" s="6" t="n">
        <v>400</v>
      </c>
      <c r="H108" s="6" t="n">
        <v>2.5</v>
      </c>
      <c r="I108" s="5" t="inlineStr">
        <is>
          <t>сталь 25л</t>
        </is>
      </c>
      <c r="J108" s="5" t="inlineStr">
        <is>
          <t>ручной</t>
        </is>
      </c>
      <c r="K108" s="7" t="n">
        <v>478687</v>
      </c>
      <c r="L108" s="15">
        <f>IF(K108="","",K108*(1-0.1))</f>
        <v/>
      </c>
      <c r="M108" s="6" t="n">
        <v>750</v>
      </c>
      <c r="N108" s="15">
        <f>IF(K108="","",L108*E108)</f>
        <v/>
      </c>
      <c r="O108" s="15">
        <f>IF(M108="","",M108*E108*55)</f>
        <v/>
      </c>
      <c r="P108" s="15">
        <f>IF(N108="","",N108+N(O108))</f>
        <v/>
      </c>
      <c r="Q108" s="15">
        <f>IF(P108="","",P108/E108)</f>
        <v/>
      </c>
      <c r="R108" s="5" t="inlineStr">
        <is>
          <t>СибЗТА (sibzta.ru, Москва)</t>
        </is>
      </c>
      <c r="S108" s="5" t="inlineStr">
        <is>
          <t>розница · A: прайс-лист от 12.01.2026 (розничная цена)</t>
        </is>
      </c>
      <c r="T108" s="5" t="inlineStr">
        <is>
          <t>exact · не проверено</t>
        </is>
      </c>
      <c r="U108" s="5" t="inlineStr">
        <is>
          <t>https://sibzta.ru/price/</t>
        </is>
      </c>
    </row>
    <row r="109" ht="34" customHeight="1">
      <c r="A109" s="5" t="inlineStr">
        <is>
          <t>1.3</t>
        </is>
      </c>
      <c r="B109" s="6" t="n">
        <v>78</v>
      </c>
      <c r="C109" s="5" t="inlineStr">
        <is>
          <t>Задвижки и затворы</t>
        </is>
      </c>
      <c r="D109" s="5" t="inlineStr">
        <is>
          <t>Задвижка 30с64нж Ду 50 Ру 25</t>
        </is>
      </c>
      <c r="E109" s="6" t="n">
        <v>5</v>
      </c>
      <c r="F109" s="5" t="inlineStr">
        <is>
          <t>шт</t>
        </is>
      </c>
      <c r="G109" s="6" t="n">
        <v>50</v>
      </c>
      <c r="H109" s="6" t="n">
        <v>2.5</v>
      </c>
      <c r="I109" s="5" t="inlineStr">
        <is>
          <t>сталь 25л</t>
        </is>
      </c>
      <c r="J109" s="5" t="inlineStr">
        <is>
          <t>ручной</t>
        </is>
      </c>
      <c r="K109" s="7" t="n">
        <v>10752</v>
      </c>
      <c r="L109" s="15">
        <f>IF(K109="","",K109*(1-0.1))</f>
        <v/>
      </c>
      <c r="M109" s="6" t="n">
        <v>21</v>
      </c>
      <c r="N109" s="15">
        <f>IF(K109="","",L109*E109)</f>
        <v/>
      </c>
      <c r="O109" s="15">
        <f>IF(M109="","",M109*E109*55)</f>
        <v/>
      </c>
      <c r="P109" s="15">
        <f>IF(N109="","",N109+N(O109))</f>
        <v/>
      </c>
      <c r="Q109" s="15">
        <f>IF(P109="","",P109/E109)</f>
        <v/>
      </c>
      <c r="R109" s="5" t="inlineStr">
        <is>
          <t>БК-Арматура (bkarm.ru)</t>
        </is>
      </c>
      <c r="S109" s="5" t="inlineStr">
        <is>
          <t>розница · C: © 1994-2026, прайс-страница, цены с НДС</t>
        </is>
      </c>
      <c r="T109" s="5" t="inlineStr">
        <is>
          <t>exact · не проверено</t>
        </is>
      </c>
      <c r="U109" s="5" t="inlineStr">
        <is>
          <t>https://bkarm.ru/zadvizhki-stalnye-prajs-list/</t>
        </is>
      </c>
    </row>
    <row r="110" ht="34" customHeight="1">
      <c r="A110" s="5" t="inlineStr">
        <is>
          <t>1.3</t>
        </is>
      </c>
      <c r="B110" s="6" t="n">
        <v>79</v>
      </c>
      <c r="C110" s="5" t="inlineStr">
        <is>
          <t>Задвижки и затворы</t>
        </is>
      </c>
      <c r="D110" s="5" t="inlineStr">
        <is>
          <t>Задвижка 30с64нж Ду 80 Ру 25</t>
        </is>
      </c>
      <c r="E110" s="6" t="n">
        <v>3</v>
      </c>
      <c r="F110" s="5" t="inlineStr">
        <is>
          <t>шт</t>
        </is>
      </c>
      <c r="G110" s="6" t="n">
        <v>80</v>
      </c>
      <c r="H110" s="6" t="n">
        <v>2.5</v>
      </c>
      <c r="I110" s="5" t="inlineStr">
        <is>
          <t>сталь 25л</t>
        </is>
      </c>
      <c r="J110" s="5" t="inlineStr">
        <is>
          <t>ручной</t>
        </is>
      </c>
      <c r="K110" s="7" t="n">
        <v>16717</v>
      </c>
      <c r="L110" s="15">
        <f>IF(K110="","",K110*(1-0.1))</f>
        <v/>
      </c>
      <c r="M110" s="6" t="n">
        <v>33</v>
      </c>
      <c r="N110" s="15">
        <f>IF(K110="","",L110*E110)</f>
        <v/>
      </c>
      <c r="O110" s="15">
        <f>IF(M110="","",M110*E110*55)</f>
        <v/>
      </c>
      <c r="P110" s="15">
        <f>IF(N110="","",N110+N(O110))</f>
        <v/>
      </c>
      <c r="Q110" s="15">
        <f>IF(P110="","",P110/E110)</f>
        <v/>
      </c>
      <c r="R110" s="5" t="inlineStr">
        <is>
          <t>БК-Арматура (bkarm.ru)</t>
        </is>
      </c>
      <c r="S110" s="5" t="inlineStr">
        <is>
          <t>розница · C: © 1994-2026, прайс-страница, цены с НДС</t>
        </is>
      </c>
      <c r="T110" s="5" t="inlineStr">
        <is>
          <t>exact · не проверено</t>
        </is>
      </c>
      <c r="U110" s="5" t="inlineStr">
        <is>
          <t>https://bkarm.ru/zadvizhki-stalnye-prajs-list/</t>
        </is>
      </c>
    </row>
    <row r="111" ht="34" customHeight="1">
      <c r="A111" s="5" t="inlineStr">
        <is>
          <t>1.3</t>
        </is>
      </c>
      <c r="B111" s="6" t="n">
        <v>80</v>
      </c>
      <c r="C111" s="5" t="inlineStr">
        <is>
          <t>Задвижки и затворы</t>
        </is>
      </c>
      <c r="D111" s="5" t="inlineStr">
        <is>
          <t>Задвижка 30с64нж Ду 100 Ру 25</t>
        </is>
      </c>
      <c r="E111" s="6" t="n">
        <v>20</v>
      </c>
      <c r="F111" s="5" t="inlineStr">
        <is>
          <t>шт</t>
        </is>
      </c>
      <c r="G111" s="6" t="n">
        <v>100</v>
      </c>
      <c r="H111" s="6" t="n">
        <v>2.5</v>
      </c>
      <c r="I111" s="5" t="inlineStr">
        <is>
          <t>сталь 25л</t>
        </is>
      </c>
      <c r="J111" s="5" t="inlineStr">
        <is>
          <t>ручной</t>
        </is>
      </c>
      <c r="K111" s="7" t="n">
        <v>22777</v>
      </c>
      <c r="L111" s="15">
        <f>IF(K111="","",K111*(1-0.1))</f>
        <v/>
      </c>
      <c r="M111" s="6" t="n">
        <v>45</v>
      </c>
      <c r="N111" s="15">
        <f>IF(K111="","",L111*E111)</f>
        <v/>
      </c>
      <c r="O111" s="15">
        <f>IF(M111="","",M111*E111*55)</f>
        <v/>
      </c>
      <c r="P111" s="15">
        <f>IF(N111="","",N111+N(O111))</f>
        <v/>
      </c>
      <c r="Q111" s="15">
        <f>IF(P111="","",P111/E111)</f>
        <v/>
      </c>
      <c r="R111" s="5" t="inlineStr">
        <is>
          <t>БК-Арматура (bkarm.ru)</t>
        </is>
      </c>
      <c r="S111" s="5" t="inlineStr">
        <is>
          <t>розница · C: © 1994-2026, прайс-страница, цены с НДС</t>
        </is>
      </c>
      <c r="T111" s="5" t="inlineStr">
        <is>
          <t>exact · не проверено</t>
        </is>
      </c>
      <c r="U111" s="5" t="inlineStr">
        <is>
          <t>https://bkarm.ru/zadvizhki-stalnye-prajs-list/</t>
        </is>
      </c>
    </row>
    <row r="112" ht="34" customHeight="1">
      <c r="A112" s="5" t="inlineStr">
        <is>
          <t>1.3</t>
        </is>
      </c>
      <c r="B112" s="6" t="n">
        <v>81</v>
      </c>
      <c r="C112" s="5" t="inlineStr">
        <is>
          <t>Задвижки и затворы</t>
        </is>
      </c>
      <c r="D112" s="5" t="inlineStr">
        <is>
          <t>Задвижка 30с64нж Ду 150 Ру 25</t>
        </is>
      </c>
      <c r="E112" s="6" t="n">
        <v>18</v>
      </c>
      <c r="F112" s="5" t="inlineStr">
        <is>
          <t>шт</t>
        </is>
      </c>
      <c r="G112" s="6" t="n">
        <v>150</v>
      </c>
      <c r="H112" s="6" t="n">
        <v>2.5</v>
      </c>
      <c r="I112" s="5" t="inlineStr">
        <is>
          <t>сталь 25л</t>
        </is>
      </c>
      <c r="J112" s="5" t="inlineStr">
        <is>
          <t>ручной</t>
        </is>
      </c>
      <c r="K112" s="7" t="n">
        <v>46776</v>
      </c>
      <c r="L112" s="15">
        <f>IF(K112="","",K112*(1-0.1))</f>
        <v/>
      </c>
      <c r="M112" s="6" t="n">
        <v>85</v>
      </c>
      <c r="N112" s="15">
        <f>IF(K112="","",L112*E112)</f>
        <v/>
      </c>
      <c r="O112" s="15">
        <f>IF(M112="","",M112*E112*55)</f>
        <v/>
      </c>
      <c r="P112" s="15">
        <f>IF(N112="","",N112+N(O112))</f>
        <v/>
      </c>
      <c r="Q112" s="15">
        <f>IF(P112="","",P112/E112)</f>
        <v/>
      </c>
      <c r="R112" s="5" t="inlineStr">
        <is>
          <t>БК-Арматура (bkarm.ru)</t>
        </is>
      </c>
      <c r="S112" s="5" t="inlineStr">
        <is>
          <t>розница · C: © 1994-2026, прайс-страница, цены с НДС</t>
        </is>
      </c>
      <c r="T112" s="5" t="inlineStr">
        <is>
          <t>exact · не проверено</t>
        </is>
      </c>
      <c r="U112" s="5" t="inlineStr">
        <is>
          <t>https://bkarm.ru/zadvizhki-stalnye-prajs-list/</t>
        </is>
      </c>
    </row>
    <row r="113" ht="34" customHeight="1">
      <c r="A113" s="5" t="inlineStr">
        <is>
          <t>1.3</t>
        </is>
      </c>
      <c r="B113" s="6" t="n">
        <v>82</v>
      </c>
      <c r="C113" s="5" t="inlineStr">
        <is>
          <t>Задвижки и затворы</t>
        </is>
      </c>
      <c r="D113" s="5" t="inlineStr">
        <is>
          <t>Задвижка 30с64нж Ду 200 Ру 25</t>
        </is>
      </c>
      <c r="E113" s="6" t="n">
        <v>9</v>
      </c>
      <c r="F113" s="5" t="inlineStr">
        <is>
          <t>шт</t>
        </is>
      </c>
      <c r="G113" s="6" t="n">
        <v>200</v>
      </c>
      <c r="H113" s="6" t="n">
        <v>2.5</v>
      </c>
      <c r="I113" s="5" t="inlineStr">
        <is>
          <t>сталь 25Л</t>
        </is>
      </c>
      <c r="J113" s="5" t="inlineStr">
        <is>
          <t xml:space="preserve">Ручное </t>
        </is>
      </c>
      <c r="K113" s="7" t="n">
        <v>81849</v>
      </c>
      <c r="L113" s="15">
        <f>IF(K113="","",K113*(1-0.1))</f>
        <v/>
      </c>
      <c r="M113" s="6" t="n">
        <v>160</v>
      </c>
      <c r="N113" s="15">
        <f>IF(K113="","",L113*E113)</f>
        <v/>
      </c>
      <c r="O113" s="15">
        <f>IF(M113="","",M113*E113*55)</f>
        <v/>
      </c>
      <c r="P113" s="15">
        <f>IF(N113="","",N113+N(O113))</f>
        <v/>
      </c>
      <c r="Q113" s="15">
        <f>IF(P113="","",P113/E113)</f>
        <v/>
      </c>
      <c r="R113" s="5" t="inlineStr">
        <is>
          <t>БК-Арматура (bkarm.ru)</t>
        </is>
      </c>
      <c r="S113" s="5" t="inlineStr">
        <is>
          <t>розница · C: © 1994-2026, прайс-страница, цены с НДС</t>
        </is>
      </c>
      <c r="T113" s="5" t="inlineStr">
        <is>
          <t>exact · не проверено</t>
        </is>
      </c>
      <c r="U113" s="5" t="inlineStr">
        <is>
          <t>https://bkarm.ru/zadvizhki-stalnye-prajs-list/</t>
        </is>
      </c>
    </row>
    <row r="114" ht="34" customHeight="1">
      <c r="A114" s="5" t="inlineStr">
        <is>
          <t>1.3</t>
        </is>
      </c>
      <c r="B114" s="6" t="n">
        <v>83</v>
      </c>
      <c r="C114" s="5" t="inlineStr">
        <is>
          <t>Задвижки и затворы</t>
        </is>
      </c>
      <c r="D114" s="5" t="inlineStr">
        <is>
          <t>Задвижка 30с64нж Ду 250 Ру 25</t>
        </is>
      </c>
      <c r="E114" s="6" t="n">
        <v>2</v>
      </c>
      <c r="F114" s="5" t="inlineStr">
        <is>
          <t>шт</t>
        </is>
      </c>
      <c r="G114" s="6" t="n">
        <v>250</v>
      </c>
      <c r="H114" s="6" t="n">
        <v>2.5</v>
      </c>
      <c r="I114" s="5" t="inlineStr">
        <is>
          <t>сталь 25Л</t>
        </is>
      </c>
      <c r="J114" s="5" t="inlineStr">
        <is>
          <t xml:space="preserve">ручной </t>
        </is>
      </c>
      <c r="K114" s="7" t="n">
        <v>111540</v>
      </c>
      <c r="L114" s="15">
        <f>IF(K114="","",K114*(1-0.1))</f>
        <v/>
      </c>
      <c r="M114" s="6" t="n">
        <v>210</v>
      </c>
      <c r="N114" s="15">
        <f>IF(K114="","",L114*E114)</f>
        <v/>
      </c>
      <c r="O114" s="15">
        <f>IF(M114="","",M114*E114*55)</f>
        <v/>
      </c>
      <c r="P114" s="15">
        <f>IF(N114="","",N114+N(O114))</f>
        <v/>
      </c>
      <c r="Q114" s="15">
        <f>IF(P114="","",P114/E114)</f>
        <v/>
      </c>
      <c r="R114" s="5" t="inlineStr">
        <is>
          <t>БК-Арматура (bkarm.ru)</t>
        </is>
      </c>
      <c r="S114" s="5" t="inlineStr">
        <is>
          <t>розница · C: © 1994-2026, прайс-страница, цены с НДС</t>
        </is>
      </c>
      <c r="T114" s="5" t="inlineStr">
        <is>
          <t>exact · не проверено</t>
        </is>
      </c>
      <c r="U114" s="5" t="inlineStr">
        <is>
          <t>https://bkarm.ru/zadvizhki-stalnye-prajs-list/</t>
        </is>
      </c>
    </row>
    <row r="115" ht="34" customHeight="1">
      <c r="A115" s="5" t="inlineStr">
        <is>
          <t>1.3</t>
        </is>
      </c>
      <c r="B115" s="6" t="n">
        <v>84</v>
      </c>
      <c r="C115" s="5" t="inlineStr">
        <is>
          <t>Задвижки и затворы</t>
        </is>
      </c>
      <c r="D115" s="5" t="inlineStr">
        <is>
          <t>Задвижка 30с64нж Ду 300 Ру 25</t>
        </is>
      </c>
      <c r="E115" s="6" t="n">
        <v>3</v>
      </c>
      <c r="F115" s="5" t="inlineStr">
        <is>
          <t>шт</t>
        </is>
      </c>
      <c r="G115" s="6" t="n">
        <v>300</v>
      </c>
      <c r="H115" s="6" t="n">
        <v>2.5</v>
      </c>
      <c r="I115" s="5" t="inlineStr">
        <is>
          <t>сталь 25Л</t>
        </is>
      </c>
      <c r="J115" s="5" t="inlineStr">
        <is>
          <t>ручной (маховик)</t>
        </is>
      </c>
      <c r="K115" s="7" t="n">
        <v>183621</v>
      </c>
      <c r="L115" s="15">
        <f>IF(K115="","",K115*(1-0.1))</f>
        <v/>
      </c>
      <c r="M115" s="6" t="n">
        <v>300</v>
      </c>
      <c r="N115" s="15">
        <f>IF(K115="","",L115*E115)</f>
        <v/>
      </c>
      <c r="O115" s="15">
        <f>IF(M115="","",M115*E115*55)</f>
        <v/>
      </c>
      <c r="P115" s="15">
        <f>IF(N115="","",N115+N(O115))</f>
        <v/>
      </c>
      <c r="Q115" s="15">
        <f>IF(P115="","",P115/E115)</f>
        <v/>
      </c>
      <c r="R115" s="5" t="inlineStr">
        <is>
          <t>БК-Арматура (bkarm.ru)</t>
        </is>
      </c>
      <c r="S115" s="5" t="inlineStr">
        <is>
          <t>розница · C: © 1994-2026, прайс-страница, цены с НДС</t>
        </is>
      </c>
      <c r="T115" s="5" t="inlineStr">
        <is>
          <t>exact · не проверено</t>
        </is>
      </c>
      <c r="U115" s="5" t="inlineStr">
        <is>
          <t>https://bkarm.ru/zadvizhki-stalnye-prajs-list/</t>
        </is>
      </c>
    </row>
    <row r="116" ht="34" customHeight="1">
      <c r="A116" s="5" t="inlineStr">
        <is>
          <t>1.3</t>
        </is>
      </c>
      <c r="B116" s="6" t="n">
        <v>85</v>
      </c>
      <c r="C116" s="5" t="inlineStr">
        <is>
          <t>Задвижки и затворы</t>
        </is>
      </c>
      <c r="D116" s="5" t="inlineStr">
        <is>
          <t>Задвижка 30с76нж Ду 200 Ру 63</t>
        </is>
      </c>
      <c r="E116" s="6" t="n">
        <v>1</v>
      </c>
      <c r="F116" s="5" t="inlineStr">
        <is>
          <t>шт</t>
        </is>
      </c>
      <c r="G116" s="6" t="n">
        <v>200</v>
      </c>
      <c r="H116" s="6" t="n">
        <v>6.3</v>
      </c>
      <c r="I116" s="5" t="inlineStr">
        <is>
          <t>сталь 25Л</t>
        </is>
      </c>
      <c r="J116" s="5" t="inlineStr">
        <is>
          <t>ручной (маховик)</t>
        </is>
      </c>
      <c r="K116" s="7" t="n">
        <v>169032</v>
      </c>
      <c r="L116" s="15">
        <f>IF(K116="","",K116*(1-0.1))</f>
        <v/>
      </c>
      <c r="M116" s="6" t="n">
        <v>250</v>
      </c>
      <c r="N116" s="15">
        <f>IF(K116="","",L116*E116)</f>
        <v/>
      </c>
      <c r="O116" s="15">
        <f>IF(M116="","",M116*E116*55)</f>
        <v/>
      </c>
      <c r="P116" s="15">
        <f>IF(N116="","",N116+N(O116))</f>
        <v/>
      </c>
      <c r="Q116" s="15">
        <f>IF(P116="","",P116/E116)</f>
        <v/>
      </c>
      <c r="R116" s="5" t="inlineStr">
        <is>
          <t>БК-Арматура (bkarm.ru)</t>
        </is>
      </c>
      <c r="S116" s="5" t="inlineStr">
        <is>
          <t>розница · C: © 1994-2026, прайс-страница, цены с НДС</t>
        </is>
      </c>
      <c r="T116" s="5" t="inlineStr">
        <is>
          <t>exact · не проверено</t>
        </is>
      </c>
      <c r="U116" s="5" t="inlineStr">
        <is>
          <t>https://bkarm.ru/zadvizhki-stalnye-prajs-list/</t>
        </is>
      </c>
    </row>
    <row r="117" ht="34" customHeight="1">
      <c r="A117" s="5" t="inlineStr">
        <is>
          <t>1.3</t>
        </is>
      </c>
      <c r="B117" s="6" t="n">
        <v>86</v>
      </c>
      <c r="C117" s="5" t="inlineStr">
        <is>
          <t>Задвижки и затворы</t>
        </is>
      </c>
      <c r="D117" s="5" t="inlineStr">
        <is>
          <t>Задвижка 30с927нж Ду 250 Ру 25 с электроприводом</t>
        </is>
      </c>
      <c r="E117" s="6" t="n">
        <v>2</v>
      </c>
      <c r="F117" s="5" t="inlineStr">
        <is>
          <t>шт</t>
        </is>
      </c>
      <c r="G117" s="6" t="n">
        <v>250</v>
      </c>
      <c r="H117" s="6" t="n">
        <v>2.5</v>
      </c>
      <c r="I117" s="5" t="inlineStr">
        <is>
          <t>Сталь 25Л</t>
        </is>
      </c>
      <c r="J117" s="5" t="inlineStr">
        <is>
          <t>электропривод</t>
        </is>
      </c>
      <c r="K117" s="7" t="n">
        <v>292000</v>
      </c>
      <c r="L117" s="15">
        <f>IF(K117="","",K117*(1-0.1))</f>
        <v/>
      </c>
      <c r="M117" s="6" t="n">
        <v>290</v>
      </c>
      <c r="N117" s="15">
        <f>IF(K117="","",L117*E117)</f>
        <v/>
      </c>
      <c r="O117" s="15">
        <f>IF(M117="","",M117*E117*55)</f>
        <v/>
      </c>
      <c r="P117" s="15">
        <f>IF(N117="","",N117+N(O117))</f>
        <v/>
      </c>
      <c r="Q117" s="15">
        <f>IF(P117="","",P117/E117)</f>
        <v/>
      </c>
      <c r="R117" s="5" t="inlineStr">
        <is>
          <t>БК-Арматура (bkarm.ru)</t>
        </is>
      </c>
      <c r="S117" s="5" t="inlineStr">
        <is>
          <t>оценка · C: © 1994-2026, прайс-страница, цены с НДС</t>
        </is>
      </c>
      <c r="T117" s="5" t="inlineStr">
        <is>
          <t xml:space="preserve">analog/оценка: 30с927нж DN250 PN25 под эл/п ~118 000 ₽ </t>
        </is>
      </c>
      <c r="U117" s="5" t="inlineStr">
        <is>
          <t>https://bkarm.ru/elektroprivodyi-prajs-list/</t>
        </is>
      </c>
    </row>
    <row r="118" ht="34" customHeight="1">
      <c r="A118" s="5" t="inlineStr">
        <is>
          <t>1.3</t>
        </is>
      </c>
      <c r="B118" s="6" t="n">
        <v>87</v>
      </c>
      <c r="C118" s="5" t="inlineStr">
        <is>
          <t>Задвижки и затворы</t>
        </is>
      </c>
      <c r="D118" s="5" t="inlineStr">
        <is>
          <t>Задвижка 30с941нж Ду 150 Ру 16 с электроприводом</t>
        </is>
      </c>
      <c r="E118" s="6" t="n">
        <v>6</v>
      </c>
      <c r="F118" s="5" t="inlineStr">
        <is>
          <t>шт</t>
        </is>
      </c>
      <c r="G118" s="6" t="n">
        <v>150</v>
      </c>
      <c r="H118" s="6" t="n">
        <v>1.6</v>
      </c>
      <c r="I118" s="5" t="inlineStr">
        <is>
          <t xml:space="preserve">Сталь 35Л ГОСТ
977-88 </t>
        </is>
      </c>
      <c r="J118" s="5" t="inlineStr">
        <is>
          <t xml:space="preserve"> 
МНОГООБОРОТНЫЙ ЭЛЕКТРОПРИВОД</t>
        </is>
      </c>
      <c r="K118" s="7" t="n">
        <v>171040</v>
      </c>
      <c r="L118" s="15">
        <f>IF(K118="","",K118*(1-0.1))</f>
        <v/>
      </c>
      <c r="M118" s="6" t="n">
        <v>95</v>
      </c>
      <c r="N118" s="15">
        <f>IF(K118="","",L118*E118)</f>
        <v/>
      </c>
      <c r="O118" s="15">
        <f>IF(M118="","",M118*E118*55)</f>
        <v/>
      </c>
      <c r="P118" s="15">
        <f>IF(N118="","",N118+N(O118))</f>
        <v/>
      </c>
      <c r="Q118" s="15">
        <f>IF(P118="","",P118/E118)</f>
        <v/>
      </c>
      <c r="R118" s="5" t="inlineStr">
        <is>
          <t>БК-Арматура (bkarm.ru)</t>
        </is>
      </c>
      <c r="S118" s="5" t="inlineStr">
        <is>
          <t>розница · C: © 1994-2026, прайс-страница, цены с НДС</t>
        </is>
      </c>
      <c r="T118" s="5" t="inlineStr">
        <is>
          <t>exact: 30с941нж DN150 под эл/п А + ГЗ-А.150/24 · не про</t>
        </is>
      </c>
      <c r="U118" s="5" t="inlineStr">
        <is>
          <t>https://bkarm.ru/zadvizhka-pod-elektroprivod-prajs-list/</t>
        </is>
      </c>
    </row>
    <row r="119" ht="34" customHeight="1">
      <c r="A119" s="5" t="inlineStr">
        <is>
          <t>1.3</t>
        </is>
      </c>
      <c r="B119" s="6" t="n">
        <v>88</v>
      </c>
      <c r="C119" s="5" t="inlineStr">
        <is>
          <t>Задвижки и затворы</t>
        </is>
      </c>
      <c r="D119" s="5" t="inlineStr">
        <is>
          <t>Задвижка 30с964нж Ду 150 Ру 25 с электроприводом</t>
        </is>
      </c>
      <c r="E119" s="6" t="n">
        <v>1</v>
      </c>
      <c r="F119" s="5" t="inlineStr">
        <is>
          <t>шт</t>
        </is>
      </c>
      <c r="G119" s="6" t="n">
        <v>150</v>
      </c>
      <c r="H119" s="6" t="n">
        <v>2.5</v>
      </c>
      <c r="I119" s="5" t="inlineStr">
        <is>
          <t>сталь 25Л</t>
        </is>
      </c>
      <c r="J119" s="5" t="inlineStr">
        <is>
          <t>электропривод DN.ru МТ-100-220</t>
        </is>
      </c>
      <c r="K119" s="7" t="n">
        <v>118702</v>
      </c>
      <c r="L119" s="15">
        <f>IF(K119="","",K119*(1-0.1))</f>
        <v/>
      </c>
      <c r="M119" s="6" t="n">
        <v>110</v>
      </c>
      <c r="N119" s="15">
        <f>IF(K119="","",L119*E119)</f>
        <v/>
      </c>
      <c r="O119" s="15">
        <f>IF(M119="","",M119*E119*55)</f>
        <v/>
      </c>
      <c r="P119" s="15">
        <f>IF(N119="","",N119+N(O119))</f>
        <v/>
      </c>
      <c r="Q119" s="15">
        <f>IF(P119="","",P119/E119)</f>
        <v/>
      </c>
      <c r="R119" s="5" t="inlineStr">
        <is>
          <t>БК-Арматура (bkarm.ru)</t>
        </is>
      </c>
      <c r="S119" s="5" t="inlineStr">
        <is>
          <t>оценка · C: © 1994-2026, прайс-страница, цены с НДС</t>
        </is>
      </c>
      <c r="T119" s="5" t="inlineStr">
        <is>
          <t xml:space="preserve">exact задвижка; привод DN.ru МТ-100-220 [оценка 70 000 </t>
        </is>
      </c>
      <c r="U119" s="5" t="inlineStr">
        <is>
          <t>https://bkarm.ru/zadvizhka-pod-elektroprivod-prajs-list/</t>
        </is>
      </c>
    </row>
    <row r="120" ht="34" customHeight="1">
      <c r="A120" s="5" t="inlineStr">
        <is>
          <t>1.3</t>
        </is>
      </c>
      <c r="B120" s="6" t="n">
        <v>89</v>
      </c>
      <c r="C120" s="5" t="inlineStr">
        <is>
          <t>Задвижки и затворы</t>
        </is>
      </c>
      <c r="D120" s="5" t="inlineStr">
        <is>
          <t>Задвижка 30с964нж Ду 400 Ру 25</t>
        </is>
      </c>
      <c r="E120" s="6" t="n">
        <v>4</v>
      </c>
      <c r="F120" s="5" t="inlineStr">
        <is>
          <t>шт</t>
        </is>
      </c>
      <c r="G120" s="6" t="n">
        <v>400</v>
      </c>
      <c r="H120" s="6" t="n">
        <v>2.5</v>
      </c>
      <c r="I120" s="5" t="inlineStr">
        <is>
          <t>сталь 25Л</t>
        </is>
      </c>
      <c r="J120" s="5" t="inlineStr">
        <is>
          <t>под электропривод</t>
        </is>
      </c>
      <c r="K120" s="7" t="n">
        <v>257427</v>
      </c>
      <c r="L120" s="15">
        <f>IF(K120="","",K120*(1-0.1))</f>
        <v/>
      </c>
      <c r="M120" s="6" t="n">
        <v>520</v>
      </c>
      <c r="N120" s="15">
        <f>IF(K120="","",L120*E120)</f>
        <v/>
      </c>
      <c r="O120" s="15">
        <f>IF(M120="","",M120*E120*55)</f>
        <v/>
      </c>
      <c r="P120" s="15">
        <f>IF(N120="","",N120+N(O120))</f>
        <v/>
      </c>
      <c r="Q120" s="15">
        <f>IF(P120="","",P120/E120)</f>
        <v/>
      </c>
      <c r="R120" s="5" t="inlineStr">
        <is>
          <t>БК-Арматура (bkarm.ru)</t>
        </is>
      </c>
      <c r="S120" s="5" t="inlineStr">
        <is>
          <t>розница · C: © 1994-2026, прайс-страница, цены с НДС</t>
        </is>
      </c>
      <c r="T120" s="5" t="inlineStr">
        <is>
          <t>exact: 30с964нж DN400 PN25 под эл/п (тип В); совместимо</t>
        </is>
      </c>
      <c r="U120" s="5" t="inlineStr">
        <is>
          <t>https://bkarm.ru/zadvizhka-pod-elektroprivod-prajs-list/</t>
        </is>
      </c>
    </row>
    <row r="121" ht="34" customHeight="1">
      <c r="A121" s="5" t="inlineStr">
        <is>
          <t>1.3</t>
        </is>
      </c>
      <c r="B121" s="6" t="n">
        <v>90</v>
      </c>
      <c r="C121" s="5" t="inlineStr">
        <is>
          <t>Задвижки и затворы</t>
        </is>
      </c>
      <c r="D121" s="5" t="inlineStr">
        <is>
          <t>Задвижка стальная 30с964нж Ду 100 Ру 25 с электроприводом МТ-100-220, 220В</t>
        </is>
      </c>
      <c r="E121" s="6" t="n">
        <v>3</v>
      </c>
      <c r="F121" s="5" t="inlineStr">
        <is>
          <t>шт</t>
        </is>
      </c>
      <c r="G121" s="6" t="n">
        <v>100</v>
      </c>
      <c r="H121" s="6" t="n">
        <v>25</v>
      </c>
      <c r="I121" s="5" t="inlineStr">
        <is>
          <t>сталь 25Л</t>
        </is>
      </c>
      <c r="J121" s="5" t="inlineStr">
        <is>
          <t>МТ-100-220, 220В</t>
        </is>
      </c>
      <c r="K121" s="7" t="n">
        <v>97943</v>
      </c>
      <c r="L121" s="15">
        <f>IF(K121="","",K121*(1-0.1))</f>
        <v/>
      </c>
      <c r="M121" s="6" t="n">
        <v>70</v>
      </c>
      <c r="N121" s="15">
        <f>IF(K121="","",L121*E121)</f>
        <v/>
      </c>
      <c r="O121" s="15">
        <f>IF(M121="","",M121*E121*55)</f>
        <v/>
      </c>
      <c r="P121" s="15">
        <f>IF(N121="","",N121+N(O121))</f>
        <v/>
      </c>
      <c r="Q121" s="15">
        <f>IF(P121="","",P121/E121)</f>
        <v/>
      </c>
      <c r="R121" s="5" t="inlineStr">
        <is>
          <t>БК-Арматура (bkarm.ru)</t>
        </is>
      </c>
      <c r="S121" s="5" t="inlineStr">
        <is>
          <t>оценка · C: © 1994-2026, прайс-страница, цены с НДС</t>
        </is>
      </c>
      <c r="T121" s="5" t="inlineStr">
        <is>
          <t xml:space="preserve">exact задвижка; привод DN.ru МТ-100-220 [оценка 70 000 </t>
        </is>
      </c>
      <c r="U121" s="5" t="inlineStr">
        <is>
          <t>https://bkarm.ru/zadvizhka-pod-elektroprivod-prajs-list/</t>
        </is>
      </c>
    </row>
    <row r="122" ht="34" customHeight="1">
      <c r="A122" s="5" t="inlineStr">
        <is>
          <t>1.3</t>
        </is>
      </c>
      <c r="B122" s="6" t="n">
        <v>91</v>
      </c>
      <c r="C122" s="5" t="inlineStr">
        <is>
          <t>Задвижки и затворы</t>
        </is>
      </c>
      <c r="D122" s="5" t="inlineStr">
        <is>
          <t>Задвижка 30с99нж Ду 50 Ру 25</t>
        </is>
      </c>
      <c r="E122" s="6" t="n">
        <v>1</v>
      </c>
      <c r="F122" s="5" t="inlineStr">
        <is>
          <t>шт</t>
        </is>
      </c>
      <c r="G122" s="6" t="n">
        <v>50</v>
      </c>
      <c r="H122" s="6" t="n">
        <v>25</v>
      </c>
      <c r="I122" s="5" t="inlineStr">
        <is>
          <t>углеродистая сталь (20Л, 25Л по ГОСТ 977</t>
        </is>
      </c>
      <c r="J122" s="5" t="inlineStr">
        <is>
          <t>ручное</t>
        </is>
      </c>
      <c r="K122" s="7" t="n">
        <v>10752</v>
      </c>
      <c r="L122" s="15">
        <f>IF(K122="","",K122*(1-0.1))</f>
        <v/>
      </c>
      <c r="M122" s="6" t="n">
        <v>20</v>
      </c>
      <c r="N122" s="15">
        <f>IF(K122="","",L122*E122)</f>
        <v/>
      </c>
      <c r="O122" s="15">
        <f>IF(M122="","",M122*E122*55)</f>
        <v/>
      </c>
      <c r="P122" s="15">
        <f>IF(N122="","",N122+N(O122))</f>
        <v/>
      </c>
      <c r="Q122" s="15">
        <f>IF(P122="","",P122/E122)</f>
        <v/>
      </c>
      <c r="R122" s="5" t="inlineStr">
        <is>
          <t>БК-Арматура (bkarm.ru)</t>
        </is>
      </c>
      <c r="S122" s="5" t="inlineStr">
        <is>
          <t>розница · C: © 1994-2026, прайс-страница, цены с НДС</t>
        </is>
      </c>
      <c r="T122" s="5" t="inlineStr">
        <is>
          <t xml:space="preserve">analog: 30с64нж DN50 PN25 САЗ (L=250 совпадает) вместо </t>
        </is>
      </c>
      <c r="U122" s="5" t="inlineStr">
        <is>
          <t>https://bkarm.ru/zadvizhki-stalnye-prajs-list/</t>
        </is>
      </c>
    </row>
    <row r="123" ht="34" customHeight="1">
      <c r="A123" s="5" t="inlineStr">
        <is>
          <t>1.3</t>
        </is>
      </c>
      <c r="B123" s="6" t="n">
        <v>92</v>
      </c>
      <c r="C123" s="5" t="inlineStr">
        <is>
          <t>Задвижки и затворы</t>
        </is>
      </c>
      <c r="D123" s="5" t="inlineStr">
        <is>
          <t>Задвижка 30с99нж Ду 80 Ру 25</t>
        </is>
      </c>
      <c r="E123" s="6" t="n">
        <v>1</v>
      </c>
      <c r="F123" s="5" t="inlineStr">
        <is>
          <t>шт</t>
        </is>
      </c>
      <c r="G123" s="6" t="n">
        <v>80</v>
      </c>
      <c r="H123" s="6" t="n">
        <v>25</v>
      </c>
      <c r="I123" s="5" t="inlineStr">
        <is>
          <t>углеродистая сталь (20Л, 25Л по ГОСТ 977</t>
        </is>
      </c>
      <c r="J123" s="5" t="inlineStr">
        <is>
          <t>ручное</t>
        </is>
      </c>
      <c r="K123" s="7" t="n">
        <v>16717</v>
      </c>
      <c r="L123" s="15">
        <f>IF(K123="","",K123*(1-0.1))</f>
        <v/>
      </c>
      <c r="M123" s="6" t="n">
        <v>32</v>
      </c>
      <c r="N123" s="15">
        <f>IF(K123="","",L123*E123)</f>
        <v/>
      </c>
      <c r="O123" s="15">
        <f>IF(M123="","",M123*E123*55)</f>
        <v/>
      </c>
      <c r="P123" s="15">
        <f>IF(N123="","",N123+N(O123))</f>
        <v/>
      </c>
      <c r="Q123" s="15">
        <f>IF(P123="","",P123/E123)</f>
        <v/>
      </c>
      <c r="R123" s="5" t="inlineStr">
        <is>
          <t>БК-Арматура (bkarm.ru)</t>
        </is>
      </c>
      <c r="S123" s="5" t="inlineStr">
        <is>
          <t>розница · C: © 1994-2026, прайс-страница, цены с НДС</t>
        </is>
      </c>
      <c r="T123" s="5" t="inlineStr">
        <is>
          <t xml:space="preserve">analog: 30с64нж DN80 PN25 САЗ (L=280 совпадает) вместо </t>
        </is>
      </c>
      <c r="U123" s="5" t="inlineStr">
        <is>
          <t>https://bkarm.ru/zadvizhki-stalnye-prajs-list/</t>
        </is>
      </c>
    </row>
    <row r="124" ht="34" customHeight="1">
      <c r="A124" s="5" t="inlineStr">
        <is>
          <t>1.3</t>
        </is>
      </c>
      <c r="B124" s="6" t="n">
        <v>93</v>
      </c>
      <c r="C124" s="5" t="inlineStr">
        <is>
          <t>Задвижки и затворы</t>
        </is>
      </c>
      <c r="D124" s="5" t="inlineStr">
        <is>
          <t>Задвижка 30ч6бр Ду 50 Ру 10</t>
        </is>
      </c>
      <c r="E124" s="6" t="n">
        <v>8</v>
      </c>
      <c r="F124" s="5" t="inlineStr">
        <is>
          <t>шт</t>
        </is>
      </c>
      <c r="G124" s="6" t="n">
        <v>50</v>
      </c>
      <c r="H124" s="6" t="n">
        <v>1</v>
      </c>
      <c r="I124" s="5" t="inlineStr">
        <is>
          <t xml:space="preserve">серый чугун СЧ </t>
        </is>
      </c>
      <c r="J124" s="5" t="inlineStr">
        <is>
          <t xml:space="preserve">Ручное </t>
        </is>
      </c>
      <c r="K124" s="7" t="n">
        <v>3488</v>
      </c>
      <c r="L124" s="15">
        <f>IF(K124="","",K124*(1-0.1))</f>
        <v/>
      </c>
      <c r="M124" s="6" t="n">
        <v>13</v>
      </c>
      <c r="N124" s="15">
        <f>IF(K124="","",L124*E124)</f>
        <v/>
      </c>
      <c r="O124" s="15">
        <f>IF(M124="","",M124*E124*55)</f>
        <v/>
      </c>
      <c r="P124" s="15">
        <f>IF(N124="","",N124+N(O124))</f>
        <v/>
      </c>
      <c r="Q124" s="15">
        <f>IF(P124="","",P124/E124)</f>
        <v/>
      </c>
      <c r="R124" s="5" t="inlineStr">
        <is>
          <t>БК-Арматура (bkarm.ru)</t>
        </is>
      </c>
      <c r="S124" s="5" t="inlineStr">
        <is>
          <t>розница · C: © 1994-2026, прайс-страница, цены с НДС</t>
        </is>
      </c>
      <c r="T124" s="5" t="inlineStr">
        <is>
          <t>analog: 30ч6бр ЛМЗ PN16 DN50 (выше PN) · не проверено</t>
        </is>
      </c>
      <c r="U124" s="5" t="inlineStr">
        <is>
          <t>https://bkarm.ru/zadvizhki-chugunnye-prajs-list/</t>
        </is>
      </c>
    </row>
    <row r="125" ht="34" customHeight="1">
      <c r="A125" s="5" t="inlineStr">
        <is>
          <t>1.3</t>
        </is>
      </c>
      <c r="B125" s="6" t="n">
        <v>94</v>
      </c>
      <c r="C125" s="5" t="inlineStr">
        <is>
          <t>Задвижки и затворы</t>
        </is>
      </c>
      <c r="D125" s="5" t="inlineStr">
        <is>
          <t>Задвижка 30ч6бр Ду 80 Ру 10</t>
        </is>
      </c>
      <c r="E125" s="6" t="n">
        <v>14</v>
      </c>
      <c r="F125" s="5" t="inlineStr">
        <is>
          <t>шт</t>
        </is>
      </c>
      <c r="G125" s="6" t="n">
        <v>80</v>
      </c>
      <c r="H125" s="6" t="n">
        <v>1</v>
      </c>
      <c r="I125" s="5" t="inlineStr">
        <is>
          <t xml:space="preserve">серый чугун СЧ </t>
        </is>
      </c>
      <c r="J125" s="5" t="inlineStr">
        <is>
          <t xml:space="preserve">Ручное </t>
        </is>
      </c>
      <c r="K125" s="7" t="n">
        <v>5666</v>
      </c>
      <c r="L125" s="15">
        <f>IF(K125="","",K125*(1-0.1))</f>
        <v/>
      </c>
      <c r="M125" s="6" t="n">
        <v>22</v>
      </c>
      <c r="N125" s="15">
        <f>IF(K125="","",L125*E125)</f>
        <v/>
      </c>
      <c r="O125" s="15">
        <f>IF(M125="","",M125*E125*55)</f>
        <v/>
      </c>
      <c r="P125" s="15">
        <f>IF(N125="","",N125+N(O125))</f>
        <v/>
      </c>
      <c r="Q125" s="15">
        <f>IF(P125="","",P125/E125)</f>
        <v/>
      </c>
      <c r="R125" s="5" t="inlineStr">
        <is>
          <t>БК-Арматура (bkarm.ru)</t>
        </is>
      </c>
      <c r="S125" s="5" t="inlineStr">
        <is>
          <t>розница · C: © 1994-2026, прайс-страница, цены с НДС</t>
        </is>
      </c>
      <c r="T125" s="5" t="inlineStr">
        <is>
          <t>exact · не проверено</t>
        </is>
      </c>
      <c r="U125" s="5" t="inlineStr">
        <is>
          <t>https://bkarm.ru/zadvizhki-chugunnye-prajs-list/</t>
        </is>
      </c>
    </row>
    <row r="126" ht="34" customHeight="1">
      <c r="A126" s="5" t="inlineStr">
        <is>
          <t>1.3</t>
        </is>
      </c>
      <c r="B126" s="6" t="n">
        <v>95</v>
      </c>
      <c r="C126" s="5" t="inlineStr">
        <is>
          <t>Задвижки и затворы</t>
        </is>
      </c>
      <c r="D126" s="5" t="inlineStr">
        <is>
          <t>Задвижка 30ч6бр Ду 100 Ру 10</t>
        </is>
      </c>
      <c r="E126" s="6" t="n">
        <v>19</v>
      </c>
      <c r="F126" s="5" t="inlineStr">
        <is>
          <t>шт</t>
        </is>
      </c>
      <c r="G126" s="6" t="n">
        <v>100</v>
      </c>
      <c r="H126" s="6" t="n">
        <v>1</v>
      </c>
      <c r="I126" s="5" t="inlineStr">
        <is>
          <t xml:space="preserve">серый чугун СЧ </t>
        </is>
      </c>
      <c r="J126" s="5" t="inlineStr">
        <is>
          <t xml:space="preserve">Ручное </t>
        </is>
      </c>
      <c r="K126" s="7" t="n">
        <v>8135</v>
      </c>
      <c r="L126" s="15">
        <f>IF(K126="","",K126*(1-0.1))</f>
        <v/>
      </c>
      <c r="M126" s="6" t="n">
        <v>30</v>
      </c>
      <c r="N126" s="15">
        <f>IF(K126="","",L126*E126)</f>
        <v/>
      </c>
      <c r="O126" s="15">
        <f>IF(M126="","",M126*E126*55)</f>
        <v/>
      </c>
      <c r="P126" s="15">
        <f>IF(N126="","",N126+N(O126))</f>
        <v/>
      </c>
      <c r="Q126" s="15">
        <f>IF(P126="","",P126/E126)</f>
        <v/>
      </c>
      <c r="R126" s="5" t="inlineStr">
        <is>
          <t>БК-Арматура (bkarm.ru)</t>
        </is>
      </c>
      <c r="S126" s="5" t="inlineStr">
        <is>
          <t>розница · C: © 1994-2026, прайс-страница, цены с НДС</t>
        </is>
      </c>
      <c r="T126" s="5" t="inlineStr">
        <is>
          <t>exact · не проверено</t>
        </is>
      </c>
      <c r="U126" s="5" t="inlineStr">
        <is>
          <t>https://bkarm.ru/zadvizhki-chugunnye-prajs-list/</t>
        </is>
      </c>
    </row>
    <row r="127" ht="34" customHeight="1">
      <c r="A127" s="5" t="inlineStr">
        <is>
          <t>1.3</t>
        </is>
      </c>
      <c r="B127" s="6" t="n">
        <v>96</v>
      </c>
      <c r="C127" s="5" t="inlineStr">
        <is>
          <t>Задвижки и затворы</t>
        </is>
      </c>
      <c r="D127" s="5" t="inlineStr">
        <is>
          <t>Задвижка 30ч6бр Ду 150 Ру 10</t>
        </is>
      </c>
      <c r="E127" s="6" t="n">
        <v>19</v>
      </c>
      <c r="F127" s="5" t="inlineStr">
        <is>
          <t>шт</t>
        </is>
      </c>
      <c r="G127" s="6" t="n">
        <v>150</v>
      </c>
      <c r="H127" s="6" t="n">
        <v>1</v>
      </c>
      <c r="I127" s="5" t="inlineStr">
        <is>
          <t xml:space="preserve">серый чугун СЧ </t>
        </is>
      </c>
      <c r="J127" s="5" t="inlineStr">
        <is>
          <t xml:space="preserve">Ручное </t>
        </is>
      </c>
      <c r="K127" s="7" t="n">
        <v>19436</v>
      </c>
      <c r="L127" s="15">
        <f>IF(K127="","",K127*(1-0.1))</f>
        <v/>
      </c>
      <c r="M127" s="6" t="n">
        <v>50</v>
      </c>
      <c r="N127" s="15">
        <f>IF(K127="","",L127*E127)</f>
        <v/>
      </c>
      <c r="O127" s="15">
        <f>IF(M127="","",M127*E127*55)</f>
        <v/>
      </c>
      <c r="P127" s="15">
        <f>IF(N127="","",N127+N(O127))</f>
        <v/>
      </c>
      <c r="Q127" s="15">
        <f>IF(P127="","",P127/E127)</f>
        <v/>
      </c>
      <c r="R127" s="5" t="inlineStr">
        <is>
          <t>БК-Арматура (bkarm.ru)</t>
        </is>
      </c>
      <c r="S127" s="5" t="inlineStr">
        <is>
          <t>розница · C: © 1994-2026, прайс-страница, цены с НДС</t>
        </is>
      </c>
      <c r="T127" s="5" t="inlineStr">
        <is>
          <t>exact · не проверено</t>
        </is>
      </c>
      <c r="U127" s="5" t="inlineStr">
        <is>
          <t>https://bkarm.ru/zadvizhki-chugunnye-prajs-list/</t>
        </is>
      </c>
    </row>
    <row r="128" ht="34" customHeight="1">
      <c r="A128" s="5" t="inlineStr">
        <is>
          <t>1.3</t>
        </is>
      </c>
      <c r="B128" s="6" t="n">
        <v>97</v>
      </c>
      <c r="C128" s="5" t="inlineStr">
        <is>
          <t>Задвижки и затворы</t>
        </is>
      </c>
      <c r="D128" s="5" t="inlineStr">
        <is>
          <t>Задвижка 30ч6бр Ду 200 Ру 10</t>
        </is>
      </c>
      <c r="E128" s="6" t="n">
        <v>13</v>
      </c>
      <c r="F128" s="5" t="inlineStr">
        <is>
          <t>шт</t>
        </is>
      </c>
      <c r="G128" s="6" t="n">
        <v>200</v>
      </c>
      <c r="H128" s="6" t="n">
        <v>1</v>
      </c>
      <c r="I128" s="5" t="inlineStr">
        <is>
          <t xml:space="preserve">серый чугун СЧ </t>
        </is>
      </c>
      <c r="J128" s="5" t="inlineStr">
        <is>
          <t xml:space="preserve">Ручное </t>
        </is>
      </c>
      <c r="K128" s="7" t="n">
        <v>38741</v>
      </c>
      <c r="L128" s="15">
        <f>IF(K128="","",K128*(1-0.1))</f>
        <v/>
      </c>
      <c r="M128" s="6" t="n">
        <v>85</v>
      </c>
      <c r="N128" s="15">
        <f>IF(K128="","",L128*E128)</f>
        <v/>
      </c>
      <c r="O128" s="15">
        <f>IF(M128="","",M128*E128*55)</f>
        <v/>
      </c>
      <c r="P128" s="15">
        <f>IF(N128="","",N128+N(O128))</f>
        <v/>
      </c>
      <c r="Q128" s="15">
        <f>IF(P128="","",P128/E128)</f>
        <v/>
      </c>
      <c r="R128" s="5" t="inlineStr">
        <is>
          <t>БК-Арматура (bkarm.ru)</t>
        </is>
      </c>
      <c r="S128" s="5" t="inlineStr">
        <is>
          <t>розница · C: © 1994-2026, прайс-страница, цены с НДС</t>
        </is>
      </c>
      <c r="T128" s="5" t="inlineStr">
        <is>
          <t>exact · не проверено</t>
        </is>
      </c>
      <c r="U128" s="5" t="inlineStr">
        <is>
          <t>https://bkarm.ru/zadvizhki-chugunnye-prajs-list/</t>
        </is>
      </c>
    </row>
    <row r="129" ht="34" customHeight="1">
      <c r="A129" s="5" t="inlineStr">
        <is>
          <t>1.3</t>
        </is>
      </c>
      <c r="B129" s="6" t="n">
        <v>98</v>
      </c>
      <c r="C129" s="5" t="inlineStr">
        <is>
          <t>Задвижки и затворы</t>
        </is>
      </c>
      <c r="D129" s="5" t="inlineStr">
        <is>
          <t>Задвижка 30ч6бр Ду 250 Ру 10</t>
        </is>
      </c>
      <c r="E129" s="6" t="n">
        <v>4</v>
      </c>
      <c r="F129" s="5" t="inlineStr">
        <is>
          <t>шт</t>
        </is>
      </c>
      <c r="G129" s="6" t="n">
        <v>250</v>
      </c>
      <c r="H129" s="6" t="n">
        <v>1</v>
      </c>
      <c r="I129" s="5" t="inlineStr">
        <is>
          <t>чугун</t>
        </is>
      </c>
      <c r="J129" s="5" t="inlineStr">
        <is>
          <t>ручной</t>
        </is>
      </c>
      <c r="K129" s="7" t="n">
        <v>53901</v>
      </c>
      <c r="L129" s="15">
        <f>IF(K129="","",K129*(1-0.1))</f>
        <v/>
      </c>
      <c r="M129" s="6" t="n">
        <v>130</v>
      </c>
      <c r="N129" s="15">
        <f>IF(K129="","",L129*E129)</f>
        <v/>
      </c>
      <c r="O129" s="15">
        <f>IF(M129="","",M129*E129*55)</f>
        <v/>
      </c>
      <c r="P129" s="15">
        <f>IF(N129="","",N129+N(O129))</f>
        <v/>
      </c>
      <c r="Q129" s="15">
        <f>IF(P129="","",P129/E129)</f>
        <v/>
      </c>
      <c r="R129" s="5" t="inlineStr">
        <is>
          <t>БК-Арматура (bkarm.ru)</t>
        </is>
      </c>
      <c r="S129" s="5" t="inlineStr">
        <is>
          <t>розница · C: © 1994-2026, прайс-страница, цены с НДС</t>
        </is>
      </c>
      <c r="T129" s="5" t="inlineStr">
        <is>
          <t>exact · не проверено</t>
        </is>
      </c>
      <c r="U129" s="5" t="inlineStr">
        <is>
          <t>https://bkarm.ru/zadvizhki-chugunnye-prajs-list/</t>
        </is>
      </c>
    </row>
    <row r="130" ht="34" customHeight="1">
      <c r="A130" s="5" t="inlineStr">
        <is>
          <t>1.3</t>
        </is>
      </c>
      <c r="B130" s="6" t="n">
        <v>99</v>
      </c>
      <c r="C130" s="5" t="inlineStr">
        <is>
          <t>Задвижки и затворы</t>
        </is>
      </c>
      <c r="D130" s="5" t="inlineStr">
        <is>
          <t>Задвижка 30ч6бр Ду 300 Ру 10</t>
        </is>
      </c>
      <c r="E130" s="6" t="n">
        <v>4</v>
      </c>
      <c r="F130" s="5" t="inlineStr">
        <is>
          <t>шт</t>
        </is>
      </c>
      <c r="G130" s="6" t="n">
        <v>300</v>
      </c>
      <c r="H130" s="6" t="n">
        <v>1</v>
      </c>
      <c r="I130" s="5" t="inlineStr">
        <is>
          <t>серый чугун СЧ 18 (СЧ 20)</t>
        </is>
      </c>
      <c r="J130" s="5" t="inlineStr">
        <is>
          <t>ручной (маховик)</t>
        </is>
      </c>
      <c r="K130" s="7" t="n">
        <v>80983</v>
      </c>
      <c r="L130" s="15">
        <f>IF(K130="","",K130*(1-0.1))</f>
        <v/>
      </c>
      <c r="M130" s="6" t="n">
        <v>180</v>
      </c>
      <c r="N130" s="15">
        <f>IF(K130="","",L130*E130)</f>
        <v/>
      </c>
      <c r="O130" s="15">
        <f>IF(M130="","",M130*E130*55)</f>
        <v/>
      </c>
      <c r="P130" s="15">
        <f>IF(N130="","",N130+N(O130))</f>
        <v/>
      </c>
      <c r="Q130" s="15">
        <f>IF(P130="","",P130/E130)</f>
        <v/>
      </c>
      <c r="R130" s="5" t="inlineStr">
        <is>
          <t>БК-Арматура (bkarm.ru)</t>
        </is>
      </c>
      <c r="S130" s="5" t="inlineStr">
        <is>
          <t>розница · C: © 1994-2026, прайс-страница, цены с НДС</t>
        </is>
      </c>
      <c r="T130" s="5" t="inlineStr">
        <is>
          <t>exact · не проверено</t>
        </is>
      </c>
      <c r="U130" s="5" t="inlineStr">
        <is>
          <t>https://bkarm.ru/zadvizhki-chugunnye-prajs-list/</t>
        </is>
      </c>
    </row>
    <row r="131" ht="34" customHeight="1">
      <c r="A131" s="5" t="inlineStr">
        <is>
          <t>1.3</t>
        </is>
      </c>
      <c r="B131" s="6" t="n">
        <v>100</v>
      </c>
      <c r="C131" s="5" t="inlineStr">
        <is>
          <t>Краны шаровые и прочее</t>
        </is>
      </c>
      <c r="D131" s="5" t="inlineStr">
        <is>
          <t>Кран 11б27п(м) Ду 15 Ру 16 3-х ходовой для манометров</t>
        </is>
      </c>
      <c r="E131" s="6" t="n">
        <v>4</v>
      </c>
      <c r="F131" s="5" t="inlineStr">
        <is>
          <t>шт</t>
        </is>
      </c>
      <c r="G131" s="6" t="n">
        <v>15</v>
      </c>
      <c r="H131" s="5" t="inlineStr">
        <is>
          <t>1.6</t>
        </is>
      </c>
      <c r="I131" s="5" t="inlineStr">
        <is>
          <t>латунь ЛЦ40Сд</t>
        </is>
      </c>
      <c r="J131" s="5" t="inlineStr">
        <is>
          <t>флажок/рычаг</t>
        </is>
      </c>
      <c r="K131" s="7" t="n">
        <v>420</v>
      </c>
      <c r="L131" s="15">
        <f>IF(K131="","",K131*(1-0.1))</f>
        <v/>
      </c>
      <c r="M131" s="6" t="n">
        <v>0.15</v>
      </c>
      <c r="N131" s="15">
        <f>IF(K131="","",L131*E131)</f>
        <v/>
      </c>
      <c r="O131" s="15">
        <f>IF(M131="","",M131*E131*55)</f>
        <v/>
      </c>
      <c r="P131" s="15">
        <f>IF(N131="","",N131+N(O131))</f>
        <v/>
      </c>
      <c r="Q131" s="15">
        <f>IF(P131="","",P131/E131)</f>
        <v/>
      </c>
      <c r="R131" s="5" t="inlineStr">
        <is>
          <t>рос. производители 11б18бк (напр. Р</t>
        </is>
      </c>
      <c r="S131" s="5" t="inlineStr">
        <is>
          <t>оценка · открытой рублёвой цены 2026 не найдено</t>
        </is>
      </c>
      <c r="T131" s="5" t="inlineStr">
        <is>
          <t>analog: кран трёхходовой 11б18бк латунь PN16 · не прове</t>
        </is>
      </c>
      <c r="U131" s="5" t="inlineStr"/>
    </row>
    <row r="132" ht="34" customHeight="1">
      <c r="A132" s="5" t="inlineStr">
        <is>
          <t>1.3</t>
        </is>
      </c>
      <c r="B132" s="6" t="n">
        <v>101</v>
      </c>
      <c r="C132" s="5" t="inlineStr">
        <is>
          <t>Краны шаровые и прочее</t>
        </is>
      </c>
      <c r="D132" s="5" t="inlineStr">
        <is>
          <t>Кран шаровой 11б27п1 Ду 15 Ру 16</t>
        </is>
      </c>
      <c r="E132" s="6" t="n">
        <v>110</v>
      </c>
      <c r="F132" s="5" t="inlineStr">
        <is>
          <t>шт</t>
        </is>
      </c>
      <c r="G132" s="6" t="n">
        <v>15</v>
      </c>
      <c r="H132" s="6" t="n">
        <v>1.6</v>
      </c>
      <c r="I132" s="5" t="inlineStr">
        <is>
          <t>латунь HPb58-2A</t>
        </is>
      </c>
      <c r="J132" s="5" t="inlineStr">
        <is>
          <t xml:space="preserve">Ручное </t>
        </is>
      </c>
      <c r="K132" s="7" t="n">
        <v>302</v>
      </c>
      <c r="L132" s="15">
        <f>IF(K132="","",K132*(1-0.1))</f>
        <v/>
      </c>
      <c r="M132" s="6" t="n">
        <v>0.15</v>
      </c>
      <c r="N132" s="15">
        <f>IF(K132="","",L132*E132)</f>
        <v/>
      </c>
      <c r="O132" s="15">
        <f>IF(M132="","",M132*E132*55)</f>
        <v/>
      </c>
      <c r="P132" s="15">
        <f>IF(N132="","",N132+N(O132))</f>
        <v/>
      </c>
      <c r="Q132" s="15">
        <f>IF(P132="","",P132/E132)</f>
        <v/>
      </c>
      <c r="R132" s="5" t="inlineStr">
        <is>
          <t>ДН.ру (dn.ru), дилер LD / пр-ль ООО</t>
        </is>
      </c>
      <c r="S132" s="5" t="inlineStr">
        <is>
          <t>розница · B: dn.ru ©2026, цена «на 2026-10/11», товар в</t>
        </is>
      </c>
      <c r="T132" s="5" t="inlineStr">
        <is>
          <t>exact · не проверено</t>
        </is>
      </c>
      <c r="U132" s="5" t="inlineStr">
        <is>
          <t>https://dn.ru/sharovyi-kran/teplosnabzhenie/rezbovye-kran/standartnyi/ld/pride-47-v-v-r/dn15</t>
        </is>
      </c>
    </row>
    <row r="133" ht="34" customHeight="1">
      <c r="A133" s="5" t="inlineStr">
        <is>
          <t>1.3</t>
        </is>
      </c>
      <c r="B133" s="6" t="n">
        <v>102</v>
      </c>
      <c r="C133" s="5" t="inlineStr">
        <is>
          <t>Краны шаровые и прочее</t>
        </is>
      </c>
      <c r="D133" s="5" t="inlineStr">
        <is>
          <t>Кран шаровой 11б27п1 Ду 20 Ру 16</t>
        </is>
      </c>
      <c r="E133" s="6" t="n">
        <v>57</v>
      </c>
      <c r="F133" s="5" t="inlineStr">
        <is>
          <t>шт</t>
        </is>
      </c>
      <c r="G133" s="6" t="n">
        <v>20</v>
      </c>
      <c r="H133" s="6" t="n">
        <v>1.6</v>
      </c>
      <c r="I133" s="5" t="inlineStr">
        <is>
          <t>латунь HPb58-2A</t>
        </is>
      </c>
      <c r="J133" s="5" t="inlineStr">
        <is>
          <t xml:space="preserve">Ручное </t>
        </is>
      </c>
      <c r="K133" s="7" t="n">
        <v>402</v>
      </c>
      <c r="L133" s="15">
        <f>IF(K133="","",K133*(1-0.1))</f>
        <v/>
      </c>
      <c r="M133" s="6" t="n">
        <v>0.24</v>
      </c>
      <c r="N133" s="15">
        <f>IF(K133="","",L133*E133)</f>
        <v/>
      </c>
      <c r="O133" s="15">
        <f>IF(M133="","",M133*E133*55)</f>
        <v/>
      </c>
      <c r="P133" s="15">
        <f>IF(N133="","",N133+N(O133))</f>
        <v/>
      </c>
      <c r="Q133" s="15">
        <f>IF(P133="","",P133/E133)</f>
        <v/>
      </c>
      <c r="R133" s="5" t="inlineStr">
        <is>
          <t>ДН.ру (dn.ru), дилер LD / пр-ль ООО</t>
        </is>
      </c>
      <c r="S133" s="5" t="inlineStr">
        <is>
          <t>розница · B: dn.ru ©2026, цена «на 2026-10/11», товар в</t>
        </is>
      </c>
      <c r="T133" s="5" t="inlineStr">
        <is>
          <t>exact · не проверено</t>
        </is>
      </c>
      <c r="U133" s="5" t="inlineStr">
        <is>
          <t>https://dn.ru/sharovyi-kran/teplosnabzhenie/rezbovye-kran/standartnyi/ld/pride-47-v-v-r/dn15</t>
        </is>
      </c>
    </row>
    <row r="134" ht="34" customHeight="1">
      <c r="A134" s="5" t="inlineStr">
        <is>
          <t>1.3</t>
        </is>
      </c>
      <c r="B134" s="6" t="n">
        <v>103</v>
      </c>
      <c r="C134" s="5" t="inlineStr">
        <is>
          <t>Краны шаровые и прочее</t>
        </is>
      </c>
      <c r="D134" s="5" t="inlineStr">
        <is>
          <t>Кран шаровой 11б27п1 Ду 25 Ру 16</t>
        </is>
      </c>
      <c r="E134" s="6" t="n">
        <v>29</v>
      </c>
      <c r="F134" s="5" t="inlineStr">
        <is>
          <t>шт</t>
        </is>
      </c>
      <c r="G134" s="6" t="n">
        <v>25</v>
      </c>
      <c r="H134" s="6" t="n">
        <v>1.6</v>
      </c>
      <c r="I134" s="5" t="inlineStr">
        <is>
          <t>латунь HPb58-2A</t>
        </is>
      </c>
      <c r="J134" s="5" t="inlineStr">
        <is>
          <t xml:space="preserve">Ручное </t>
        </is>
      </c>
      <c r="K134" s="7" t="n">
        <v>919</v>
      </c>
      <c r="L134" s="15">
        <f>IF(K134="","",K134*(1-0.1))</f>
        <v/>
      </c>
      <c r="M134" s="6" t="n">
        <v>0.4</v>
      </c>
      <c r="N134" s="15">
        <f>IF(K134="","",L134*E134)</f>
        <v/>
      </c>
      <c r="O134" s="15">
        <f>IF(M134="","",M134*E134*55)</f>
        <v/>
      </c>
      <c r="P134" s="15">
        <f>IF(N134="","",N134+N(O134))</f>
        <v/>
      </c>
      <c r="Q134" s="15">
        <f>IF(P134="","",P134/E134)</f>
        <v/>
      </c>
      <c r="R134" s="5" t="inlineStr">
        <is>
          <t>ДН.ру (dn.ru), дилер LD / пр-ль ООО</t>
        </is>
      </c>
      <c r="S134" s="5" t="inlineStr">
        <is>
          <t>розница · B: dn.ru ©2026, цена «на 2026-10/11», товар в</t>
        </is>
      </c>
      <c r="T134" s="5" t="inlineStr">
        <is>
          <t>exact · не проверено</t>
        </is>
      </c>
      <c r="U134" s="5" t="inlineStr">
        <is>
          <t>https://dn.ru/sharovyi-kran/teplosnabzhenie/rezbovye-kran/standartnyi/ld/pride-47-v-v-r/dn15</t>
        </is>
      </c>
    </row>
    <row r="135" ht="34" customHeight="1">
      <c r="A135" s="5" t="inlineStr">
        <is>
          <t>1.3</t>
        </is>
      </c>
      <c r="B135" s="6" t="n">
        <v>104</v>
      </c>
      <c r="C135" s="5" t="inlineStr">
        <is>
          <t>Краны шаровые и прочее</t>
        </is>
      </c>
      <c r="D135" s="5" t="inlineStr">
        <is>
          <t>Кран шаровой 11б27п1 Ду 32 Ру 16</t>
        </is>
      </c>
      <c r="E135" s="6" t="n">
        <v>47</v>
      </c>
      <c r="F135" s="5" t="inlineStr">
        <is>
          <t>шт</t>
        </is>
      </c>
      <c r="G135" s="6" t="n">
        <v>32</v>
      </c>
      <c r="H135" s="6" t="n">
        <v>1.6</v>
      </c>
      <c r="I135" s="5" t="inlineStr">
        <is>
          <t>латунь HPb58-2A</t>
        </is>
      </c>
      <c r="J135" s="5" t="inlineStr">
        <is>
          <t xml:space="preserve">Ручное </t>
        </is>
      </c>
      <c r="K135" s="7" t="n">
        <v>1495</v>
      </c>
      <c r="L135" s="15">
        <f>IF(K135="","",K135*(1-0.1))</f>
        <v/>
      </c>
      <c r="M135" s="6" t="n">
        <v>0.65</v>
      </c>
      <c r="N135" s="15">
        <f>IF(K135="","",L135*E135)</f>
        <v/>
      </c>
      <c r="O135" s="15">
        <f>IF(M135="","",M135*E135*55)</f>
        <v/>
      </c>
      <c r="P135" s="15">
        <f>IF(N135="","",N135+N(O135))</f>
        <v/>
      </c>
      <c r="Q135" s="15">
        <f>IF(P135="","",P135/E135)</f>
        <v/>
      </c>
      <c r="R135" s="5" t="inlineStr">
        <is>
          <t>ДН.ру (dn.ru), дилер LD / пр-ль ООО</t>
        </is>
      </c>
      <c r="S135" s="5" t="inlineStr">
        <is>
          <t>розница · B: dn.ru ©2026, цена «на 2026-10/11», товар в</t>
        </is>
      </c>
      <c r="T135" s="5" t="inlineStr">
        <is>
          <t>exact · не проверено</t>
        </is>
      </c>
      <c r="U135" s="5" t="inlineStr">
        <is>
          <t>https://dn.ru/sharovyi-kran/teplosnabzhenie/rezbovye-kran/standartnyi/ld/pride-47-v-v-r/dn15</t>
        </is>
      </c>
    </row>
    <row r="136" ht="34" customHeight="1">
      <c r="A136" s="5" t="inlineStr">
        <is>
          <t>1.3</t>
        </is>
      </c>
      <c r="B136" s="6" t="n">
        <v>105</v>
      </c>
      <c r="C136" s="5" t="inlineStr">
        <is>
          <t>Краны шаровые и прочее</t>
        </is>
      </c>
      <c r="D136" s="5" t="inlineStr">
        <is>
          <t>Кран шаровой 11б27п1 Ду 50 Ру 16</t>
        </is>
      </c>
      <c r="E136" s="6" t="n">
        <v>24</v>
      </c>
      <c r="F136" s="5" t="inlineStr">
        <is>
          <t>шт</t>
        </is>
      </c>
      <c r="G136" s="6" t="n">
        <v>50</v>
      </c>
      <c r="H136" s="6" t="n">
        <v>1.6</v>
      </c>
      <c r="I136" s="5" t="inlineStr">
        <is>
          <t>латунь HPb58-2A</t>
        </is>
      </c>
      <c r="J136" s="5" t="inlineStr">
        <is>
          <t xml:space="preserve">Ручное </t>
        </is>
      </c>
      <c r="K136" s="7" t="n">
        <v>3781</v>
      </c>
      <c r="L136" s="15">
        <f>IF(K136="","",K136*(1-0.1))</f>
        <v/>
      </c>
      <c r="M136" s="6" t="n">
        <v>1.5</v>
      </c>
      <c r="N136" s="15">
        <f>IF(K136="","",L136*E136)</f>
        <v/>
      </c>
      <c r="O136" s="15">
        <f>IF(M136="","",M136*E136*55)</f>
        <v/>
      </c>
      <c r="P136" s="15">
        <f>IF(N136="","",N136+N(O136))</f>
        <v/>
      </c>
      <c r="Q136" s="15">
        <f>IF(P136="","",P136/E136)</f>
        <v/>
      </c>
      <c r="R136" s="5" t="inlineStr">
        <is>
          <t>ДН.ру (dn.ru), дилер LD / пр-ль ООО</t>
        </is>
      </c>
      <c r="S136" s="5" t="inlineStr">
        <is>
          <t>розница · B: dn.ru ©2026, цена «на 2026-10/11», товар в</t>
        </is>
      </c>
      <c r="T136" s="5" t="inlineStr">
        <is>
          <t>exact · не проверено</t>
        </is>
      </c>
      <c r="U136" s="5" t="inlineStr">
        <is>
          <t>https://dn.ru/sharovyi-kran/teplosnabzhenie/rezbovye-kran/standartnyi/ld/pride-47-v-v-r/dn15</t>
        </is>
      </c>
    </row>
    <row r="137" ht="34" customHeight="1">
      <c r="A137" s="5" t="inlineStr">
        <is>
          <t>1.3</t>
        </is>
      </c>
      <c r="B137" s="6" t="n">
        <v>106</v>
      </c>
      <c r="C137" s="5" t="inlineStr">
        <is>
          <t>Краны шаровые и прочее</t>
        </is>
      </c>
      <c r="D137" s="5" t="inlineStr">
        <is>
          <t>Кран шаровой фланцевый 11с22п Ду 50 Ру 16</t>
        </is>
      </c>
      <c r="E137" s="6" t="n">
        <v>7</v>
      </c>
      <c r="F137" s="5" t="inlineStr">
        <is>
          <t>шт</t>
        </is>
      </c>
      <c r="G137" s="6" t="n">
        <v>50</v>
      </c>
      <c r="H137" s="6" t="n">
        <v>1.6</v>
      </c>
      <c r="I137" s="5" t="inlineStr">
        <is>
          <t>сталь 20</t>
        </is>
      </c>
      <c r="J137" s="5" t="inlineStr">
        <is>
          <t>ручной (рукоятка)</t>
        </is>
      </c>
      <c r="K137" s="7" t="n">
        <v>3648</v>
      </c>
      <c r="L137" s="15">
        <f>IF(K137="","",K137*(1-0.1))</f>
        <v/>
      </c>
      <c r="M137" s="6" t="n">
        <v>6.5</v>
      </c>
      <c r="N137" s="15">
        <f>IF(K137="","",L137*E137)</f>
        <v/>
      </c>
      <c r="O137" s="15">
        <f>IF(M137="","",M137*E137*55)</f>
        <v/>
      </c>
      <c r="P137" s="15">
        <f>IF(N137="","",N137+N(O137))</f>
        <v/>
      </c>
      <c r="Q137" s="15">
        <f>IF(P137="","",P137/E137)</f>
        <v/>
      </c>
      <c r="R137" s="5" t="inlineStr">
        <is>
          <t>ДН.ру (dn.ru), дилер LD / пр-ль ООО</t>
        </is>
      </c>
      <c r="S137" s="5" t="inlineStr">
        <is>
          <t>розница · B: dn.ru ©2026, цена «на 2026-10/11», товар в</t>
        </is>
      </c>
      <c r="T137" s="5" t="inlineStr">
        <is>
          <t>analog: LD КШ.Ц.Ф Н/П фланцевый ст.20 · не проверено</t>
        </is>
      </c>
      <c r="U137" s="5" t="inlineStr">
        <is>
          <t>https://dn.ru/sharovyi-kran/teplosnabzhenie/flantcevyi-kran/standartnyi/ld/st20/dn100</t>
        </is>
      </c>
    </row>
    <row r="138" ht="34" customHeight="1">
      <c r="A138" s="5" t="inlineStr">
        <is>
          <t>1.3</t>
        </is>
      </c>
      <c r="B138" s="6" t="n">
        <v>107</v>
      </c>
      <c r="C138" s="5" t="inlineStr">
        <is>
          <t>Краны шаровые и прочее</t>
        </is>
      </c>
      <c r="D138" s="5" t="inlineStr">
        <is>
          <t>Кран шаровой фланцевый 11с22п Ду 80 Ру 16</t>
        </is>
      </c>
      <c r="E138" s="6" t="n">
        <v>8</v>
      </c>
      <c r="F138" s="5" t="inlineStr">
        <is>
          <t>шт</t>
        </is>
      </c>
      <c r="G138" s="6" t="n">
        <v>80</v>
      </c>
      <c r="H138" s="6" t="n">
        <v>1.6</v>
      </c>
      <c r="I138" s="5" t="inlineStr">
        <is>
          <t>сталь 20</t>
        </is>
      </c>
      <c r="J138" s="5" t="inlineStr">
        <is>
          <t>ручной (рукоятка)</t>
        </is>
      </c>
      <c r="K138" s="7" t="n">
        <v>6789</v>
      </c>
      <c r="L138" s="15">
        <f>IF(K138="","",K138*(1-0.1))</f>
        <v/>
      </c>
      <c r="M138" s="6" t="n">
        <v>11</v>
      </c>
      <c r="N138" s="15">
        <f>IF(K138="","",L138*E138)</f>
        <v/>
      </c>
      <c r="O138" s="15">
        <f>IF(M138="","",M138*E138*55)</f>
        <v/>
      </c>
      <c r="P138" s="15">
        <f>IF(N138="","",N138+N(O138))</f>
        <v/>
      </c>
      <c r="Q138" s="15">
        <f>IF(P138="","",P138/E138)</f>
        <v/>
      </c>
      <c r="R138" s="5" t="inlineStr">
        <is>
          <t>ДН.ру (dn.ru), дилер LD / пр-ль ООО</t>
        </is>
      </c>
      <c r="S138" s="5" t="inlineStr">
        <is>
          <t>розница · B: dn.ru ©2026, цена «на 2026-10/11», товар в</t>
        </is>
      </c>
      <c r="T138" s="5" t="inlineStr">
        <is>
          <t>analog: LD КШ.Ц.Ф Н/П фланцевый ст.20 · не проверено</t>
        </is>
      </c>
      <c r="U138" s="5" t="inlineStr">
        <is>
          <t>https://dn.ru/sharovyi-kran/teplosnabzhenie/flantcevyi-kran/standartnyi/ld/st20/dn100</t>
        </is>
      </c>
    </row>
    <row r="139" ht="34" customHeight="1">
      <c r="A139" s="5" t="inlineStr">
        <is>
          <t>1.3</t>
        </is>
      </c>
      <c r="B139" s="6" t="n">
        <v>108</v>
      </c>
      <c r="C139" s="5" t="inlineStr">
        <is>
          <t>Краны шаровые и прочее</t>
        </is>
      </c>
      <c r="D139" s="5" t="inlineStr">
        <is>
          <t>Кран шаровой фланцевый 11с22п Ду 100 Ру 16</t>
        </is>
      </c>
      <c r="E139" s="6" t="n">
        <v>8</v>
      </c>
      <c r="F139" s="5" t="inlineStr">
        <is>
          <t>шт</t>
        </is>
      </c>
      <c r="G139" s="6" t="n">
        <v>100</v>
      </c>
      <c r="H139" s="6" t="n">
        <v>1.6</v>
      </c>
      <c r="I139" s="5" t="inlineStr">
        <is>
          <t>сталь 20</t>
        </is>
      </c>
      <c r="J139" s="5" t="inlineStr">
        <is>
          <t>ручной (рукоятка)</t>
        </is>
      </c>
      <c r="K139" s="7" t="n">
        <v>7989</v>
      </c>
      <c r="L139" s="15">
        <f>IF(K139="","",K139*(1-0.1))</f>
        <v/>
      </c>
      <c r="M139" s="6" t="n">
        <v>12.9</v>
      </c>
      <c r="N139" s="15">
        <f>IF(K139="","",L139*E139)</f>
        <v/>
      </c>
      <c r="O139" s="15">
        <f>IF(M139="","",M139*E139*55)</f>
        <v/>
      </c>
      <c r="P139" s="15">
        <f>IF(N139="","",N139+N(O139))</f>
        <v/>
      </c>
      <c r="Q139" s="15">
        <f>IF(P139="","",P139/E139)</f>
        <v/>
      </c>
      <c r="R139" s="5" t="inlineStr">
        <is>
          <t>ДН.ру (dn.ru), дилер LD / пр-ль ООО</t>
        </is>
      </c>
      <c r="S139" s="5" t="inlineStr">
        <is>
          <t>розница · B: dn.ru ©2026, цена «на 2026-10/11», товар в</t>
        </is>
      </c>
      <c r="T139" s="5" t="inlineStr">
        <is>
          <t>analog: LD КШ.Ц.Ф Н/П фланцевый ст.20 · не проверено</t>
        </is>
      </c>
      <c r="U139" s="5" t="inlineStr">
        <is>
          <t>https://dn.ru/sharovyi-kran/teplosnabzhenie/flantcevyi-kran/standartnyi/ld/st20/dn100</t>
        </is>
      </c>
    </row>
    <row r="140" ht="34" customHeight="1">
      <c r="A140" s="5" t="inlineStr">
        <is>
          <t>1.3</t>
        </is>
      </c>
      <c r="B140" s="6" t="n">
        <v>109</v>
      </c>
      <c r="C140" s="5" t="inlineStr">
        <is>
          <t>Краны шаровые и прочее</t>
        </is>
      </c>
      <c r="D140" s="5" t="inlineStr">
        <is>
          <t>Кран шаровой 11С67П Ду 100 Ру 16</t>
        </is>
      </c>
      <c r="E140" s="6" t="n">
        <v>2</v>
      </c>
      <c r="F140" s="5" t="inlineStr">
        <is>
          <t>шт</t>
        </is>
      </c>
      <c r="G140" s="6" t="n">
        <v>100</v>
      </c>
      <c r="H140" s="6" t="n">
        <v>1.6</v>
      </c>
      <c r="I140" s="5" t="inlineStr">
        <is>
          <t>Ст20</t>
        </is>
      </c>
      <c r="J140" s="5" t="inlineStr">
        <is>
          <t xml:space="preserve">Ручное </t>
        </is>
      </c>
      <c r="K140" s="7" t="n">
        <v>7989</v>
      </c>
      <c r="L140" s="15">
        <f>IF(K140="","",K140*(1-0.1))</f>
        <v/>
      </c>
      <c r="M140" s="6" t="n">
        <v>12.9</v>
      </c>
      <c r="N140" s="15">
        <f>IF(K140="","",L140*E140)</f>
        <v/>
      </c>
      <c r="O140" s="15">
        <f>IF(M140="","",M140*E140*55)</f>
        <v/>
      </c>
      <c r="P140" s="15">
        <f>IF(N140="","",N140+N(O140))</f>
        <v/>
      </c>
      <c r="Q140" s="15">
        <f>IF(P140="","",P140/E140)</f>
        <v/>
      </c>
      <c r="R140" s="5" t="inlineStr">
        <is>
          <t>ДН.ру (dn.ru), дилер LD / пр-ль ООО</t>
        </is>
      </c>
      <c r="S140" s="5" t="inlineStr">
        <is>
          <t>розница · B: dn.ru ©2026, цена «на 2026-10/11», товар в</t>
        </is>
      </c>
      <c r="T140" s="5" t="inlineStr">
        <is>
          <t>analog: LD КШ.Ц.Ф Н/П фланцевый ст.20 · не проверено</t>
        </is>
      </c>
      <c r="U140" s="5" t="inlineStr">
        <is>
          <t>https://dn.ru/sharovyi-kran/teplosnabzhenie/flantcevyi-kran/standartnyi/ld/st20/dn100</t>
        </is>
      </c>
    </row>
    <row r="141" ht="34" customHeight="1">
      <c r="A141" s="5" t="inlineStr">
        <is>
          <t>1.3</t>
        </is>
      </c>
      <c r="B141" s="6" t="n">
        <v>110</v>
      </c>
      <c r="C141" s="5" t="inlineStr">
        <is>
          <t>Краны шаровые и прочее</t>
        </is>
      </c>
      <c r="D141" s="5" t="inlineStr">
        <is>
          <t>Кран шаровой 11С67П Ду 150 Ру 16</t>
        </is>
      </c>
      <c r="E141" s="6" t="n">
        <v>2</v>
      </c>
      <c r="F141" s="5" t="inlineStr">
        <is>
          <t>шт</t>
        </is>
      </c>
      <c r="G141" s="6" t="n">
        <v>150</v>
      </c>
      <c r="H141" s="6" t="n">
        <v>1.6</v>
      </c>
      <c r="I141" s="5" t="inlineStr">
        <is>
          <t>Ст20</t>
        </is>
      </c>
      <c r="J141" s="5" t="inlineStr">
        <is>
          <t xml:space="preserve">Ручное </t>
        </is>
      </c>
      <c r="K141" s="7" t="n">
        <v>22652</v>
      </c>
      <c r="L141" s="15">
        <f>IF(K141="","",K141*(1-0.1))</f>
        <v/>
      </c>
      <c r="M141" s="6" t="n">
        <v>33</v>
      </c>
      <c r="N141" s="15">
        <f>IF(K141="","",L141*E141)</f>
        <v/>
      </c>
      <c r="O141" s="15">
        <f>IF(M141="","",M141*E141*55)</f>
        <v/>
      </c>
      <c r="P141" s="15">
        <f>IF(N141="","",N141+N(O141))</f>
        <v/>
      </c>
      <c r="Q141" s="15">
        <f>IF(P141="","",P141/E141)</f>
        <v/>
      </c>
      <c r="R141" s="5" t="inlineStr">
        <is>
          <t>ДН.ру (dn.ru), дилер LD / пр-ль ООО</t>
        </is>
      </c>
      <c r="S141" s="5" t="inlineStr">
        <is>
          <t>розница · B: dn.ru ©2026, цена «на 2026-10/11», товар в</t>
        </is>
      </c>
      <c r="T141" s="5" t="inlineStr">
        <is>
          <t>analog: LD КШ.Ц.Ф Н/П фланцевый ст.20 · не проверено</t>
        </is>
      </c>
      <c r="U141" s="5" t="inlineStr">
        <is>
          <t>https://dn.ru/sharovyi-kran/teplosnabzhenie/flantcevyi-kran/standartnyi/ld/st20/dn100</t>
        </is>
      </c>
    </row>
    <row r="142" ht="34" customHeight="1">
      <c r="A142" s="5" t="inlineStr">
        <is>
          <t>1.3</t>
        </is>
      </c>
      <c r="B142" s="6" t="n">
        <v>111</v>
      </c>
      <c r="C142" s="5" t="inlineStr">
        <is>
          <t>Краны шаровые и прочее</t>
        </is>
      </c>
      <c r="D142" s="5" t="inlineStr">
        <is>
          <t>Кран шаровой 11С67П Ду 200 Ру 16</t>
        </is>
      </c>
      <c r="E142" s="6" t="n">
        <v>2</v>
      </c>
      <c r="F142" s="5" t="inlineStr">
        <is>
          <t>шт</t>
        </is>
      </c>
      <c r="G142" s="6" t="n">
        <v>200</v>
      </c>
      <c r="H142" s="6" t="n">
        <v>1.6</v>
      </c>
      <c r="I142" s="5" t="inlineStr">
        <is>
          <t>Ст20</t>
        </is>
      </c>
      <c r="J142" s="5" t="inlineStr">
        <is>
          <t xml:space="preserve">Ручное </t>
        </is>
      </c>
      <c r="K142" s="7" t="n">
        <v>42510</v>
      </c>
      <c r="L142" s="15">
        <f>IF(K142="","",K142*(1-0.1))</f>
        <v/>
      </c>
      <c r="M142" s="6" t="n">
        <v>58</v>
      </c>
      <c r="N142" s="15">
        <f>IF(K142="","",L142*E142)</f>
        <v/>
      </c>
      <c r="O142" s="15">
        <f>IF(M142="","",M142*E142*55)</f>
        <v/>
      </c>
      <c r="P142" s="15">
        <f>IF(N142="","",N142+N(O142))</f>
        <v/>
      </c>
      <c r="Q142" s="15">
        <f>IF(P142="","",P142/E142)</f>
        <v/>
      </c>
      <c r="R142" s="5" t="inlineStr">
        <is>
          <t>ДН.ру (dn.ru), дилер LD / пр-ль ООО</t>
        </is>
      </c>
      <c r="S142" s="5" t="inlineStr">
        <is>
          <t>розница · B: dn.ru ©2026, цена «на 2026-10/11», товар в</t>
        </is>
      </c>
      <c r="T142" s="5" t="inlineStr">
        <is>
          <t>analog: LD КШ.Ц.Ф Н/П фланцевый ст.20 · не проверено</t>
        </is>
      </c>
      <c r="U142" s="5" t="inlineStr">
        <is>
          <t>https://dn.ru/sharovyi-kran/teplosnabzhenie/flantcevyi-kran/standartnyi/ld/st20/dn100</t>
        </is>
      </c>
    </row>
    <row r="143" ht="34" customHeight="1">
      <c r="A143" s="5" t="inlineStr">
        <is>
          <t>1.3</t>
        </is>
      </c>
      <c r="B143" s="6" t="n">
        <v>112</v>
      </c>
      <c r="C143" s="5" t="inlineStr">
        <is>
          <t>Краны шаровые и прочее</t>
        </is>
      </c>
      <c r="D143" s="5" t="inlineStr">
        <is>
          <t>Кран шаровой 11С67П Ду 80 Ру 16</t>
        </is>
      </c>
      <c r="E143" s="6" t="n">
        <v>2</v>
      </c>
      <c r="F143" s="5" t="inlineStr">
        <is>
          <t>шт</t>
        </is>
      </c>
      <c r="G143" s="6" t="n">
        <v>80</v>
      </c>
      <c r="H143" s="6" t="n">
        <v>1.6</v>
      </c>
      <c r="I143" s="5" t="inlineStr">
        <is>
          <t>Ст20</t>
        </is>
      </c>
      <c r="J143" s="5" t="inlineStr">
        <is>
          <t xml:space="preserve">Ручное </t>
        </is>
      </c>
      <c r="K143" s="7" t="n">
        <v>6789</v>
      </c>
      <c r="L143" s="15">
        <f>IF(K143="","",K143*(1-0.1))</f>
        <v/>
      </c>
      <c r="M143" s="6" t="n">
        <v>11</v>
      </c>
      <c r="N143" s="15">
        <f>IF(K143="","",L143*E143)</f>
        <v/>
      </c>
      <c r="O143" s="15">
        <f>IF(M143="","",M143*E143*55)</f>
        <v/>
      </c>
      <c r="P143" s="15">
        <f>IF(N143="","",N143+N(O143))</f>
        <v/>
      </c>
      <c r="Q143" s="15">
        <f>IF(P143="","",P143/E143)</f>
        <v/>
      </c>
      <c r="R143" s="5" t="inlineStr">
        <is>
          <t>ДН.ру (dn.ru), дилер LD / пр-ль ООО</t>
        </is>
      </c>
      <c r="S143" s="5" t="inlineStr">
        <is>
          <t>розница · B: dn.ru ©2026, цена «на 2026-10/11», товар в</t>
        </is>
      </c>
      <c r="T143" s="5" t="inlineStr">
        <is>
          <t>analog: LD КШ.Ц.Ф Н/П фланцевый ст.20 · не проверено</t>
        </is>
      </c>
      <c r="U143" s="5" t="inlineStr">
        <is>
          <t>https://dn.ru/sharovyi-kran/teplosnabzhenie/flantcevyi-kran/standartnyi/ld/st20/dn100</t>
        </is>
      </c>
    </row>
    <row r="144" ht="34" customHeight="1">
      <c r="A144" s="5" t="inlineStr">
        <is>
          <t>1.3</t>
        </is>
      </c>
      <c r="B144" s="6" t="n">
        <v>113</v>
      </c>
      <c r="C144" s="5" t="inlineStr">
        <is>
          <t>Краны шаровые и прочее</t>
        </is>
      </c>
      <c r="D144" s="5" t="inlineStr">
        <is>
          <t>Кран шаровой 11с67п Ду 15 Ру 25 цельносварной под приварку</t>
        </is>
      </c>
      <c r="E144" s="6" t="n">
        <v>62</v>
      </c>
      <c r="F144" s="5" t="inlineStr">
        <is>
          <t>шт</t>
        </is>
      </c>
      <c r="G144" s="6" t="n">
        <v>15</v>
      </c>
      <c r="H144" s="6" t="n">
        <v>2.5</v>
      </c>
      <c r="I144" s="5" t="inlineStr">
        <is>
          <t>сталь 20</t>
        </is>
      </c>
      <c r="J144" s="5" t="inlineStr">
        <is>
          <t xml:space="preserve">Ручное </t>
        </is>
      </c>
      <c r="K144" s="7" t="n">
        <v>1505</v>
      </c>
      <c r="L144" s="15">
        <f>IF(K144="","",K144*(1-0.1))</f>
        <v/>
      </c>
      <c r="M144" s="6" t="n">
        <v>0.6</v>
      </c>
      <c r="N144" s="15">
        <f>IF(K144="","",L144*E144)</f>
        <v/>
      </c>
      <c r="O144" s="15">
        <f>IF(M144="","",M144*E144*55)</f>
        <v/>
      </c>
      <c r="P144" s="15">
        <f>IF(N144="","",N144+N(O144))</f>
        <v/>
      </c>
      <c r="Q144" s="15">
        <f>IF(P144="","",P144/E144)</f>
        <v/>
      </c>
      <c r="R144" s="5" t="inlineStr">
        <is>
          <t>ДН.ру (dn.ru), дилер LD / пр-ль ООО</t>
        </is>
      </c>
      <c r="S144" s="5" t="inlineStr">
        <is>
          <t>розница · B: dn.ru ©2026, цена «на 2026-10/11», товар в</t>
        </is>
      </c>
      <c r="T144" s="5" t="inlineStr">
        <is>
          <t>exact · не проверено</t>
        </is>
      </c>
      <c r="U144" s="5" t="inlineStr">
        <is>
          <t>https://dn.ru/sharovyi-kran/teplosnabzhenie/kran-pod-privarku/standartnyi/ld/st20/dn50</t>
        </is>
      </c>
    </row>
    <row r="145" ht="34" customHeight="1">
      <c r="A145" s="5" t="inlineStr">
        <is>
          <t>1.3</t>
        </is>
      </c>
      <c r="B145" s="6" t="n">
        <v>114</v>
      </c>
      <c r="C145" s="5" t="inlineStr">
        <is>
          <t>Краны шаровые и прочее</t>
        </is>
      </c>
      <c r="D145" s="5" t="inlineStr">
        <is>
          <t>Кран шаровой 11с67п Ду 25 Ру 25 цельносварной под приварку</t>
        </is>
      </c>
      <c r="E145" s="6" t="n">
        <v>48</v>
      </c>
      <c r="F145" s="5" t="inlineStr">
        <is>
          <t>шт</t>
        </is>
      </c>
      <c r="G145" s="6" t="n">
        <v>25</v>
      </c>
      <c r="H145" s="6" t="n">
        <v>2.5</v>
      </c>
      <c r="I145" s="5" t="inlineStr">
        <is>
          <t>сталь 20</t>
        </is>
      </c>
      <c r="J145" s="5" t="inlineStr">
        <is>
          <t>Ручной</t>
        </is>
      </c>
      <c r="K145" s="7" t="n">
        <v>1645</v>
      </c>
      <c r="L145" s="15">
        <f>IF(K145="","",K145*(1-0.1))</f>
        <v/>
      </c>
      <c r="M145" s="6" t="n">
        <v>1</v>
      </c>
      <c r="N145" s="15">
        <f>IF(K145="","",L145*E145)</f>
        <v/>
      </c>
      <c r="O145" s="15">
        <f>IF(M145="","",M145*E145*55)</f>
        <v/>
      </c>
      <c r="P145" s="15">
        <f>IF(N145="","",N145+N(O145))</f>
        <v/>
      </c>
      <c r="Q145" s="15">
        <f>IF(P145="","",P145/E145)</f>
        <v/>
      </c>
      <c r="R145" s="5" t="inlineStr">
        <is>
          <t>ДН.ру (dn.ru), дилер LD / пр-ль ООО</t>
        </is>
      </c>
      <c r="S145" s="5" t="inlineStr">
        <is>
          <t>розница · B: dn.ru ©2026, цена «на 2026-10/11», товар в</t>
        </is>
      </c>
      <c r="T145" s="5" t="inlineStr">
        <is>
          <t>exact · не проверено</t>
        </is>
      </c>
      <c r="U145" s="5" t="inlineStr">
        <is>
          <t>https://dn.ru/sharovyi-kran/teplosnabzhenie/kran-pod-privarku/standartnyi/ld/st20/dn50</t>
        </is>
      </c>
    </row>
    <row r="146" ht="34" customHeight="1">
      <c r="A146" s="5" t="inlineStr">
        <is>
          <t>1.3</t>
        </is>
      </c>
      <c r="B146" s="6" t="n">
        <v>115</v>
      </c>
      <c r="C146" s="5" t="inlineStr">
        <is>
          <t>Краны шаровые и прочее</t>
        </is>
      </c>
      <c r="D146" s="5" t="inlineStr">
        <is>
          <t>Кран шаровой 11с67п Ду 32 Ру 25 цельносварной под приварку</t>
        </is>
      </c>
      <c r="E146" s="6" t="n">
        <v>40</v>
      </c>
      <c r="F146" s="5" t="inlineStr">
        <is>
          <t>шт</t>
        </is>
      </c>
      <c r="G146" s="6" t="n">
        <v>32</v>
      </c>
      <c r="H146" s="6" t="n">
        <v>2.5</v>
      </c>
      <c r="I146" s="5" t="inlineStr">
        <is>
          <t>сталь 20</t>
        </is>
      </c>
      <c r="J146" s="5" t="inlineStr">
        <is>
          <t>Ручной</t>
        </is>
      </c>
      <c r="K146" s="7" t="n">
        <v>1713</v>
      </c>
      <c r="L146" s="15">
        <f>IF(K146="","",K146*(1-0.1))</f>
        <v/>
      </c>
      <c r="M146" s="6" t="n">
        <v>1.4</v>
      </c>
      <c r="N146" s="15">
        <f>IF(K146="","",L146*E146)</f>
        <v/>
      </c>
      <c r="O146" s="15">
        <f>IF(M146="","",M146*E146*55)</f>
        <v/>
      </c>
      <c r="P146" s="15">
        <f>IF(N146="","",N146+N(O146))</f>
        <v/>
      </c>
      <c r="Q146" s="15">
        <f>IF(P146="","",P146/E146)</f>
        <v/>
      </c>
      <c r="R146" s="5" t="inlineStr">
        <is>
          <t>ДН.ру (dn.ru), дилер LD / пр-ль ООО</t>
        </is>
      </c>
      <c r="S146" s="5" t="inlineStr">
        <is>
          <t>розница · B: dn.ru ©2026, цена «на 2026-10/11», товар в</t>
        </is>
      </c>
      <c r="T146" s="5" t="inlineStr">
        <is>
          <t>exact · не проверено</t>
        </is>
      </c>
      <c r="U146" s="5" t="inlineStr">
        <is>
          <t>https://dn.ru/sharovyi-kran/teplosnabzhenie/kran-pod-privarku/standartnyi/ld/st20/dn50</t>
        </is>
      </c>
    </row>
    <row r="147" ht="34" customHeight="1">
      <c r="A147" s="5" t="inlineStr">
        <is>
          <t>1.3</t>
        </is>
      </c>
      <c r="B147" s="6" t="n">
        <v>116</v>
      </c>
      <c r="C147" s="5" t="inlineStr">
        <is>
          <t>Краны шаровые и прочее</t>
        </is>
      </c>
      <c r="D147" s="5" t="inlineStr">
        <is>
          <t>Кран шаровой 11с67п Ду 40 Ру 25 цельносварной под приварку</t>
        </is>
      </c>
      <c r="E147" s="6" t="n">
        <v>38</v>
      </c>
      <c r="F147" s="5" t="inlineStr">
        <is>
          <t>шт</t>
        </is>
      </c>
      <c r="G147" s="6" t="n">
        <v>40</v>
      </c>
      <c r="H147" s="6" t="n">
        <v>2.5</v>
      </c>
      <c r="I147" s="5" t="inlineStr">
        <is>
          <t>сталь 20</t>
        </is>
      </c>
      <c r="J147" s="5" t="inlineStr">
        <is>
          <t xml:space="preserve">Ручное </t>
        </is>
      </c>
      <c r="K147" s="7" t="n">
        <v>2219</v>
      </c>
      <c r="L147" s="15">
        <f>IF(K147="","",K147*(1-0.1))</f>
        <v/>
      </c>
      <c r="M147" s="6" t="n">
        <v>2</v>
      </c>
      <c r="N147" s="15">
        <f>IF(K147="","",L147*E147)</f>
        <v/>
      </c>
      <c r="O147" s="15">
        <f>IF(M147="","",M147*E147*55)</f>
        <v/>
      </c>
      <c r="P147" s="15">
        <f>IF(N147="","",N147+N(O147))</f>
        <v/>
      </c>
      <c r="Q147" s="15">
        <f>IF(P147="","",P147/E147)</f>
        <v/>
      </c>
      <c r="R147" s="5" t="inlineStr">
        <is>
          <t>ДН.ру (dn.ru), дилер LD / пр-ль ООО</t>
        </is>
      </c>
      <c r="S147" s="5" t="inlineStr">
        <is>
          <t>розница · B: dn.ru ©2026, цена «на 2026-10/11», товар в</t>
        </is>
      </c>
      <c r="T147" s="5" t="inlineStr">
        <is>
          <t>exact · не проверено</t>
        </is>
      </c>
      <c r="U147" s="5" t="inlineStr">
        <is>
          <t>https://dn.ru/sharovyi-kran/teplosnabzhenie/kran-pod-privarku/standartnyi/ld/st20/dn50</t>
        </is>
      </c>
    </row>
    <row r="148" ht="34" customHeight="1">
      <c r="A148" s="5" t="inlineStr">
        <is>
          <t>1.3</t>
        </is>
      </c>
      <c r="B148" s="6" t="n">
        <v>117</v>
      </c>
      <c r="C148" s="5" t="inlineStr">
        <is>
          <t>Краны шаровые и прочее</t>
        </is>
      </c>
      <c r="D148" s="5" t="inlineStr">
        <is>
          <t>Кран шаровой 11с67п Ду 50 Ру 25 цельносварной под приварку</t>
        </is>
      </c>
      <c r="E148" s="6" t="n">
        <v>44</v>
      </c>
      <c r="F148" s="5" t="inlineStr">
        <is>
          <t>шт</t>
        </is>
      </c>
      <c r="G148" s="6" t="n">
        <v>50</v>
      </c>
      <c r="H148" s="6" t="n">
        <v>2.5</v>
      </c>
      <c r="I148" s="5" t="inlineStr">
        <is>
          <t>сталь 20</t>
        </is>
      </c>
      <c r="J148" s="5" t="inlineStr">
        <is>
          <t>ручное</t>
        </is>
      </c>
      <c r="K148" s="7" t="n">
        <v>2420</v>
      </c>
      <c r="L148" s="15">
        <f>IF(K148="","",K148*(1-0.1))</f>
        <v/>
      </c>
      <c r="M148" s="6" t="n">
        <v>2.7</v>
      </c>
      <c r="N148" s="15">
        <f>IF(K148="","",L148*E148)</f>
        <v/>
      </c>
      <c r="O148" s="15">
        <f>IF(M148="","",M148*E148*55)</f>
        <v/>
      </c>
      <c r="P148" s="15">
        <f>IF(N148="","",N148+N(O148))</f>
        <v/>
      </c>
      <c r="Q148" s="15">
        <f>IF(P148="","",P148/E148)</f>
        <v/>
      </c>
      <c r="R148" s="5" t="inlineStr">
        <is>
          <t>ДН.ру (dn.ru), дилер LD / пр-ль ООО</t>
        </is>
      </c>
      <c r="S148" s="5" t="inlineStr">
        <is>
          <t>розница · B: dn.ru ©2026, цена «на 2026-10/11», товар в</t>
        </is>
      </c>
      <c r="T148" s="5" t="inlineStr">
        <is>
          <t>exact · не проверено</t>
        </is>
      </c>
      <c r="U148" s="5" t="inlineStr">
        <is>
          <t>https://dn.ru/sharovyi-kran/teplosnabzhenie/kran-pod-privarku/standartnyi/ld/st20/dn50</t>
        </is>
      </c>
    </row>
    <row r="149" ht="34" customHeight="1">
      <c r="A149" s="5" t="inlineStr">
        <is>
          <t>1.3</t>
        </is>
      </c>
      <c r="B149" s="6" t="n">
        <v>118</v>
      </c>
      <c r="C149" s="5" t="inlineStr">
        <is>
          <t>Краны шаровые и прочее</t>
        </is>
      </c>
      <c r="D149" s="5" t="inlineStr">
        <is>
          <t>Кран шаровой 11с67п Ду 80 Ру 25 цельносварной под приварку</t>
        </is>
      </c>
      <c r="E149" s="6" t="n">
        <v>26</v>
      </c>
      <c r="F149" s="5" t="inlineStr">
        <is>
          <t>шт</t>
        </is>
      </c>
      <c r="G149" s="6" t="n">
        <v>80</v>
      </c>
      <c r="H149" s="6" t="n">
        <v>2.5</v>
      </c>
      <c r="I149" s="5" t="inlineStr">
        <is>
          <t>сталь 20</t>
        </is>
      </c>
      <c r="J149" s="5" t="inlineStr">
        <is>
          <t>ручное</t>
        </is>
      </c>
      <c r="K149" s="7" t="n">
        <v>4549</v>
      </c>
      <c r="L149" s="15">
        <f>IF(K149="","",K149*(1-0.1))</f>
        <v/>
      </c>
      <c r="M149" s="6" t="n">
        <v>5.5</v>
      </c>
      <c r="N149" s="15">
        <f>IF(K149="","",L149*E149)</f>
        <v/>
      </c>
      <c r="O149" s="15">
        <f>IF(M149="","",M149*E149*55)</f>
        <v/>
      </c>
      <c r="P149" s="15">
        <f>IF(N149="","",N149+N(O149))</f>
        <v/>
      </c>
      <c r="Q149" s="15">
        <f>IF(P149="","",P149/E149)</f>
        <v/>
      </c>
      <c r="R149" s="5" t="inlineStr">
        <is>
          <t>ДН.ру (dn.ru), дилер LD / пр-ль ООО</t>
        </is>
      </c>
      <c r="S149" s="5" t="inlineStr">
        <is>
          <t>розница · B: dn.ru ©2026, цена «на 2026-10/11», товар в</t>
        </is>
      </c>
      <c r="T149" s="5" t="inlineStr">
        <is>
          <t>exact · не проверено</t>
        </is>
      </c>
      <c r="U149" s="5" t="inlineStr">
        <is>
          <t>https://dn.ru/sharovyi-kran/teplosnabzhenie/kran-pod-privarku/standartnyi/ld/st20/dn50</t>
        </is>
      </c>
    </row>
    <row r="150" ht="34" customHeight="1">
      <c r="A150" s="5" t="inlineStr">
        <is>
          <t>1.3</t>
        </is>
      </c>
      <c r="B150" s="6" t="n">
        <v>119</v>
      </c>
      <c r="C150" s="5" t="inlineStr">
        <is>
          <t>Краны шаровые и прочее</t>
        </is>
      </c>
      <c r="D150" s="5" t="inlineStr">
        <is>
          <t>Кран шаровой 11с67п Ду 100 Ру 25 цельносварной под приварку</t>
        </is>
      </c>
      <c r="E150" s="6" t="n">
        <v>24</v>
      </c>
      <c r="F150" s="5" t="inlineStr">
        <is>
          <t>шт</t>
        </is>
      </c>
      <c r="G150" s="6" t="n">
        <v>100</v>
      </c>
      <c r="H150" s="6" t="n">
        <v>2.5</v>
      </c>
      <c r="I150" s="5" t="inlineStr">
        <is>
          <t>сталь 20</t>
        </is>
      </c>
      <c r="J150" s="5" t="inlineStr">
        <is>
          <t>ручное</t>
        </is>
      </c>
      <c r="K150" s="7" t="n">
        <v>5590</v>
      </c>
      <c r="L150" s="15">
        <f>IF(K150="","",K150*(1-0.1))</f>
        <v/>
      </c>
      <c r="M150" s="6" t="n">
        <v>8.5</v>
      </c>
      <c r="N150" s="15">
        <f>IF(K150="","",L150*E150)</f>
        <v/>
      </c>
      <c r="O150" s="15">
        <f>IF(M150="","",M150*E150*55)</f>
        <v/>
      </c>
      <c r="P150" s="15">
        <f>IF(N150="","",N150+N(O150))</f>
        <v/>
      </c>
      <c r="Q150" s="15">
        <f>IF(P150="","",P150/E150)</f>
        <v/>
      </c>
      <c r="R150" s="5" t="inlineStr">
        <is>
          <t>ДН.ру (dn.ru), дилер LD / пр-ль ООО</t>
        </is>
      </c>
      <c r="S150" s="5" t="inlineStr">
        <is>
          <t>розница · B: dn.ru ©2026, цена «на 2026-10/11», товар в</t>
        </is>
      </c>
      <c r="T150" s="5" t="inlineStr">
        <is>
          <t>exact · не проверено</t>
        </is>
      </c>
      <c r="U150" s="5" t="inlineStr">
        <is>
          <t>https://dn.ru/sharovyi-kran/teplosnabzhenie/kran-pod-privarku/standartnyi/ld/st20/dn50</t>
        </is>
      </c>
    </row>
    <row r="151" ht="34" customHeight="1">
      <c r="A151" s="5" t="inlineStr">
        <is>
          <t>1.3</t>
        </is>
      </c>
      <c r="B151" s="6" t="n">
        <v>120</v>
      </c>
      <c r="C151" s="5" t="inlineStr">
        <is>
          <t>Краны шаровые и прочее</t>
        </is>
      </c>
      <c r="D151" s="5" t="inlineStr">
        <is>
          <t>Кран шаровой 11с67п Ду 150 Ру 25 цельносварной под приварку</t>
        </is>
      </c>
      <c r="E151" s="6" t="n">
        <v>22</v>
      </c>
      <c r="F151" s="5" t="inlineStr">
        <is>
          <t>шт</t>
        </is>
      </c>
      <c r="G151" s="6" t="n">
        <v>150</v>
      </c>
      <c r="H151" s="6" t="n">
        <v>2.5</v>
      </c>
      <c r="I151" s="5" t="inlineStr">
        <is>
          <t>сталь 20</t>
        </is>
      </c>
      <c r="J151" s="5" t="inlineStr">
        <is>
          <t>ручное</t>
        </is>
      </c>
      <c r="K151" s="7" t="n">
        <v>14368</v>
      </c>
      <c r="L151" s="15">
        <f>IF(K151="","",K151*(1-0.1))</f>
        <v/>
      </c>
      <c r="M151" s="6" t="n">
        <v>21</v>
      </c>
      <c r="N151" s="15">
        <f>IF(K151="","",L151*E151)</f>
        <v/>
      </c>
      <c r="O151" s="15">
        <f>IF(M151="","",M151*E151*55)</f>
        <v/>
      </c>
      <c r="P151" s="15">
        <f>IF(N151="","",N151+N(O151))</f>
        <v/>
      </c>
      <c r="Q151" s="15">
        <f>IF(P151="","",P151/E151)</f>
        <v/>
      </c>
      <c r="R151" s="5" t="inlineStr">
        <is>
          <t>ДН.ру (dn.ru), дилер LD / пр-ль ООО</t>
        </is>
      </c>
      <c r="S151" s="5" t="inlineStr">
        <is>
          <t>розница · B: dn.ru ©2026, цена «на 2026-10/11», товар в</t>
        </is>
      </c>
      <c r="T151" s="5" t="inlineStr">
        <is>
          <t>exact · не проверено</t>
        </is>
      </c>
      <c r="U151" s="5" t="inlineStr">
        <is>
          <t>https://dn.ru/sharovyi-kran/teplosnabzhenie/kran-pod-privarku/standartnyi/ld/st20/dn50</t>
        </is>
      </c>
    </row>
    <row r="152" ht="34" customHeight="1">
      <c r="A152" s="5" t="inlineStr">
        <is>
          <t>1.3</t>
        </is>
      </c>
      <c r="B152" s="6" t="n">
        <v>121</v>
      </c>
      <c r="C152" s="5" t="inlineStr">
        <is>
          <t>Краны шаровые и прочее</t>
        </is>
      </c>
      <c r="D152" s="5" t="inlineStr">
        <is>
          <t>Кран шаровой 11с67п Ду 200 Ру 25 цельносварной под приварку</t>
        </is>
      </c>
      <c r="E152" s="6" t="n">
        <v>10</v>
      </c>
      <c r="F152" s="5" t="inlineStr">
        <is>
          <t>шт</t>
        </is>
      </c>
      <c r="G152" s="6" t="n">
        <v>200</v>
      </c>
      <c r="H152" s="6" t="n">
        <v>2.5</v>
      </c>
      <c r="I152" s="5" t="inlineStr">
        <is>
          <t>сталь 20</t>
        </is>
      </c>
      <c r="J152" s="5" t="inlineStr">
        <is>
          <t>ручное</t>
        </is>
      </c>
      <c r="K152" s="7" t="n">
        <v>29221</v>
      </c>
      <c r="L152" s="15">
        <f>IF(K152="","",K152*(1-0.1))</f>
        <v/>
      </c>
      <c r="M152" s="6" t="n">
        <v>40</v>
      </c>
      <c r="N152" s="15">
        <f>IF(K152="","",L152*E152)</f>
        <v/>
      </c>
      <c r="O152" s="15">
        <f>IF(M152="","",M152*E152*55)</f>
        <v/>
      </c>
      <c r="P152" s="15">
        <f>IF(N152="","",N152+N(O152))</f>
        <v/>
      </c>
      <c r="Q152" s="15">
        <f>IF(P152="","",P152/E152)</f>
        <v/>
      </c>
      <c r="R152" s="5" t="inlineStr">
        <is>
          <t>ДН.ру (dn.ru), дилер LD / пр-ль ООО</t>
        </is>
      </c>
      <c r="S152" s="5" t="inlineStr">
        <is>
          <t>розница · B: dn.ru ©2026, цена «на 2026-10/11», товар в</t>
        </is>
      </c>
      <c r="T152" s="5" t="inlineStr">
        <is>
          <t>exact · не проверено</t>
        </is>
      </c>
      <c r="U152" s="5" t="inlineStr">
        <is>
          <t>https://dn.ru/sharovyi-kran/teplosnabzhenie/kran-pod-privarku/standartnyi/ld/st20/dn50</t>
        </is>
      </c>
    </row>
    <row r="153" ht="34" customHeight="1">
      <c r="A153" s="5" t="inlineStr">
        <is>
          <t>1.3</t>
        </is>
      </c>
      <c r="B153" s="6" t="n">
        <v>122</v>
      </c>
      <c r="C153" s="5" t="inlineStr">
        <is>
          <t>Краны шаровые и прочее</t>
        </is>
      </c>
      <c r="D153" s="5" t="inlineStr">
        <is>
          <t>Кран шаровой 11с67п Ду 15 Ру 25 полнопрох. с КОФ (КЗШС41нж)</t>
        </is>
      </c>
      <c r="E153" s="6" t="n">
        <v>3</v>
      </c>
      <c r="F153" s="5" t="inlineStr">
        <is>
          <t>шт</t>
        </is>
      </c>
      <c r="G153" s="6" t="n">
        <v>15</v>
      </c>
      <c r="H153" s="6" t="n">
        <v>2.5</v>
      </c>
      <c r="I153" s="5" t="inlineStr">
        <is>
          <t>сталь 20</t>
        </is>
      </c>
      <c r="J153" s="5" t="inlineStr">
        <is>
          <t xml:space="preserve">Ручное </t>
        </is>
      </c>
      <c r="K153" s="7" t="n">
        <v>2400</v>
      </c>
      <c r="L153" s="15">
        <f>IF(K153="","",K153*(1-0.1))</f>
        <v/>
      </c>
      <c r="M153" s="6" t="n">
        <v>1.8</v>
      </c>
      <c r="N153" s="15">
        <f>IF(K153="","",L153*E153)</f>
        <v/>
      </c>
      <c r="O153" s="15">
        <f>IF(M153="","",M153*E153*55)</f>
        <v/>
      </c>
      <c r="P153" s="15">
        <f>IF(N153="","",N153+N(O153))</f>
        <v/>
      </c>
      <c r="Q153" s="15">
        <f>IF(P153="","",P153/E153)</f>
        <v/>
      </c>
      <c r="R153" s="5" t="inlineStr">
        <is>
          <t>ДН.ру (dn.ru), дилер LD / пр-ль ООО</t>
        </is>
      </c>
      <c r="S153" s="5" t="inlineStr">
        <is>
          <t xml:space="preserve">оценка · B: dn.ru ©2026, цена «на 2026-10/11», товар в </t>
        </is>
      </c>
      <c r="T153" s="5" t="inlineStr">
        <is>
          <t>analog: LD КШ.Ц.Ф П/П PN25/PN40 (аналог КЗШС41нж/11с67п</t>
        </is>
      </c>
      <c r="U153" s="5" t="inlineStr">
        <is>
          <t>https://dn.ru/sharovyi-kran/teplosnabzhenie/flantcevyi-kran/polnoprohodnoi/ld/kshtsf/dn80-pn16-l-210</t>
        </is>
      </c>
    </row>
    <row r="154" ht="34" customHeight="1">
      <c r="A154" s="5" t="inlineStr">
        <is>
          <t>1.3</t>
        </is>
      </c>
      <c r="B154" s="6" t="n">
        <v>123</v>
      </c>
      <c r="C154" s="5" t="inlineStr">
        <is>
          <t>Краны шаровые и прочее</t>
        </is>
      </c>
      <c r="D154" s="5" t="inlineStr">
        <is>
          <t>Кран шаровой 11с67п Ду 25 Ру 25 полнопрох. с КОФ (КЗШС41нж)</t>
        </is>
      </c>
      <c r="E154" s="6" t="n">
        <v>6</v>
      </c>
      <c r="F154" s="5" t="inlineStr">
        <is>
          <t>шт</t>
        </is>
      </c>
      <c r="G154" s="6" t="n">
        <v>25</v>
      </c>
      <c r="H154" s="6" t="n">
        <v>2.5</v>
      </c>
      <c r="I154" s="5" t="inlineStr">
        <is>
          <t>сталь 20</t>
        </is>
      </c>
      <c r="J154" s="5" t="inlineStr">
        <is>
          <t>Ручной</t>
        </is>
      </c>
      <c r="K154" s="7" t="n">
        <v>2860</v>
      </c>
      <c r="L154" s="15">
        <f>IF(K154="","",K154*(1-0.1))</f>
        <v/>
      </c>
      <c r="M154" s="6" t="n">
        <v>3.2</v>
      </c>
      <c r="N154" s="15">
        <f>IF(K154="","",L154*E154)</f>
        <v/>
      </c>
      <c r="O154" s="15">
        <f>IF(M154="","",M154*E154*55)</f>
        <v/>
      </c>
      <c r="P154" s="15">
        <f>IF(N154="","",N154+N(O154))</f>
        <v/>
      </c>
      <c r="Q154" s="15">
        <f>IF(P154="","",P154/E154)</f>
        <v/>
      </c>
      <c r="R154" s="5" t="inlineStr">
        <is>
          <t>ДН.ру (dn.ru), дилер LD / пр-ль ООО</t>
        </is>
      </c>
      <c r="S154" s="5" t="inlineStr">
        <is>
          <t xml:space="preserve">оценка · B: dn.ru ©2026, цена «на 2026-10/11», товар в </t>
        </is>
      </c>
      <c r="T154" s="5" t="inlineStr">
        <is>
          <t>analog: LD КШ.Ц.Ф П/П PN25/PN40 (аналог КЗШС41нж/11с67п</t>
        </is>
      </c>
      <c r="U154" s="5" t="inlineStr">
        <is>
          <t>https://dn.ru/sharovyi-kran/teplosnabzhenie/flantcevyi-kran/polnoprohodnoi/ld/kshtsf/dn80-pn16-l-210</t>
        </is>
      </c>
    </row>
    <row r="155" ht="34" customHeight="1">
      <c r="A155" s="5" t="inlineStr">
        <is>
          <t>1.3</t>
        </is>
      </c>
      <c r="B155" s="6" t="n">
        <v>124</v>
      </c>
      <c r="C155" s="5" t="inlineStr">
        <is>
          <t>Краны шаровые и прочее</t>
        </is>
      </c>
      <c r="D155" s="5" t="inlineStr">
        <is>
          <t>Кран шаровой 11с67п Ду 32 Ру 25 полнопрох. с КОФ (КЗШС41нж)</t>
        </is>
      </c>
      <c r="E155" s="6" t="n">
        <v>10</v>
      </c>
      <c r="F155" s="5" t="inlineStr">
        <is>
          <t>шт</t>
        </is>
      </c>
      <c r="G155" s="6" t="n">
        <v>32</v>
      </c>
      <c r="H155" s="6" t="n">
        <v>2.5</v>
      </c>
      <c r="I155" s="5" t="inlineStr">
        <is>
          <t>сталь 20</t>
        </is>
      </c>
      <c r="J155" s="5" t="inlineStr">
        <is>
          <t>ручное</t>
        </is>
      </c>
      <c r="K155" s="7" t="n">
        <v>3041</v>
      </c>
      <c r="L155" s="15">
        <f>IF(K155="","",K155*(1-0.1))</f>
        <v/>
      </c>
      <c r="M155" s="6" t="n">
        <v>4.3</v>
      </c>
      <c r="N155" s="15">
        <f>IF(K155="","",L155*E155)</f>
        <v/>
      </c>
      <c r="O155" s="15">
        <f>IF(M155="","",M155*E155*55)</f>
        <v/>
      </c>
      <c r="P155" s="15">
        <f>IF(N155="","",N155+N(O155))</f>
        <v/>
      </c>
      <c r="Q155" s="15">
        <f>IF(P155="","",P155/E155)</f>
        <v/>
      </c>
      <c r="R155" s="5" t="inlineStr">
        <is>
          <t>ДН.ру (dn.ru), дилер LD / пр-ль ООО</t>
        </is>
      </c>
      <c r="S155" s="5" t="inlineStr">
        <is>
          <t>розница · B: dn.ru ©2026, цена «на 2026-10/11», товар в</t>
        </is>
      </c>
      <c r="T155" s="5" t="inlineStr">
        <is>
          <t>analog: LD КШ.Ц.Ф П/П PN25/PN40 (аналог КЗШС41нж/11с67п</t>
        </is>
      </c>
      <c r="U155" s="5" t="inlineStr">
        <is>
          <t>https://dn.ru/sharovyi-kran/teplosnabzhenie/flantcevyi-kran/polnoprohodnoi/ld/kshtsf/dn80-pn16-l-210</t>
        </is>
      </c>
    </row>
    <row r="156" ht="34" customHeight="1">
      <c r="A156" s="5" t="inlineStr">
        <is>
          <t>1.3</t>
        </is>
      </c>
      <c r="B156" s="6" t="n">
        <v>125</v>
      </c>
      <c r="C156" s="5" t="inlineStr">
        <is>
          <t>Краны шаровые и прочее</t>
        </is>
      </c>
      <c r="D156" s="5" t="inlineStr">
        <is>
          <t>Кран шаровой 11с67п Ду 50 Ру 25 полнопрох. с КОФ (КЗШС41нж)</t>
        </is>
      </c>
      <c r="E156" s="6" t="n">
        <v>6</v>
      </c>
      <c r="F156" s="5" t="inlineStr">
        <is>
          <t>шт</t>
        </is>
      </c>
      <c r="G156" s="6" t="n">
        <v>50</v>
      </c>
      <c r="H156" s="6" t="n">
        <v>2.5</v>
      </c>
      <c r="I156" s="5" t="inlineStr">
        <is>
          <t>сталь 20</t>
        </is>
      </c>
      <c r="J156" s="5" t="inlineStr">
        <is>
          <t xml:space="preserve">Ручное </t>
        </is>
      </c>
      <c r="K156" s="7" t="n">
        <v>4107</v>
      </c>
      <c r="L156" s="15">
        <f>IF(K156="","",K156*(1-0.1))</f>
        <v/>
      </c>
      <c r="M156" s="6" t="n">
        <v>7.2</v>
      </c>
      <c r="N156" s="15">
        <f>IF(K156="","",L156*E156)</f>
        <v/>
      </c>
      <c r="O156" s="15">
        <f>IF(M156="","",M156*E156*55)</f>
        <v/>
      </c>
      <c r="P156" s="15">
        <f>IF(N156="","",N156+N(O156))</f>
        <v/>
      </c>
      <c r="Q156" s="15">
        <f>IF(P156="","",P156/E156)</f>
        <v/>
      </c>
      <c r="R156" s="5" t="inlineStr">
        <is>
          <t>ДН.ру (dn.ru), дилер LD / пр-ль ООО</t>
        </is>
      </c>
      <c r="S156" s="5" t="inlineStr">
        <is>
          <t>розница · B: dn.ru ©2026, цена «на 2026-10/11», товар в</t>
        </is>
      </c>
      <c r="T156" s="5" t="inlineStr">
        <is>
          <t>analog: LD КШ.Ц.Ф П/П PN25/PN40 (аналог КЗШС41нж/11с67п</t>
        </is>
      </c>
      <c r="U156" s="5" t="inlineStr">
        <is>
          <t>https://dn.ru/sharovyi-kran/teplosnabzhenie/flantcevyi-kran/polnoprohodnoi/ld/kshtsf/dn80-pn16-l-210</t>
        </is>
      </c>
    </row>
    <row r="157" ht="34" customHeight="1">
      <c r="A157" s="5" t="inlineStr">
        <is>
          <t>1.3</t>
        </is>
      </c>
      <c r="B157" s="6" t="n">
        <v>126</v>
      </c>
      <c r="C157" s="5" t="inlineStr">
        <is>
          <t>Краны шаровые и прочее</t>
        </is>
      </c>
      <c r="D157" s="5" t="inlineStr">
        <is>
          <t>Кран шаровой 11с67п Ду 80 Ру 25 полнопрох. с КОФ (КЗШС41нж)</t>
        </is>
      </c>
      <c r="E157" s="6" t="n">
        <v>4</v>
      </c>
      <c r="F157" s="5" t="inlineStr">
        <is>
          <t>шт</t>
        </is>
      </c>
      <c r="G157" s="6" t="n">
        <v>80</v>
      </c>
      <c r="H157" s="6" t="n">
        <v>2.5</v>
      </c>
      <c r="I157" s="5" t="inlineStr">
        <is>
          <t>сталь 20</t>
        </is>
      </c>
      <c r="J157" s="5" t="inlineStr">
        <is>
          <t xml:space="preserve">Ручное </t>
        </is>
      </c>
      <c r="K157" s="7" t="n">
        <v>8770</v>
      </c>
      <c r="L157" s="15">
        <f>IF(K157="","",K157*(1-0.1))</f>
        <v/>
      </c>
      <c r="M157" s="6" t="n">
        <v>14</v>
      </c>
      <c r="N157" s="15">
        <f>IF(K157="","",L157*E157)</f>
        <v/>
      </c>
      <c r="O157" s="15">
        <f>IF(M157="","",M157*E157*55)</f>
        <v/>
      </c>
      <c r="P157" s="15">
        <f>IF(N157="","",N157+N(O157))</f>
        <v/>
      </c>
      <c r="Q157" s="15">
        <f>IF(P157="","",P157/E157)</f>
        <v/>
      </c>
      <c r="R157" s="5" t="inlineStr">
        <is>
          <t>ДН.ру (dn.ru), дилер LD / пр-ль ООО</t>
        </is>
      </c>
      <c r="S157" s="5" t="inlineStr">
        <is>
          <t>розница · B: dn.ru ©2026, цена «на 2026-10/11», товар в</t>
        </is>
      </c>
      <c r="T157" s="5" t="inlineStr">
        <is>
          <t>analog: LD КШ.Ц.Ф П/П PN25/PN40 (аналог КЗШС41нж/11с67п</t>
        </is>
      </c>
      <c r="U157" s="5" t="inlineStr">
        <is>
          <t>https://dn.ru/sharovyi-kran/teplosnabzhenie/flantcevyi-kran/polnoprohodnoi/ld/kshtsf/dn80-pn16-l-210</t>
        </is>
      </c>
    </row>
    <row r="158" ht="34" customHeight="1">
      <c r="A158" s="5" t="inlineStr">
        <is>
          <t>1.3</t>
        </is>
      </c>
      <c r="B158" s="6" t="n">
        <v>127</v>
      </c>
      <c r="C158" s="5" t="inlineStr">
        <is>
          <t>Краны шаровые и прочее</t>
        </is>
      </c>
      <c r="D158" s="5" t="inlineStr">
        <is>
          <t>Кран шаровой 11с67п Ду 100 Ру 16 ЦУФ.001 КШ укороченный полнопроходной фланцевый с рукояткой</t>
        </is>
      </c>
      <c r="E158" s="6" t="n">
        <v>91</v>
      </c>
      <c r="F158" s="5" t="inlineStr">
        <is>
          <t>шт</t>
        </is>
      </c>
      <c r="G158" s="6" t="n">
        <v>100</v>
      </c>
      <c r="H158" s="6" t="n">
        <v>1.6</v>
      </c>
      <c r="I158" s="5" t="inlineStr">
        <is>
          <t>сталь 20</t>
        </is>
      </c>
      <c r="J158" s="5" t="inlineStr">
        <is>
          <t>ручное</t>
        </is>
      </c>
      <c r="K158" s="7" t="n">
        <v>17788</v>
      </c>
      <c r="L158" s="15">
        <f>IF(K158="","",K158*(1-0.1))</f>
        <v/>
      </c>
      <c r="M158" s="6" t="n">
        <v>20</v>
      </c>
      <c r="N158" s="15">
        <f>IF(K158="","",L158*E158)</f>
        <v/>
      </c>
      <c r="O158" s="15">
        <f>IF(M158="","",M158*E158*55)</f>
        <v/>
      </c>
      <c r="P158" s="15">
        <f>IF(N158="","",N158+N(O158))</f>
        <v/>
      </c>
      <c r="Q158" s="15">
        <f>IF(P158="","",P158/E158)</f>
        <v/>
      </c>
      <c r="R158" s="5" t="inlineStr">
        <is>
          <t>ДН.ру (dn.ru), дилер LD / пр-ль ООО</t>
        </is>
      </c>
      <c r="S158" s="5" t="inlineStr">
        <is>
          <t>розница · B: dn.ru ©2026, цена «на 2026-10/11», товар в</t>
        </is>
      </c>
      <c r="T158" s="5" t="inlineStr">
        <is>
          <t>analog: LD КШ.Ц.Ф П/П (аналог 11с67п ЦУФ.001 полнопрохо</t>
        </is>
      </c>
      <c r="U158" s="5" t="inlineStr">
        <is>
          <t>https://dn.ru/sharovyi-kran/teplosnabzhenie/flantcevyi-kran/polnoprohodnoi/ld/ksh-c-f/dn100</t>
        </is>
      </c>
    </row>
    <row r="159" ht="34" customHeight="1">
      <c r="A159" s="5" t="inlineStr">
        <is>
          <t>1.3</t>
        </is>
      </c>
      <c r="B159" s="6" t="n">
        <v>128</v>
      </c>
      <c r="C159" s="5" t="inlineStr">
        <is>
          <t>Краны шаровые и прочее</t>
        </is>
      </c>
      <c r="D159" s="5" t="inlineStr">
        <is>
          <t>Кран шаровой 11с67п Ду 125 Ру 16 ЦУФ.001 КШ укороченный полнопроходной фланцевый с рукояткой</t>
        </is>
      </c>
      <c r="E159" s="6" t="n">
        <v>10</v>
      </c>
      <c r="F159" s="5" t="inlineStr">
        <is>
          <t>шт</t>
        </is>
      </c>
      <c r="G159" s="6" t="n">
        <v>125</v>
      </c>
      <c r="H159" s="6" t="n">
        <v>1.6</v>
      </c>
      <c r="I159" s="5" t="inlineStr">
        <is>
          <t>сталь 20</t>
        </is>
      </c>
      <c r="J159" s="5" t="inlineStr">
        <is>
          <t>ручное</t>
        </is>
      </c>
      <c r="K159" s="7" t="n">
        <v>21707</v>
      </c>
      <c r="L159" s="15">
        <f>IF(K159="","",K159*(1-0.1))</f>
        <v/>
      </c>
      <c r="M159" s="6" t="n">
        <v>30.9</v>
      </c>
      <c r="N159" s="15">
        <f>IF(K159="","",L159*E159)</f>
        <v/>
      </c>
      <c r="O159" s="15">
        <f>IF(M159="","",M159*E159*55)</f>
        <v/>
      </c>
      <c r="P159" s="15">
        <f>IF(N159="","",N159+N(O159))</f>
        <v/>
      </c>
      <c r="Q159" s="15">
        <f>IF(P159="","",P159/E159)</f>
        <v/>
      </c>
      <c r="R159" s="5" t="inlineStr">
        <is>
          <t>ДН.ру (dn.ru), дилер LD / пр-ль ООО</t>
        </is>
      </c>
      <c r="S159" s="5" t="inlineStr">
        <is>
          <t>розница · B: dn.ru ©2026, цена «на 2026-10/11», товар в</t>
        </is>
      </c>
      <c r="T159" s="5" t="inlineStr">
        <is>
          <t>analog: LD КШ.Ц.Ф П/П (аналог 11с67п ЦУФ.001 полнопрохо</t>
        </is>
      </c>
      <c r="U159" s="5" t="inlineStr">
        <is>
          <t>https://dn.ru/sharovyi-kran/teplosnabzhenie/flantcevyi-kran/polnoprohodnoi/ld/ksh-c-f/dn100</t>
        </is>
      </c>
    </row>
    <row r="160" ht="34" customHeight="1">
      <c r="A160" s="5" t="inlineStr">
        <is>
          <t>1.3</t>
        </is>
      </c>
      <c r="B160" s="6" t="n">
        <v>129</v>
      </c>
      <c r="C160" s="5" t="inlineStr">
        <is>
          <t>Краны шаровые и прочее</t>
        </is>
      </c>
      <c r="D160" s="5" t="inlineStr">
        <is>
          <t>Кран шаровой 11с67п Ду 150 Ру 16 ЦУФ.001 КШ укороченный полнопроходной фланцевый с рукояткой</t>
        </is>
      </c>
      <c r="E160" s="6" t="n">
        <v>59</v>
      </c>
      <c r="F160" s="5" t="inlineStr">
        <is>
          <t>шт</t>
        </is>
      </c>
      <c r="G160" s="6" t="n">
        <v>150</v>
      </c>
      <c r="H160" s="6" t="n">
        <v>1.6</v>
      </c>
      <c r="I160" s="5" t="inlineStr">
        <is>
          <t>сталь 20</t>
        </is>
      </c>
      <c r="J160" s="5" t="inlineStr">
        <is>
          <t>ручное</t>
        </is>
      </c>
      <c r="K160" s="7" t="n">
        <v>32770</v>
      </c>
      <c r="L160" s="15">
        <f>IF(K160="","",K160*(1-0.1))</f>
        <v/>
      </c>
      <c r="M160" s="6" t="n">
        <v>39.1</v>
      </c>
      <c r="N160" s="15">
        <f>IF(K160="","",L160*E160)</f>
        <v/>
      </c>
      <c r="O160" s="15">
        <f>IF(M160="","",M160*E160*55)</f>
        <v/>
      </c>
      <c r="P160" s="15">
        <f>IF(N160="","",N160+N(O160))</f>
        <v/>
      </c>
      <c r="Q160" s="15">
        <f>IF(P160="","",P160/E160)</f>
        <v/>
      </c>
      <c r="R160" s="5" t="inlineStr">
        <is>
          <t>ДН.ру (dn.ru), дилер LD / пр-ль ООО</t>
        </is>
      </c>
      <c r="S160" s="5" t="inlineStr">
        <is>
          <t>розница · B: dn.ru ©2026, цена «на 2026-10/11», товар в</t>
        </is>
      </c>
      <c r="T160" s="5" t="inlineStr">
        <is>
          <t>analog: LD КШ.Ц.Ф П/П (аналог 11с67п ЦУФ.001 полнопрохо</t>
        </is>
      </c>
      <c r="U160" s="5" t="inlineStr">
        <is>
          <t>https://dn.ru/sharovyi-kran/teplosnabzhenie/flantcevyi-kran/polnoprohodnoi/ld/ksh-c-f/dn100</t>
        </is>
      </c>
    </row>
    <row r="161" ht="34" customHeight="1">
      <c r="A161" s="5" t="inlineStr">
        <is>
          <t>1.3</t>
        </is>
      </c>
      <c r="B161" s="6" t="n">
        <v>130</v>
      </c>
      <c r="C161" s="5" t="inlineStr">
        <is>
          <t>Краны шаровые и прочее</t>
        </is>
      </c>
      <c r="D161" s="5" t="inlineStr">
        <is>
          <t>Кран шаровой 11с67п Ду 200 Ру 16 ЦУФ.001 КШ укороченный полнопроходной фланцевый с рукояткой</t>
        </is>
      </c>
      <c r="E161" s="6" t="n">
        <v>45</v>
      </c>
      <c r="F161" s="5" t="inlineStr">
        <is>
          <t>шт</t>
        </is>
      </c>
      <c r="G161" s="6" t="n">
        <v>200</v>
      </c>
      <c r="H161" s="6" t="n">
        <v>1.6</v>
      </c>
      <c r="I161" s="5" t="inlineStr">
        <is>
          <t>сталь 20</t>
        </is>
      </c>
      <c r="J161" s="5" t="inlineStr">
        <is>
          <t>ручное</t>
        </is>
      </c>
      <c r="K161" s="7" t="n">
        <v>60208</v>
      </c>
      <c r="L161" s="15">
        <f>IF(K161="","",K161*(1-0.1))</f>
        <v/>
      </c>
      <c r="M161" s="6" t="n">
        <v>75</v>
      </c>
      <c r="N161" s="15">
        <f>IF(K161="","",L161*E161)</f>
        <v/>
      </c>
      <c r="O161" s="15">
        <f>IF(M161="","",M161*E161*55)</f>
        <v/>
      </c>
      <c r="P161" s="15">
        <f>IF(N161="","",N161+N(O161))</f>
        <v/>
      </c>
      <c r="Q161" s="15">
        <f>IF(P161="","",P161/E161)</f>
        <v/>
      </c>
      <c r="R161" s="5" t="inlineStr">
        <is>
          <t>ДН.ру (dn.ru), дилер LD / пр-ль ООО</t>
        </is>
      </c>
      <c r="S161" s="5" t="inlineStr">
        <is>
          <t>розница · B: dn.ru ©2026, цена «на 2026-10/11», товар в</t>
        </is>
      </c>
      <c r="T161" s="5" t="inlineStr">
        <is>
          <t>analog: LD КШ.Ц.Ф П/П (аналог 11с67п ЦУФ.001 полнопрохо</t>
        </is>
      </c>
      <c r="U161" s="5" t="inlineStr">
        <is>
          <t>https://dn.ru/sharovyi-kran/teplosnabzhenie/flantcevyi-kran/polnoprohodnoi/ld/ksh-c-f/dn100</t>
        </is>
      </c>
    </row>
    <row r="162" ht="34" customHeight="1">
      <c r="A162" s="5" t="inlineStr">
        <is>
          <t>1.3</t>
        </is>
      </c>
      <c r="B162" s="6" t="n">
        <v>131</v>
      </c>
      <c r="C162" s="5" t="inlineStr">
        <is>
          <t>Краны шаровые и прочее</t>
        </is>
      </c>
      <c r="D162" s="5" t="inlineStr">
        <is>
          <t>Кран шаровой 11с67п Ду 40 Ру 16 ЦУФ.001 КШ укороченный полнопроходной фланцевый с рукояткой</t>
        </is>
      </c>
      <c r="E162" s="6" t="n">
        <v>8</v>
      </c>
      <c r="F162" s="5" t="inlineStr">
        <is>
          <t>шт</t>
        </is>
      </c>
      <c r="G162" s="6" t="n">
        <v>40</v>
      </c>
      <c r="H162" s="6" t="n">
        <v>1.6</v>
      </c>
      <c r="I162" s="5" t="inlineStr">
        <is>
          <t>сталь 20 ГОСТ 1050</t>
        </is>
      </c>
      <c r="J162" s="5" t="inlineStr">
        <is>
          <t xml:space="preserve">Ручное </t>
        </is>
      </c>
      <c r="K162" s="7" t="n">
        <v>4212</v>
      </c>
      <c r="L162" s="15">
        <f>IF(K162="","",K162*(1-0.1))</f>
        <v/>
      </c>
      <c r="M162" s="6" t="n">
        <v>5.5</v>
      </c>
      <c r="N162" s="15">
        <f>IF(K162="","",L162*E162)</f>
        <v/>
      </c>
      <c r="O162" s="15">
        <f>IF(M162="","",M162*E162*55)</f>
        <v/>
      </c>
      <c r="P162" s="15">
        <f>IF(N162="","",N162+N(O162))</f>
        <v/>
      </c>
      <c r="Q162" s="15">
        <f>IF(P162="","",P162/E162)</f>
        <v/>
      </c>
      <c r="R162" s="5" t="inlineStr">
        <is>
          <t>ДН.ру (dn.ru), дилер LD / пр-ль ООО</t>
        </is>
      </c>
      <c r="S162" s="5" t="inlineStr">
        <is>
          <t>розница · B: dn.ru ©2026, цена «на 2026-10/11», товар в</t>
        </is>
      </c>
      <c r="T162" s="5" t="inlineStr">
        <is>
          <t>analog: LD КШ.Ц.Ф П/П (аналог 11с67п ЦУФ.001 полнопрохо</t>
        </is>
      </c>
      <c r="U162" s="5" t="inlineStr">
        <is>
          <t>https://dn.ru/sharovyi-kran/teplosnabzhenie/flantcevyi-kran/polnoprohodnoi/ld/ksh-c-f/dn100</t>
        </is>
      </c>
    </row>
    <row r="163" ht="34" customHeight="1">
      <c r="A163" s="5" t="inlineStr">
        <is>
          <t>1.3</t>
        </is>
      </c>
      <c r="B163" s="6" t="n">
        <v>132</v>
      </c>
      <c r="C163" s="5" t="inlineStr">
        <is>
          <t>Краны шаровые и прочее</t>
        </is>
      </c>
      <c r="D163" s="5" t="inlineStr">
        <is>
          <t>Кран шаровой 11с67п Ду 50 Ру 16 ЦУФ.001 КШ укороченный полнопроходной фланцевый с рукояткой</t>
        </is>
      </c>
      <c r="E163" s="6" t="n">
        <v>80</v>
      </c>
      <c r="F163" s="5" t="inlineStr">
        <is>
          <t>шт</t>
        </is>
      </c>
      <c r="G163" s="6" t="n">
        <v>50</v>
      </c>
      <c r="H163" s="6" t="n">
        <v>1.6</v>
      </c>
      <c r="I163" s="5" t="inlineStr">
        <is>
          <t>сталь 20 ГОСТ 1050</t>
        </is>
      </c>
      <c r="J163" s="5" t="inlineStr">
        <is>
          <t xml:space="preserve">Ручное </t>
        </is>
      </c>
      <c r="K163" s="7" t="n">
        <v>4107</v>
      </c>
      <c r="L163" s="15">
        <f>IF(K163="","",K163*(1-0.1))</f>
        <v/>
      </c>
      <c r="M163" s="6" t="n">
        <v>7.2</v>
      </c>
      <c r="N163" s="15">
        <f>IF(K163="","",L163*E163)</f>
        <v/>
      </c>
      <c r="O163" s="15">
        <f>IF(M163="","",M163*E163*55)</f>
        <v/>
      </c>
      <c r="P163" s="15">
        <f>IF(N163="","",N163+N(O163))</f>
        <v/>
      </c>
      <c r="Q163" s="15">
        <f>IF(P163="","",P163/E163)</f>
        <v/>
      </c>
      <c r="R163" s="5" t="inlineStr">
        <is>
          <t>ДН.ру (dn.ru), дилер LD / пр-ль ООО</t>
        </is>
      </c>
      <c r="S163" s="5" t="inlineStr">
        <is>
          <t>розница · B: dn.ru ©2026, цена «на 2026-10/11», товар в</t>
        </is>
      </c>
      <c r="T163" s="5" t="inlineStr">
        <is>
          <t>analog: LD КШ.Ц.Ф П/П (аналог 11с67п ЦУФ.001 полнопрохо</t>
        </is>
      </c>
      <c r="U163" s="5" t="inlineStr">
        <is>
          <t>https://dn.ru/sharovyi-kran/teplosnabzhenie/flantcevyi-kran/polnoprohodnoi/ld/ksh-c-f/dn100</t>
        </is>
      </c>
    </row>
    <row r="164" ht="34" customHeight="1">
      <c r="A164" s="5" t="inlineStr">
        <is>
          <t>1.3</t>
        </is>
      </c>
      <c r="B164" s="6" t="n">
        <v>133</v>
      </c>
      <c r="C164" s="5" t="inlineStr">
        <is>
          <t>Краны шаровые и прочее</t>
        </is>
      </c>
      <c r="D164" s="5" t="inlineStr">
        <is>
          <t>Кран шаровой 11с67п Ду 65 Ру 16 ЦУФ.001 КШ укороченный полнопроходной фланцевый с рукояткой</t>
        </is>
      </c>
      <c r="E164" s="6" t="n">
        <v>6</v>
      </c>
      <c r="F164" s="5" t="inlineStr">
        <is>
          <t>шт</t>
        </is>
      </c>
      <c r="G164" s="6" t="n">
        <v>65</v>
      </c>
      <c r="H164" s="6" t="n">
        <v>1.6</v>
      </c>
      <c r="I164" s="5" t="inlineStr">
        <is>
          <t>сталь 20 ГОСТ 1050</t>
        </is>
      </c>
      <c r="J164" s="5" t="inlineStr">
        <is>
          <t xml:space="preserve">Ручное </t>
        </is>
      </c>
      <c r="K164" s="7" t="n">
        <v>6506</v>
      </c>
      <c r="L164" s="15">
        <f>IF(K164="","",K164*(1-0.1))</f>
        <v/>
      </c>
      <c r="M164" s="6" t="n">
        <v>10</v>
      </c>
      <c r="N164" s="15">
        <f>IF(K164="","",L164*E164)</f>
        <v/>
      </c>
      <c r="O164" s="15">
        <f>IF(M164="","",M164*E164*55)</f>
        <v/>
      </c>
      <c r="P164" s="15">
        <f>IF(N164="","",N164+N(O164))</f>
        <v/>
      </c>
      <c r="Q164" s="15">
        <f>IF(P164="","",P164/E164)</f>
        <v/>
      </c>
      <c r="R164" s="5" t="inlineStr">
        <is>
          <t>ДН.ру (dn.ru), дилер LD / пр-ль ООО</t>
        </is>
      </c>
      <c r="S164" s="5" t="inlineStr">
        <is>
          <t>розница · B: dn.ru ©2026, цена «на 2026-10/11», товар в</t>
        </is>
      </c>
      <c r="T164" s="5" t="inlineStr">
        <is>
          <t>analog: LD КШ.Ц.Ф П/П (аналог 11с67п ЦУФ.001 полнопрохо</t>
        </is>
      </c>
      <c r="U164" s="5" t="inlineStr">
        <is>
          <t>https://dn.ru/sharovyi-kran/teplosnabzhenie/flantcevyi-kran/polnoprohodnoi/ld/ksh-c-f/dn100</t>
        </is>
      </c>
    </row>
    <row r="165" ht="34" customHeight="1">
      <c r="A165" s="5" t="inlineStr">
        <is>
          <t>1.3</t>
        </is>
      </c>
      <c r="B165" s="6" t="n">
        <v>134</v>
      </c>
      <c r="C165" s="5" t="inlineStr">
        <is>
          <t>Краны шаровые и прочее</t>
        </is>
      </c>
      <c r="D165" s="5" t="inlineStr">
        <is>
          <t>Кран шаровой 11с67п Ду 80 Ру 16 ЦУФ.001 КШ укороченный полнопроходной фланцевый с рукояткой</t>
        </is>
      </c>
      <c r="E165" s="6" t="n">
        <v>92</v>
      </c>
      <c r="F165" s="5" t="inlineStr">
        <is>
          <t>шт</t>
        </is>
      </c>
      <c r="G165" s="6" t="n">
        <v>80</v>
      </c>
      <c r="H165" s="6" t="n">
        <v>1.6</v>
      </c>
      <c r="I165" s="5" t="inlineStr">
        <is>
          <t>сталь 20 ГОСТ 1050</t>
        </is>
      </c>
      <c r="J165" s="5" t="inlineStr">
        <is>
          <t xml:space="preserve">Ручное </t>
        </is>
      </c>
      <c r="K165" s="7" t="n">
        <v>8354</v>
      </c>
      <c r="L165" s="15">
        <f>IF(K165="","",K165*(1-0.1))</f>
        <v/>
      </c>
      <c r="M165" s="6" t="n">
        <v>13.5</v>
      </c>
      <c r="N165" s="15">
        <f>IF(K165="","",L165*E165)</f>
        <v/>
      </c>
      <c r="O165" s="15">
        <f>IF(M165="","",M165*E165*55)</f>
        <v/>
      </c>
      <c r="P165" s="15">
        <f>IF(N165="","",N165+N(O165))</f>
        <v/>
      </c>
      <c r="Q165" s="15">
        <f>IF(P165="","",P165/E165)</f>
        <v/>
      </c>
      <c r="R165" s="5" t="inlineStr">
        <is>
          <t>ДН.ру (dn.ru), дилер LD / пр-ль ООО</t>
        </is>
      </c>
      <c r="S165" s="5" t="inlineStr">
        <is>
          <t>розница · B: dn.ru ©2026, цена «на 2026-10/11», товар в</t>
        </is>
      </c>
      <c r="T165" s="5" t="inlineStr">
        <is>
          <t>analog: LD КШ.Ц.Ф П/П (аналог 11с67п ЦУФ.001 полнопрохо</t>
        </is>
      </c>
      <c r="U165" s="5" t="inlineStr">
        <is>
          <t>https://dn.ru/sharovyi-kran/teplosnabzhenie/flantcevyi-kran/polnoprohodnoi/ld/ksh-c-f/dn100</t>
        </is>
      </c>
    </row>
    <row r="166" ht="34" customHeight="1">
      <c r="A166" s="5" t="inlineStr">
        <is>
          <t>1.3</t>
        </is>
      </c>
      <c r="B166" s="6" t="n">
        <v>135</v>
      </c>
      <c r="C166" s="5" t="inlineStr">
        <is>
          <t>Краны шаровые и прочее</t>
        </is>
      </c>
      <c r="D166" s="5" t="inlineStr">
        <is>
          <t>Кран шаровой нержавеющий G1/2" муфтовый, полнопроходной, Ду 15 Ру 63</t>
        </is>
      </c>
      <c r="E166" s="6" t="n">
        <v>19</v>
      </c>
      <c r="F166" s="5" t="inlineStr">
        <is>
          <t>шт</t>
        </is>
      </c>
      <c r="G166" s="6" t="n">
        <v>15</v>
      </c>
      <c r="H166" s="6" t="n">
        <v>6.3</v>
      </c>
      <c r="I166" s="5" t="inlineStr">
        <is>
          <t>Нержавеющая сталь AISI/SS 316/08Х17Н13М2</t>
        </is>
      </c>
      <c r="J166" s="5" t="inlineStr">
        <is>
          <t xml:space="preserve">рычаг </t>
        </is>
      </c>
      <c r="K166" s="7" t="n">
        <v>2200</v>
      </c>
      <c r="L166" s="15">
        <f>IF(K166="","",K166*(1-0.1))</f>
        <v/>
      </c>
      <c r="M166" s="6" t="n">
        <v>0.3</v>
      </c>
      <c r="N166" s="15">
        <f>IF(K166="","",L166*E166)</f>
        <v/>
      </c>
      <c r="O166" s="15">
        <f>IF(M166="","",M166*E166*55)</f>
        <v/>
      </c>
      <c r="P166" s="15">
        <f>IF(N166="","",N166+N(O166))</f>
        <v/>
      </c>
      <c r="Q166" s="15">
        <f>IF(P166="","",P166/E166)</f>
        <v/>
      </c>
      <c r="R166" s="5" t="inlineStr">
        <is>
          <t>ДН.ру / LD (нерж. серия) — уточнить</t>
        </is>
      </c>
      <c r="S166" s="5" t="inlineStr">
        <is>
          <t>оценка · нет точной открытой цены</t>
        </is>
      </c>
      <c r="T166" s="5" t="inlineStr">
        <is>
          <t>analog: кран шаровой AISI316 1/2" ВР полнопроходной PN6</t>
        </is>
      </c>
      <c r="U166" s="5" t="inlineStr">
        <is>
          <t>https://dn.ru/sharovyi-kran</t>
        </is>
      </c>
    </row>
    <row r="167" ht="34" customHeight="1">
      <c r="A167" s="5" t="inlineStr">
        <is>
          <t>1.3</t>
        </is>
      </c>
      <c r="B167" s="6" t="n">
        <v>136</v>
      </c>
      <c r="C167" s="5" t="inlineStr">
        <is>
          <t>Краны шаровые и прочее</t>
        </is>
      </c>
      <c r="D167" s="5" t="inlineStr">
        <is>
          <t>Кран шаровый LD неполнопроходной 11с67п КШЦФ Ду 200 Ру 16 с КОФ</t>
        </is>
      </c>
      <c r="E167" s="6" t="n">
        <v>14</v>
      </c>
      <c r="F167" s="5" t="inlineStr">
        <is>
          <t>шт</t>
        </is>
      </c>
      <c r="G167" s="6" t="n">
        <v>200</v>
      </c>
      <c r="H167" s="6" t="n">
        <v>1.6</v>
      </c>
      <c r="I167" s="5" t="inlineStr">
        <is>
          <t>Сталь 20</t>
        </is>
      </c>
      <c r="J167" s="5" t="inlineStr">
        <is>
          <t>рукоятка</t>
        </is>
      </c>
      <c r="K167" s="7" t="n">
        <v>42510</v>
      </c>
      <c r="L167" s="15">
        <f>IF(K167="","",K167*(1-0.1))</f>
        <v/>
      </c>
      <c r="M167" s="6" t="n">
        <v>58</v>
      </c>
      <c r="N167" s="15">
        <f>IF(K167="","",L167*E167)</f>
        <v/>
      </c>
      <c r="O167" s="15">
        <f>IF(M167="","",M167*E167*55)</f>
        <v/>
      </c>
      <c r="P167" s="15">
        <f>IF(N167="","",N167+N(O167))</f>
        <v/>
      </c>
      <c r="Q167" s="15">
        <f>IF(P167="","",P167/E167)</f>
        <v/>
      </c>
      <c r="R167" s="5" t="inlineStr">
        <is>
          <t>ДН.ру (dn.ru), дилер LD / пр-ль ООО</t>
        </is>
      </c>
      <c r="S167" s="5" t="inlineStr">
        <is>
          <t>розница · B: dn.ru ©2026, цена «на 2026-10/11», товар в</t>
        </is>
      </c>
      <c r="T167" s="5" t="inlineStr">
        <is>
          <t>exact · не проверено</t>
        </is>
      </c>
      <c r="U167" s="5" t="inlineStr">
        <is>
          <t>https://dn.ru/sharovyi-kran/teplosnabzhenie/flantcevyi-kran/standartnyi/ld/st20/dn100</t>
        </is>
      </c>
    </row>
    <row r="168" ht="34" customHeight="1">
      <c r="A168" s="5" t="inlineStr">
        <is>
          <t>1.3</t>
        </is>
      </c>
      <c r="B168" s="6" t="n">
        <v>137</v>
      </c>
      <c r="C168" s="5" t="inlineStr">
        <is>
          <t>Краны шаровые и прочее</t>
        </is>
      </c>
      <c r="D168" s="5" t="inlineStr">
        <is>
          <t>Кран шаровый LD полнопроходной 11с67п КШРФ Ду 100 Ру 16 с КОФ</t>
        </is>
      </c>
      <c r="E168" s="6" t="n">
        <v>29</v>
      </c>
      <c r="F168" s="5" t="inlineStr">
        <is>
          <t>шт</t>
        </is>
      </c>
      <c r="G168" s="6" t="n">
        <v>100</v>
      </c>
      <c r="H168" s="6" t="n">
        <v>1.6</v>
      </c>
      <c r="I168" s="5" t="inlineStr">
        <is>
          <t>Сталь 20</t>
        </is>
      </c>
      <c r="J168" s="5" t="inlineStr">
        <is>
          <t>рукоятка</t>
        </is>
      </c>
      <c r="K168" s="7" t="n">
        <v>12375</v>
      </c>
      <c r="L168" s="15">
        <f>IF(K168="","",K168*(1-0.1))</f>
        <v/>
      </c>
      <c r="M168" s="6" t="n">
        <v>21</v>
      </c>
      <c r="N168" s="15">
        <f>IF(K168="","",L168*E168)</f>
        <v/>
      </c>
      <c r="O168" s="15">
        <f>IF(M168="","",M168*E168*55)</f>
        <v/>
      </c>
      <c r="P168" s="15">
        <f>IF(N168="","",N168+N(O168))</f>
        <v/>
      </c>
      <c r="Q168" s="15">
        <f>IF(P168="","",P168/E168)</f>
        <v/>
      </c>
      <c r="R168" s="5" t="inlineStr">
        <is>
          <t>ДН.ру (dn.ru), дилер LD / пр-ль ООО</t>
        </is>
      </c>
      <c r="S168" s="5" t="inlineStr">
        <is>
          <t>розница · B: dn.ru ©2026, цена «на 2026-10/11», товар в</t>
        </is>
      </c>
      <c r="T168" s="5" t="inlineStr">
        <is>
          <t>exact · не проверено</t>
        </is>
      </c>
      <c r="U168" s="5" t="inlineStr">
        <is>
          <t>https://dn.ru/sharovyi-kran/teplosnabzhenie/flantcevyi-kran/polnoprohodnoi/ld/kshrf-stal-20/dn150</t>
        </is>
      </c>
    </row>
    <row r="169" ht="34" customHeight="1">
      <c r="A169" s="5" t="inlineStr">
        <is>
          <t>1.3</t>
        </is>
      </c>
      <c r="B169" s="6" t="n">
        <v>138</v>
      </c>
      <c r="C169" s="5" t="inlineStr">
        <is>
          <t>Краны шаровые и прочее</t>
        </is>
      </c>
      <c r="D169" s="5" t="inlineStr">
        <is>
          <t>Кран шаровый LD полнопроходной 11с67п КШРФ Ду 125 Ру 16 с КОФ</t>
        </is>
      </c>
      <c r="E169" s="6" t="n">
        <v>6</v>
      </c>
      <c r="F169" s="5" t="inlineStr">
        <is>
          <t>шт</t>
        </is>
      </c>
      <c r="G169" s="6" t="n">
        <v>125</v>
      </c>
      <c r="H169" s="6" t="n">
        <v>1.6</v>
      </c>
      <c r="I169" s="5" t="inlineStr">
        <is>
          <t>Сталь 20</t>
        </is>
      </c>
      <c r="J169" s="5" t="inlineStr">
        <is>
          <t>рукоятка</t>
        </is>
      </c>
      <c r="K169" s="7" t="n">
        <v>25163</v>
      </c>
      <c r="L169" s="15">
        <f>IF(K169="","",K169*(1-0.1))</f>
        <v/>
      </c>
      <c r="M169" s="6" t="n">
        <v>31</v>
      </c>
      <c r="N169" s="15">
        <f>IF(K169="","",L169*E169)</f>
        <v/>
      </c>
      <c r="O169" s="15">
        <f>IF(M169="","",M169*E169*55)</f>
        <v/>
      </c>
      <c r="P169" s="15">
        <f>IF(N169="","",N169+N(O169))</f>
        <v/>
      </c>
      <c r="Q169" s="15">
        <f>IF(P169="","",P169/E169)</f>
        <v/>
      </c>
      <c r="R169" s="5" t="inlineStr">
        <is>
          <t>ДН.ру (dn.ru), дилер LD / пр-ль ООО</t>
        </is>
      </c>
      <c r="S169" s="5" t="inlineStr">
        <is>
          <t>розница · B: dn.ru ©2026, цена «на 2026-10/11», товар в</t>
        </is>
      </c>
      <c r="T169" s="5" t="inlineStr">
        <is>
          <t>exact · не проверено</t>
        </is>
      </c>
      <c r="U169" s="5" t="inlineStr">
        <is>
          <t>https://dn.ru/sharovyi-kran/teplosnabzhenie/flantcevyi-kran/polnoprohodnoi/ld/kshrf-stal-20/dn150</t>
        </is>
      </c>
    </row>
    <row r="170" ht="34" customHeight="1">
      <c r="A170" s="5" t="inlineStr">
        <is>
          <t>1.3</t>
        </is>
      </c>
      <c r="B170" s="6" t="n">
        <v>139</v>
      </c>
      <c r="C170" s="5" t="inlineStr">
        <is>
          <t>Краны шаровые и прочее</t>
        </is>
      </c>
      <c r="D170" s="5" t="inlineStr">
        <is>
          <t>Кран шаровый LD полнопроходной 11с67п КШРФ Ду 150 Ру 16 с КОФ</t>
        </is>
      </c>
      <c r="E170" s="6" t="n">
        <v>31</v>
      </c>
      <c r="F170" s="5" t="inlineStr">
        <is>
          <t>шт</t>
        </is>
      </c>
      <c r="G170" s="6" t="n">
        <v>150</v>
      </c>
      <c r="H170" s="6" t="n">
        <v>1.6</v>
      </c>
      <c r="I170" s="5" t="inlineStr">
        <is>
          <t>Сталь 20</t>
        </is>
      </c>
      <c r="J170" s="5" t="inlineStr">
        <is>
          <t>рукоятка</t>
        </is>
      </c>
      <c r="K170" s="7" t="n">
        <v>27260</v>
      </c>
      <c r="L170" s="15">
        <f>IF(K170="","",K170*(1-0.1))</f>
        <v/>
      </c>
      <c r="M170" s="6" t="n">
        <v>40</v>
      </c>
      <c r="N170" s="15">
        <f>IF(K170="","",L170*E170)</f>
        <v/>
      </c>
      <c r="O170" s="15">
        <f>IF(M170="","",M170*E170*55)</f>
        <v/>
      </c>
      <c r="P170" s="15">
        <f>IF(N170="","",N170+N(O170))</f>
        <v/>
      </c>
      <c r="Q170" s="15">
        <f>IF(P170="","",P170/E170)</f>
        <v/>
      </c>
      <c r="R170" s="5" t="inlineStr">
        <is>
          <t>ДН.ру (dn.ru), дилер LD / пр-ль ООО</t>
        </is>
      </c>
      <c r="S170" s="5" t="inlineStr">
        <is>
          <t>розница · B: dn.ru ©2026, цена «на 2026-10/11», товар в</t>
        </is>
      </c>
      <c r="T170" s="5" t="inlineStr">
        <is>
          <t>exact · не проверено</t>
        </is>
      </c>
      <c r="U170" s="5" t="inlineStr">
        <is>
          <t>https://dn.ru/sharovyi-kran/teplosnabzhenie/flantcevyi-kran/polnoprohodnoi/ld/kshrf-stal-20/dn150</t>
        </is>
      </c>
    </row>
    <row r="171" ht="34" customHeight="1">
      <c r="A171" s="5" t="inlineStr">
        <is>
          <t>1.3</t>
        </is>
      </c>
      <c r="B171" s="6" t="n">
        <v>140</v>
      </c>
      <c r="C171" s="5" t="inlineStr">
        <is>
          <t>Краны шаровые и прочее</t>
        </is>
      </c>
      <c r="D171" s="5" t="inlineStr">
        <is>
          <t>Кран шаровый LD полнопроходной 11с67п КШРФ Ду 25 Ру 16 с КОФ</t>
        </is>
      </c>
      <c r="E171" s="6" t="n">
        <v>8</v>
      </c>
      <c r="F171" s="5" t="inlineStr">
        <is>
          <t>шт</t>
        </is>
      </c>
      <c r="G171" s="6" t="n">
        <v>25</v>
      </c>
      <c r="H171" s="6" t="n">
        <v>1.6</v>
      </c>
      <c r="I171" s="5" t="inlineStr">
        <is>
          <t>Сталь 20</t>
        </is>
      </c>
      <c r="J171" s="5" t="inlineStr">
        <is>
          <t>рукоятка</t>
        </is>
      </c>
      <c r="K171" s="7" t="n">
        <v>2297</v>
      </c>
      <c r="L171" s="15">
        <f>IF(K171="","",K171*(1-0.1))</f>
        <v/>
      </c>
      <c r="M171" s="6" t="n">
        <v>4.7</v>
      </c>
      <c r="N171" s="15">
        <f>IF(K171="","",L171*E171)</f>
        <v/>
      </c>
      <c r="O171" s="15">
        <f>IF(M171="","",M171*E171*55)</f>
        <v/>
      </c>
      <c r="P171" s="15">
        <f>IF(N171="","",N171+N(O171))</f>
        <v/>
      </c>
      <c r="Q171" s="15">
        <f>IF(P171="","",P171/E171)</f>
        <v/>
      </c>
      <c r="R171" s="5" t="inlineStr">
        <is>
          <t>ДН.ру (dn.ru), дилер LD / пр-ль ООО</t>
        </is>
      </c>
      <c r="S171" s="5" t="inlineStr">
        <is>
          <t>розница · B: dn.ru ©2026, цена «на 2026-10/11», товар в</t>
        </is>
      </c>
      <c r="T171" s="5" t="inlineStr">
        <is>
          <t>exact · не проверено</t>
        </is>
      </c>
      <c r="U171" s="5" t="inlineStr">
        <is>
          <t>https://dn.ru/sharovyi-kran/teplosnabzhenie/flantcevyi-kran/polnoprohodnoi/ld/kshrf-stal-20/dn150</t>
        </is>
      </c>
    </row>
    <row r="172" ht="34" customHeight="1">
      <c r="A172" s="5" t="inlineStr">
        <is>
          <t>1.3</t>
        </is>
      </c>
      <c r="B172" s="6" t="n">
        <v>141</v>
      </c>
      <c r="C172" s="5" t="inlineStr">
        <is>
          <t>Краны шаровые и прочее</t>
        </is>
      </c>
      <c r="D172" s="5" t="inlineStr">
        <is>
          <t>Кран шаровый LD полнопроходной 11с67п КШРФ Ду 32 Ру 16 с КОФ</t>
        </is>
      </c>
      <c r="E172" s="6" t="n">
        <v>8</v>
      </c>
      <c r="F172" s="5" t="inlineStr">
        <is>
          <t>шт</t>
        </is>
      </c>
      <c r="G172" s="6" t="n">
        <v>32</v>
      </c>
      <c r="H172" s="6" t="n">
        <v>1.6</v>
      </c>
      <c r="I172" s="5" t="inlineStr">
        <is>
          <t>Сталь 20</t>
        </is>
      </c>
      <c r="J172" s="5" t="inlineStr">
        <is>
          <t>рукоятка</t>
        </is>
      </c>
      <c r="K172" s="7" t="n">
        <v>2469</v>
      </c>
      <c r="L172" s="15">
        <f>IF(K172="","",K172*(1-0.1))</f>
        <v/>
      </c>
      <c r="M172" s="6" t="n">
        <v>5.5</v>
      </c>
      <c r="N172" s="15">
        <f>IF(K172="","",L172*E172)</f>
        <v/>
      </c>
      <c r="O172" s="15">
        <f>IF(M172="","",M172*E172*55)</f>
        <v/>
      </c>
      <c r="P172" s="15">
        <f>IF(N172="","",N172+N(O172))</f>
        <v/>
      </c>
      <c r="Q172" s="15">
        <f>IF(P172="","",P172/E172)</f>
        <v/>
      </c>
      <c r="R172" s="5" t="inlineStr">
        <is>
          <t>ДН.ру (dn.ru), дилер LD / пр-ль ООО</t>
        </is>
      </c>
      <c r="S172" s="5" t="inlineStr">
        <is>
          <t>розница · B: dn.ru ©2026, цена «на 2026-10/11», товар в</t>
        </is>
      </c>
      <c r="T172" s="5" t="inlineStr">
        <is>
          <t>exact · не проверено</t>
        </is>
      </c>
      <c r="U172" s="5" t="inlineStr">
        <is>
          <t>https://dn.ru/sharovyi-kran/teplosnabzhenie/flantcevyi-kran/polnoprohodnoi/ld/kshrf-stal-20/dn150</t>
        </is>
      </c>
    </row>
    <row r="173" ht="34" customHeight="1">
      <c r="A173" s="5" t="inlineStr">
        <is>
          <t>1.3</t>
        </is>
      </c>
      <c r="B173" s="6" t="n">
        <v>142</v>
      </c>
      <c r="C173" s="5" t="inlineStr">
        <is>
          <t>Краны шаровые и прочее</t>
        </is>
      </c>
      <c r="D173" s="5" t="inlineStr">
        <is>
          <t>Кран шаровый LD полнопроходной 11с67п КШРФ Ду 40 Ру 16 с КОФ</t>
        </is>
      </c>
      <c r="E173" s="6" t="n">
        <v>8</v>
      </c>
      <c r="F173" s="5" t="inlineStr">
        <is>
          <t>шт</t>
        </is>
      </c>
      <c r="G173" s="6" t="n">
        <v>40</v>
      </c>
      <c r="H173" s="6" t="n">
        <v>1.6</v>
      </c>
      <c r="I173" s="5" t="inlineStr">
        <is>
          <t>Сталь 20</t>
        </is>
      </c>
      <c r="J173" s="5" t="inlineStr">
        <is>
          <t>рукоятка</t>
        </is>
      </c>
      <c r="K173" s="7" t="n">
        <v>2989</v>
      </c>
      <c r="L173" s="15">
        <f>IF(K173="","",K173*(1-0.1))</f>
        <v/>
      </c>
      <c r="M173" s="6" t="n">
        <v>6.5</v>
      </c>
      <c r="N173" s="15">
        <f>IF(K173="","",L173*E173)</f>
        <v/>
      </c>
      <c r="O173" s="15">
        <f>IF(M173="","",M173*E173*55)</f>
        <v/>
      </c>
      <c r="P173" s="15">
        <f>IF(N173="","",N173+N(O173))</f>
        <v/>
      </c>
      <c r="Q173" s="15">
        <f>IF(P173="","",P173/E173)</f>
        <v/>
      </c>
      <c r="R173" s="5" t="inlineStr">
        <is>
          <t>ДН.ру (dn.ru), дилер LD / пр-ль ООО</t>
        </is>
      </c>
      <c r="S173" s="5" t="inlineStr">
        <is>
          <t>розница · B: dn.ru ©2026, цена «на 2026-10/11», товар в</t>
        </is>
      </c>
      <c r="T173" s="5" t="inlineStr">
        <is>
          <t>exact · не проверено</t>
        </is>
      </c>
      <c r="U173" s="5" t="inlineStr">
        <is>
          <t>https://dn.ru/sharovyi-kran/teplosnabzhenie/flantcevyi-kran/polnoprohodnoi/ld/kshrf-stal-20/dn150</t>
        </is>
      </c>
    </row>
    <row r="174" ht="34" customHeight="1">
      <c r="A174" s="5" t="inlineStr">
        <is>
          <t>1.3</t>
        </is>
      </c>
      <c r="B174" s="6" t="n">
        <v>143</v>
      </c>
      <c r="C174" s="5" t="inlineStr">
        <is>
          <t>Краны шаровые и прочее</t>
        </is>
      </c>
      <c r="D174" s="5" t="inlineStr">
        <is>
          <t>Кран шаровый LD полнопроходной 11с67п КШРФ Ду 50 Ру 16 с КОФ</t>
        </is>
      </c>
      <c r="E174" s="6" t="n">
        <v>112</v>
      </c>
      <c r="F174" s="5" t="inlineStr">
        <is>
          <t>шт</t>
        </is>
      </c>
      <c r="G174" s="6" t="n">
        <v>50</v>
      </c>
      <c r="H174" s="6" t="n">
        <v>1.6</v>
      </c>
      <c r="I174" s="5" t="inlineStr">
        <is>
          <t>Сталь 20</t>
        </is>
      </c>
      <c r="J174" s="5" t="inlineStr">
        <is>
          <t>рукоятка</t>
        </is>
      </c>
      <c r="K174" s="7" t="n">
        <v>3120</v>
      </c>
      <c r="L174" s="15">
        <f>IF(K174="","",K174*(1-0.1))</f>
        <v/>
      </c>
      <c r="M174" s="6" t="n">
        <v>8</v>
      </c>
      <c r="N174" s="15">
        <f>IF(K174="","",L174*E174)</f>
        <v/>
      </c>
      <c r="O174" s="15">
        <f>IF(M174="","",M174*E174*55)</f>
        <v/>
      </c>
      <c r="P174" s="15">
        <f>IF(N174="","",N174+N(O174))</f>
        <v/>
      </c>
      <c r="Q174" s="15">
        <f>IF(P174="","",P174/E174)</f>
        <v/>
      </c>
      <c r="R174" s="5" t="inlineStr">
        <is>
          <t>ДН.ру (dn.ru), дилер LD / пр-ль ООО</t>
        </is>
      </c>
      <c r="S174" s="5" t="inlineStr">
        <is>
          <t>розница · B: dn.ru ©2026, цена «на 2026-10/11», товар в</t>
        </is>
      </c>
      <c r="T174" s="5" t="inlineStr">
        <is>
          <t>exact · не проверено</t>
        </is>
      </c>
      <c r="U174" s="5" t="inlineStr">
        <is>
          <t>https://dn.ru/sharovyi-kran/teplosnabzhenie/flantcevyi-kran/polnoprohodnoi/ld/kshrf-stal-20/dn150</t>
        </is>
      </c>
    </row>
    <row r="175" ht="34" customHeight="1">
      <c r="A175" s="5" t="inlineStr">
        <is>
          <t>1.3</t>
        </is>
      </c>
      <c r="B175" s="6" t="n">
        <v>144</v>
      </c>
      <c r="C175" s="5" t="inlineStr">
        <is>
          <t>Краны шаровые и прочее</t>
        </is>
      </c>
      <c r="D175" s="5" t="inlineStr">
        <is>
          <t>Кран шаровый LD полнопроходной 11с67п КШРФ Ду 65 Ру 16 с КОФ</t>
        </is>
      </c>
      <c r="E175" s="6" t="n">
        <v>6</v>
      </c>
      <c r="F175" s="5" t="inlineStr">
        <is>
          <t>шт</t>
        </is>
      </c>
      <c r="G175" s="6" t="n">
        <v>65</v>
      </c>
      <c r="H175" s="6" t="n">
        <v>1.6</v>
      </c>
      <c r="I175" s="5" t="inlineStr">
        <is>
          <t>Сталь 20</t>
        </is>
      </c>
      <c r="J175" s="5" t="inlineStr">
        <is>
          <t>рукоятка</t>
        </is>
      </c>
      <c r="K175" s="7" t="n">
        <v>4912</v>
      </c>
      <c r="L175" s="15">
        <f>IF(K175="","",K175*(1-0.1))</f>
        <v/>
      </c>
      <c r="M175" s="6" t="n">
        <v>11</v>
      </c>
      <c r="N175" s="15">
        <f>IF(K175="","",L175*E175)</f>
        <v/>
      </c>
      <c r="O175" s="15">
        <f>IF(M175="","",M175*E175*55)</f>
        <v/>
      </c>
      <c r="P175" s="15">
        <f>IF(N175="","",N175+N(O175))</f>
        <v/>
      </c>
      <c r="Q175" s="15">
        <f>IF(P175="","",P175/E175)</f>
        <v/>
      </c>
      <c r="R175" s="5" t="inlineStr">
        <is>
          <t>ДН.ру (dn.ru), дилер LD / пр-ль ООО</t>
        </is>
      </c>
      <c r="S175" s="5" t="inlineStr">
        <is>
          <t>розница · B: dn.ru ©2026, цена «на 2026-10/11», товар в</t>
        </is>
      </c>
      <c r="T175" s="5" t="inlineStr">
        <is>
          <t>exact · не проверено</t>
        </is>
      </c>
      <c r="U175" s="5" t="inlineStr">
        <is>
          <t>https://dn.ru/sharovyi-kran/teplosnabzhenie/flantcevyi-kran/polnoprohodnoi/ld/kshrf-stal-20/dn150</t>
        </is>
      </c>
    </row>
    <row r="176" ht="34" customHeight="1">
      <c r="A176" s="5" t="inlineStr">
        <is>
          <t>1.3</t>
        </is>
      </c>
      <c r="B176" s="6" t="n">
        <v>145</v>
      </c>
      <c r="C176" s="5" t="inlineStr">
        <is>
          <t>Краны шаровые и прочее</t>
        </is>
      </c>
      <c r="D176" s="5" t="inlineStr">
        <is>
          <t>Кран шаровый LD полнопроходной 11с67п КШРФ Ду 80 Ру 16 МПа с КОФ</t>
        </is>
      </c>
      <c r="E176" s="6" t="n">
        <v>58</v>
      </c>
      <c r="F176" s="5" t="inlineStr">
        <is>
          <t>шт</t>
        </is>
      </c>
      <c r="G176" s="6" t="n">
        <v>80</v>
      </c>
      <c r="H176" s="6" t="n">
        <v>1.6</v>
      </c>
      <c r="I176" s="5" t="inlineStr">
        <is>
          <t>Сталь 20</t>
        </is>
      </c>
      <c r="J176" s="5" t="inlineStr">
        <is>
          <t>рукоятка</t>
        </is>
      </c>
      <c r="K176" s="7" t="n">
        <v>5946</v>
      </c>
      <c r="L176" s="15">
        <f>IF(K176="","",K176*(1-0.1))</f>
        <v/>
      </c>
      <c r="M176" s="6" t="n">
        <v>14</v>
      </c>
      <c r="N176" s="15">
        <f>IF(K176="","",L176*E176)</f>
        <v/>
      </c>
      <c r="O176" s="15">
        <f>IF(M176="","",M176*E176*55)</f>
        <v/>
      </c>
      <c r="P176" s="15">
        <f>IF(N176="","",N176+N(O176))</f>
        <v/>
      </c>
      <c r="Q176" s="15">
        <f>IF(P176="","",P176/E176)</f>
        <v/>
      </c>
      <c r="R176" s="5" t="inlineStr">
        <is>
          <t>ДН.ру (dn.ru), дилер LD / пр-ль ООО</t>
        </is>
      </c>
      <c r="S176" s="5" t="inlineStr">
        <is>
          <t>розница · B: dn.ru ©2026, цена «на 2026-10/11», товар в</t>
        </is>
      </c>
      <c r="T176" s="5" t="inlineStr">
        <is>
          <t>exact · не проверено</t>
        </is>
      </c>
      <c r="U176" s="5" t="inlineStr">
        <is>
          <t>https://dn.ru/sharovyi-kran/teplosnabzhenie/flantcevyi-kran/polnoprohodnoi/ld/kshrf-stal-20/dn150</t>
        </is>
      </c>
    </row>
    <row r="177" ht="34" customHeight="1">
      <c r="A177" s="5" t="inlineStr">
        <is>
          <t>1.3</t>
        </is>
      </c>
      <c r="B177" s="6" t="n">
        <v>146</v>
      </c>
      <c r="C177" s="5" t="inlineStr">
        <is>
          <t>Краны шаровые и прочее</t>
        </is>
      </c>
      <c r="D177" s="5" t="inlineStr">
        <is>
          <t>Кран шаровый химический КШХ Ду 50 Ру 16</t>
        </is>
      </c>
      <c r="E177" s="6" t="n">
        <v>2</v>
      </c>
      <c r="F177" s="5" t="inlineStr">
        <is>
          <t>шт</t>
        </is>
      </c>
      <c r="G177" s="6" t="n">
        <v>50</v>
      </c>
      <c r="H177" s="6" t="n">
        <v>1.6</v>
      </c>
      <c r="I177" s="5" t="inlineStr">
        <is>
          <t>углеродистая сталь</t>
        </is>
      </c>
      <c r="J177" s="5" t="inlineStr">
        <is>
          <t>ручное</t>
        </is>
      </c>
      <c r="K177" s="7" t="n">
        <v>45000</v>
      </c>
      <c r="L177" s="15">
        <f>IF(K177="","",K177*(1-0.1))</f>
        <v/>
      </c>
      <c r="M177" s="6" t="n">
        <v>14</v>
      </c>
      <c r="N177" s="15">
        <f>IF(K177="","",L177*E177)</f>
        <v/>
      </c>
      <c r="O177" s="15">
        <f>IF(M177="","",M177*E177*55)</f>
        <v/>
      </c>
      <c r="P177" s="15">
        <f>IF(N177="","",N177+N(O177))</f>
        <v/>
      </c>
      <c r="Q177" s="15">
        <f>IF(P177="","",P177/E177)</f>
        <v/>
      </c>
      <c r="R177" s="5" t="inlineStr">
        <is>
          <t>рос. производители футерованной арм</t>
        </is>
      </c>
      <c r="S177" s="5" t="inlineStr">
        <is>
          <t>оценка · открытой цены нет</t>
        </is>
      </c>
      <c r="T177" s="5" t="inlineStr">
        <is>
          <t>analog: кран шаровой футерованный FEP/PFA фланцевый Ду5</t>
        </is>
      </c>
      <c r="U177" s="5" t="inlineStr"/>
    </row>
    <row r="178" ht="34" customHeight="1">
      <c r="A178" s="5" t="inlineStr">
        <is>
          <t>1.3</t>
        </is>
      </c>
      <c r="B178" s="6" t="n">
        <v>147</v>
      </c>
      <c r="C178" s="5" t="inlineStr">
        <is>
          <t>Краны шаровые и прочее</t>
        </is>
      </c>
      <c r="D178" s="5" t="inlineStr">
        <is>
          <t>Кран шаровый химический КШХ Ду 80 Ру 16</t>
        </is>
      </c>
      <c r="E178" s="6" t="n">
        <v>4</v>
      </c>
      <c r="F178" s="5" t="inlineStr">
        <is>
          <t>шт</t>
        </is>
      </c>
      <c r="G178" s="6" t="n">
        <v>80</v>
      </c>
      <c r="H178" s="6" t="n">
        <v>1.6</v>
      </c>
      <c r="I178" s="5" t="inlineStr">
        <is>
          <t>сталь 25Л</t>
        </is>
      </c>
      <c r="J178" s="5" t="inlineStr">
        <is>
          <t xml:space="preserve">рычаг </t>
        </is>
      </c>
      <c r="K178" s="7" t="n">
        <v>70000</v>
      </c>
      <c r="L178" s="15">
        <f>IF(K178="","",K178*(1-0.1))</f>
        <v/>
      </c>
      <c r="M178" s="6" t="n">
        <v>25</v>
      </c>
      <c r="N178" s="15">
        <f>IF(K178="","",L178*E178)</f>
        <v/>
      </c>
      <c r="O178" s="15">
        <f>IF(M178="","",M178*E178*55)</f>
        <v/>
      </c>
      <c r="P178" s="15">
        <f>IF(N178="","",N178+N(O178))</f>
        <v/>
      </c>
      <c r="Q178" s="15">
        <f>IF(P178="","",P178/E178)</f>
        <v/>
      </c>
      <c r="R178" s="5" t="inlineStr">
        <is>
          <t>рос. производители футерованной арм</t>
        </is>
      </c>
      <c r="S178" s="5" t="inlineStr">
        <is>
          <t>оценка · открытой цены нет</t>
        </is>
      </c>
      <c r="T178" s="5" t="inlineStr">
        <is>
          <t>analog: кран шаровой футерованный FEP фланцевый Ду80 PN</t>
        </is>
      </c>
      <c r="U178" s="5" t="inlineStr"/>
    </row>
    <row r="179" ht="34" customHeight="1">
      <c r="A179" s="5" t="inlineStr">
        <is>
          <t>1.3</t>
        </is>
      </c>
      <c r="B179" s="6" t="n">
        <v>148</v>
      </c>
      <c r="C179" s="5" t="inlineStr">
        <is>
          <t>Краны шаровые и прочее</t>
        </is>
      </c>
      <c r="D179" s="5" t="inlineStr">
        <is>
          <t>Кран шаровый разборный полнопроходной 11с67п Ду 250 Ру 16 с КОФ</t>
        </is>
      </c>
      <c r="E179" s="6" t="n">
        <v>6</v>
      </c>
      <c r="F179" s="5" t="inlineStr">
        <is>
          <t>шт</t>
        </is>
      </c>
      <c r="G179" s="6" t="n">
        <v>250</v>
      </c>
      <c r="H179" s="6" t="n">
        <v>1.6</v>
      </c>
      <c r="I179" s="5" t="inlineStr">
        <is>
          <t>Сталь 20</t>
        </is>
      </c>
      <c r="J179" s="5" t="inlineStr">
        <is>
          <t>рукоятка</t>
        </is>
      </c>
      <c r="K179" s="7" t="n">
        <v>98000</v>
      </c>
      <c r="L179" s="15">
        <f>IF(K179="","",K179*(1-0.1))</f>
        <v/>
      </c>
      <c r="M179" s="6" t="n">
        <v>150</v>
      </c>
      <c r="N179" s="15">
        <f>IF(K179="","",L179*E179)</f>
        <v/>
      </c>
      <c r="O179" s="15">
        <f>IF(M179="","",M179*E179*55)</f>
        <v/>
      </c>
      <c r="P179" s="15">
        <f>IF(N179="","",N179+N(O179))</f>
        <v/>
      </c>
      <c r="Q179" s="15">
        <f>IF(P179="","",P179/E179)</f>
        <v/>
      </c>
      <c r="R179" s="5" t="inlineStr">
        <is>
          <t>ДН.ру (dn.ru), LD Челябинск</t>
        </is>
      </c>
      <c r="S179" s="5" t="inlineStr">
        <is>
          <t>оценка · B: dn.ru ©2026 (соседние Ду)</t>
        </is>
      </c>
      <c r="T179" s="5" t="inlineStr">
        <is>
          <t>analog: LD КШ.Ц.Ф/КШ.Р.Ф Ду250 П/П · не проверено</t>
        </is>
      </c>
      <c r="U179" s="5" t="inlineStr">
        <is>
          <t>https://dn.ru/sharovyi-kran/teplosnabzhenie/flantcevyi-kran/polnoprohodnoi/ld/kshrf-stal-20/dn150</t>
        </is>
      </c>
    </row>
    <row r="180" ht="34" customHeight="1">
      <c r="A180" s="5" t="inlineStr">
        <is>
          <t>1.3</t>
        </is>
      </c>
      <c r="B180" s="6" t="n">
        <v>149</v>
      </c>
      <c r="C180" s="5" t="inlineStr">
        <is>
          <t>Краны шаровые и прочее</t>
        </is>
      </c>
      <c r="D180" s="5" t="inlineStr">
        <is>
          <t>Кран шаровый цельносварной неполнопроходной 11с67п Ду 250/200 Ру 16 с КОФ</t>
        </is>
      </c>
      <c r="E180" s="6" t="n">
        <v>2</v>
      </c>
      <c r="F180" s="5" t="inlineStr">
        <is>
          <t>шт</t>
        </is>
      </c>
      <c r="G180" s="6" t="n">
        <v>250</v>
      </c>
      <c r="H180" s="6" t="n">
        <v>1.6</v>
      </c>
      <c r="I180" s="5" t="inlineStr">
        <is>
          <t>Сталь 20</t>
        </is>
      </c>
      <c r="J180" s="5" t="inlineStr">
        <is>
          <t>рукоятка</t>
        </is>
      </c>
      <c r="K180" s="7" t="n">
        <v>75932</v>
      </c>
      <c r="L180" s="15">
        <f>IF(K180="","",K180*(1-0.1))</f>
        <v/>
      </c>
      <c r="M180" s="6" t="n">
        <v>100</v>
      </c>
      <c r="N180" s="15">
        <f>IF(K180="","",L180*E180)</f>
        <v/>
      </c>
      <c r="O180" s="15">
        <f>IF(M180="","",M180*E180*55)</f>
        <v/>
      </c>
      <c r="P180" s="15">
        <f>IF(N180="","",N180+N(O180))</f>
        <v/>
      </c>
      <c r="Q180" s="15">
        <f>IF(P180="","",P180/E180)</f>
        <v/>
      </c>
      <c r="R180" s="5" t="inlineStr">
        <is>
          <t>ДН.ру (dn.ru), дилер LD / пр-ль ООО</t>
        </is>
      </c>
      <c r="S180" s="5" t="inlineStr">
        <is>
          <t>розница · B: dn.ru ©2026, цена «на 2026-10/11», товар в</t>
        </is>
      </c>
      <c r="T180" s="5" t="inlineStr">
        <is>
          <t>analog: LD КШ.Ц.Ф Н/П фланцевый ст.20 · не проверено</t>
        </is>
      </c>
      <c r="U180" s="5" t="inlineStr">
        <is>
          <t>https://dn.ru/sharovyi-kran/teplosnabzhenie/flantcevyi-kran/standartnyi/ld/st20/dn100</t>
        </is>
      </c>
    </row>
    <row r="181" ht="34" customHeight="1">
      <c r="A181" s="5" t="inlineStr">
        <is>
          <t>1.3</t>
        </is>
      </c>
      <c r="B181" s="6" t="n">
        <v>150</v>
      </c>
      <c r="C181" s="5" t="inlineStr">
        <is>
          <t>Задвижки и затворы</t>
        </is>
      </c>
      <c r="D181" s="5" t="inlineStr">
        <is>
          <t>Затвор 32нж910р Ду 1000 Ру 10 с эл.приводом</t>
        </is>
      </c>
      <c r="E181" s="6" t="n">
        <v>1</v>
      </c>
      <c r="F181" s="5" t="inlineStr">
        <is>
          <t>шт</t>
        </is>
      </c>
      <c r="G181" s="6" t="n">
        <v>1000</v>
      </c>
      <c r="H181" s="6" t="n">
        <v>1</v>
      </c>
      <c r="I181" s="5" t="inlineStr">
        <is>
          <t>коррозионно стойкая сталь 08Х18Н10Т</t>
        </is>
      </c>
      <c r="J181" s="5" t="inlineStr">
        <is>
          <t>ГЗ-В 600 ГРЛЕ.421322.001ТУ</t>
        </is>
      </c>
      <c r="K181" s="7" t="n">
        <v>1200000</v>
      </c>
      <c r="L181" s="15">
        <f>IF(K181="","",K181*(1-0.1))</f>
        <v/>
      </c>
      <c r="M181" s="6" t="n">
        <v>900</v>
      </c>
      <c r="N181" s="15">
        <f>IF(K181="","",L181*E181)</f>
        <v/>
      </c>
      <c r="O181" s="15">
        <f>IF(M181="","",M181*E181*55)</f>
        <v/>
      </c>
      <c r="P181" s="15">
        <f>IF(N181="","",N181+N(O181))</f>
        <v/>
      </c>
      <c r="Q181" s="15">
        <f>IF(P181="","",P181/E181)</f>
        <v/>
      </c>
      <c r="R181" s="5" t="inlineStr">
        <is>
          <t>[оценка] БРАЗ / Благовещенский АЗ (</t>
        </is>
      </c>
      <c r="S181" s="5" t="inlineStr">
        <is>
          <t>оценка · оценка; ориентиры: 32с910р DN1000 с эл/п 544 6</t>
        </is>
      </c>
      <c r="T181" s="5" t="inlineStr">
        <is>
          <t>analog/оценка: затвор нерж. ~930 тыс. (≈3× стального) +</t>
        </is>
      </c>
      <c r="U181" s="5" t="inlineStr">
        <is>
          <t>https://bkarm.ru/elektroprivodyi-prajs-list/</t>
        </is>
      </c>
    </row>
    <row r="182" ht="34" customHeight="1">
      <c r="A182" s="5" t="inlineStr">
        <is>
          <t>1.3</t>
        </is>
      </c>
      <c r="B182" s="6" t="n">
        <v>151</v>
      </c>
      <c r="C182" s="5" t="inlineStr">
        <is>
          <t>Задвижки и затворы</t>
        </is>
      </c>
      <c r="D182" s="5" t="inlineStr">
        <is>
          <t>Затвор дисковый поворотный ЗДП-150-6,3-1-М-А-УХЛ1 (не под электропривод) Ду 150 Ру 6,3</t>
        </is>
      </c>
      <c r="E182" s="6" t="n">
        <v>3</v>
      </c>
      <c r="F182" s="5" t="inlineStr">
        <is>
          <t>шт</t>
        </is>
      </c>
      <c r="G182" s="6" t="n">
        <v>150</v>
      </c>
      <c r="H182" s="6" t="n">
        <v>0.63</v>
      </c>
      <c r="I182" s="5" t="inlineStr">
        <is>
          <t>алюминий</t>
        </is>
      </c>
      <c r="J182" s="5" t="inlineStr">
        <is>
          <t>Ручной</t>
        </is>
      </c>
      <c r="K182" s="7" t="n">
        <v>9360</v>
      </c>
      <c r="L182" s="15">
        <f>IF(K182="","",K182*(1-0.1))</f>
        <v/>
      </c>
      <c r="M182" s="6" t="n">
        <v>6</v>
      </c>
      <c r="N182" s="15">
        <f>IF(K182="","",L182*E182)</f>
        <v/>
      </c>
      <c r="O182" s="15">
        <f>IF(M182="","",M182*E182*55)</f>
        <v/>
      </c>
      <c r="P182" s="15">
        <f>IF(N182="","",N182+N(O182))</f>
        <v/>
      </c>
      <c r="Q182" s="15">
        <f>IF(P182="","",P182/E182)</f>
        <v/>
      </c>
      <c r="R182" s="5" t="inlineStr">
        <is>
          <t>ПанЭнергоМет (ktptm.ru)</t>
        </is>
      </c>
      <c r="S182" s="5" t="inlineStr">
        <is>
          <t>розница · C: © 2006-2026, цена из выдачи поиска (на стр</t>
        </is>
      </c>
      <c r="T182" s="5" t="inlineStr">
        <is>
          <t>exact · не проверено</t>
        </is>
      </c>
      <c r="U182" s="5" t="inlineStr">
        <is>
          <t>https://ktptm.ru/products/zatvor-diskovyj-povorotnyj-shiber-zdp-150-63-1-m-a-uhl1</t>
        </is>
      </c>
    </row>
    <row r="183" ht="34" customHeight="1">
      <c r="A183" s="5" t="inlineStr">
        <is>
          <t>1.3</t>
        </is>
      </c>
      <c r="B183" s="6" t="n">
        <v>152</v>
      </c>
      <c r="C183" s="5" t="inlineStr">
        <is>
          <t>Задвижки и затворы</t>
        </is>
      </c>
      <c r="D183" s="5" t="inlineStr">
        <is>
          <t>Затвор дисковый поворотный ЗДП-50-6,3-1-М-А-УХЛ1 Ду 50 Ру 6,3</t>
        </is>
      </c>
      <c r="E183" s="6" t="n">
        <v>10</v>
      </c>
      <c r="F183" s="5" t="inlineStr">
        <is>
          <t>шт</t>
        </is>
      </c>
      <c r="G183" s="6" t="n">
        <v>50</v>
      </c>
      <c r="H183" s="6" t="n">
        <v>0.63</v>
      </c>
      <c r="I183" s="5" t="inlineStr">
        <is>
          <t>алюминий</t>
        </is>
      </c>
      <c r="J183" s="5" t="inlineStr">
        <is>
          <t>Ручной</t>
        </is>
      </c>
      <c r="K183" s="7" t="n">
        <v>4500</v>
      </c>
      <c r="L183" s="15">
        <f>IF(K183="","",K183*(1-0.1))</f>
        <v/>
      </c>
      <c r="M183" s="6" t="n">
        <v>1.5</v>
      </c>
      <c r="N183" s="15">
        <f>IF(K183="","",L183*E183)</f>
        <v/>
      </c>
      <c r="O183" s="15">
        <f>IF(M183="","",M183*E183*55)</f>
        <v/>
      </c>
      <c r="P183" s="15">
        <f>IF(N183="","",N183+N(O183))</f>
        <v/>
      </c>
      <c r="Q183" s="15">
        <f>IF(P183="","",P183/E183)</f>
        <v/>
      </c>
      <c r="R183" s="5" t="inlineStr">
        <is>
          <t>[оценка] ПанЭнергоМет / Лидер-Энерг</t>
        </is>
      </c>
      <c r="S183" s="5" t="inlineStr">
        <is>
          <t>оценка · оценка от ЗДП-150 9 360 ₽</t>
        </is>
      </c>
      <c r="T183" s="5" t="inlineStr">
        <is>
          <t>exact (цена оценочная) · не проверено</t>
        </is>
      </c>
      <c r="U183" s="5" t="inlineStr">
        <is>
          <t>https://ktptm.ru/products/zatvor-diskovyj-povorotnyj-shiber-zdp-50-63-1-m-a-uhl1</t>
        </is>
      </c>
    </row>
    <row r="184" ht="34" customHeight="1">
      <c r="A184" s="5" t="inlineStr">
        <is>
          <t>1.3</t>
        </is>
      </c>
      <c r="B184" s="6" t="n">
        <v>153</v>
      </c>
      <c r="C184" s="5" t="inlineStr">
        <is>
          <t>Задвижки и затворы</t>
        </is>
      </c>
      <c r="D184" s="5" t="inlineStr">
        <is>
          <t>Затвор дисковый поворотный ЗДП-80-УХЛ1 Ду 80 Ру 6,3</t>
        </is>
      </c>
      <c r="E184" s="6" t="n">
        <v>3</v>
      </c>
      <c r="F184" s="5" t="inlineStr">
        <is>
          <t>шт</t>
        </is>
      </c>
      <c r="G184" s="6" t="n">
        <v>80</v>
      </c>
      <c r="H184" s="6" t="n">
        <v>0.63</v>
      </c>
      <c r="I184" s="5" t="inlineStr">
        <is>
          <t>алюминий</t>
        </is>
      </c>
      <c r="J184" s="5" t="inlineStr">
        <is>
          <t>Ручной</t>
        </is>
      </c>
      <c r="K184" s="7" t="n">
        <v>6000</v>
      </c>
      <c r="L184" s="15">
        <f>IF(K184="","",K184*(1-0.1))</f>
        <v/>
      </c>
      <c r="M184" s="6" t="n">
        <v>2.5</v>
      </c>
      <c r="N184" s="15">
        <f>IF(K184="","",L184*E184)</f>
        <v/>
      </c>
      <c r="O184" s="15">
        <f>IF(M184="","",M184*E184*55)</f>
        <v/>
      </c>
      <c r="P184" s="15">
        <f>IF(N184="","",N184+N(O184))</f>
        <v/>
      </c>
      <c r="Q184" s="15">
        <f>IF(P184="","",P184/E184)</f>
        <v/>
      </c>
      <c r="R184" s="5" t="inlineStr">
        <is>
          <t>[оценка] ПанЭнергоМет / ТРАНСЭНЕРГО</t>
        </is>
      </c>
      <c r="S184" s="5" t="inlineStr">
        <is>
          <t>оценка · оценка от ЗДП-150 9 360 ₽</t>
        </is>
      </c>
      <c r="T184" s="5" t="inlineStr">
        <is>
          <t>exact (цена оценочная) · не проверено</t>
        </is>
      </c>
      <c r="U184" s="5" t="inlineStr">
        <is>
          <t>https://www.eesk.su/goods/98853439-zatvor_diskovy_povorotny_zdp_80_6_3_1_m_a_ukhl1</t>
        </is>
      </c>
    </row>
    <row r="185" ht="34" customHeight="1">
      <c r="A185" s="5" t="inlineStr">
        <is>
          <t>1.3</t>
        </is>
      </c>
      <c r="B185" s="6" t="n">
        <v>154</v>
      </c>
      <c r="C185" s="5" t="inlineStr">
        <is>
          <t>Задвижки и затворы</t>
        </is>
      </c>
      <c r="D185" s="5" t="inlineStr">
        <is>
          <t>Затвор дисковый поворотный(ГРЭНВЭЛ) Тип /серия FL(w)-3-MR-E Ду 100 Ру 16</t>
        </is>
      </c>
      <c r="E185" s="6" t="n">
        <v>4</v>
      </c>
      <c r="F185" s="5" t="inlineStr">
        <is>
          <t>шт</t>
        </is>
      </c>
      <c r="G185" s="6" t="n">
        <v>100</v>
      </c>
      <c r="H185" s="6" t="n">
        <v>1.6</v>
      </c>
      <c r="I185" s="5" t="inlineStr">
        <is>
          <t>Серый чугун EN-GJL-250</t>
        </is>
      </c>
      <c r="J185" s="5" t="inlineStr">
        <is>
          <t>Ручной</t>
        </is>
      </c>
      <c r="K185" s="7" t="n">
        <v>13640</v>
      </c>
      <c r="L185" s="15">
        <f>IF(K185="","",K185*(1-0.1))</f>
        <v/>
      </c>
      <c r="M185" s="6" t="n">
        <v>4.5</v>
      </c>
      <c r="N185" s="15">
        <f>IF(K185="","",L185*E185)</f>
        <v/>
      </c>
      <c r="O185" s="15">
        <f>IF(M185="","",M185*E185*55)</f>
        <v/>
      </c>
      <c r="P185" s="15">
        <f>IF(N185="","",N185+N(O185))</f>
        <v/>
      </c>
      <c r="Q185" s="15">
        <f>IF(P185="","",P185/E185)</f>
        <v/>
      </c>
      <c r="R185" s="5" t="inlineStr">
        <is>
          <t>АДЛ (adl.ru), производитель Гранвэл</t>
        </is>
      </c>
      <c r="S185" s="5" t="inlineStr">
        <is>
          <t>прайс завода · A: прайс-лист АДЛ от 12.10.2026 (у.е.=EU</t>
        </is>
      </c>
      <c r="T185" s="5" t="inlineStr">
        <is>
          <t>exact: ЗПВЛ-FLN(W)-5-100-MN-Е (диск CF8M, EPDM) · не пр</t>
        </is>
      </c>
      <c r="U185" s="5" t="inlineStr">
        <is>
          <t>https://adl.ru/files/a7d1f80d-deeb-11e5-9f63-001f296a5bc2/Price_ADL_Valves_HVAC.XLSX</t>
        </is>
      </c>
    </row>
    <row r="186" ht="34" customHeight="1">
      <c r="A186" s="5" t="inlineStr">
        <is>
          <t>1.3</t>
        </is>
      </c>
      <c r="B186" s="6" t="n">
        <v>155</v>
      </c>
      <c r="C186" s="5" t="inlineStr">
        <is>
          <t>Задвижки и затворы</t>
        </is>
      </c>
      <c r="D186" s="5" t="inlineStr">
        <is>
          <t>Затвор дисковый поворотный(ГРЭНВЭЛ) ЗП ТЛ Ду 100 Ру 16</t>
        </is>
      </c>
      <c r="E186" s="6" t="n">
        <v>16</v>
      </c>
      <c r="F186" s="5" t="inlineStr">
        <is>
          <t>шт</t>
        </is>
      </c>
      <c r="G186" s="6" t="n">
        <v>100</v>
      </c>
      <c r="H186" s="6" t="n">
        <v>1.6</v>
      </c>
      <c r="I186" s="5" t="inlineStr">
        <is>
          <t>Корпус: - Серый чугун GG25 • Высокопрочн</t>
        </is>
      </c>
      <c r="J186" s="5" t="inlineStr">
        <is>
          <t>ручной (рукоятка)</t>
        </is>
      </c>
      <c r="K186" s="7" t="n">
        <v>13640</v>
      </c>
      <c r="L186" s="15">
        <f>IF(K186="","",K186*(1-0.1))</f>
        <v/>
      </c>
      <c r="M186" s="6" t="n">
        <v>4.5</v>
      </c>
      <c r="N186" s="15">
        <f>IF(K186="","",L186*E186)</f>
        <v/>
      </c>
      <c r="O186" s="15">
        <f>IF(M186="","",M186*E186*55)</f>
        <v/>
      </c>
      <c r="P186" s="15">
        <f>IF(N186="","",N186+N(O186))</f>
        <v/>
      </c>
      <c r="Q186" s="15">
        <f>IF(P186="","",P186/E186)</f>
        <v/>
      </c>
      <c r="R186" s="5" t="inlineStr">
        <is>
          <t>АДЛ (adl.ru), производитель Гранвэл</t>
        </is>
      </c>
      <c r="S186" s="5" t="inlineStr">
        <is>
          <t>прайс завода · A: прайс-лист АДЛ от 12.10.2026 (у.е.=EU</t>
        </is>
      </c>
      <c r="T186" s="5" t="inlineStr">
        <is>
          <t>exact: ЗПТЛ-FLN(W)-5-100-MN-HT (диск CF8M, EPDM HT) · н</t>
        </is>
      </c>
      <c r="U186" s="5" t="inlineStr">
        <is>
          <t>https://adl.ru/files/a7d1f80d-deeb-11e5-9f63-001f296a5bc2/Price_ADL_Valves_HVAC.XLSX</t>
        </is>
      </c>
    </row>
    <row r="187" ht="34" customHeight="1">
      <c r="A187" s="5" t="inlineStr">
        <is>
          <t>1.3</t>
        </is>
      </c>
      <c r="B187" s="6" t="n">
        <v>156</v>
      </c>
      <c r="C187" s="5" t="inlineStr">
        <is>
          <t>Задвижки и затворы</t>
        </is>
      </c>
      <c r="D187" s="5" t="inlineStr">
        <is>
          <t>Затвор дисковый поворотный(ГРЭНВЭЛ) ЗП ТЛ Ду 150 Ру 16</t>
        </is>
      </c>
      <c r="E187" s="6" t="n">
        <v>20</v>
      </c>
      <c r="F187" s="5" t="inlineStr">
        <is>
          <t>шт</t>
        </is>
      </c>
      <c r="G187" s="6" t="n">
        <v>150</v>
      </c>
      <c r="H187" s="6" t="n">
        <v>1.6</v>
      </c>
      <c r="I187" s="5" t="inlineStr">
        <is>
          <t>Корпус: - Серый чугун GG25 • Высокопрочн</t>
        </is>
      </c>
      <c r="J187" s="5" t="inlineStr">
        <is>
          <t>ручной (рукоятка)</t>
        </is>
      </c>
      <c r="K187" s="7" t="n">
        <v>27828</v>
      </c>
      <c r="L187" s="15">
        <f>IF(K187="","",K187*(1-0.1))</f>
        <v/>
      </c>
      <c r="M187" s="6" t="n">
        <v>7.5</v>
      </c>
      <c r="N187" s="15">
        <f>IF(K187="","",L187*E187)</f>
        <v/>
      </c>
      <c r="O187" s="15">
        <f>IF(M187="","",M187*E187*55)</f>
        <v/>
      </c>
      <c r="P187" s="15">
        <f>IF(N187="","",N187+N(O187))</f>
        <v/>
      </c>
      <c r="Q187" s="15">
        <f>IF(P187="","",P187/E187)</f>
        <v/>
      </c>
      <c r="R187" s="5" t="inlineStr">
        <is>
          <t>АДЛ (adl.ru), производитель Гранвэл</t>
        </is>
      </c>
      <c r="S187" s="5" t="inlineStr">
        <is>
          <t>прайс завода · A: прайс-лист АДЛ от 12.10.2026 (у.е.=EU</t>
        </is>
      </c>
      <c r="T187" s="5" t="inlineStr">
        <is>
          <t>exact: ЗПТЛ-FLN(W)-5-150-MN-HT (диск CF8M, EPDM HT) · н</t>
        </is>
      </c>
      <c r="U187" s="5" t="inlineStr">
        <is>
          <t>https://adl.ru/files/a7d1f80d-deeb-11e5-9f63-001f296a5bc2/Price_ADL_Valves_HVAC.XLSX</t>
        </is>
      </c>
    </row>
    <row r="188" ht="34" customHeight="1">
      <c r="A188" s="5" t="inlineStr">
        <is>
          <t>1.3</t>
        </is>
      </c>
      <c r="B188" s="6" t="n">
        <v>157</v>
      </c>
      <c r="C188" s="5" t="inlineStr">
        <is>
          <t>Задвижки и затворы</t>
        </is>
      </c>
      <c r="D188" s="5" t="inlineStr">
        <is>
          <t>Затвор дисковый поворотный(ГРЭНВЭЛ) ЗП ТЛ Ду 200 Ру 16</t>
        </is>
      </c>
      <c r="E188" s="6" t="n">
        <v>16</v>
      </c>
      <c r="F188" s="5" t="inlineStr">
        <is>
          <t>шт</t>
        </is>
      </c>
      <c r="G188" s="6" t="n">
        <v>200</v>
      </c>
      <c r="H188" s="6" t="n">
        <v>1.6</v>
      </c>
      <c r="I188" s="5" t="inlineStr">
        <is>
          <t>Корпус: - Серый чугун GG25 • Высокопрочн</t>
        </is>
      </c>
      <c r="J188" s="5" t="inlineStr">
        <is>
          <t>ручной (рукоятка)</t>
        </is>
      </c>
      <c r="K188" s="7" t="n">
        <v>40578</v>
      </c>
      <c r="L188" s="15">
        <f>IF(K188="","",K188*(1-0.1))</f>
        <v/>
      </c>
      <c r="M188" s="6" t="n">
        <v>12</v>
      </c>
      <c r="N188" s="15">
        <f>IF(K188="","",L188*E188)</f>
        <v/>
      </c>
      <c r="O188" s="15">
        <f>IF(M188="","",M188*E188*55)</f>
        <v/>
      </c>
      <c r="P188" s="15">
        <f>IF(N188="","",N188+N(O188))</f>
        <v/>
      </c>
      <c r="Q188" s="15">
        <f>IF(P188="","",P188/E188)</f>
        <v/>
      </c>
      <c r="R188" s="5" t="inlineStr">
        <is>
          <t>АДЛ (adl.ru), производитель Гранвэл</t>
        </is>
      </c>
      <c r="S188" s="5" t="inlineStr">
        <is>
          <t>прайс завода · A: прайс-лист АДЛ от 12.10.2026 (у.е.=EU</t>
        </is>
      </c>
      <c r="T188" s="5" t="inlineStr">
        <is>
          <t xml:space="preserve">exact: ЗПТЛ-FLN(W)-5-200-MRR-HT (диск CF8M, EPDM HT) · </t>
        </is>
      </c>
      <c r="U188" s="5" t="inlineStr">
        <is>
          <t>https://adl.ru/files/a7d1f80d-deeb-11e5-9f63-001f296a5bc2/Price_ADL_Valves_HVAC.XLSX</t>
        </is>
      </c>
    </row>
    <row r="189" ht="34" customHeight="1">
      <c r="A189" s="5" t="inlineStr">
        <is>
          <t>1.3</t>
        </is>
      </c>
      <c r="B189" s="6" t="n">
        <v>158</v>
      </c>
      <c r="C189" s="5" t="inlineStr">
        <is>
          <t>Задвижки и затворы</t>
        </is>
      </c>
      <c r="D189" s="5" t="inlineStr">
        <is>
          <t>Затвор дисковый поворотный(ГРЭНВЭЛ) ЗП ТЛ Ду 80 Ру 16</t>
        </is>
      </c>
      <c r="E189" s="6" t="n">
        <v>9</v>
      </c>
      <c r="F189" s="5" t="inlineStr">
        <is>
          <t>шт</t>
        </is>
      </c>
      <c r="G189" s="6" t="n">
        <v>80</v>
      </c>
      <c r="H189" s="6" t="n">
        <v>1.6</v>
      </c>
      <c r="I189" s="5" t="inlineStr">
        <is>
          <t>Корпус: - Серый чугун GG25 • Высокопрочн</t>
        </is>
      </c>
      <c r="J189" s="5" t="inlineStr">
        <is>
          <t>ручной (рукоятка)</t>
        </is>
      </c>
      <c r="K189" s="7" t="n">
        <v>11423</v>
      </c>
      <c r="L189" s="15">
        <f>IF(K189="","",K189*(1-0.1))</f>
        <v/>
      </c>
      <c r="M189" s="6" t="n">
        <v>3.5</v>
      </c>
      <c r="N189" s="15">
        <f>IF(K189="","",L189*E189)</f>
        <v/>
      </c>
      <c r="O189" s="15">
        <f>IF(M189="","",M189*E189*55)</f>
        <v/>
      </c>
      <c r="P189" s="15">
        <f>IF(N189="","",N189+N(O189))</f>
        <v/>
      </c>
      <c r="Q189" s="15">
        <f>IF(P189="","",P189/E189)</f>
        <v/>
      </c>
      <c r="R189" s="5" t="inlineStr">
        <is>
          <t>АДЛ (adl.ru), производитель Гранвэл</t>
        </is>
      </c>
      <c r="S189" s="5" t="inlineStr">
        <is>
          <t>прайс завода · A: прайс-лист АДЛ от 12.10.2026 (у.е.=EU</t>
        </is>
      </c>
      <c r="T189" s="5" t="inlineStr">
        <is>
          <t>exact: ЗПТЛ-FLN(W)-5-080-MN-HT (диск CF8M, EPDM HT) · н</t>
        </is>
      </c>
      <c r="U189" s="5" t="inlineStr">
        <is>
          <t>https://adl.ru/files/a7d1f80d-deeb-11e5-9f63-001f296a5bc2/Price_ADL_Valves_HVAC.XLSX</t>
        </is>
      </c>
    </row>
    <row r="190" ht="34" customHeight="1">
      <c r="A190" s="5" t="inlineStr">
        <is>
          <t>1.3</t>
        </is>
      </c>
      <c r="B190" s="6" t="n">
        <v>159</v>
      </c>
      <c r="C190" s="5" t="inlineStr">
        <is>
          <t>Задвижки и затворы</t>
        </is>
      </c>
      <c r="D190" s="5" t="inlineStr">
        <is>
          <t>Затвор дисковый поворотный(ГРЭНВЭЛ) Тип /серия FL(w)-3-MR-E Ду 150 Ру 16</t>
        </is>
      </c>
      <c r="E190" s="6" t="n">
        <v>25</v>
      </c>
      <c r="F190" s="5" t="inlineStr">
        <is>
          <t>шт</t>
        </is>
      </c>
      <c r="G190" s="6" t="n">
        <v>150</v>
      </c>
      <c r="H190" s="6" t="n">
        <v>1.6</v>
      </c>
      <c r="I190" s="5" t="inlineStr">
        <is>
          <t>Серый чугун EN-GJL-250</t>
        </is>
      </c>
      <c r="J190" s="5" t="inlineStr">
        <is>
          <t>Ручной</t>
        </is>
      </c>
      <c r="K190" s="7" t="n">
        <v>27828</v>
      </c>
      <c r="L190" s="15">
        <f>IF(K190="","",K190*(1-0.1))</f>
        <v/>
      </c>
      <c r="M190" s="6" t="n">
        <v>7.5</v>
      </c>
      <c r="N190" s="15">
        <f>IF(K190="","",L190*E190)</f>
        <v/>
      </c>
      <c r="O190" s="15">
        <f>IF(M190="","",M190*E190*55)</f>
        <v/>
      </c>
      <c r="P190" s="15">
        <f>IF(N190="","",N190+N(O190))</f>
        <v/>
      </c>
      <c r="Q190" s="15">
        <f>IF(P190="","",P190/E190)</f>
        <v/>
      </c>
      <c r="R190" s="5" t="inlineStr">
        <is>
          <t>АДЛ (adl.ru), производитель Гранвэл</t>
        </is>
      </c>
      <c r="S190" s="5" t="inlineStr">
        <is>
          <t>прайс завода · A: прайс-лист АДЛ от 12.10.2026 (у.е.=EU</t>
        </is>
      </c>
      <c r="T190" s="5" t="inlineStr">
        <is>
          <t>exact: ЗПВЛ-FLN(W)-5-150-MN-Е (диск CF8M, EPDM) · не пр</t>
        </is>
      </c>
      <c r="U190" s="5" t="inlineStr">
        <is>
          <t>https://adl.ru/files/a7d1f80d-deeb-11e5-9f63-001f296a5bc2/Price_ADL_Valves_HVAC.XLSX</t>
        </is>
      </c>
    </row>
    <row r="191" ht="34" customHeight="1">
      <c r="A191" s="5" t="inlineStr">
        <is>
          <t>1.3</t>
        </is>
      </c>
      <c r="B191" s="6" t="n">
        <v>160</v>
      </c>
      <c r="C191" s="5" t="inlineStr">
        <is>
          <t>Задвижки и затворы</t>
        </is>
      </c>
      <c r="D191" s="5" t="inlineStr">
        <is>
          <t>Затвор дисковый поворотный(ГРЭНВЭЛ) Тип /серия FL(w)-3-MR-E Ду 200 Ру 16</t>
        </is>
      </c>
      <c r="E191" s="6" t="n">
        <v>6</v>
      </c>
      <c r="F191" s="5" t="inlineStr">
        <is>
          <t>шт</t>
        </is>
      </c>
      <c r="G191" s="6" t="n">
        <v>200</v>
      </c>
      <c r="H191" s="6" t="n">
        <v>1.6</v>
      </c>
      <c r="I191" s="5" t="inlineStr">
        <is>
          <t>Серый чугун EN-GJL-250</t>
        </is>
      </c>
      <c r="J191" s="5" t="inlineStr">
        <is>
          <t>Ручной</t>
        </is>
      </c>
      <c r="K191" s="7" t="n">
        <v>40976</v>
      </c>
      <c r="L191" s="15">
        <f>IF(K191="","",K191*(1-0.1))</f>
        <v/>
      </c>
      <c r="M191" s="6" t="n">
        <v>12</v>
      </c>
      <c r="N191" s="15">
        <f>IF(K191="","",L191*E191)</f>
        <v/>
      </c>
      <c r="O191" s="15">
        <f>IF(M191="","",M191*E191*55)</f>
        <v/>
      </c>
      <c r="P191" s="15">
        <f>IF(N191="","",N191+N(O191))</f>
        <v/>
      </c>
      <c r="Q191" s="15">
        <f>IF(P191="","",P191/E191)</f>
        <v/>
      </c>
      <c r="R191" s="5" t="inlineStr">
        <is>
          <t>АДЛ (adl.ru), производитель Гранвэл</t>
        </is>
      </c>
      <c r="S191" s="5" t="inlineStr">
        <is>
          <t>прайс завода · A: прайс-лист АДЛ от 12.10.2026 (у.е.=EU</t>
        </is>
      </c>
      <c r="T191" s="5" t="inlineStr">
        <is>
          <t>exact: ЗПВЛ-FLN(W)-5-200-MR-Е (диск CF8M, EPDM) · не пр</t>
        </is>
      </c>
      <c r="U191" s="5" t="inlineStr">
        <is>
          <t>https://adl.ru/files/a7d1f80d-deeb-11e5-9f63-001f296a5bc2/Price_ADL_Valves_HVAC.XLSX</t>
        </is>
      </c>
    </row>
    <row r="192" ht="34" customHeight="1">
      <c r="A192" s="5" t="inlineStr">
        <is>
          <t>1.3</t>
        </is>
      </c>
      <c r="B192" s="6" t="n">
        <v>161</v>
      </c>
      <c r="C192" s="5" t="inlineStr">
        <is>
          <t>Задвижки и затворы</t>
        </is>
      </c>
      <c r="D192" s="5" t="inlineStr">
        <is>
          <t>Затвор дисковый поворотный(ГРЭНВЭЛ) Тип /серия FL(w)-3-MR-E Ду 80 Ру 16</t>
        </is>
      </c>
      <c r="E192" s="6" t="n">
        <v>2</v>
      </c>
      <c r="F192" s="5" t="inlineStr">
        <is>
          <t>шт</t>
        </is>
      </c>
      <c r="G192" s="6" t="n">
        <v>80</v>
      </c>
      <c r="H192" s="6" t="n">
        <v>1.6</v>
      </c>
      <c r="I192" s="5" t="inlineStr">
        <is>
          <t>Серый чугун EN-GJL-250</t>
        </is>
      </c>
      <c r="J192" s="5" t="inlineStr">
        <is>
          <t>Ручной</t>
        </is>
      </c>
      <c r="K192" s="7" t="n">
        <v>11423</v>
      </c>
      <c r="L192" s="15">
        <f>IF(K192="","",K192*(1-0.1))</f>
        <v/>
      </c>
      <c r="M192" s="6" t="n">
        <v>3.5</v>
      </c>
      <c r="N192" s="15">
        <f>IF(K192="","",L192*E192)</f>
        <v/>
      </c>
      <c r="O192" s="15">
        <f>IF(M192="","",M192*E192*55)</f>
        <v/>
      </c>
      <c r="P192" s="15">
        <f>IF(N192="","",N192+N(O192))</f>
        <v/>
      </c>
      <c r="Q192" s="15">
        <f>IF(P192="","",P192/E192)</f>
        <v/>
      </c>
      <c r="R192" s="5" t="inlineStr">
        <is>
          <t>АДЛ (adl.ru), производитель Гранвэл</t>
        </is>
      </c>
      <c r="S192" s="5" t="inlineStr">
        <is>
          <t>прайс завода · A: прайс-лист АДЛ от 12.10.2026 (у.е.=EU</t>
        </is>
      </c>
      <c r="T192" s="5" t="inlineStr">
        <is>
          <t>exact: ЗПВЛ-FLN(W)-5-080-MN-Е (диск CF8M, EPDM) · не пр</t>
        </is>
      </c>
      <c r="U192" s="5" t="inlineStr">
        <is>
          <t>https://adl.ru/files/a7d1f80d-deeb-11e5-9f63-001f296a5bc2/Price_ADL_Valves_HVAC.XLSX</t>
        </is>
      </c>
    </row>
    <row r="193" ht="34" customHeight="1">
      <c r="A193" s="5" t="inlineStr">
        <is>
          <t>1.3</t>
        </is>
      </c>
      <c r="B193" s="6" t="n">
        <v>162</v>
      </c>
      <c r="C193" s="5" t="inlineStr">
        <is>
          <t>Задвижки и затворы</t>
        </is>
      </c>
      <c r="D193" s="5" t="inlineStr">
        <is>
          <t>Затвор поворотный дисковый Ду 65 Ру 16 ГРАНВЭЛ тип ЗПВС</t>
        </is>
      </c>
      <c r="E193" s="6" t="n">
        <v>2</v>
      </c>
      <c r="F193" s="5" t="inlineStr">
        <is>
          <t>шт</t>
        </is>
      </c>
      <c r="G193" s="6" t="n">
        <v>65</v>
      </c>
      <c r="H193" s="6" t="n">
        <v>1.6</v>
      </c>
      <c r="I193" s="5" t="inlineStr">
        <is>
          <t>чугун</t>
        </is>
      </c>
      <c r="J193" s="5" t="inlineStr">
        <is>
          <t xml:space="preserve">Ручное </t>
        </is>
      </c>
      <c r="K193" s="7" t="n">
        <v>6003</v>
      </c>
      <c r="L193" s="15">
        <f>IF(K193="","",K193*(1-0.1))</f>
        <v/>
      </c>
      <c r="M193" s="6" t="n">
        <v>3</v>
      </c>
      <c r="N193" s="15">
        <f>IF(K193="","",L193*E193)</f>
        <v/>
      </c>
      <c r="O193" s="15">
        <f>IF(M193="","",M193*E193*55)</f>
        <v/>
      </c>
      <c r="P193" s="15">
        <f>IF(N193="","",N193+N(O193))</f>
        <v/>
      </c>
      <c r="Q193" s="15">
        <f>IF(P193="","",P193/E193)</f>
        <v/>
      </c>
      <c r="R193" s="5" t="inlineStr">
        <is>
          <t>АДЛ (adl.ru), производитель Гранвэл</t>
        </is>
      </c>
      <c r="S193" s="5" t="inlineStr">
        <is>
          <t>прайс завода · A: прайс-лист АДЛ от 12.10.2026 (у.е.=EU</t>
        </is>
      </c>
      <c r="T193" s="5" t="inlineStr">
        <is>
          <t xml:space="preserve">exact: ЗПВС-FL(W)-3-065-MN-E (корпус GG25, диск GGG40, </t>
        </is>
      </c>
      <c r="U193" s="5" t="inlineStr">
        <is>
          <t>https://adl.ru/files/a7d1f80d-deeb-11e5-9f63-001f296a5bc2/Price_ADL_Valves_HVAC.XLSX</t>
        </is>
      </c>
    </row>
    <row r="194" ht="34" customHeight="1">
      <c r="A194" s="5" t="inlineStr">
        <is>
          <t>1.3</t>
        </is>
      </c>
      <c r="B194" s="6" t="n">
        <v>163</v>
      </c>
      <c r="C194" s="5" t="inlineStr">
        <is>
          <t>Краны шаровые и прочее</t>
        </is>
      </c>
      <c r="D194" s="5" t="inlineStr">
        <is>
          <t>Электропривод прямоходный Regada SТ0 490.0-00TQV/00</t>
        </is>
      </c>
      <c r="E194" s="6" t="n">
        <v>1</v>
      </c>
      <c r="F194" s="5" t="inlineStr">
        <is>
          <t>шт</t>
        </is>
      </c>
      <c r="G194" s="6" t="n"/>
      <c r="H194" s="6" t="n"/>
      <c r="I194" s="5" t="inlineStr"/>
      <c r="J194" s="5" t="inlineStr"/>
      <c r="K194" s="7" t="n">
        <v>90000</v>
      </c>
      <c r="L194" s="15">
        <f>IF(K194="","",K194*(1-0.1))</f>
        <v/>
      </c>
      <c r="M194" s="6" t="n">
        <v>10</v>
      </c>
      <c r="N194" s="15">
        <f>IF(K194="","",L194*E194)</f>
        <v/>
      </c>
      <c r="O194" s="15">
        <f>IF(M194="","",M194*E194*55)</f>
        <v/>
      </c>
      <c r="P194" s="15">
        <f>IF(N194="","",N194+N(O194))</f>
        <v/>
      </c>
      <c r="Q194" s="15">
        <f>IF(P194="","",P194/E194)</f>
        <v/>
      </c>
      <c r="R194" s="5" t="inlineStr">
        <is>
          <t xml:space="preserve">АБС ЗЭиМ Автоматизация (Чебоксары) </t>
        </is>
      </c>
      <c r="S194" s="5" t="inlineStr">
        <is>
          <t>оценка · открытой цены нет</t>
        </is>
      </c>
      <c r="T194" s="5" t="inlineStr">
        <is>
          <t>analog: прямоходный ЭИМ рос. пр-ва (МЭП-4500/25, 4,5 кН</t>
        </is>
      </c>
      <c r="U194" s="5" t="inlineStr"/>
    </row>
    <row r="195" ht="34" customHeight="1">
      <c r="A195" s="5" t="inlineStr">
        <is>
          <t>1.4</t>
        </is>
      </c>
      <c r="B195" s="6" t="n">
        <v>1</v>
      </c>
      <c r="C195" s="5" t="inlineStr">
        <is>
          <t>Краны шаровые и прочее</t>
        </is>
      </c>
      <c r="D195" s="5" t="inlineStr">
        <is>
          <t>Рыбозащитное устройство с потокообразователем</t>
        </is>
      </c>
      <c r="E195" s="6" t="n">
        <v>1</v>
      </c>
      <c r="F195" s="5" t="inlineStr">
        <is>
          <t>шт</t>
        </is>
      </c>
      <c r="G195" s="6" t="n"/>
      <c r="H195" s="6" t="n"/>
      <c r="I195" s="5" t="inlineStr">
        <is>
          <t>Сталь 20</t>
        </is>
      </c>
      <c r="J195" s="5" t="inlineStr"/>
      <c r="K195" s="7" t="n">
        <v>450000</v>
      </c>
      <c r="L195" s="15">
        <f>IF(K195="","",K195*(1-0.1))</f>
        <v/>
      </c>
      <c r="M195" s="6" t="n">
        <v>300</v>
      </c>
      <c r="N195" s="15">
        <f>IF(K195="","",L195*E195)</f>
        <v/>
      </c>
      <c r="O195" s="15">
        <f>IF(M195="","",M195*E195*55)</f>
        <v/>
      </c>
      <c r="P195" s="15">
        <f>IF(N195="","",N195+N(O195))</f>
        <v/>
      </c>
      <c r="Q195" s="15">
        <f>IF(P195="","",P195/E195)</f>
        <v/>
      </c>
      <c r="R195" s="5" t="inlineStr">
        <is>
          <t>изготовление по ТЗ (рос. заводы гид</t>
        </is>
      </c>
      <c r="S195" s="5" t="inlineStr">
        <is>
          <t>оценка · нет</t>
        </is>
      </c>
      <c r="T195" s="5" t="inlineStr">
        <is>
          <t>analog: изготовление по чертежу заказчика · нет</t>
        </is>
      </c>
      <c r="U195" s="5" t="inlineStr"/>
    </row>
    <row r="196" ht="34" customHeight="1">
      <c r="A196" s="5" t="inlineStr">
        <is>
          <t>1.5</t>
        </is>
      </c>
      <c r="B196" s="6" t="n">
        <v>1</v>
      </c>
      <c r="C196" s="5" t="inlineStr">
        <is>
          <t>Клапаны</t>
        </is>
      </c>
      <c r="D196" s="5" t="inlineStr">
        <is>
          <t>Клапан запорный 15кч18п Ду 25 Ру 16</t>
        </is>
      </c>
      <c r="E196" s="6" t="n">
        <v>11</v>
      </c>
      <c r="F196" s="5" t="inlineStr">
        <is>
          <t>шт</t>
        </is>
      </c>
      <c r="G196" s="6" t="n">
        <v>25</v>
      </c>
      <c r="H196" s="6" t="n">
        <v>1.6</v>
      </c>
      <c r="I196" s="5" t="inlineStr">
        <is>
          <t>КЧ30</t>
        </is>
      </c>
      <c r="J196" s="5" t="inlineStr">
        <is>
          <t>Ручной</t>
        </is>
      </c>
      <c r="K196" s="7" t="n">
        <v>550</v>
      </c>
      <c r="L196" s="15">
        <f>IF(K196="","",K196*(1-0.1))</f>
        <v/>
      </c>
      <c r="M196" s="6" t="n">
        <v>1.3</v>
      </c>
      <c r="N196" s="15">
        <f>IF(K196="","",L196*E196)</f>
        <v/>
      </c>
      <c r="O196" s="15">
        <f>IF(M196="","",M196*E196*55)</f>
        <v/>
      </c>
      <c r="P196" s="15">
        <f>IF(N196="","",N196+N(O196))</f>
        <v/>
      </c>
      <c r="Q196" s="15">
        <f>IF(P196="","",P196/E196)</f>
        <v/>
      </c>
      <c r="R196" s="5" t="inlineStr">
        <is>
          <t>ДН.ру</t>
        </is>
      </c>
      <c r="S196" s="5" t="inlineStr">
        <is>
          <t>оценка · оценка по соседнему типоразмеру/аналогу (источ</t>
        </is>
      </c>
      <c r="T196" s="5" t="inlineStr">
        <is>
          <t>exact (марка), оценка рос. исполнения · не проверено</t>
        </is>
      </c>
      <c r="U196" s="5" t="inlineStr">
        <is>
          <t>https://dn.ru/klapan/klapan-zapornyi/2hod/chugun/shturval/kitai/15kch18p1/dn25</t>
        </is>
      </c>
    </row>
    <row r="197" ht="34" customHeight="1">
      <c r="A197" s="5" t="inlineStr">
        <is>
          <t>1.5</t>
        </is>
      </c>
      <c r="B197" s="6" t="n">
        <v>2</v>
      </c>
      <c r="C197" s="5" t="inlineStr">
        <is>
          <t>Задвижки и затворы</t>
        </is>
      </c>
      <c r="D197" s="5" t="inlineStr">
        <is>
          <t>Задвижка 30с64нж Ду 50 Ру 25</t>
        </is>
      </c>
      <c r="E197" s="6" t="n">
        <v>2</v>
      </c>
      <c r="F197" s="5" t="inlineStr">
        <is>
          <t>шт</t>
        </is>
      </c>
      <c r="G197" s="6" t="n">
        <v>50</v>
      </c>
      <c r="H197" s="6" t="n">
        <v>2.5</v>
      </c>
      <c r="I197" s="5" t="inlineStr">
        <is>
          <t>сталь 25л</t>
        </is>
      </c>
      <c r="J197" s="5" t="inlineStr">
        <is>
          <t>ручной</t>
        </is>
      </c>
      <c r="K197" s="7" t="n">
        <v>10752</v>
      </c>
      <c r="L197" s="15">
        <f>IF(K197="","",K197*(1-0.1))</f>
        <v/>
      </c>
      <c r="M197" s="6" t="n">
        <v>21</v>
      </c>
      <c r="N197" s="15">
        <f>IF(K197="","",L197*E197)</f>
        <v/>
      </c>
      <c r="O197" s="15">
        <f>IF(M197="","",M197*E197*55)</f>
        <v/>
      </c>
      <c r="P197" s="15">
        <f>IF(N197="","",N197+N(O197))</f>
        <v/>
      </c>
      <c r="Q197" s="15">
        <f>IF(P197="","",P197/E197)</f>
        <v/>
      </c>
      <c r="R197" s="5" t="inlineStr">
        <is>
          <t>БК-Арматура (bkarm.ru)</t>
        </is>
      </c>
      <c r="S197" s="5" t="inlineStr">
        <is>
          <t>розница · C: © 1994-2026, прайс-страница, цены с НДС</t>
        </is>
      </c>
      <c r="T197" s="5" t="inlineStr">
        <is>
          <t>exact · не проверено</t>
        </is>
      </c>
      <c r="U197" s="5" t="inlineStr">
        <is>
          <t>https://bkarm.ru/zadvizhki-stalnye-prajs-list/</t>
        </is>
      </c>
    </row>
    <row r="198" ht="34" customHeight="1">
      <c r="A198" s="5" t="inlineStr">
        <is>
          <t>1.5</t>
        </is>
      </c>
      <c r="B198" s="6" t="n">
        <v>3</v>
      </c>
      <c r="C198" s="5" t="inlineStr">
        <is>
          <t>Задвижки и затворы</t>
        </is>
      </c>
      <c r="D198" s="5" t="inlineStr">
        <is>
          <t>Задвижка 30с64нж Ду 80 Ру 25</t>
        </is>
      </c>
      <c r="E198" s="6" t="n">
        <v>2</v>
      </c>
      <c r="F198" s="5" t="inlineStr">
        <is>
          <t>шт</t>
        </is>
      </c>
      <c r="G198" s="6" t="n">
        <v>80</v>
      </c>
      <c r="H198" s="6" t="n">
        <v>2.5</v>
      </c>
      <c r="I198" s="5" t="inlineStr">
        <is>
          <t>сталь 25л</t>
        </is>
      </c>
      <c r="J198" s="5" t="inlineStr">
        <is>
          <t>ручной</t>
        </is>
      </c>
      <c r="K198" s="7" t="n">
        <v>16717</v>
      </c>
      <c r="L198" s="15">
        <f>IF(K198="","",K198*(1-0.1))</f>
        <v/>
      </c>
      <c r="M198" s="6" t="n">
        <v>33</v>
      </c>
      <c r="N198" s="15">
        <f>IF(K198="","",L198*E198)</f>
        <v/>
      </c>
      <c r="O198" s="15">
        <f>IF(M198="","",M198*E198*55)</f>
        <v/>
      </c>
      <c r="P198" s="15">
        <f>IF(N198="","",N198+N(O198))</f>
        <v/>
      </c>
      <c r="Q198" s="15">
        <f>IF(P198="","",P198/E198)</f>
        <v/>
      </c>
      <c r="R198" s="5" t="inlineStr">
        <is>
          <t>БК-Арматура (bkarm.ru)</t>
        </is>
      </c>
      <c r="S198" s="5" t="inlineStr">
        <is>
          <t>розница · C: © 1994-2026, прайс-страница, цены с НДС</t>
        </is>
      </c>
      <c r="T198" s="5" t="inlineStr">
        <is>
          <t>exact · не проверено</t>
        </is>
      </c>
      <c r="U198" s="5" t="inlineStr">
        <is>
          <t>https://bkarm.ru/zadvizhki-stalnye-prajs-list/</t>
        </is>
      </c>
    </row>
    <row r="199" ht="34" customHeight="1">
      <c r="A199" s="5" t="inlineStr">
        <is>
          <t>1.5</t>
        </is>
      </c>
      <c r="B199" s="6" t="n">
        <v>4</v>
      </c>
      <c r="C199" s="5" t="inlineStr">
        <is>
          <t>Краны шаровые и прочее</t>
        </is>
      </c>
      <c r="D199" s="5" t="inlineStr">
        <is>
          <t>Кран шаровой 11б27п1 Ду 15 Ру 16</t>
        </is>
      </c>
      <c r="E199" s="6" t="n">
        <v>28</v>
      </c>
      <c r="F199" s="5" t="inlineStr">
        <is>
          <t>шт</t>
        </is>
      </c>
      <c r="G199" s="6" t="n">
        <v>15</v>
      </c>
      <c r="H199" s="6" t="n">
        <v>1.6</v>
      </c>
      <c r="I199" s="5" t="inlineStr">
        <is>
          <t>латунь HPb58-2A</t>
        </is>
      </c>
      <c r="J199" s="5" t="inlineStr">
        <is>
          <t xml:space="preserve">Ручное </t>
        </is>
      </c>
      <c r="K199" s="7" t="n">
        <v>302</v>
      </c>
      <c r="L199" s="15">
        <f>IF(K199="","",K199*(1-0.1))</f>
        <v/>
      </c>
      <c r="M199" s="6" t="n">
        <v>0.15</v>
      </c>
      <c r="N199" s="15">
        <f>IF(K199="","",L199*E199)</f>
        <v/>
      </c>
      <c r="O199" s="15">
        <f>IF(M199="","",M199*E199*55)</f>
        <v/>
      </c>
      <c r="P199" s="15">
        <f>IF(N199="","",N199+N(O199))</f>
        <v/>
      </c>
      <c r="Q199" s="15">
        <f>IF(P199="","",P199/E199)</f>
        <v/>
      </c>
      <c r="R199" s="5" t="inlineStr">
        <is>
          <t>ДН.ру (dn.ru), дилер LD / пр-ль ООО</t>
        </is>
      </c>
      <c r="S199" s="5" t="inlineStr">
        <is>
          <t>розница · B: dn.ru ©2026, цена «на 2026-10/11», товар в</t>
        </is>
      </c>
      <c r="T199" s="5" t="inlineStr">
        <is>
          <t>exact · не проверено</t>
        </is>
      </c>
      <c r="U199" s="5" t="inlineStr">
        <is>
          <t>https://dn.ru/sharovyi-kran/teplosnabzhenie/rezbovye-kran/standartnyi/ld/pride-47-v-v-r/dn15</t>
        </is>
      </c>
    </row>
    <row r="200" ht="34" customHeight="1">
      <c r="A200" s="5" t="inlineStr">
        <is>
          <t>1.5</t>
        </is>
      </c>
      <c r="B200" s="6" t="n">
        <v>5</v>
      </c>
      <c r="C200" s="5" t="inlineStr">
        <is>
          <t>Краны шаровые и прочее</t>
        </is>
      </c>
      <c r="D200" s="5" t="inlineStr">
        <is>
          <t>Кран шаровой 11б27п1 Ду 20 Ру 16</t>
        </is>
      </c>
      <c r="E200" s="6" t="n">
        <v>16</v>
      </c>
      <c r="F200" s="5" t="inlineStr">
        <is>
          <t>шт</t>
        </is>
      </c>
      <c r="G200" s="6" t="n">
        <v>20</v>
      </c>
      <c r="H200" s="6" t="n">
        <v>1.6</v>
      </c>
      <c r="I200" s="5" t="inlineStr">
        <is>
          <t>латунь ЛЦ40Сд</t>
        </is>
      </c>
      <c r="J200" s="5" t="inlineStr">
        <is>
          <t>ручной (рукоятка)</t>
        </is>
      </c>
      <c r="K200" s="7" t="n">
        <v>402</v>
      </c>
      <c r="L200" s="15">
        <f>IF(K200="","",K200*(1-0.1))</f>
        <v/>
      </c>
      <c r="M200" s="6" t="n">
        <v>0.24</v>
      </c>
      <c r="N200" s="15">
        <f>IF(K200="","",L200*E200)</f>
        <v/>
      </c>
      <c r="O200" s="15">
        <f>IF(M200="","",M200*E200*55)</f>
        <v/>
      </c>
      <c r="P200" s="15">
        <f>IF(N200="","",N200+N(O200))</f>
        <v/>
      </c>
      <c r="Q200" s="15">
        <f>IF(P200="","",P200/E200)</f>
        <v/>
      </c>
      <c r="R200" s="5" t="inlineStr">
        <is>
          <t>ДН.ру (dn.ru), дилер LD / пр-ль ООО</t>
        </is>
      </c>
      <c r="S200" s="5" t="inlineStr">
        <is>
          <t>розница · B: dn.ru ©2026, цена «на 2026-10/11», товар в</t>
        </is>
      </c>
      <c r="T200" s="5" t="inlineStr">
        <is>
          <t>exact · не проверено</t>
        </is>
      </c>
      <c r="U200" s="5" t="inlineStr">
        <is>
          <t>https://dn.ru/sharovyi-kran/teplosnabzhenie/rezbovye-kran/standartnyi/ld/pride-47-v-v-r/dn15</t>
        </is>
      </c>
    </row>
    <row r="201" ht="34" customHeight="1">
      <c r="A201" s="5" t="inlineStr">
        <is>
          <t>1.5</t>
        </is>
      </c>
      <c r="B201" s="6" t="n">
        <v>6</v>
      </c>
      <c r="C201" s="5" t="inlineStr">
        <is>
          <t>Краны шаровые и прочее</t>
        </is>
      </c>
      <c r="D201" s="5" t="inlineStr">
        <is>
          <t>Кран шаровой 11б27п1 Ду 25 Ру 16</t>
        </is>
      </c>
      <c r="E201" s="6" t="n">
        <v>16</v>
      </c>
      <c r="F201" s="5" t="inlineStr">
        <is>
          <t>шт</t>
        </is>
      </c>
      <c r="G201" s="6" t="n">
        <v>25</v>
      </c>
      <c r="H201" s="6" t="n">
        <v>1.6</v>
      </c>
      <c r="I201" s="5" t="inlineStr">
        <is>
          <t>латунь HPb58-2A</t>
        </is>
      </c>
      <c r="J201" s="5" t="inlineStr">
        <is>
          <t xml:space="preserve">Ручное </t>
        </is>
      </c>
      <c r="K201" s="7" t="n">
        <v>919</v>
      </c>
      <c r="L201" s="15">
        <f>IF(K201="","",K201*(1-0.1))</f>
        <v/>
      </c>
      <c r="M201" s="6" t="n">
        <v>0.4</v>
      </c>
      <c r="N201" s="15">
        <f>IF(K201="","",L201*E201)</f>
        <v/>
      </c>
      <c r="O201" s="15">
        <f>IF(M201="","",M201*E201*55)</f>
        <v/>
      </c>
      <c r="P201" s="15">
        <f>IF(N201="","",N201+N(O201))</f>
        <v/>
      </c>
      <c r="Q201" s="15">
        <f>IF(P201="","",P201/E201)</f>
        <v/>
      </c>
      <c r="R201" s="5" t="inlineStr">
        <is>
          <t>ДН.ру (dn.ru), дилер LD / пр-ль ООО</t>
        </is>
      </c>
      <c r="S201" s="5" t="inlineStr">
        <is>
          <t>розница · B: dn.ru ©2026, цена «на 2026-10/11», товар в</t>
        </is>
      </c>
      <c r="T201" s="5" t="inlineStr">
        <is>
          <t>exact · не проверено</t>
        </is>
      </c>
      <c r="U201" s="5" t="inlineStr">
        <is>
          <t>https://dn.ru/sharovyi-kran/teplosnabzhenie/rezbovye-kran/standartnyi/ld/pride-47-v-v-r/dn15</t>
        </is>
      </c>
    </row>
    <row r="202" ht="34" customHeight="1">
      <c r="A202" s="5" t="inlineStr">
        <is>
          <t>1.5</t>
        </is>
      </c>
      <c r="B202" s="6" t="n">
        <v>7</v>
      </c>
      <c r="C202" s="5" t="inlineStr">
        <is>
          <t>Краны шаровые и прочее</t>
        </is>
      </c>
      <c r="D202" s="5" t="inlineStr">
        <is>
          <t>Кран шаровой 11б27п1 Ду 32 Ру 16</t>
        </is>
      </c>
      <c r="E202" s="6" t="n">
        <v>6</v>
      </c>
      <c r="F202" s="5" t="inlineStr">
        <is>
          <t>шт</t>
        </is>
      </c>
      <c r="G202" s="6" t="n">
        <v>32</v>
      </c>
      <c r="H202" s="6" t="n">
        <v>1.6</v>
      </c>
      <c r="I202" s="5" t="inlineStr">
        <is>
          <t>латунь HPb58-2A</t>
        </is>
      </c>
      <c r="J202" s="5" t="inlineStr">
        <is>
          <t xml:space="preserve">Ручное </t>
        </is>
      </c>
      <c r="K202" s="7" t="n">
        <v>1495</v>
      </c>
      <c r="L202" s="15">
        <f>IF(K202="","",K202*(1-0.1))</f>
        <v/>
      </c>
      <c r="M202" s="6" t="n">
        <v>0.65</v>
      </c>
      <c r="N202" s="15">
        <f>IF(K202="","",L202*E202)</f>
        <v/>
      </c>
      <c r="O202" s="15">
        <f>IF(M202="","",M202*E202*55)</f>
        <v/>
      </c>
      <c r="P202" s="15">
        <f>IF(N202="","",N202+N(O202))</f>
        <v/>
      </c>
      <c r="Q202" s="15">
        <f>IF(P202="","",P202/E202)</f>
        <v/>
      </c>
      <c r="R202" s="5" t="inlineStr">
        <is>
          <t>ДН.ру (dn.ru), дилер LD / пр-ль ООО</t>
        </is>
      </c>
      <c r="S202" s="5" t="inlineStr">
        <is>
          <t>розница · B: dn.ru ©2026, цена «на 2026-10/11», товар в</t>
        </is>
      </c>
      <c r="T202" s="5" t="inlineStr">
        <is>
          <t>exact · не проверено</t>
        </is>
      </c>
      <c r="U202" s="5" t="inlineStr">
        <is>
          <t>https://dn.ru/sharovyi-kran/teplosnabzhenie/rezbovye-kran/standartnyi/ld/pride-47-v-v-r/dn15</t>
        </is>
      </c>
    </row>
    <row r="203" ht="34" customHeight="1">
      <c r="A203" s="5" t="inlineStr">
        <is>
          <t>1.5</t>
        </is>
      </c>
      <c r="B203" s="6" t="n">
        <v>8</v>
      </c>
      <c r="C203" s="5" t="inlineStr">
        <is>
          <t>Краны шаровые и прочее</t>
        </is>
      </c>
      <c r="D203" s="5" t="inlineStr">
        <is>
          <t>Кран шаровой 11б27п1 Ду 50 Ру 16</t>
        </is>
      </c>
      <c r="E203" s="6" t="n">
        <v>6</v>
      </c>
      <c r="F203" s="5" t="inlineStr">
        <is>
          <t>шт</t>
        </is>
      </c>
      <c r="G203" s="6" t="n">
        <v>50</v>
      </c>
      <c r="H203" s="6" t="n">
        <v>1.6</v>
      </c>
      <c r="I203" s="5" t="inlineStr">
        <is>
          <t>латунь HPb58-2A</t>
        </is>
      </c>
      <c r="J203" s="5" t="inlineStr">
        <is>
          <t xml:space="preserve">Ручное </t>
        </is>
      </c>
      <c r="K203" s="7" t="n">
        <v>3781</v>
      </c>
      <c r="L203" s="15">
        <f>IF(K203="","",K203*(1-0.1))</f>
        <v/>
      </c>
      <c r="M203" s="6" t="n">
        <v>1.5</v>
      </c>
      <c r="N203" s="15">
        <f>IF(K203="","",L203*E203)</f>
        <v/>
      </c>
      <c r="O203" s="15">
        <f>IF(M203="","",M203*E203*55)</f>
        <v/>
      </c>
      <c r="P203" s="15">
        <f>IF(N203="","",N203+N(O203))</f>
        <v/>
      </c>
      <c r="Q203" s="15">
        <f>IF(P203="","",P203/E203)</f>
        <v/>
      </c>
      <c r="R203" s="5" t="inlineStr">
        <is>
          <t>ДН.ру (dn.ru), дилер LD / пр-ль ООО</t>
        </is>
      </c>
      <c r="S203" s="5" t="inlineStr">
        <is>
          <t>розница · B: dn.ru ©2026, цена «на 2026-10/11», товар в</t>
        </is>
      </c>
      <c r="T203" s="5" t="inlineStr">
        <is>
          <t>exact · не проверено</t>
        </is>
      </c>
      <c r="U203" s="5" t="inlineStr">
        <is>
          <t>https://dn.ru/sharovyi-kran/teplosnabzhenie/rezbovye-kran/standartnyi/ld/pride-47-v-v-r/dn15</t>
        </is>
      </c>
    </row>
    <row r="204" ht="34" customHeight="1">
      <c r="A204" s="5" t="inlineStr">
        <is>
          <t>1.5</t>
        </is>
      </c>
      <c r="B204" s="6" t="n">
        <v>9</v>
      </c>
      <c r="C204" s="5" t="inlineStr">
        <is>
          <t>Краны шаровые и прочее</t>
        </is>
      </c>
      <c r="D204" s="5" t="inlineStr">
        <is>
          <t>Кран шаровой 11с22п Ду 50 Ру 16</t>
        </is>
      </c>
      <c r="E204" s="6" t="n">
        <v>4</v>
      </c>
      <c r="F204" s="5" t="inlineStr">
        <is>
          <t>шт</t>
        </is>
      </c>
      <c r="G204" s="6" t="n">
        <v>50</v>
      </c>
      <c r="H204" s="6" t="n">
        <v>1.6</v>
      </c>
      <c r="I204" s="5" t="inlineStr">
        <is>
          <t>сталь 20</t>
        </is>
      </c>
      <c r="J204" s="5" t="inlineStr">
        <is>
          <t>ручной (рукоятка)</t>
        </is>
      </c>
      <c r="K204" s="7" t="n">
        <v>3648</v>
      </c>
      <c r="L204" s="15">
        <f>IF(K204="","",K204*(1-0.1))</f>
        <v/>
      </c>
      <c r="M204" s="6" t="n">
        <v>6.5</v>
      </c>
      <c r="N204" s="15">
        <f>IF(K204="","",L204*E204)</f>
        <v/>
      </c>
      <c r="O204" s="15">
        <f>IF(M204="","",M204*E204*55)</f>
        <v/>
      </c>
      <c r="P204" s="15">
        <f>IF(N204="","",N204+N(O204))</f>
        <v/>
      </c>
      <c r="Q204" s="15">
        <f>IF(P204="","",P204/E204)</f>
        <v/>
      </c>
      <c r="R204" s="5" t="inlineStr">
        <is>
          <t>ДН.ру (dn.ru), дилер LD / пр-ль ООО</t>
        </is>
      </c>
      <c r="S204" s="5" t="inlineStr">
        <is>
          <t>розница · B: dn.ru ©2026, цена «на 2026-10/11», товар в</t>
        </is>
      </c>
      <c r="T204" s="5" t="inlineStr">
        <is>
          <t>analog: LD КШ.Ц.Ф Н/П фланцевый ст.20 · не проверено</t>
        </is>
      </c>
      <c r="U204" s="5" t="inlineStr">
        <is>
          <t>https://dn.ru/sharovyi-kran/teplosnabzhenie/flantcevyi-kran/standartnyi/ld/st20/dn100</t>
        </is>
      </c>
    </row>
    <row r="205" ht="34" customHeight="1">
      <c r="A205" s="5" t="inlineStr">
        <is>
          <t>1.5</t>
        </is>
      </c>
      <c r="B205" s="6" t="n">
        <v>10</v>
      </c>
      <c r="C205" s="5" t="inlineStr">
        <is>
          <t>Краны шаровые и прочее</t>
        </is>
      </c>
      <c r="D205" s="5" t="inlineStr">
        <is>
          <t>Кран шаровой 11с22п Ду 80 Ру 16</t>
        </is>
      </c>
      <c r="E205" s="6" t="n">
        <v>4</v>
      </c>
      <c r="F205" s="5" t="inlineStr">
        <is>
          <t>шт</t>
        </is>
      </c>
      <c r="G205" s="6" t="n">
        <v>80</v>
      </c>
      <c r="H205" s="6" t="n">
        <v>1.6</v>
      </c>
      <c r="I205" s="5" t="inlineStr">
        <is>
          <t>сталь 20</t>
        </is>
      </c>
      <c r="J205" s="5" t="inlineStr">
        <is>
          <t>ручной (рукоятка)</t>
        </is>
      </c>
      <c r="K205" s="7" t="n">
        <v>6789</v>
      </c>
      <c r="L205" s="15">
        <f>IF(K205="","",K205*(1-0.1))</f>
        <v/>
      </c>
      <c r="M205" s="6" t="n">
        <v>11</v>
      </c>
      <c r="N205" s="15">
        <f>IF(K205="","",L205*E205)</f>
        <v/>
      </c>
      <c r="O205" s="15">
        <f>IF(M205="","",M205*E205*55)</f>
        <v/>
      </c>
      <c r="P205" s="15">
        <f>IF(N205="","",N205+N(O205))</f>
        <v/>
      </c>
      <c r="Q205" s="15">
        <f>IF(P205="","",P205/E205)</f>
        <v/>
      </c>
      <c r="R205" s="5" t="inlineStr">
        <is>
          <t>ДН.ру (dn.ru), дилер LD / пр-ль ООО</t>
        </is>
      </c>
      <c r="S205" s="5" t="inlineStr">
        <is>
          <t>розница · B: dn.ru ©2026, цена «на 2026-10/11», товар в</t>
        </is>
      </c>
      <c r="T205" s="5" t="inlineStr">
        <is>
          <t>analog: LD КШ.Ц.Ф Н/П фланцевый ст.20 · не проверено</t>
        </is>
      </c>
      <c r="U205" s="5" t="inlineStr">
        <is>
          <t>https://dn.ru/sharovyi-kran/teplosnabzhenie/flantcevyi-kran/standartnyi/ld/st20/dn100</t>
        </is>
      </c>
    </row>
    <row r="206" ht="34" customHeight="1">
      <c r="A206" s="5" t="inlineStr">
        <is>
          <t>1.5</t>
        </is>
      </c>
      <c r="B206" s="6" t="n">
        <v>11</v>
      </c>
      <c r="C206" s="5" t="inlineStr">
        <is>
          <t>Краны шаровые и прочее</t>
        </is>
      </c>
      <c r="D206" s="5" t="inlineStr">
        <is>
          <t>Кран шаровой 11с22п Ду 100 Ру 16</t>
        </is>
      </c>
      <c r="E206" s="6" t="n">
        <v>2</v>
      </c>
      <c r="F206" s="5" t="inlineStr">
        <is>
          <t>шт</t>
        </is>
      </c>
      <c r="G206" s="6" t="n">
        <v>100</v>
      </c>
      <c r="H206" s="6" t="n">
        <v>1.6</v>
      </c>
      <c r="I206" s="5" t="inlineStr">
        <is>
          <t>сталь 20</t>
        </is>
      </c>
      <c r="J206" s="5" t="inlineStr">
        <is>
          <t>ручной (рукоятка)</t>
        </is>
      </c>
      <c r="K206" s="7" t="n">
        <v>7989</v>
      </c>
      <c r="L206" s="15">
        <f>IF(K206="","",K206*(1-0.1))</f>
        <v/>
      </c>
      <c r="M206" s="6" t="n">
        <v>12.9</v>
      </c>
      <c r="N206" s="15">
        <f>IF(K206="","",L206*E206)</f>
        <v/>
      </c>
      <c r="O206" s="15">
        <f>IF(M206="","",M206*E206*55)</f>
        <v/>
      </c>
      <c r="P206" s="15">
        <f>IF(N206="","",N206+N(O206))</f>
        <v/>
      </c>
      <c r="Q206" s="15">
        <f>IF(P206="","",P206/E206)</f>
        <v/>
      </c>
      <c r="R206" s="5" t="inlineStr">
        <is>
          <t>ДН.ру (dn.ru), дилер LD / пр-ль ООО</t>
        </is>
      </c>
      <c r="S206" s="5" t="inlineStr">
        <is>
          <t>розница · B: dn.ru ©2026, цена «на 2026-10/11», товар в</t>
        </is>
      </c>
      <c r="T206" s="5" t="inlineStr">
        <is>
          <t>analog: LD КШ.Ц.Ф Н/П фланцевый ст.20 · не проверено</t>
        </is>
      </c>
      <c r="U206" s="5" t="inlineStr">
        <is>
          <t>https://dn.ru/sharovyi-kran/teplosnabzhenie/flantcevyi-kran/standartnyi/ld/st20/dn100</t>
        </is>
      </c>
    </row>
    <row r="207" ht="34" customHeight="1">
      <c r="A207" s="5" t="inlineStr">
        <is>
          <t>1.5</t>
        </is>
      </c>
      <c r="B207" s="6" t="n">
        <v>12</v>
      </c>
      <c r="C207" s="5" t="inlineStr">
        <is>
          <t>Краны шаровые и прочее</t>
        </is>
      </c>
      <c r="D207" s="5" t="inlineStr">
        <is>
          <t>Кран шаровой 11с67п Ду 15 Ру 25 цельносварной под приварку</t>
        </is>
      </c>
      <c r="E207" s="6" t="n">
        <v>25</v>
      </c>
      <c r="F207" s="5" t="inlineStr">
        <is>
          <t>шт</t>
        </is>
      </c>
      <c r="G207" s="6" t="n">
        <v>15</v>
      </c>
      <c r="H207" s="6" t="n">
        <v>2.5</v>
      </c>
      <c r="I207" s="5" t="inlineStr">
        <is>
          <t>сталь 20</t>
        </is>
      </c>
      <c r="J207" s="5" t="inlineStr">
        <is>
          <t xml:space="preserve">Ручное </t>
        </is>
      </c>
      <c r="K207" s="7" t="n">
        <v>1505</v>
      </c>
      <c r="L207" s="15">
        <f>IF(K207="","",K207*(1-0.1))</f>
        <v/>
      </c>
      <c r="M207" s="6" t="n">
        <v>0.6</v>
      </c>
      <c r="N207" s="15">
        <f>IF(K207="","",L207*E207)</f>
        <v/>
      </c>
      <c r="O207" s="15">
        <f>IF(M207="","",M207*E207*55)</f>
        <v/>
      </c>
      <c r="P207" s="15">
        <f>IF(N207="","",N207+N(O207))</f>
        <v/>
      </c>
      <c r="Q207" s="15">
        <f>IF(P207="","",P207/E207)</f>
        <v/>
      </c>
      <c r="R207" s="5" t="inlineStr">
        <is>
          <t>ДН.ру (dn.ru), дилер LD / пр-ль ООО</t>
        </is>
      </c>
      <c r="S207" s="5" t="inlineStr">
        <is>
          <t>розница · B: dn.ru ©2026, цена «на 2026-10/11», товар в</t>
        </is>
      </c>
      <c r="T207" s="5" t="inlineStr">
        <is>
          <t>exact · не проверено</t>
        </is>
      </c>
      <c r="U207" s="5" t="inlineStr">
        <is>
          <t>https://dn.ru/sharovyi-kran/teplosnabzhenie/kran-pod-privarku/standartnyi/ld/st20/dn50</t>
        </is>
      </c>
    </row>
    <row r="208" ht="34" customHeight="1">
      <c r="A208" s="5" t="inlineStr">
        <is>
          <t>1.5</t>
        </is>
      </c>
      <c r="B208" s="6" t="n">
        <v>13</v>
      </c>
      <c r="C208" s="5" t="inlineStr">
        <is>
          <t>Краны шаровые и прочее</t>
        </is>
      </c>
      <c r="D208" s="5" t="inlineStr">
        <is>
          <t>Кран шаровой 11с67п Ду 25 Ру 25 цельносварной под приварку</t>
        </is>
      </c>
      <c r="E208" s="6" t="n">
        <v>32</v>
      </c>
      <c r="F208" s="5" t="inlineStr">
        <is>
          <t>шт</t>
        </is>
      </c>
      <c r="G208" s="6" t="n">
        <v>25</v>
      </c>
      <c r="H208" s="6" t="n">
        <v>2.5</v>
      </c>
      <c r="I208" s="5" t="inlineStr">
        <is>
          <t>сталь 20</t>
        </is>
      </c>
      <c r="J208" s="5" t="inlineStr">
        <is>
          <t>Ручной</t>
        </is>
      </c>
      <c r="K208" s="7" t="n">
        <v>1645</v>
      </c>
      <c r="L208" s="15">
        <f>IF(K208="","",K208*(1-0.1))</f>
        <v/>
      </c>
      <c r="M208" s="6" t="n">
        <v>1</v>
      </c>
      <c r="N208" s="15">
        <f>IF(K208="","",L208*E208)</f>
        <v/>
      </c>
      <c r="O208" s="15">
        <f>IF(M208="","",M208*E208*55)</f>
        <v/>
      </c>
      <c r="P208" s="15">
        <f>IF(N208="","",N208+N(O208))</f>
        <v/>
      </c>
      <c r="Q208" s="15">
        <f>IF(P208="","",P208/E208)</f>
        <v/>
      </c>
      <c r="R208" s="5" t="inlineStr">
        <is>
          <t>ДН.ру (dn.ru), дилер LD / пр-ль ООО</t>
        </is>
      </c>
      <c r="S208" s="5" t="inlineStr">
        <is>
          <t>розница · B: dn.ru ©2026, цена «на 2026-10/11», товар в</t>
        </is>
      </c>
      <c r="T208" s="5" t="inlineStr">
        <is>
          <t>exact · не проверено</t>
        </is>
      </c>
      <c r="U208" s="5" t="inlineStr">
        <is>
          <t>https://dn.ru/sharovyi-kran/teplosnabzhenie/kran-pod-privarku/standartnyi/ld/st20/dn50</t>
        </is>
      </c>
    </row>
    <row r="209" ht="34" customHeight="1">
      <c r="A209" s="5" t="inlineStr">
        <is>
          <t>1.5</t>
        </is>
      </c>
      <c r="B209" s="6" t="n">
        <v>14</v>
      </c>
      <c r="C209" s="5" t="inlineStr">
        <is>
          <t>Краны шаровые и прочее</t>
        </is>
      </c>
      <c r="D209" s="5" t="inlineStr">
        <is>
          <t>Кран шаровой 11с67п Ду 32 Ру 25 цельносварной под приварку</t>
        </is>
      </c>
      <c r="E209" s="6" t="n">
        <v>15</v>
      </c>
      <c r="F209" s="5" t="inlineStr">
        <is>
          <t>шт</t>
        </is>
      </c>
      <c r="G209" s="6" t="n">
        <v>32</v>
      </c>
      <c r="H209" s="6" t="n">
        <v>2.5</v>
      </c>
      <c r="I209" s="5" t="inlineStr">
        <is>
          <t>сталь 20</t>
        </is>
      </c>
      <c r="J209" s="5" t="inlineStr">
        <is>
          <t>Ручной</t>
        </is>
      </c>
      <c r="K209" s="7" t="n">
        <v>1713</v>
      </c>
      <c r="L209" s="15">
        <f>IF(K209="","",K209*(1-0.1))</f>
        <v/>
      </c>
      <c r="M209" s="6" t="n">
        <v>1.4</v>
      </c>
      <c r="N209" s="15">
        <f>IF(K209="","",L209*E209)</f>
        <v/>
      </c>
      <c r="O209" s="15">
        <f>IF(M209="","",M209*E209*55)</f>
        <v/>
      </c>
      <c r="P209" s="15">
        <f>IF(N209="","",N209+N(O209))</f>
        <v/>
      </c>
      <c r="Q209" s="15">
        <f>IF(P209="","",P209/E209)</f>
        <v/>
      </c>
      <c r="R209" s="5" t="inlineStr">
        <is>
          <t>ДН.ру (dn.ru), дилер LD / пр-ль ООО</t>
        </is>
      </c>
      <c r="S209" s="5" t="inlineStr">
        <is>
          <t>розница · B: dn.ru ©2026, цена «на 2026-10/11», товар в</t>
        </is>
      </c>
      <c r="T209" s="5" t="inlineStr">
        <is>
          <t>exact · не проверено</t>
        </is>
      </c>
      <c r="U209" s="5" t="inlineStr">
        <is>
          <t>https://dn.ru/sharovyi-kran/teplosnabzhenie/kran-pod-privarku/standartnyi/ld/st20/dn50</t>
        </is>
      </c>
    </row>
    <row r="210" ht="34" customHeight="1">
      <c r="A210" s="5" t="inlineStr">
        <is>
          <t>1.5</t>
        </is>
      </c>
      <c r="B210" s="6" t="n">
        <v>15</v>
      </c>
      <c r="C210" s="5" t="inlineStr">
        <is>
          <t>Краны шаровые и прочее</t>
        </is>
      </c>
      <c r="D210" s="5" t="inlineStr">
        <is>
          <t>Кран шаровой 11с67п Ду 40 Ру 25 цельносварной под приварку</t>
        </is>
      </c>
      <c r="E210" s="6" t="n">
        <v>26</v>
      </c>
      <c r="F210" s="5" t="inlineStr">
        <is>
          <t>шт</t>
        </is>
      </c>
      <c r="G210" s="6" t="n">
        <v>40</v>
      </c>
      <c r="H210" s="6" t="n">
        <v>2.5</v>
      </c>
      <c r="I210" s="5" t="inlineStr">
        <is>
          <t>сталь 20</t>
        </is>
      </c>
      <c r="J210" s="5" t="inlineStr">
        <is>
          <t xml:space="preserve">Ручное </t>
        </is>
      </c>
      <c r="K210" s="7" t="n">
        <v>2219</v>
      </c>
      <c r="L210" s="15">
        <f>IF(K210="","",K210*(1-0.1))</f>
        <v/>
      </c>
      <c r="M210" s="6" t="n">
        <v>2</v>
      </c>
      <c r="N210" s="15">
        <f>IF(K210="","",L210*E210)</f>
        <v/>
      </c>
      <c r="O210" s="15">
        <f>IF(M210="","",M210*E210*55)</f>
        <v/>
      </c>
      <c r="P210" s="15">
        <f>IF(N210="","",N210+N(O210))</f>
        <v/>
      </c>
      <c r="Q210" s="15">
        <f>IF(P210="","",P210/E210)</f>
        <v/>
      </c>
      <c r="R210" s="5" t="inlineStr">
        <is>
          <t>ДН.ру (dn.ru), дилер LD / пр-ль ООО</t>
        </is>
      </c>
      <c r="S210" s="5" t="inlineStr">
        <is>
          <t>розница · B: dn.ru ©2026, цена «на 2026-10/11», товар в</t>
        </is>
      </c>
      <c r="T210" s="5" t="inlineStr">
        <is>
          <t>exact · не проверено</t>
        </is>
      </c>
      <c r="U210" s="5" t="inlineStr">
        <is>
          <t>https://dn.ru/sharovyi-kran/teplosnabzhenie/kran-pod-privarku/standartnyi/ld/st20/dn50</t>
        </is>
      </c>
    </row>
    <row r="211" ht="34" customHeight="1">
      <c r="A211" s="5" t="inlineStr">
        <is>
          <t>1.5</t>
        </is>
      </c>
      <c r="B211" s="6" t="n">
        <v>16</v>
      </c>
      <c r="C211" s="5" t="inlineStr">
        <is>
          <t>Краны шаровые и прочее</t>
        </is>
      </c>
      <c r="D211" s="5" t="inlineStr">
        <is>
          <t>Кран шаровой 11с67п Ду 50 Ру 25 цельносварной под приварку</t>
        </is>
      </c>
      <c r="E211" s="6" t="n">
        <v>9</v>
      </c>
      <c r="F211" s="5" t="inlineStr">
        <is>
          <t>шт</t>
        </is>
      </c>
      <c r="G211" s="6" t="n">
        <v>50</v>
      </c>
      <c r="H211" s="6" t="n">
        <v>2.5</v>
      </c>
      <c r="I211" s="5" t="inlineStr">
        <is>
          <t>сталь 20</t>
        </is>
      </c>
      <c r="J211" s="5" t="inlineStr">
        <is>
          <t>ручное</t>
        </is>
      </c>
      <c r="K211" s="7" t="n">
        <v>2420</v>
      </c>
      <c r="L211" s="15">
        <f>IF(K211="","",K211*(1-0.1))</f>
        <v/>
      </c>
      <c r="M211" s="6" t="n">
        <v>2.7</v>
      </c>
      <c r="N211" s="15">
        <f>IF(K211="","",L211*E211)</f>
        <v/>
      </c>
      <c r="O211" s="15">
        <f>IF(M211="","",M211*E211*55)</f>
        <v/>
      </c>
      <c r="P211" s="15">
        <f>IF(N211="","",N211+N(O211))</f>
        <v/>
      </c>
      <c r="Q211" s="15">
        <f>IF(P211="","",P211/E211)</f>
        <v/>
      </c>
      <c r="R211" s="5" t="inlineStr">
        <is>
          <t>ДН.ру (dn.ru), дилер LD / пр-ль ООО</t>
        </is>
      </c>
      <c r="S211" s="5" t="inlineStr">
        <is>
          <t>розница · B: dn.ru ©2026, цена «на 2026-10/11», товар в</t>
        </is>
      </c>
      <c r="T211" s="5" t="inlineStr">
        <is>
          <t>exact · не проверено</t>
        </is>
      </c>
      <c r="U211" s="5" t="inlineStr">
        <is>
          <t>https://dn.ru/sharovyi-kran/teplosnabzhenie/kran-pod-privarku/standartnyi/ld/st20/dn50</t>
        </is>
      </c>
    </row>
    <row r="212" ht="34" customHeight="1">
      <c r="A212" s="5" t="inlineStr">
        <is>
          <t>1.5</t>
        </is>
      </c>
      <c r="B212" s="6" t="n">
        <v>17</v>
      </c>
      <c r="C212" s="5" t="inlineStr">
        <is>
          <t>Краны шаровые и прочее</t>
        </is>
      </c>
      <c r="D212" s="5" t="inlineStr">
        <is>
          <t>Кран шаровой 11с67п Ду 100 Ру 25 цельносварной под приварку</t>
        </is>
      </c>
      <c r="E212" s="6" t="n">
        <v>4</v>
      </c>
      <c r="F212" s="5" t="inlineStr">
        <is>
          <t>шт</t>
        </is>
      </c>
      <c r="G212" s="6" t="n">
        <v>100</v>
      </c>
      <c r="H212" s="6" t="n">
        <v>2.5</v>
      </c>
      <c r="I212" s="5" t="inlineStr">
        <is>
          <t>сталь 20</t>
        </is>
      </c>
      <c r="J212" s="5" t="inlineStr">
        <is>
          <t>ручное</t>
        </is>
      </c>
      <c r="K212" s="7" t="n">
        <v>5590</v>
      </c>
      <c r="L212" s="15">
        <f>IF(K212="","",K212*(1-0.1))</f>
        <v/>
      </c>
      <c r="M212" s="6" t="n">
        <v>8.5</v>
      </c>
      <c r="N212" s="15">
        <f>IF(K212="","",L212*E212)</f>
        <v/>
      </c>
      <c r="O212" s="15">
        <f>IF(M212="","",M212*E212*55)</f>
        <v/>
      </c>
      <c r="P212" s="15">
        <f>IF(N212="","",N212+N(O212))</f>
        <v/>
      </c>
      <c r="Q212" s="15">
        <f>IF(P212="","",P212/E212)</f>
        <v/>
      </c>
      <c r="R212" s="5" t="inlineStr">
        <is>
          <t>ДН.ру (dn.ru), дилер LD / пр-ль ООО</t>
        </is>
      </c>
      <c r="S212" s="5" t="inlineStr">
        <is>
          <t>розница · B: dn.ru ©2026, цена «на 2026-10/11», товар в</t>
        </is>
      </c>
      <c r="T212" s="5" t="inlineStr">
        <is>
          <t>exact · не проверено</t>
        </is>
      </c>
      <c r="U212" s="5" t="inlineStr">
        <is>
          <t>https://dn.ru/sharovyi-kran/teplosnabzhenie/kran-pod-privarku/standartnyi/ld/st20/dn50</t>
        </is>
      </c>
    </row>
    <row r="213" ht="34" customHeight="1">
      <c r="A213" s="5" t="inlineStr">
        <is>
          <t>1.5</t>
        </is>
      </c>
      <c r="B213" s="6" t="n">
        <v>18</v>
      </c>
      <c r="C213" s="5" t="inlineStr">
        <is>
          <t>Краны шаровые и прочее</t>
        </is>
      </c>
      <c r="D213" s="5" t="inlineStr">
        <is>
          <t>Кран шаровой 11с67п Ду 150 Ру 25 цельносварной под приварку</t>
        </is>
      </c>
      <c r="E213" s="6" t="n">
        <v>2</v>
      </c>
      <c r="F213" s="5" t="inlineStr">
        <is>
          <t>шт</t>
        </is>
      </c>
      <c r="G213" s="6" t="n">
        <v>150</v>
      </c>
      <c r="H213" s="6" t="n">
        <v>2.5</v>
      </c>
      <c r="I213" s="5" t="inlineStr">
        <is>
          <t>сталь 20</t>
        </is>
      </c>
      <c r="J213" s="5" t="inlineStr">
        <is>
          <t>ручное</t>
        </is>
      </c>
      <c r="K213" s="7" t="n">
        <v>14368</v>
      </c>
      <c r="L213" s="15">
        <f>IF(K213="","",K213*(1-0.1))</f>
        <v/>
      </c>
      <c r="M213" s="6" t="n">
        <v>21</v>
      </c>
      <c r="N213" s="15">
        <f>IF(K213="","",L213*E213)</f>
        <v/>
      </c>
      <c r="O213" s="15">
        <f>IF(M213="","",M213*E213*55)</f>
        <v/>
      </c>
      <c r="P213" s="15">
        <f>IF(N213="","",N213+N(O213))</f>
        <v/>
      </c>
      <c r="Q213" s="15">
        <f>IF(P213="","",P213/E213)</f>
        <v/>
      </c>
      <c r="R213" s="5" t="inlineStr">
        <is>
          <t>ДН.ру (dn.ru), дилер LD / пр-ль ООО</t>
        </is>
      </c>
      <c r="S213" s="5" t="inlineStr">
        <is>
          <t>розница · B: dn.ru ©2026, цена «на 2026-10/11», товар в</t>
        </is>
      </c>
      <c r="T213" s="5" t="inlineStr">
        <is>
          <t>exact · не проверено</t>
        </is>
      </c>
      <c r="U213" s="5" t="inlineStr">
        <is>
          <t>https://dn.ru/sharovyi-kran/teplosnabzhenie/kran-pod-privarku/standartnyi/ld/st20/dn50</t>
        </is>
      </c>
    </row>
    <row r="214" ht="34" customHeight="1">
      <c r="A214" s="5" t="inlineStr">
        <is>
          <t>1.6</t>
        </is>
      </c>
      <c r="B214" s="6" t="n">
        <v>1</v>
      </c>
      <c r="C214" s="5" t="inlineStr">
        <is>
          <t>Клапаны</t>
        </is>
      </c>
      <c r="D214" s="5" t="inlineStr">
        <is>
          <t>Клапан регулирующий 25с947нж Ду 25 Ру 25 с ЭИМ</t>
        </is>
      </c>
      <c r="E214" s="6" t="n">
        <v>1</v>
      </c>
      <c r="F214" s="5" t="inlineStr">
        <is>
          <t>шт</t>
        </is>
      </c>
      <c r="G214" s="6" t="n">
        <v>25</v>
      </c>
      <c r="H214" s="6" t="n">
        <v>2.5</v>
      </c>
      <c r="I214" s="5" t="inlineStr">
        <is>
          <t>сталь</t>
        </is>
      </c>
      <c r="J214" s="5" t="inlineStr">
        <is>
          <t>электропривод ST «Regada»</t>
        </is>
      </c>
      <c r="K214" s="7" t="n">
        <v>81720.48</v>
      </c>
      <c r="L214" s="15">
        <f>IF(K214="","",K214*(1-0.1))</f>
        <v/>
      </c>
      <c r="M214" s="6" t="n">
        <v>13</v>
      </c>
      <c r="N214" s="15">
        <f>IF(K214="","",L214*E214)</f>
        <v/>
      </c>
      <c r="O214" s="15">
        <f>IF(M214="","",M214*E214*55)</f>
        <v/>
      </c>
      <c r="P214" s="15">
        <f>IF(N214="","",N214+N(O214))</f>
        <v/>
      </c>
      <c r="Q214" s="15">
        <f>IF(P214="","",P214/E214)</f>
        <v/>
      </c>
      <c r="R214" s="5" t="inlineStr">
        <is>
          <t>ДН.ру (dn.ru), бренд Авангард</t>
        </is>
      </c>
      <c r="S214" s="5" t="inlineStr">
        <is>
          <t>розница · B: dn.ru — живой магазин ООО «ДН.ру», © 2026,</t>
        </is>
      </c>
      <c r="T214" s="5" t="inlineStr">
        <is>
          <t>exact · не проверено</t>
        </is>
      </c>
      <c r="U214" s="5" t="inlineStr">
        <is>
          <t>https://dn.ru/klapan/klapan-reguliruiushchii/2hod/avangard/25s947nzh-ru25/dn25</t>
        </is>
      </c>
    </row>
    <row r="215" ht="34" customHeight="1">
      <c r="A215" s="5" t="inlineStr">
        <is>
          <t>1.6</t>
        </is>
      </c>
      <c r="B215" s="6" t="n">
        <v>2</v>
      </c>
      <c r="C215" s="5" t="inlineStr">
        <is>
          <t>Клапаны</t>
        </is>
      </c>
      <c r="D215" s="5" t="inlineStr">
        <is>
          <t>Клапан регулирующий 25с947нж Ду 50 Ру 25 с ЭИМ</t>
        </is>
      </c>
      <c r="E215" s="6" t="n">
        <v>1</v>
      </c>
      <c r="F215" s="5" t="inlineStr">
        <is>
          <t>шт</t>
        </is>
      </c>
      <c r="G215" s="6" t="n">
        <v>50</v>
      </c>
      <c r="H215" s="6" t="n">
        <v>2.5</v>
      </c>
      <c r="I215" s="5" t="inlineStr">
        <is>
          <t>сталь</t>
        </is>
      </c>
      <c r="J215" s="5" t="inlineStr">
        <is>
          <t>электропривод ST «Regada»</t>
        </is>
      </c>
      <c r="K215" s="7" t="n">
        <v>101097.74</v>
      </c>
      <c r="L215" s="15">
        <f>IF(K215="","",K215*(1-0.1))</f>
        <v/>
      </c>
      <c r="M215" s="6" t="n">
        <v>26</v>
      </c>
      <c r="N215" s="15">
        <f>IF(K215="","",L215*E215)</f>
        <v/>
      </c>
      <c r="O215" s="15">
        <f>IF(M215="","",M215*E215*55)</f>
        <v/>
      </c>
      <c r="P215" s="15">
        <f>IF(N215="","",N215+N(O215))</f>
        <v/>
      </c>
      <c r="Q215" s="15">
        <f>IF(P215="","",P215/E215)</f>
        <v/>
      </c>
      <c r="R215" s="5" t="inlineStr">
        <is>
          <t>ДН.ру (dn.ru), бренд Авангард</t>
        </is>
      </c>
      <c r="S215" s="5" t="inlineStr">
        <is>
          <t>розница · B: dn.ru — живой магазин ООО «ДН.ру», © 2026,</t>
        </is>
      </c>
      <c r="T215" s="5" t="inlineStr">
        <is>
          <t>exact · не проверено</t>
        </is>
      </c>
      <c r="U215" s="5" t="inlineStr">
        <is>
          <t>https://dn.ru/klapan/klapan-reguliruiushchii/2hod/avangard/25s947nzh-ru25/dn50</t>
        </is>
      </c>
    </row>
    <row r="216" ht="34" customHeight="1">
      <c r="A216" s="5" t="inlineStr">
        <is>
          <t>1.6</t>
        </is>
      </c>
      <c r="B216" s="6" t="n">
        <v>3</v>
      </c>
      <c r="C216" s="5" t="inlineStr">
        <is>
          <t>Клапаны</t>
        </is>
      </c>
      <c r="D216" s="5" t="inlineStr">
        <is>
          <t>Регулирующий клапан Ридан VFG-2R Ду 80, Kvs 80, Ру 16</t>
        </is>
      </c>
      <c r="E216" s="6" t="n">
        <v>1</v>
      </c>
      <c r="F216" s="5" t="inlineStr">
        <is>
          <t>шт</t>
        </is>
      </c>
      <c r="G216" s="6" t="n">
        <v>80</v>
      </c>
      <c r="H216" s="6" t="n">
        <v>1.6</v>
      </c>
      <c r="I216" s="5" t="inlineStr">
        <is>
          <t>чугун</t>
        </is>
      </c>
      <c r="J216" s="5" t="inlineStr">
        <is>
          <t>-</t>
        </is>
      </c>
      <c r="K216" s="7" t="n">
        <v>226123.95</v>
      </c>
      <c r="L216" s="15">
        <f>IF(K216="","",K216*(1-0.1))</f>
        <v/>
      </c>
      <c r="M216" s="6" t="n">
        <v>45</v>
      </c>
      <c r="N216" s="15">
        <f>IF(K216="","",L216*E216)</f>
        <v/>
      </c>
      <c r="O216" s="15">
        <f>IF(M216="","",M216*E216*55)</f>
        <v/>
      </c>
      <c r="P216" s="15">
        <f>IF(N216="","",N216+N(O216))</f>
        <v/>
      </c>
      <c r="Q216" s="15">
        <f>IF(P216="","",P216/E216)</f>
        <v/>
      </c>
      <c r="R216" s="5" t="inlineStr">
        <is>
          <t>ДН.ру (dn.ru), бренд Ридан</t>
        </is>
      </c>
      <c r="S216" s="5" t="inlineStr">
        <is>
          <t>розница · B: dn.ru — живой магазин ООО «ДН.ру», © 2026,</t>
        </is>
      </c>
      <c r="T216" s="5" t="inlineStr">
        <is>
          <t>exact · не проверено</t>
        </is>
      </c>
      <c r="U216" s="5" t="inlineStr">
        <is>
          <t>https://dn.ru/klapan/klapan-reguliruiushchii/2hod/ridan/vfg-2r/dn80-80-m3-h</t>
        </is>
      </c>
    </row>
    <row r="217" ht="34" customHeight="1">
      <c r="A217" s="5" t="inlineStr">
        <is>
          <t>1.6</t>
        </is>
      </c>
      <c r="B217" s="6" t="n">
        <v>4</v>
      </c>
      <c r="C217" s="5" t="inlineStr">
        <is>
          <t>Клапаны</t>
        </is>
      </c>
      <c r="D217" s="5" t="inlineStr">
        <is>
          <t>Клапан обратный межфланцевый 19ч21бр Ду 100 Ру 16</t>
        </is>
      </c>
      <c r="E217" s="6" t="n">
        <v>1</v>
      </c>
      <c r="F217" s="5" t="inlineStr">
        <is>
          <t>шт</t>
        </is>
      </c>
      <c r="G217" s="6" t="n">
        <v>100</v>
      </c>
      <c r="H217" s="6" t="n">
        <v>1.6</v>
      </c>
      <c r="I217" s="5" t="inlineStr">
        <is>
          <t>чугун</t>
        </is>
      </c>
      <c r="J217" s="5" t="inlineStr">
        <is>
          <t>-</t>
        </is>
      </c>
      <c r="K217" s="7" t="n">
        <v>4596.35</v>
      </c>
      <c r="L217" s="15">
        <f>IF(K217="","",K217*(1-0.1))</f>
        <v/>
      </c>
      <c r="M217" s="6" t="n">
        <v>3.5</v>
      </c>
      <c r="N217" s="15">
        <f>IF(K217="","",L217*E217)</f>
        <v/>
      </c>
      <c r="O217" s="15">
        <f>IF(M217="","",M217*E217*55)</f>
        <v/>
      </c>
      <c r="P217" s="15">
        <f>IF(N217="","",N217+N(O217))</f>
        <v/>
      </c>
      <c r="Q217" s="15">
        <f>IF(P217="","",P217/E217)</f>
        <v/>
      </c>
      <c r="R217" s="5" t="inlineStr">
        <is>
          <t>ДН.ру (dn.ru), бренд Мегастрой</t>
        </is>
      </c>
      <c r="S217" s="5" t="inlineStr">
        <is>
          <t>розница · B: dn.ru — живой магазин ООО «ДН.ру», © 2026,</t>
        </is>
      </c>
      <c r="T217" s="5" t="inlineStr">
        <is>
          <t>exact · не проверено</t>
        </is>
      </c>
      <c r="U217" s="5" t="inlineStr">
        <is>
          <t>https://dn.ru/klapan/klapan-obratnyi/mezhflantcevyi/odnostvorchatyi/megastroy/19ch21br/dn100</t>
        </is>
      </c>
    </row>
    <row r="218" ht="34" customHeight="1">
      <c r="A218" s="5" t="inlineStr">
        <is>
          <t>1.6</t>
        </is>
      </c>
      <c r="B218" s="6" t="n">
        <v>5</v>
      </c>
      <c r="C218" s="5" t="inlineStr">
        <is>
          <t>Клапаны</t>
        </is>
      </c>
      <c r="D218" s="5" t="inlineStr">
        <is>
          <t>Клапан обратный межфланцевый 19ч21бр Ду 50 Ру 16</t>
        </is>
      </c>
      <c r="E218" s="6" t="n">
        <v>1</v>
      </c>
      <c r="F218" s="5" t="inlineStr">
        <is>
          <t>шт</t>
        </is>
      </c>
      <c r="G218" s="6" t="n">
        <v>50</v>
      </c>
      <c r="H218" s="6" t="n">
        <v>1.6</v>
      </c>
      <c r="I218" s="5" t="inlineStr">
        <is>
          <t>чугун</t>
        </is>
      </c>
      <c r="J218" s="5" t="inlineStr">
        <is>
          <t>-</t>
        </is>
      </c>
      <c r="K218" s="7" t="n">
        <v>2280.79</v>
      </c>
      <c r="L218" s="15">
        <f>IF(K218="","",K218*(1-0.1))</f>
        <v/>
      </c>
      <c r="M218" s="6" t="n">
        <v>1.5</v>
      </c>
      <c r="N218" s="15">
        <f>IF(K218="","",L218*E218)</f>
        <v/>
      </c>
      <c r="O218" s="15">
        <f>IF(M218="","",M218*E218*55)</f>
        <v/>
      </c>
      <c r="P218" s="15">
        <f>IF(N218="","",N218+N(O218))</f>
        <v/>
      </c>
      <c r="Q218" s="15">
        <f>IF(P218="","",P218/E218)</f>
        <v/>
      </c>
      <c r="R218" s="5" t="inlineStr">
        <is>
          <t>ДН.ру (dn.ru), бренд Мегастрой</t>
        </is>
      </c>
      <c r="S218" s="5" t="inlineStr">
        <is>
          <t>розница · B: dn.ru — живой магазин ООО «ДН.ру», © 2026,</t>
        </is>
      </c>
      <c r="T218" s="5" t="inlineStr">
        <is>
          <t>exact · не проверено</t>
        </is>
      </c>
      <c r="U218" s="5" t="inlineStr">
        <is>
          <t>https://dn.ru/klapan/klapan-obratnyi/mezhflantcevyi/odnostvorchatyi/megastroy/19ch21br/dn50</t>
        </is>
      </c>
    </row>
    <row r="219" ht="34" customHeight="1">
      <c r="A219" s="5" t="inlineStr">
        <is>
          <t>1.6</t>
        </is>
      </c>
      <c r="B219" s="6" t="n">
        <v>6</v>
      </c>
      <c r="C219" s="5" t="inlineStr">
        <is>
          <t>Клапаны</t>
        </is>
      </c>
      <c r="D219" s="5" t="inlineStr">
        <is>
          <t>Клапан обратный межфланцевый 19ч21бр Ду 80 Ру 16</t>
        </is>
      </c>
      <c r="E219" s="6" t="n">
        <v>2</v>
      </c>
      <c r="F219" s="5" t="inlineStr">
        <is>
          <t>шт</t>
        </is>
      </c>
      <c r="G219" s="6" t="n">
        <v>80</v>
      </c>
      <c r="H219" s="6" t="n">
        <v>1.6</v>
      </c>
      <c r="I219" s="5" t="inlineStr">
        <is>
          <t>чугун</t>
        </is>
      </c>
      <c r="J219" s="5" t="inlineStr">
        <is>
          <t>-</t>
        </is>
      </c>
      <c r="K219" s="7" t="n">
        <v>3351.34</v>
      </c>
      <c r="L219" s="15">
        <f>IF(K219="","",K219*(1-0.1))</f>
        <v/>
      </c>
      <c r="M219" s="6" t="n">
        <v>2.5</v>
      </c>
      <c r="N219" s="15">
        <f>IF(K219="","",L219*E219)</f>
        <v/>
      </c>
      <c r="O219" s="15">
        <f>IF(M219="","",M219*E219*55)</f>
        <v/>
      </c>
      <c r="P219" s="15">
        <f>IF(N219="","",N219+N(O219))</f>
        <v/>
      </c>
      <c r="Q219" s="15">
        <f>IF(P219="","",P219/E219)</f>
        <v/>
      </c>
      <c r="R219" s="5" t="inlineStr">
        <is>
          <t>ДН.ру (dn.ru), бренд Мегастрой</t>
        </is>
      </c>
      <c r="S219" s="5" t="inlineStr">
        <is>
          <t>розница · B: dn.ru — живой магазин ООО «ДН.ру», © 2026,</t>
        </is>
      </c>
      <c r="T219" s="5" t="inlineStr">
        <is>
          <t>exact · не проверено</t>
        </is>
      </c>
      <c r="U219" s="5" t="inlineStr">
        <is>
          <t>https://dn.ru/klapan/klapan-obratnyi/mezhflantcevyi/odnostvorchatyi/megastroy/19ch21br/dn80</t>
        </is>
      </c>
    </row>
    <row r="220" ht="34" customHeight="1">
      <c r="A220" s="5" t="inlineStr">
        <is>
          <t>1.6</t>
        </is>
      </c>
      <c r="B220" s="6" t="n">
        <v>7</v>
      </c>
      <c r="C220" s="5" t="inlineStr">
        <is>
          <t>Клапаны</t>
        </is>
      </c>
      <c r="D220" s="5" t="inlineStr">
        <is>
          <t>Клапан обратный двухстворчатый DENDOR 010C Ду 100 Ру 16 межфланцевый</t>
        </is>
      </c>
      <c r="E220" s="6" t="n">
        <v>1</v>
      </c>
      <c r="F220" s="5" t="inlineStr">
        <is>
          <t>шт</t>
        </is>
      </c>
      <c r="G220" s="6" t="n">
        <v>100</v>
      </c>
      <c r="H220" s="6" t="n">
        <v>1.6</v>
      </c>
      <c r="I220" s="5" t="inlineStr">
        <is>
          <t>Чугун GGG40</t>
        </is>
      </c>
      <c r="J220" s="5" t="inlineStr">
        <is>
          <t>-</t>
        </is>
      </c>
      <c r="K220" s="7" t="n">
        <v>10936.08</v>
      </c>
      <c r="L220" s="15">
        <f>IF(K220="","",K220*(1-0.1))</f>
        <v/>
      </c>
      <c r="M220" s="6" t="n">
        <v>5</v>
      </c>
      <c r="N220" s="15">
        <f>IF(K220="","",L220*E220)</f>
        <v/>
      </c>
      <c r="O220" s="15">
        <f>IF(M220="","",M220*E220*55)</f>
        <v/>
      </c>
      <c r="P220" s="15">
        <f>IF(N220="","",N220+N(O220))</f>
        <v/>
      </c>
      <c r="Q220" s="15">
        <f>IF(P220="","",P220/E220)</f>
        <v/>
      </c>
      <c r="R220" s="5" t="inlineStr">
        <is>
          <t>ДН.ру (dn.ru), бренд АДЛ Гранлок</t>
        </is>
      </c>
      <c r="S220" s="5" t="inlineStr">
        <is>
          <t>розница · B: dn.ru — живой магазин ООО «ДН.ру», © 2026,</t>
        </is>
      </c>
      <c r="T220" s="5" t="inlineStr">
        <is>
          <t>analog: АДЛ Гранлок CV16 вместо DENDOR 010C · не провер</t>
        </is>
      </c>
      <c r="U220" s="5" t="inlineStr">
        <is>
          <t>https://dn.ru/klapan/klapan-obratnyi/mezhflantcevyi/dvukhstvorchatyi/granlok/cv16/dn100</t>
        </is>
      </c>
    </row>
    <row r="221" ht="34" customHeight="1">
      <c r="A221" s="5" t="inlineStr">
        <is>
          <t>1.6</t>
        </is>
      </c>
      <c r="B221" s="6" t="n">
        <v>8</v>
      </c>
      <c r="C221" s="5" t="inlineStr">
        <is>
          <t>Клапаны</t>
        </is>
      </c>
      <c r="D221" s="5" t="inlineStr">
        <is>
          <t>Клапан обратный двухстворчатый DENDOR 010C Ду 150 Ру 16 межфланцевый</t>
        </is>
      </c>
      <c r="E221" s="6" t="n">
        <v>1</v>
      </c>
      <c r="F221" s="5" t="inlineStr">
        <is>
          <t>шт</t>
        </is>
      </c>
      <c r="G221" s="6" t="n">
        <v>150</v>
      </c>
      <c r="H221" s="6" t="n">
        <v>1.6</v>
      </c>
      <c r="I221" s="5" t="inlineStr">
        <is>
          <t>Чугун GGG40</t>
        </is>
      </c>
      <c r="J221" s="5" t="inlineStr">
        <is>
          <t>-</t>
        </is>
      </c>
      <c r="K221" s="7" t="n">
        <v>12109.11</v>
      </c>
      <c r="L221" s="15">
        <f>IF(K221="","",K221*(1-0.1))</f>
        <v/>
      </c>
      <c r="M221" s="6" t="n">
        <v>9</v>
      </c>
      <c r="N221" s="15">
        <f>IF(K221="","",L221*E221)</f>
        <v/>
      </c>
      <c r="O221" s="15">
        <f>IF(M221="","",M221*E221*55)</f>
        <v/>
      </c>
      <c r="P221" s="15">
        <f>IF(N221="","",N221+N(O221))</f>
        <v/>
      </c>
      <c r="Q221" s="15">
        <f>IF(P221="","",P221/E221)</f>
        <v/>
      </c>
      <c r="R221" s="5" t="inlineStr">
        <is>
          <t>ДН.ру (dn.ru), бренд АДЛ Гранлок</t>
        </is>
      </c>
      <c r="S221" s="5" t="inlineStr">
        <is>
          <t>розница · B: dn.ru — живой магазин ООО «ДН.ру», © 2026,</t>
        </is>
      </c>
      <c r="T221" s="5" t="inlineStr">
        <is>
          <t>analog: АДЛ Гранлок CV16 вместо DENDOR 010C · не провер</t>
        </is>
      </c>
      <c r="U221" s="5" t="inlineStr">
        <is>
          <t>https://dn.ru/klapan/klapan-obratnyi/mezhflantcevyi/dvukhstvorchatyi/granlok/cv16/dn150</t>
        </is>
      </c>
    </row>
    <row r="222" ht="34" customHeight="1">
      <c r="A222" s="5" t="inlineStr">
        <is>
          <t>1.6</t>
        </is>
      </c>
      <c r="B222" s="6" t="n">
        <v>9</v>
      </c>
      <c r="C222" s="5" t="inlineStr">
        <is>
          <t>Клапаны</t>
        </is>
      </c>
      <c r="D222" s="5" t="inlineStr">
        <is>
          <t>Клапан обратный двухстворчатый DENDOR 010C Ду 200 Ру 16 межфланцевый</t>
        </is>
      </c>
      <c r="E222" s="6" t="n">
        <v>1</v>
      </c>
      <c r="F222" s="5" t="inlineStr">
        <is>
          <t>шт</t>
        </is>
      </c>
      <c r="G222" s="6" t="n">
        <v>200</v>
      </c>
      <c r="H222" s="6" t="n">
        <v>1.6</v>
      </c>
      <c r="I222" s="5" t="inlineStr">
        <is>
          <t>Чугун GGG40</t>
        </is>
      </c>
      <c r="J222" s="5" t="inlineStr">
        <is>
          <t>-</t>
        </is>
      </c>
      <c r="K222" s="7" t="n">
        <v>29968.69</v>
      </c>
      <c r="L222" s="15">
        <f>IF(K222="","",K222*(1-0.1))</f>
        <v/>
      </c>
      <c r="M222" s="6" t="n">
        <v>16</v>
      </c>
      <c r="N222" s="15">
        <f>IF(K222="","",L222*E222)</f>
        <v/>
      </c>
      <c r="O222" s="15">
        <f>IF(M222="","",M222*E222*55)</f>
        <v/>
      </c>
      <c r="P222" s="15">
        <f>IF(N222="","",N222+N(O222))</f>
        <v/>
      </c>
      <c r="Q222" s="15">
        <f>IF(P222="","",P222/E222)</f>
        <v/>
      </c>
      <c r="R222" s="5" t="inlineStr">
        <is>
          <t>ДН.ру (dn.ru), бренд АДЛ Гранлок</t>
        </is>
      </c>
      <c r="S222" s="5" t="inlineStr">
        <is>
          <t>розница · B: dn.ru — живой магазин ООО «ДН.ру», © 2026,</t>
        </is>
      </c>
      <c r="T222" s="5" t="inlineStr">
        <is>
          <t>analog: АДЛ Гранлок CV16 вместо DENDOR 010C · не провер</t>
        </is>
      </c>
      <c r="U222" s="5" t="inlineStr">
        <is>
          <t>https://dn.ru/klapan/klapan-obratnyi/mezhflantcevyi/dvukhstvorchatyi/granlok/cv16/dn200</t>
        </is>
      </c>
    </row>
    <row r="223" ht="34" customHeight="1">
      <c r="A223" s="5" t="inlineStr">
        <is>
          <t>1.6</t>
        </is>
      </c>
      <c r="B223" s="6" t="n">
        <v>10</v>
      </c>
      <c r="C223" s="5" t="inlineStr">
        <is>
          <t>Клапаны</t>
        </is>
      </c>
      <c r="D223" s="5" t="inlineStr">
        <is>
          <t>Клапан предохранительный сбросный ПСК 50C/125 Ду 50</t>
        </is>
      </c>
      <c r="E223" s="6" t="n">
        <v>1</v>
      </c>
      <c r="F223" s="5" t="inlineStr">
        <is>
          <t>шт</t>
        </is>
      </c>
      <c r="G223" s="6" t="n">
        <v>50</v>
      </c>
      <c r="H223" s="5" t="inlineStr">
        <is>
          <t>-</t>
        </is>
      </c>
      <c r="I223" s="5" t="inlineStr">
        <is>
          <t>алюминий</t>
        </is>
      </c>
      <c r="J223" s="5" t="inlineStr">
        <is>
          <t>-</t>
        </is>
      </c>
      <c r="K223" s="7" t="n">
        <v>9000</v>
      </c>
      <c r="L223" s="15">
        <f>IF(K223="","",K223*(1-0.1))</f>
        <v/>
      </c>
      <c r="M223" s="6" t="n">
        <v>2</v>
      </c>
      <c r="N223" s="15">
        <f>IF(K223="","",L223*E223)</f>
        <v/>
      </c>
      <c r="O223" s="15">
        <f>IF(M223="","",M223*E223*55)</f>
        <v/>
      </c>
      <c r="P223" s="15">
        <f>IF(N223="","",N223+N(O223))</f>
        <v/>
      </c>
      <c r="Q223" s="15">
        <f>IF(P223="","",P223/E223)</f>
        <v/>
      </c>
      <c r="R223" s="5" t="inlineStr">
        <is>
          <t>ООО «Газовик»/НовГазТех</t>
        </is>
      </c>
      <c r="S223" s="5" t="inlineStr">
        <is>
          <t>оценка · оценка по соседнему типоразмеру/аналогу (источ</t>
        </is>
      </c>
      <c r="T223" s="5" t="inlineStr">
        <is>
          <t>exact (марка), цена оценочная · не проверено</t>
        </is>
      </c>
      <c r="U223" s="5" t="inlineStr">
        <is>
          <t>https://newgaztech.ru/catalog/plant/product/id/143</t>
        </is>
      </c>
    </row>
    <row r="224" ht="34" customHeight="1">
      <c r="A224" s="5" t="inlineStr">
        <is>
          <t>1.6</t>
        </is>
      </c>
      <c r="B224" s="6" t="n">
        <v>11</v>
      </c>
      <c r="C224" s="5" t="inlineStr">
        <is>
          <t>Клапаны</t>
        </is>
      </c>
      <c r="D224" s="5" t="inlineStr">
        <is>
          <t>Клапан предохранительный 17с11нж Ду 25 Ру 16</t>
        </is>
      </c>
      <c r="E224" s="6" t="n">
        <v>2</v>
      </c>
      <c r="F224" s="5" t="inlineStr">
        <is>
          <t>шт</t>
        </is>
      </c>
      <c r="G224" s="6" t="n">
        <v>25</v>
      </c>
      <c r="H224" s="6" t="n">
        <v>1.6</v>
      </c>
      <c r="I224" s="5" t="inlineStr">
        <is>
          <t>Углеродистая сталь</t>
        </is>
      </c>
      <c r="J224" s="5" t="inlineStr">
        <is>
          <t>-</t>
        </is>
      </c>
      <c r="K224" s="7" t="n">
        <v>18000</v>
      </c>
      <c r="L224" s="15">
        <f>IF(K224="","",K224*(1-0.1))</f>
        <v/>
      </c>
      <c r="M224" s="6" t="n">
        <v>6</v>
      </c>
      <c r="N224" s="15">
        <f>IF(K224="","",L224*E224)</f>
        <v/>
      </c>
      <c r="O224" s="15">
        <f>IF(M224="","",M224*E224*55)</f>
        <v/>
      </c>
      <c r="P224" s="15">
        <f>IF(N224="","",N224+N(O224))</f>
        <v/>
      </c>
      <c r="Q224" s="15">
        <f>IF(P224="","",P224/E224)</f>
        <v/>
      </c>
      <c r="R224" s="5" t="inlineStr">
        <is>
          <t>ДН.ру/Авангард</t>
        </is>
      </c>
      <c r="S224" s="5" t="inlineStr">
        <is>
          <t>оценка · оценка по соседнему типоразмеру/аналогу (источ</t>
        </is>
      </c>
      <c r="T224" s="5" t="inlineStr">
        <is>
          <t>exact (марка), оценка по 17с28нж Ду25 · не проверено</t>
        </is>
      </c>
      <c r="U224" s="5" t="inlineStr">
        <is>
          <t>https://dn.ru/klapan/klapan-predokhranitelnyi/flantcevyi/avangard/17s28nzh/dn25-40</t>
        </is>
      </c>
    </row>
    <row r="225" ht="34" customHeight="1">
      <c r="A225" s="5" t="inlineStr">
        <is>
          <t>1.6</t>
        </is>
      </c>
      <c r="B225" s="6" t="n">
        <v>12</v>
      </c>
      <c r="C225" s="5" t="inlineStr">
        <is>
          <t>Клапаны</t>
        </is>
      </c>
      <c r="D225" s="5" t="inlineStr">
        <is>
          <t>Клапан предохранительный 17с28нж Ду 50 Ру16 (Рн 10-16)</t>
        </is>
      </c>
      <c r="E225" s="6" t="n">
        <v>3</v>
      </c>
      <c r="F225" s="5" t="inlineStr">
        <is>
          <t>шт</t>
        </is>
      </c>
      <c r="G225" s="6" t="n">
        <v>50</v>
      </c>
      <c r="H225" s="6" t="n">
        <v>1.6</v>
      </c>
      <c r="I225" s="5" t="inlineStr">
        <is>
          <t>сталь 25Л</t>
        </is>
      </c>
      <c r="J225" s="5" t="inlineStr">
        <is>
          <t>-</t>
        </is>
      </c>
      <c r="K225" s="7" t="n">
        <v>22754.83</v>
      </c>
      <c r="L225" s="15">
        <f>IF(K225="","",K225*(1-0.1))</f>
        <v/>
      </c>
      <c r="M225" s="6" t="n">
        <v>28</v>
      </c>
      <c r="N225" s="15">
        <f>IF(K225="","",L225*E225)</f>
        <v/>
      </c>
      <c r="O225" s="15">
        <f>IF(M225="","",M225*E225*55)</f>
        <v/>
      </c>
      <c r="P225" s="15">
        <f>IF(N225="","",N225+N(O225))</f>
        <v/>
      </c>
      <c r="Q225" s="15">
        <f>IF(P225="","",P225/E225)</f>
        <v/>
      </c>
      <c r="R225" s="5" t="inlineStr">
        <is>
          <t>ДН.ру (dn.ru), бренд ВБТА</t>
        </is>
      </c>
      <c r="S225" s="5" t="inlineStr">
        <is>
          <t>розница · B: dn.ru — живой магазин ООО «ДН.ру», © 2026,</t>
        </is>
      </c>
      <c r="T225" s="5" t="inlineStr">
        <is>
          <t>exact · не проверено</t>
        </is>
      </c>
      <c r="U225" s="5" t="inlineStr">
        <is>
          <t>https://dn.ru/klapan/klapan-predokhranitelnyi/flantcevyi/vbta/17s28nzh/dn50</t>
        </is>
      </c>
    </row>
    <row r="226" ht="34" customHeight="1">
      <c r="A226" s="5" t="inlineStr">
        <is>
          <t>1.6</t>
        </is>
      </c>
      <c r="B226" s="6" t="n">
        <v>13</v>
      </c>
      <c r="C226" s="5" t="inlineStr">
        <is>
          <t>Клапаны</t>
        </is>
      </c>
      <c r="D226" s="5" t="inlineStr">
        <is>
          <t>Клапан предохранительный 17с6нж Ду 50 Ру 16</t>
        </is>
      </c>
      <c r="E226" s="6" t="n">
        <v>2</v>
      </c>
      <c r="F226" s="5" t="inlineStr">
        <is>
          <t>шт</t>
        </is>
      </c>
      <c r="G226" s="6" t="n">
        <v>50</v>
      </c>
      <c r="H226" s="6" t="n">
        <v>1.6</v>
      </c>
      <c r="I226" s="5" t="inlineStr">
        <is>
          <t>сталь 25Л</t>
        </is>
      </c>
      <c r="J226" s="5" t="inlineStr"/>
      <c r="K226" s="7" t="n">
        <v>36900.12</v>
      </c>
      <c r="L226" s="15">
        <f>IF(K226="","",K226*(1-0.1))</f>
        <v/>
      </c>
      <c r="M226" s="6" t="n">
        <v>35</v>
      </c>
      <c r="N226" s="15">
        <f>IF(K226="","",L226*E226)</f>
        <v/>
      </c>
      <c r="O226" s="15">
        <f>IF(M226="","",M226*E226*55)</f>
        <v/>
      </c>
      <c r="P226" s="15">
        <f>IF(N226="","",N226+N(O226))</f>
        <v/>
      </c>
      <c r="Q226" s="15">
        <f>IF(P226="","",P226/E226)</f>
        <v/>
      </c>
      <c r="R226" s="5" t="inlineStr">
        <is>
          <t>ДН.ру (dn.ru), бренд ВБТА</t>
        </is>
      </c>
      <c r="S226" s="5" t="inlineStr">
        <is>
          <t>розница · B: dn.ru — живой магазин ООО «ДН.ру», © 2026,</t>
        </is>
      </c>
      <c r="T226" s="5" t="inlineStr">
        <is>
          <t>exact · не проверено</t>
        </is>
      </c>
      <c r="U226" s="5" t="inlineStr">
        <is>
          <t>https://dn.ru/klapan/klapan-predokhranitelnyi/flantcevyi/vbta/17s6nzh/dn50</t>
        </is>
      </c>
    </row>
    <row r="227" ht="34" customHeight="1">
      <c r="A227" s="5" t="inlineStr">
        <is>
          <t>1.6</t>
        </is>
      </c>
      <c r="B227" s="6" t="n">
        <v>14</v>
      </c>
      <c r="C227" s="5" t="inlineStr">
        <is>
          <t>Клапаны</t>
        </is>
      </c>
      <c r="D227" s="5" t="inlineStr">
        <is>
          <t>Клапан предохранительный 17с6нж Ду 80 Ру 16</t>
        </is>
      </c>
      <c r="E227" s="6" t="n">
        <v>1</v>
      </c>
      <c r="F227" s="5" t="inlineStr">
        <is>
          <t>шт</t>
        </is>
      </c>
      <c r="G227" s="6" t="n">
        <v>80</v>
      </c>
      <c r="H227" s="6" t="n">
        <v>1.6</v>
      </c>
      <c r="I227" s="5" t="inlineStr">
        <is>
          <t>сталь 25Л</t>
        </is>
      </c>
      <c r="J227" s="5" t="inlineStr"/>
      <c r="K227" s="7" t="n">
        <v>54119.81</v>
      </c>
      <c r="L227" s="15">
        <f>IF(K227="","",K227*(1-0.1))</f>
        <v/>
      </c>
      <c r="M227" s="6" t="n">
        <v>60</v>
      </c>
      <c r="N227" s="15">
        <f>IF(K227="","",L227*E227)</f>
        <v/>
      </c>
      <c r="O227" s="15">
        <f>IF(M227="","",M227*E227*55)</f>
        <v/>
      </c>
      <c r="P227" s="15">
        <f>IF(N227="","",N227+N(O227))</f>
        <v/>
      </c>
      <c r="Q227" s="15">
        <f>IF(P227="","",P227/E227)</f>
        <v/>
      </c>
      <c r="R227" s="5" t="inlineStr">
        <is>
          <t>ДН.ру (dn.ru), бренд ВБТА</t>
        </is>
      </c>
      <c r="S227" s="5" t="inlineStr">
        <is>
          <t>розница · B: dn.ru — живой магазин ООО «ДН.ру», © 2026,</t>
        </is>
      </c>
      <c r="T227" s="5" t="inlineStr">
        <is>
          <t>exact · не проверено</t>
        </is>
      </c>
      <c r="U227" s="5" t="inlineStr">
        <is>
          <t>https://dn.ru/klapan/klapan-predokhranitelnyi/flantcevyi/vbta/17s6nzh/dn80</t>
        </is>
      </c>
    </row>
    <row r="228" ht="34" customHeight="1">
      <c r="A228" s="5" t="inlineStr">
        <is>
          <t>1.6</t>
        </is>
      </c>
      <c r="B228" s="6" t="n">
        <v>15</v>
      </c>
      <c r="C228" s="5" t="inlineStr">
        <is>
          <t>Клапаны</t>
        </is>
      </c>
      <c r="D228" s="5" t="inlineStr">
        <is>
          <t>Клапан 15с18нж Ду 32, Ру 25</t>
        </is>
      </c>
      <c r="E228" s="6" t="n">
        <v>1</v>
      </c>
      <c r="F228" s="5" t="inlineStr">
        <is>
          <t>шт</t>
        </is>
      </c>
      <c r="G228" s="6" t="n">
        <v>32</v>
      </c>
      <c r="H228" s="6" t="n">
        <v>2.5</v>
      </c>
      <c r="I228" s="5" t="inlineStr">
        <is>
          <t>сталь 20Л.</t>
        </is>
      </c>
      <c r="J228" s="5" t="inlineStr"/>
      <c r="K228" s="7" t="n">
        <v>8500</v>
      </c>
      <c r="L228" s="15">
        <f>IF(K228="","",K228*(1-0.1))</f>
        <v/>
      </c>
      <c r="M228" s="6" t="n">
        <v>7.5</v>
      </c>
      <c r="N228" s="15">
        <f>IF(K228="","",L228*E228)</f>
        <v/>
      </c>
      <c r="O228" s="15">
        <f>IF(M228="","",M228*E228*55)</f>
        <v/>
      </c>
      <c r="P228" s="15">
        <f>IF(N228="","",N228+N(O228))</f>
        <v/>
      </c>
      <c r="Q228" s="15">
        <f>IF(P228="","",P228/E228)</f>
        <v/>
      </c>
      <c r="R228" s="5" t="inlineStr">
        <is>
          <t>ДН.ру</t>
        </is>
      </c>
      <c r="S228" s="5" t="inlineStr">
        <is>
          <t>оценка · оценка, без прямого прайса</t>
        </is>
      </c>
      <c r="T228" s="5" t="inlineStr">
        <is>
          <t>analog: 15с22нж Ду32 Ру40 (перекрывает Ру25) · не прове</t>
        </is>
      </c>
      <c r="U228" s="5" t="inlineStr"/>
    </row>
    <row r="229" ht="34" customHeight="1">
      <c r="A229" s="5" t="inlineStr">
        <is>
          <t>1.6</t>
        </is>
      </c>
      <c r="B229" s="6" t="n">
        <v>16</v>
      </c>
      <c r="C229" s="5" t="inlineStr">
        <is>
          <t>Краны шаровые и прочее</t>
        </is>
      </c>
      <c r="D229" s="5" t="inlineStr">
        <is>
          <t>Кран для манометра трехходовой Ду 15 Ру 16</t>
        </is>
      </c>
      <c r="E229" s="6" t="n">
        <v>2</v>
      </c>
      <c r="F229" s="5" t="inlineStr">
        <is>
          <t>шт</t>
        </is>
      </c>
      <c r="G229" s="6" t="n">
        <v>15</v>
      </c>
      <c r="H229" s="6" t="n">
        <v>1.6</v>
      </c>
      <c r="I229" s="5" t="inlineStr">
        <is>
          <t>латунь ЛЦ40Сд</t>
        </is>
      </c>
      <c r="J229" s="5" t="inlineStr">
        <is>
          <t>ручной (рукоятка)</t>
        </is>
      </c>
      <c r="K229" s="7" t="n">
        <v>420</v>
      </c>
      <c r="L229" s="15">
        <f>IF(K229="","",K229*(1-0.1))</f>
        <v/>
      </c>
      <c r="M229" s="6" t="n">
        <v>0.15</v>
      </c>
      <c r="N229" s="15">
        <f>IF(K229="","",L229*E229)</f>
        <v/>
      </c>
      <c r="O229" s="15">
        <f>IF(M229="","",M229*E229*55)</f>
        <v/>
      </c>
      <c r="P229" s="15">
        <f>IF(N229="","",N229+N(O229))</f>
        <v/>
      </c>
      <c r="Q229" s="15">
        <f>IF(P229="","",P229/E229)</f>
        <v/>
      </c>
      <c r="R229" s="5" t="inlineStr">
        <is>
          <t>рос. производители 11б18бк (напр. Р</t>
        </is>
      </c>
      <c r="S229" s="5" t="inlineStr">
        <is>
          <t>оценка · открытой рублёвой цены 2026 не найдено</t>
        </is>
      </c>
      <c r="T229" s="5" t="inlineStr">
        <is>
          <t>analog: кран трёхходовой 11б18бк латунь PN16 · не прове</t>
        </is>
      </c>
      <c r="U229" s="5" t="inlineStr"/>
    </row>
    <row r="230" ht="34" customHeight="1">
      <c r="A230" s="5" t="inlineStr">
        <is>
          <t>1.6</t>
        </is>
      </c>
      <c r="B230" s="6" t="n">
        <v>17</v>
      </c>
      <c r="C230" s="5" t="inlineStr">
        <is>
          <t>Клапаны</t>
        </is>
      </c>
      <c r="D230" s="5" t="inlineStr">
        <is>
          <t>Клапан запорный муфтовый 15б1п Ду 15 Ру 16</t>
        </is>
      </c>
      <c r="E230" s="6" t="n">
        <v>8</v>
      </c>
      <c r="F230" s="5" t="inlineStr">
        <is>
          <t>шт</t>
        </is>
      </c>
      <c r="G230" s="6" t="n">
        <v>15</v>
      </c>
      <c r="H230" s="6" t="n">
        <v>1.6</v>
      </c>
      <c r="I230" s="5" t="inlineStr">
        <is>
          <t>латунь ЛЦ40Сд</t>
        </is>
      </c>
      <c r="J230" s="5" t="inlineStr">
        <is>
          <t>ручной (маховик)</t>
        </is>
      </c>
      <c r="K230" s="7" t="n">
        <v>496.54</v>
      </c>
      <c r="L230" s="15">
        <f>IF(K230="","",K230*(1-0.1))</f>
        <v/>
      </c>
      <c r="M230" s="6" t="n">
        <v>0.35</v>
      </c>
      <c r="N230" s="15">
        <f>IF(K230="","",L230*E230)</f>
        <v/>
      </c>
      <c r="O230" s="15">
        <f>IF(M230="","",M230*E230*55)</f>
        <v/>
      </c>
      <c r="P230" s="15">
        <f>IF(N230="","",N230+N(O230))</f>
        <v/>
      </c>
      <c r="Q230" s="15">
        <f>IF(P230="","",P230/E230)</f>
        <v/>
      </c>
      <c r="R230" s="5" t="inlineStr">
        <is>
          <t>ДН.ру (dn.ru), бренд Цветлит</t>
        </is>
      </c>
      <c r="S230" s="5" t="inlineStr">
        <is>
          <t>розница · B: dn.ru — живой магазин ООО «ДН.ру», © 2026,</t>
        </is>
      </c>
      <c r="T230" s="5" t="inlineStr">
        <is>
          <t>exact · не проверено</t>
        </is>
      </c>
      <c r="U230" s="5" t="inlineStr">
        <is>
          <t>https://dn.ru/klapan/klapan-zapornyi/2hod/latun/shturval/tsvetlit/15b1p/dn15</t>
        </is>
      </c>
    </row>
    <row r="231" ht="34" customHeight="1">
      <c r="A231" s="5" t="inlineStr">
        <is>
          <t>1.6</t>
        </is>
      </c>
      <c r="B231" s="6" t="n">
        <v>18</v>
      </c>
      <c r="C231" s="5" t="inlineStr">
        <is>
          <t>Клапаны</t>
        </is>
      </c>
      <c r="D231" s="5" t="inlineStr">
        <is>
          <t>Клапан запорный муфтовый 15б1п Ду 20 Ру 16</t>
        </is>
      </c>
      <c r="E231" s="6" t="n">
        <v>14</v>
      </c>
      <c r="F231" s="5" t="inlineStr">
        <is>
          <t>шт</t>
        </is>
      </c>
      <c r="G231" s="6" t="n">
        <v>20</v>
      </c>
      <c r="H231" s="6" t="n">
        <v>1.6</v>
      </c>
      <c r="I231" s="5" t="inlineStr">
        <is>
          <t>латунь ЛЦ40Сд</t>
        </is>
      </c>
      <c r="J231" s="5" t="inlineStr">
        <is>
          <t>ручной (маховик)</t>
        </is>
      </c>
      <c r="K231" s="7" t="n">
        <v>653.3099999999999</v>
      </c>
      <c r="L231" s="15">
        <f>IF(K231="","",K231*(1-0.1))</f>
        <v/>
      </c>
      <c r="M231" s="6" t="n">
        <v>0.5</v>
      </c>
      <c r="N231" s="15">
        <f>IF(K231="","",L231*E231)</f>
        <v/>
      </c>
      <c r="O231" s="15">
        <f>IF(M231="","",M231*E231*55)</f>
        <v/>
      </c>
      <c r="P231" s="15">
        <f>IF(N231="","",N231+N(O231))</f>
        <v/>
      </c>
      <c r="Q231" s="15">
        <f>IF(P231="","",P231/E231)</f>
        <v/>
      </c>
      <c r="R231" s="5" t="inlineStr">
        <is>
          <t>ДН.ру (dn.ru), бренд Цветлит</t>
        </is>
      </c>
      <c r="S231" s="5" t="inlineStr">
        <is>
          <t>розница · B: dn.ru — живой магазин ООО «ДН.ру», © 2026,</t>
        </is>
      </c>
      <c r="T231" s="5" t="inlineStr">
        <is>
          <t>exact · не проверено</t>
        </is>
      </c>
      <c r="U231" s="5" t="inlineStr">
        <is>
          <t>https://dn.ru/klapan/klapan-zapornyi/2hod/latun/shturval/tsvetlit/15b1p/dn20</t>
        </is>
      </c>
    </row>
    <row r="232" ht="34" customHeight="1">
      <c r="A232" s="5" t="inlineStr">
        <is>
          <t>1.6</t>
        </is>
      </c>
      <c r="B232" s="6" t="n">
        <v>19</v>
      </c>
      <c r="C232" s="5" t="inlineStr">
        <is>
          <t>Клапаны</t>
        </is>
      </c>
      <c r="D232" s="5" t="inlineStr">
        <is>
          <t>Клапан запорный муфтовый 15б1п Ду 25 Ру 16</t>
        </is>
      </c>
      <c r="E232" s="6" t="n">
        <v>12</v>
      </c>
      <c r="F232" s="5" t="inlineStr">
        <is>
          <t>шт</t>
        </is>
      </c>
      <c r="G232" s="6" t="n">
        <v>25</v>
      </c>
      <c r="H232" s="6" t="n">
        <v>1.6</v>
      </c>
      <c r="I232" s="5" t="inlineStr">
        <is>
          <t>латунь ЛЦ40Сд</t>
        </is>
      </c>
      <c r="J232" s="5" t="inlineStr">
        <is>
          <t>ручной (маховик)</t>
        </is>
      </c>
      <c r="K232" s="7" t="n">
        <v>923.54</v>
      </c>
      <c r="L232" s="15">
        <f>IF(K232="","",K232*(1-0.1))</f>
        <v/>
      </c>
      <c r="M232" s="6" t="n">
        <v>0.8</v>
      </c>
      <c r="N232" s="15">
        <f>IF(K232="","",L232*E232)</f>
        <v/>
      </c>
      <c r="O232" s="15">
        <f>IF(M232="","",M232*E232*55)</f>
        <v/>
      </c>
      <c r="P232" s="15">
        <f>IF(N232="","",N232+N(O232))</f>
        <v/>
      </c>
      <c r="Q232" s="15">
        <f>IF(P232="","",P232/E232)</f>
        <v/>
      </c>
      <c r="R232" s="5" t="inlineStr">
        <is>
          <t>ДН.ру (dn.ru), бренд Цветлит</t>
        </is>
      </c>
      <c r="S232" s="5" t="inlineStr">
        <is>
          <t>розница · B: dn.ru — живой магазин ООО «ДН.ру», © 2026,</t>
        </is>
      </c>
      <c r="T232" s="5" t="inlineStr">
        <is>
          <t>exact · не проверено</t>
        </is>
      </c>
      <c r="U232" s="5" t="inlineStr">
        <is>
          <t>https://dn.ru/klapan/klapan-zapornyi/2hod/latun/shturval/tsvetlit/15b1n-vr-vr/dn25</t>
        </is>
      </c>
    </row>
    <row r="233" ht="34" customHeight="1">
      <c r="A233" s="5" t="inlineStr">
        <is>
          <t>1.6</t>
        </is>
      </c>
      <c r="B233" s="6" t="n">
        <v>20</v>
      </c>
      <c r="C233" s="5" t="inlineStr">
        <is>
          <t>Клапаны</t>
        </is>
      </c>
      <c r="D233" s="5" t="inlineStr">
        <is>
          <t>Клапан запорный 15кч12пМ Ду 25 Ру 25</t>
        </is>
      </c>
      <c r="E233" s="6" t="n">
        <v>1</v>
      </c>
      <c r="F233" s="5" t="inlineStr">
        <is>
          <t>шт</t>
        </is>
      </c>
      <c r="G233" s="6" t="n">
        <v>25</v>
      </c>
      <c r="H233" s="6" t="n">
        <v>2.5</v>
      </c>
      <c r="I233" s="5" t="inlineStr">
        <is>
          <t>ковкий чугун КЧ 30-6</t>
        </is>
      </c>
      <c r="J233" s="5" t="inlineStr">
        <is>
          <t>ручной (маховик)</t>
        </is>
      </c>
      <c r="K233" s="7" t="n">
        <v>6000</v>
      </c>
      <c r="L233" s="15">
        <f>IF(K233="","",K233*(1-0.1))</f>
        <v/>
      </c>
      <c r="M233" s="6" t="n">
        <v>5</v>
      </c>
      <c r="N233" s="15">
        <f>IF(K233="","",L233*E233)</f>
        <v/>
      </c>
      <c r="O233" s="15">
        <f>IF(M233="","",M233*E233*55)</f>
        <v/>
      </c>
      <c r="P233" s="15">
        <f>IF(N233="","",N233+N(O233))</f>
        <v/>
      </c>
      <c r="Q233" s="15">
        <f>IF(P233="","",P233/E233)</f>
        <v/>
      </c>
      <c r="R233" s="5" t="inlineStr">
        <is>
          <t>ДН.ру</t>
        </is>
      </c>
      <c r="S233" s="5" t="inlineStr">
        <is>
          <t>оценка · оценка по соседнему типоразмеру/аналогу (источ</t>
        </is>
      </c>
      <c r="T233" s="5" t="inlineStr">
        <is>
          <t>exact (марка), оценка · не проверено</t>
        </is>
      </c>
      <c r="U233" s="5" t="inlineStr">
        <is>
          <t>https://dn.ru/klapan/klapan-zapornyi/2hod/chugun/shturval/luidor/15kch16p1/dn32</t>
        </is>
      </c>
    </row>
    <row r="234" ht="34" customHeight="1">
      <c r="A234" s="5" t="inlineStr">
        <is>
          <t>1.6</t>
        </is>
      </c>
      <c r="B234" s="6" t="n">
        <v>21</v>
      </c>
      <c r="C234" s="5" t="inlineStr">
        <is>
          <t>Клапаны</t>
        </is>
      </c>
      <c r="D234" s="5" t="inlineStr">
        <is>
          <t>Клапан запорный 15кч16п1 Ду 32 Ру 25</t>
        </is>
      </c>
      <c r="E234" s="6" t="n">
        <v>7</v>
      </c>
      <c r="F234" s="5" t="inlineStr">
        <is>
          <t>шт</t>
        </is>
      </c>
      <c r="G234" s="6" t="n">
        <v>32</v>
      </c>
      <c r="H234" s="6" t="n">
        <v>2.5</v>
      </c>
      <c r="I234" s="5" t="inlineStr">
        <is>
          <t>ковкий чугун КЧ 30-6</t>
        </is>
      </c>
      <c r="J234" s="5" t="inlineStr">
        <is>
          <t>ручной (маховик)</t>
        </is>
      </c>
      <c r="K234" s="7" t="n">
        <v>5996.91</v>
      </c>
      <c r="L234" s="15">
        <f>IF(K234="","",K234*(1-0.1))</f>
        <v/>
      </c>
      <c r="M234" s="6" t="n">
        <v>7.5</v>
      </c>
      <c r="N234" s="15">
        <f>IF(K234="","",L234*E234)</f>
        <v/>
      </c>
      <c r="O234" s="15">
        <f>IF(M234="","",M234*E234*55)</f>
        <v/>
      </c>
      <c r="P234" s="15">
        <f>IF(N234="","",N234+N(O234))</f>
        <v/>
      </c>
      <c r="Q234" s="15">
        <f>IF(P234="","",P234/E234)</f>
        <v/>
      </c>
      <c r="R234" s="5" t="inlineStr">
        <is>
          <t>ДН.ру (dn.ru), бренд луидор</t>
        </is>
      </c>
      <c r="S234" s="5" t="inlineStr">
        <is>
          <t>розница · B: dn.ru — живой магазин ООО «ДН.ру», © 2026,</t>
        </is>
      </c>
      <c r="T234" s="5" t="inlineStr">
        <is>
          <t>exact · не проверено</t>
        </is>
      </c>
      <c r="U234" s="5" t="inlineStr">
        <is>
          <t>https://dn.ru/klapan/klapan-zapornyi/2hod/chugun/shturval/luidor/15kch16p1/dn32</t>
        </is>
      </c>
    </row>
    <row r="235" ht="34" customHeight="1">
      <c r="A235" s="5" t="inlineStr">
        <is>
          <t>1.6</t>
        </is>
      </c>
      <c r="B235" s="6" t="n">
        <v>22</v>
      </c>
      <c r="C235" s="5" t="inlineStr">
        <is>
          <t>Клапаны</t>
        </is>
      </c>
      <c r="D235" s="5" t="inlineStr">
        <is>
          <t>Клапан запорный 15кч16п1 Ду 40 Ру 25</t>
        </is>
      </c>
      <c r="E235" s="6" t="n">
        <v>4</v>
      </c>
      <c r="F235" s="5" t="inlineStr">
        <is>
          <t>шт</t>
        </is>
      </c>
      <c r="G235" s="6" t="n">
        <v>40</v>
      </c>
      <c r="H235" s="6" t="n">
        <v>2.5</v>
      </c>
      <c r="I235" s="5" t="inlineStr">
        <is>
          <t>ковкий чугун КЧ 30-6</t>
        </is>
      </c>
      <c r="J235" s="5" t="inlineStr">
        <is>
          <t>ручной (маховик)</t>
        </is>
      </c>
      <c r="K235" s="7" t="n">
        <v>6700.85</v>
      </c>
      <c r="L235" s="15">
        <f>IF(K235="","",K235*(1-0.1))</f>
        <v/>
      </c>
      <c r="M235" s="6" t="n">
        <v>10</v>
      </c>
      <c r="N235" s="15">
        <f>IF(K235="","",L235*E235)</f>
        <v/>
      </c>
      <c r="O235" s="15">
        <f>IF(M235="","",M235*E235*55)</f>
        <v/>
      </c>
      <c r="P235" s="15">
        <f>IF(N235="","",N235+N(O235))</f>
        <v/>
      </c>
      <c r="Q235" s="15">
        <f>IF(P235="","",P235/E235)</f>
        <v/>
      </c>
      <c r="R235" s="5" t="inlineStr">
        <is>
          <t>ДН.ру (dn.ru), бренд луидор</t>
        </is>
      </c>
      <c r="S235" s="5" t="inlineStr">
        <is>
          <t>розница · B: dn.ru — живой магазин ООО «ДН.ру», © 2026,</t>
        </is>
      </c>
      <c r="T235" s="5" t="inlineStr">
        <is>
          <t>exact · не проверено</t>
        </is>
      </c>
      <c r="U235" s="5" t="inlineStr">
        <is>
          <t>https://dn.ru/klapan/klapan-zapornyi/2hod/chugun/shturval/luidor/15kch16p1/dn40</t>
        </is>
      </c>
    </row>
    <row r="236" ht="34" customHeight="1">
      <c r="A236" s="5" t="inlineStr">
        <is>
          <t>1.6</t>
        </is>
      </c>
      <c r="B236" s="6" t="n">
        <v>23</v>
      </c>
      <c r="C236" s="5" t="inlineStr">
        <is>
          <t>Клапаны</t>
        </is>
      </c>
      <c r="D236" s="5" t="inlineStr">
        <is>
          <t>Клапан запорный 15кч16п1 Ду 50 Ру 25</t>
        </is>
      </c>
      <c r="E236" s="6" t="n">
        <v>5</v>
      </c>
      <c r="F236" s="5" t="inlineStr">
        <is>
          <t>шт</t>
        </is>
      </c>
      <c r="G236" s="6" t="n">
        <v>50</v>
      </c>
      <c r="H236" s="6" t="n">
        <v>2.5</v>
      </c>
      <c r="I236" s="5" t="inlineStr">
        <is>
          <t>ковкий чугун КЧ 30-6</t>
        </is>
      </c>
      <c r="J236" s="5" t="inlineStr">
        <is>
          <t>ручной (маховик)</t>
        </is>
      </c>
      <c r="K236" s="7" t="n">
        <v>8464.969999999999</v>
      </c>
      <c r="L236" s="15">
        <f>IF(K236="","",K236*(1-0.1))</f>
        <v/>
      </c>
      <c r="M236" s="6" t="n">
        <v>14</v>
      </c>
      <c r="N236" s="15">
        <f>IF(K236="","",L236*E236)</f>
        <v/>
      </c>
      <c r="O236" s="15">
        <f>IF(M236="","",M236*E236*55)</f>
        <v/>
      </c>
      <c r="P236" s="15">
        <f>IF(N236="","",N236+N(O236))</f>
        <v/>
      </c>
      <c r="Q236" s="15">
        <f>IF(P236="","",P236/E236)</f>
        <v/>
      </c>
      <c r="R236" s="5" t="inlineStr">
        <is>
          <t>ДН.ру (dn.ru), бренд луидор</t>
        </is>
      </c>
      <c r="S236" s="5" t="inlineStr">
        <is>
          <t>розница · B: dn.ru — живой магазин ООО «ДН.ру», © 2026,</t>
        </is>
      </c>
      <c r="T236" s="5" t="inlineStr">
        <is>
          <t>exact · не проверено</t>
        </is>
      </c>
      <c r="U236" s="5" t="inlineStr">
        <is>
          <t>https://dn.ru/klapan/klapan-zapornyi/2hod/chugun/shturval/luidor/15kch16p1/dn50</t>
        </is>
      </c>
    </row>
    <row r="237" ht="34" customHeight="1">
      <c r="A237" s="5" t="inlineStr">
        <is>
          <t>1.6</t>
        </is>
      </c>
      <c r="B237" s="6" t="n">
        <v>24</v>
      </c>
      <c r="C237" s="5" t="inlineStr">
        <is>
          <t>Клапаны</t>
        </is>
      </c>
      <c r="D237" s="5" t="inlineStr">
        <is>
          <t>Клапан запорный 15кч19п Ду 25 Ру 16</t>
        </is>
      </c>
      <c r="E237" s="6" t="n">
        <v>2</v>
      </c>
      <c r="F237" s="5" t="inlineStr">
        <is>
          <t>шт</t>
        </is>
      </c>
      <c r="G237" s="6" t="n">
        <v>25</v>
      </c>
      <c r="H237" s="6" t="n">
        <v>1.6</v>
      </c>
      <c r="I237" s="5" t="inlineStr">
        <is>
          <t>чугун</t>
        </is>
      </c>
      <c r="J237" s="5" t="inlineStr">
        <is>
          <t>ручной (маховик)</t>
        </is>
      </c>
      <c r="K237" s="7" t="n">
        <v>1190</v>
      </c>
      <c r="L237" s="15">
        <f>IF(K237="","",K237*(1-0.1))</f>
        <v/>
      </c>
      <c r="M237" s="6" t="n">
        <v>5</v>
      </c>
      <c r="N237" s="15">
        <f>IF(K237="","",L237*E237)</f>
        <v/>
      </c>
      <c r="O237" s="15">
        <f>IF(M237="","",M237*E237*55)</f>
        <v/>
      </c>
      <c r="P237" s="15">
        <f>IF(N237="","",N237+N(O237))</f>
        <v/>
      </c>
      <c r="Q237" s="15">
        <f>IF(P237="","",P237/E237)</f>
        <v/>
      </c>
      <c r="R237" s="5" t="inlineStr">
        <is>
          <t>ДН.ру</t>
        </is>
      </c>
      <c r="S237" s="5" t="inlineStr">
        <is>
          <t>оценка · оценка по соседнему типоразмеру/аналогу (источ</t>
        </is>
      </c>
      <c r="T237" s="5" t="inlineStr">
        <is>
          <t>exact (марка), оценка рос. исполнения · не проверено</t>
        </is>
      </c>
      <c r="U237" s="5" t="inlineStr">
        <is>
          <t>https://dn.ru/klapan/klapan-zapornyi/2hod/chugun/shturval/kitai/15kch19p1/dn25</t>
        </is>
      </c>
    </row>
    <row r="238" ht="34" customHeight="1">
      <c r="A238" s="5" t="inlineStr">
        <is>
          <t>1.6</t>
        </is>
      </c>
      <c r="B238" s="6" t="n">
        <v>25</v>
      </c>
      <c r="C238" s="5" t="inlineStr">
        <is>
          <t>Клапаны</t>
        </is>
      </c>
      <c r="D238" s="5" t="inlineStr">
        <is>
          <t>Клапан запорный 15кч19п Ду 50 Ру 16</t>
        </is>
      </c>
      <c r="E238" s="6" t="n">
        <v>5</v>
      </c>
      <c r="F238" s="5" t="inlineStr">
        <is>
          <t>шт</t>
        </is>
      </c>
      <c r="G238" s="6" t="n">
        <v>50</v>
      </c>
      <c r="H238" s="6" t="n">
        <v>1.6</v>
      </c>
      <c r="I238" s="5" t="inlineStr">
        <is>
          <t>чугун</t>
        </is>
      </c>
      <c r="J238" s="5" t="inlineStr">
        <is>
          <t>ручной (маховик)</t>
        </is>
      </c>
      <c r="K238" s="7" t="n">
        <v>2810</v>
      </c>
      <c r="L238" s="15">
        <f>IF(K238="","",K238*(1-0.1))</f>
        <v/>
      </c>
      <c r="M238" s="6" t="n">
        <v>14</v>
      </c>
      <c r="N238" s="15">
        <f>IF(K238="","",L238*E238)</f>
        <v/>
      </c>
      <c r="O238" s="15">
        <f>IF(M238="","",M238*E238*55)</f>
        <v/>
      </c>
      <c r="P238" s="15">
        <f>IF(N238="","",N238+N(O238))</f>
        <v/>
      </c>
      <c r="Q238" s="15">
        <f>IF(P238="","",P238/E238)</f>
        <v/>
      </c>
      <c r="R238" s="5" t="inlineStr">
        <is>
          <t>ДН.ру</t>
        </is>
      </c>
      <c r="S238" s="5" t="inlineStr">
        <is>
          <t>оценка · оценка по соседнему типоразмеру/аналогу (источ</t>
        </is>
      </c>
      <c r="T238" s="5" t="inlineStr">
        <is>
          <t>exact (марка), оценка рос. исполнения · не проверено</t>
        </is>
      </c>
      <c r="U238" s="5" t="inlineStr">
        <is>
          <t>https://dn.ru/klapan/klapan-zapornyi/2hod/chugun/shturval/kitai/15kch19p1/dn50</t>
        </is>
      </c>
    </row>
    <row r="239" ht="34" customHeight="1">
      <c r="A239" s="5" t="inlineStr">
        <is>
          <t>1.6</t>
        </is>
      </c>
      <c r="B239" s="6" t="n">
        <v>26</v>
      </c>
      <c r="C239" s="5" t="inlineStr">
        <is>
          <t>Клапаны</t>
        </is>
      </c>
      <c r="D239" s="5" t="inlineStr">
        <is>
          <t>Клапан запорный 15нж65нж Ду 80 Ру 16</t>
        </is>
      </c>
      <c r="E239" s="6" t="n">
        <v>1</v>
      </c>
      <c r="F239" s="5" t="inlineStr">
        <is>
          <t>шт</t>
        </is>
      </c>
      <c r="G239" s="6" t="n">
        <v>80</v>
      </c>
      <c r="H239" s="6" t="n">
        <v>1.6</v>
      </c>
      <c r="I239" s="5" t="inlineStr">
        <is>
          <t>сталь AISI 304</t>
        </is>
      </c>
      <c r="J239" s="5" t="inlineStr">
        <is>
          <t>ручной (маховик)</t>
        </is>
      </c>
      <c r="K239" s="7" t="n">
        <v>21808.11</v>
      </c>
      <c r="L239" s="15">
        <f>IF(K239="","",K239*(1-0.1))</f>
        <v/>
      </c>
      <c r="M239" s="6" t="n">
        <v>27</v>
      </c>
      <c r="N239" s="15">
        <f>IF(K239="","",L239*E239)</f>
        <v/>
      </c>
      <c r="O239" s="15">
        <f>IF(M239="","",M239*E239*55)</f>
        <v/>
      </c>
      <c r="P239" s="15">
        <f>IF(N239="","",N239+N(O239))</f>
        <v/>
      </c>
      <c r="Q239" s="15">
        <f>IF(P239="","",P239/E239)</f>
        <v/>
      </c>
      <c r="R239" s="5" t="inlineStr">
        <is>
          <t>ДН.ру (dn.ru), бренд ТехГидроМаш</t>
        </is>
      </c>
      <c r="S239" s="5" t="inlineStr">
        <is>
          <t>розница · B: dn.ru — живой магазин ООО «ДН.ру», © 2026,</t>
        </is>
      </c>
      <c r="T239" s="5" t="inlineStr">
        <is>
          <t>analog: 08Х18Н10 (≈AISI 304) · не проверено</t>
        </is>
      </c>
      <c r="U239" s="5" t="inlineStr">
        <is>
          <t>https://dn.ru/klapan/klapan-zapornyi/2hod/stalnoi/shturval/tekhgidromash/15nzh65nzh/dn80</t>
        </is>
      </c>
    </row>
    <row r="240" ht="34" customHeight="1">
      <c r="A240" s="5" t="inlineStr">
        <is>
          <t>1.6</t>
        </is>
      </c>
      <c r="B240" s="6" t="n">
        <v>27</v>
      </c>
      <c r="C240" s="5" t="inlineStr">
        <is>
          <t>Клапаны</t>
        </is>
      </c>
      <c r="D240" s="5" t="inlineStr">
        <is>
          <t>Клапан запорный 15нж65нж Ду 100 Ру 16</t>
        </is>
      </c>
      <c r="E240" s="6" t="n">
        <v>1</v>
      </c>
      <c r="F240" s="5" t="inlineStr">
        <is>
          <t>шт</t>
        </is>
      </c>
      <c r="G240" s="6" t="n">
        <v>100</v>
      </c>
      <c r="H240" s="6" t="n">
        <v>1.6</v>
      </c>
      <c r="I240" s="5" t="inlineStr">
        <is>
          <t>сталь AISI 304</t>
        </is>
      </c>
      <c r="J240" s="5" t="inlineStr">
        <is>
          <t>ручной (маховик)</t>
        </is>
      </c>
      <c r="K240" s="7" t="n">
        <v>27871.51</v>
      </c>
      <c r="L240" s="15">
        <f>IF(K240="","",K240*(1-0.1))</f>
        <v/>
      </c>
      <c r="M240" s="6" t="n">
        <v>40</v>
      </c>
      <c r="N240" s="15">
        <f>IF(K240="","",L240*E240)</f>
        <v/>
      </c>
      <c r="O240" s="15">
        <f>IF(M240="","",M240*E240*55)</f>
        <v/>
      </c>
      <c r="P240" s="15">
        <f>IF(N240="","",N240+N(O240))</f>
        <v/>
      </c>
      <c r="Q240" s="15">
        <f>IF(P240="","",P240/E240)</f>
        <v/>
      </c>
      <c r="R240" s="5" t="inlineStr">
        <is>
          <t>ДН.ру (dn.ru), бренд ТехГидроМаш</t>
        </is>
      </c>
      <c r="S240" s="5" t="inlineStr">
        <is>
          <t>розница · B: dn.ru — живой магазин ООО «ДН.ру», © 2026,</t>
        </is>
      </c>
      <c r="T240" s="5" t="inlineStr">
        <is>
          <t>analog: 08Х18Н10 (≈AISI 304) · не проверено</t>
        </is>
      </c>
      <c r="U240" s="5" t="inlineStr">
        <is>
          <t>https://dn.ru/klapan/klapan-zapornyi/2hod/stalnoi/shturval/tekhgidromash/15nzh65nzh/dn100</t>
        </is>
      </c>
    </row>
    <row r="241" ht="34" customHeight="1">
      <c r="A241" s="5" t="inlineStr">
        <is>
          <t>1.6</t>
        </is>
      </c>
      <c r="B241" s="6" t="n">
        <v>28</v>
      </c>
      <c r="C241" s="5" t="inlineStr">
        <is>
          <t>Клапаны</t>
        </is>
      </c>
      <c r="D241" s="5" t="inlineStr">
        <is>
          <t>Клапан запорный 15нж65нж Ду 32 Ру 16</t>
        </is>
      </c>
      <c r="E241" s="6" t="n">
        <v>1</v>
      </c>
      <c r="F241" s="5" t="inlineStr">
        <is>
          <t>шт</t>
        </is>
      </c>
      <c r="G241" s="6" t="n">
        <v>32</v>
      </c>
      <c r="H241" s="6" t="n">
        <v>1.6</v>
      </c>
      <c r="I241" s="5" t="inlineStr">
        <is>
          <t>сталь AISI 304</t>
        </is>
      </c>
      <c r="J241" s="5" t="inlineStr">
        <is>
          <t>ручной (маховик)</t>
        </is>
      </c>
      <c r="K241" s="7" t="n">
        <v>8512.549999999999</v>
      </c>
      <c r="L241" s="15">
        <f>IF(K241="","",K241*(1-0.1))</f>
        <v/>
      </c>
      <c r="M241" s="6" t="n">
        <v>7.5</v>
      </c>
      <c r="N241" s="15">
        <f>IF(K241="","",L241*E241)</f>
        <v/>
      </c>
      <c r="O241" s="15">
        <f>IF(M241="","",M241*E241*55)</f>
        <v/>
      </c>
      <c r="P241" s="15">
        <f>IF(N241="","",N241+N(O241))</f>
        <v/>
      </c>
      <c r="Q241" s="15">
        <f>IF(P241="","",P241/E241)</f>
        <v/>
      </c>
      <c r="R241" s="5" t="inlineStr">
        <is>
          <t>ДН.ру (dn.ru), бренд ТехГидроМаш</t>
        </is>
      </c>
      <c r="S241" s="5" t="inlineStr">
        <is>
          <t>розница · B: dn.ru — живой магазин ООО «ДН.ру», © 2026,</t>
        </is>
      </c>
      <c r="T241" s="5" t="inlineStr">
        <is>
          <t>analog: 08Х18Н10 (≈AISI 304) · не проверено</t>
        </is>
      </c>
      <c r="U241" s="5" t="inlineStr">
        <is>
          <t>https://dn.ru/klapan/klapan-zapornyi/2hod/stalnoi/shturval/tekhgidromash/15nzh65nzh/dn32</t>
        </is>
      </c>
    </row>
    <row r="242" ht="34" customHeight="1">
      <c r="A242" s="5" t="inlineStr">
        <is>
          <t>1.6</t>
        </is>
      </c>
      <c r="B242" s="6" t="n">
        <v>29</v>
      </c>
      <c r="C242" s="5" t="inlineStr">
        <is>
          <t>Клапаны</t>
        </is>
      </c>
      <c r="D242" s="5" t="inlineStr">
        <is>
          <t>Клапан стальной запорный фланцевый 15с18нж Ду 32 Ру 16</t>
        </is>
      </c>
      <c r="E242" s="6" t="n">
        <v>2</v>
      </c>
      <c r="F242" s="5" t="inlineStr">
        <is>
          <t>шт</t>
        </is>
      </c>
      <c r="G242" s="6" t="n">
        <v>32</v>
      </c>
      <c r="H242" s="6" t="n">
        <v>1.6</v>
      </c>
      <c r="I242" s="5" t="inlineStr">
        <is>
          <t>Углеродистая сталь</t>
        </is>
      </c>
      <c r="J242" s="5" t="inlineStr">
        <is>
          <t>ручной (маховик)</t>
        </is>
      </c>
      <c r="K242" s="7" t="n">
        <v>7500</v>
      </c>
      <c r="L242" s="15">
        <f>IF(K242="","",K242*(1-0.1))</f>
        <v/>
      </c>
      <c r="M242" s="6" t="n">
        <v>7.5</v>
      </c>
      <c r="N242" s="15">
        <f>IF(K242="","",L242*E242)</f>
        <v/>
      </c>
      <c r="O242" s="15">
        <f>IF(M242="","",M242*E242*55)</f>
        <v/>
      </c>
      <c r="P242" s="15">
        <f>IF(N242="","",N242+N(O242))</f>
        <v/>
      </c>
      <c r="Q242" s="15">
        <f>IF(P242="","",P242/E242)</f>
        <v/>
      </c>
      <c r="R242" s="5" t="inlineStr">
        <is>
          <t>ДН.ру</t>
        </is>
      </c>
      <c r="S242" s="5" t="inlineStr">
        <is>
          <t>оценка · оценка, без прямого прайса</t>
        </is>
      </c>
      <c r="T242" s="5" t="inlineStr">
        <is>
          <t>analog: 15с22нж Ду32 Ру40 · не проверено</t>
        </is>
      </c>
      <c r="U242" s="5" t="inlineStr"/>
    </row>
    <row r="243" ht="34" customHeight="1">
      <c r="A243" s="5" t="inlineStr">
        <is>
          <t>1.6</t>
        </is>
      </c>
      <c r="B243" s="6" t="n">
        <v>30</v>
      </c>
      <c r="C243" s="5" t="inlineStr">
        <is>
          <t>Клапаны</t>
        </is>
      </c>
      <c r="D243" s="5" t="inlineStr">
        <is>
          <t>Клапан запорный 15с18п Ду 80 Ру 25</t>
        </is>
      </c>
      <c r="E243" s="6" t="n">
        <v>1</v>
      </c>
      <c r="F243" s="5" t="inlineStr">
        <is>
          <t>шт</t>
        </is>
      </c>
      <c r="G243" s="6" t="n">
        <v>80</v>
      </c>
      <c r="H243" s="6" t="n">
        <v>2.5</v>
      </c>
      <c r="I243" s="5" t="inlineStr">
        <is>
          <t xml:space="preserve">	сталь 25Л</t>
        </is>
      </c>
      <c r="J243" s="5" t="inlineStr">
        <is>
          <t>ручной (маховик)</t>
        </is>
      </c>
      <c r="K243" s="7" t="n">
        <v>19907.96</v>
      </c>
      <c r="L243" s="15">
        <f>IF(K243="","",K243*(1-0.1))</f>
        <v/>
      </c>
      <c r="M243" s="6" t="n">
        <v>27</v>
      </c>
      <c r="N243" s="15">
        <f>IF(K243="","",L243*E243)</f>
        <v/>
      </c>
      <c r="O243" s="15">
        <f>IF(M243="","",M243*E243*55)</f>
        <v/>
      </c>
      <c r="P243" s="15">
        <f>IF(N243="","",N243+N(O243))</f>
        <v/>
      </c>
      <c r="Q243" s="15">
        <f>IF(P243="","",P243/E243)</f>
        <v/>
      </c>
      <c r="R243" s="5" t="inlineStr">
        <is>
          <t>ДН.ру, «Россия»</t>
        </is>
      </c>
      <c r="S243" s="5" t="inlineStr">
        <is>
          <t>оценка · оценка по соседнему типоразмеру/аналогу (источ</t>
        </is>
      </c>
      <c r="T243" s="5" t="inlineStr">
        <is>
          <t>analog: 15с22нж Ду80 Ру40 · не проверено</t>
        </is>
      </c>
      <c r="U243" s="5" t="inlineStr">
        <is>
          <t>https://dn.ru/klapan/klapan-zapornyi/2hod/stalnoi/shturval/russia/15s22nzh/dn80</t>
        </is>
      </c>
    </row>
    <row r="244" ht="34" customHeight="1">
      <c r="A244" s="5" t="inlineStr">
        <is>
          <t>1.6</t>
        </is>
      </c>
      <c r="B244" s="6" t="n">
        <v>31</v>
      </c>
      <c r="C244" s="5" t="inlineStr">
        <is>
          <t>Клапаны</t>
        </is>
      </c>
      <c r="D244" s="5" t="inlineStr">
        <is>
          <t>Клапан запорный 15с18п Ду 100 Ру 25</t>
        </is>
      </c>
      <c r="E244" s="6" t="n">
        <v>1</v>
      </c>
      <c r="F244" s="5" t="inlineStr">
        <is>
          <t>шт</t>
        </is>
      </c>
      <c r="G244" s="6" t="n">
        <v>100</v>
      </c>
      <c r="H244" s="6" t="n">
        <v>2.5</v>
      </c>
      <c r="I244" s="5" t="inlineStr">
        <is>
          <t xml:space="preserve">	сталь 25Л</t>
        </is>
      </c>
      <c r="J244" s="5" t="inlineStr">
        <is>
          <t>ручной (маховик)</t>
        </is>
      </c>
      <c r="K244" s="7" t="n">
        <v>25000</v>
      </c>
      <c r="L244" s="15">
        <f>IF(K244="","",K244*(1-0.1))</f>
        <v/>
      </c>
      <c r="M244" s="6" t="n">
        <v>40</v>
      </c>
      <c r="N244" s="15">
        <f>IF(K244="","",L244*E244)</f>
        <v/>
      </c>
      <c r="O244" s="15">
        <f>IF(M244="","",M244*E244*55)</f>
        <v/>
      </c>
      <c r="P244" s="15">
        <f>IF(N244="","",N244+N(O244))</f>
        <v/>
      </c>
      <c r="Q244" s="15">
        <f>IF(P244="","",P244/E244)</f>
        <v/>
      </c>
      <c r="R244" s="5" t="inlineStr">
        <is>
          <t>ДН.ру</t>
        </is>
      </c>
      <c r="S244" s="5" t="inlineStr">
        <is>
          <t>оценка · оценка, без прямого прайса</t>
        </is>
      </c>
      <c r="T244" s="5" t="inlineStr">
        <is>
          <t>analog: 15с22нж/15с18нж Ду100 · не проверено</t>
        </is>
      </c>
      <c r="U244" s="5" t="inlineStr"/>
    </row>
    <row r="245" ht="34" customHeight="1">
      <c r="A245" s="5" t="inlineStr">
        <is>
          <t>1.6</t>
        </is>
      </c>
      <c r="B245" s="6" t="n">
        <v>32</v>
      </c>
      <c r="C245" s="5" t="inlineStr">
        <is>
          <t>Клапаны</t>
        </is>
      </c>
      <c r="D245" s="5" t="inlineStr">
        <is>
          <t>Клапан запорный 15с22нж Ду 25 Ру 40</t>
        </is>
      </c>
      <c r="E245" s="6" t="n">
        <v>1</v>
      </c>
      <c r="F245" s="5" t="inlineStr">
        <is>
          <t>шт</t>
        </is>
      </c>
      <c r="G245" s="6" t="n">
        <v>25</v>
      </c>
      <c r="H245" s="6" t="n">
        <v>4</v>
      </c>
      <c r="I245" s="5" t="inlineStr">
        <is>
          <t>сталь 25Л</t>
        </is>
      </c>
      <c r="J245" s="5" t="inlineStr">
        <is>
          <t>ручной (маховик)</t>
        </is>
      </c>
      <c r="K245" s="7" t="n">
        <v>5500</v>
      </c>
      <c r="L245" s="15">
        <f>IF(K245="","",K245*(1-0.1))</f>
        <v/>
      </c>
      <c r="M245" s="6" t="n">
        <v>5</v>
      </c>
      <c r="N245" s="15">
        <f>IF(K245="","",L245*E245)</f>
        <v/>
      </c>
      <c r="O245" s="15">
        <f>IF(M245="","",M245*E245*55)</f>
        <v/>
      </c>
      <c r="P245" s="15">
        <f>IF(N245="","",N245+N(O245))</f>
        <v/>
      </c>
      <c r="Q245" s="15">
        <f>IF(P245="","",P245/E245)</f>
        <v/>
      </c>
      <c r="R245" s="5" t="inlineStr">
        <is>
          <t>ДН.ру</t>
        </is>
      </c>
      <c r="S245" s="5" t="inlineStr">
        <is>
          <t>оценка · оценка, без прямого прайса</t>
        </is>
      </c>
      <c r="T245" s="5" t="inlineStr">
        <is>
          <t>exact (марка), оценка · не проверено</t>
        </is>
      </c>
      <c r="U245" s="5" t="inlineStr"/>
    </row>
    <row r="246" ht="34" customHeight="1">
      <c r="A246" s="5" t="inlineStr">
        <is>
          <t>1.6</t>
        </is>
      </c>
      <c r="B246" s="6" t="n">
        <v>33</v>
      </c>
      <c r="C246" s="5" t="inlineStr">
        <is>
          <t>Клапаны</t>
        </is>
      </c>
      <c r="D246" s="5" t="inlineStr">
        <is>
          <t>Клапан запорный 15с22нж Ду 32 Ру 40</t>
        </is>
      </c>
      <c r="E246" s="6" t="n">
        <v>5</v>
      </c>
      <c r="F246" s="5" t="inlineStr">
        <is>
          <t>шт</t>
        </is>
      </c>
      <c r="G246" s="6" t="n">
        <v>32</v>
      </c>
      <c r="H246" s="6" t="n">
        <v>4</v>
      </c>
      <c r="I246" s="5" t="inlineStr">
        <is>
          <t>сталь 25Л</t>
        </is>
      </c>
      <c r="J246" s="5" t="inlineStr">
        <is>
          <t>ручной (маховик)</t>
        </is>
      </c>
      <c r="K246" s="7" t="n">
        <v>7500</v>
      </c>
      <c r="L246" s="15">
        <f>IF(K246="","",K246*(1-0.1))</f>
        <v/>
      </c>
      <c r="M246" s="6" t="n">
        <v>7.5</v>
      </c>
      <c r="N246" s="15">
        <f>IF(K246="","",L246*E246)</f>
        <v/>
      </c>
      <c r="O246" s="15">
        <f>IF(M246="","",M246*E246*55)</f>
        <v/>
      </c>
      <c r="P246" s="15">
        <f>IF(N246="","",N246+N(O246))</f>
        <v/>
      </c>
      <c r="Q246" s="15">
        <f>IF(P246="","",P246/E246)</f>
        <v/>
      </c>
      <c r="R246" s="5" t="inlineStr">
        <is>
          <t>ДН.ру</t>
        </is>
      </c>
      <c r="S246" s="5" t="inlineStr">
        <is>
          <t>оценка · оценка, без прямого прайса</t>
        </is>
      </c>
      <c r="T246" s="5" t="inlineStr">
        <is>
          <t>exact (марка), оценка · не проверено</t>
        </is>
      </c>
      <c r="U246" s="5" t="inlineStr"/>
    </row>
    <row r="247" ht="34" customHeight="1">
      <c r="A247" s="5" t="inlineStr">
        <is>
          <t>1.6</t>
        </is>
      </c>
      <c r="B247" s="6" t="n">
        <v>34</v>
      </c>
      <c r="C247" s="5" t="inlineStr">
        <is>
          <t>Клапаны</t>
        </is>
      </c>
      <c r="D247" s="5" t="inlineStr">
        <is>
          <t>Клапан запорный 15с22нж Ду 40 Ру 40</t>
        </is>
      </c>
      <c r="E247" s="6" t="n">
        <v>2</v>
      </c>
      <c r="F247" s="5" t="inlineStr">
        <is>
          <t>шт</t>
        </is>
      </c>
      <c r="G247" s="6" t="n">
        <v>40</v>
      </c>
      <c r="H247" s="6" t="n">
        <v>4</v>
      </c>
      <c r="I247" s="5" t="inlineStr">
        <is>
          <t>сталь 25Л</t>
        </is>
      </c>
      <c r="J247" s="5" t="inlineStr">
        <is>
          <t>ручной (маховик)</t>
        </is>
      </c>
      <c r="K247" s="7" t="n">
        <v>9180.5</v>
      </c>
      <c r="L247" s="15">
        <f>IF(K247="","",K247*(1-0.1))</f>
        <v/>
      </c>
      <c r="M247" s="6" t="n">
        <v>10</v>
      </c>
      <c r="N247" s="15">
        <f>IF(K247="","",L247*E247)</f>
        <v/>
      </c>
      <c r="O247" s="15">
        <f>IF(M247="","",M247*E247*55)</f>
        <v/>
      </c>
      <c r="P247" s="15">
        <f>IF(N247="","",N247+N(O247))</f>
        <v/>
      </c>
      <c r="Q247" s="15">
        <f>IF(P247="","",P247/E247)</f>
        <v/>
      </c>
      <c r="R247" s="5" t="inlineStr">
        <is>
          <t>ДН.ру (dn.ru), бренд Россия</t>
        </is>
      </c>
      <c r="S247" s="5" t="inlineStr">
        <is>
          <t>розница · B: dn.ru — живой магазин ООО «ДН.ру», © 2026,</t>
        </is>
      </c>
      <c r="T247" s="5" t="inlineStr">
        <is>
          <t>exact · не проверено</t>
        </is>
      </c>
      <c r="U247" s="5" t="inlineStr">
        <is>
          <t>https://dn.ru/klapan/klapan-zapornyi/2hod/stalnoi/shturval/russia/15s22nzh/dn40</t>
        </is>
      </c>
    </row>
    <row r="248" ht="34" customHeight="1">
      <c r="A248" s="5" t="inlineStr">
        <is>
          <t>1.6</t>
        </is>
      </c>
      <c r="B248" s="6" t="n">
        <v>35</v>
      </c>
      <c r="C248" s="5" t="inlineStr">
        <is>
          <t>Клапаны</t>
        </is>
      </c>
      <c r="D248" s="5" t="inlineStr">
        <is>
          <t>Клапан запорный 15с22нж Ду 50 Ру 40</t>
        </is>
      </c>
      <c r="E248" s="6" t="n">
        <v>4</v>
      </c>
      <c r="F248" s="5" t="inlineStr">
        <is>
          <t>шт</t>
        </is>
      </c>
      <c r="G248" s="6" t="n">
        <v>50</v>
      </c>
      <c r="H248" s="6" t="n">
        <v>4</v>
      </c>
      <c r="I248" s="5" t="inlineStr">
        <is>
          <t>сталь 25Л</t>
        </is>
      </c>
      <c r="J248" s="5" t="inlineStr">
        <is>
          <t>ручной (маховик)</t>
        </is>
      </c>
      <c r="K248" s="7" t="n">
        <v>10529.82</v>
      </c>
      <c r="L248" s="15">
        <f>IF(K248="","",K248*(1-0.1))</f>
        <v/>
      </c>
      <c r="M248" s="6" t="n">
        <v>14</v>
      </c>
      <c r="N248" s="15">
        <f>IF(K248="","",L248*E248)</f>
        <v/>
      </c>
      <c r="O248" s="15">
        <f>IF(M248="","",M248*E248*55)</f>
        <v/>
      </c>
      <c r="P248" s="15">
        <f>IF(N248="","",N248+N(O248))</f>
        <v/>
      </c>
      <c r="Q248" s="15">
        <f>IF(P248="","",P248/E248)</f>
        <v/>
      </c>
      <c r="R248" s="5" t="inlineStr">
        <is>
          <t>ДН.ру (dn.ru), бренд Россия</t>
        </is>
      </c>
      <c r="S248" s="5" t="inlineStr">
        <is>
          <t>розница · B: dn.ru — живой магазин ООО «ДН.ру», © 2026,</t>
        </is>
      </c>
      <c r="T248" s="5" t="inlineStr">
        <is>
          <t>exact · не проверено</t>
        </is>
      </c>
      <c r="U248" s="5" t="inlineStr">
        <is>
          <t>https://dn.ru/klapan/klapan-zapornyi/2hod/stalnoi/shturval/russia/15s22nzh/dn50</t>
        </is>
      </c>
    </row>
    <row r="249" ht="34" customHeight="1">
      <c r="A249" s="5" t="inlineStr">
        <is>
          <t>1.6</t>
        </is>
      </c>
      <c r="B249" s="6" t="n">
        <v>36</v>
      </c>
      <c r="C249" s="5" t="inlineStr">
        <is>
          <t>Клапаны</t>
        </is>
      </c>
      <c r="D249" s="5" t="inlineStr">
        <is>
          <t>Клапан запорный 15с22нж Ду 80 Ру 40</t>
        </is>
      </c>
      <c r="E249" s="6" t="n">
        <v>2</v>
      </c>
      <c r="F249" s="5" t="inlineStr">
        <is>
          <t>шт</t>
        </is>
      </c>
      <c r="G249" s="6" t="n">
        <v>80</v>
      </c>
      <c r="H249" s="6" t="n">
        <v>4</v>
      </c>
      <c r="I249" s="5" t="inlineStr">
        <is>
          <t>сталь 25Л</t>
        </is>
      </c>
      <c r="J249" s="5" t="inlineStr">
        <is>
          <t>ручной (маховик)</t>
        </is>
      </c>
      <c r="K249" s="7" t="n">
        <v>19907.96</v>
      </c>
      <c r="L249" s="15">
        <f>IF(K249="","",K249*(1-0.1))</f>
        <v/>
      </c>
      <c r="M249" s="6" t="n">
        <v>27</v>
      </c>
      <c r="N249" s="15">
        <f>IF(K249="","",L249*E249)</f>
        <v/>
      </c>
      <c r="O249" s="15">
        <f>IF(M249="","",M249*E249*55)</f>
        <v/>
      </c>
      <c r="P249" s="15">
        <f>IF(N249="","",N249+N(O249))</f>
        <v/>
      </c>
      <c r="Q249" s="15">
        <f>IF(P249="","",P249/E249)</f>
        <v/>
      </c>
      <c r="R249" s="5" t="inlineStr">
        <is>
          <t>ДН.ру (dn.ru), бренд Россия</t>
        </is>
      </c>
      <c r="S249" s="5" t="inlineStr">
        <is>
          <t>розница · B: dn.ru — живой магазин ООО «ДН.ру», © 2026,</t>
        </is>
      </c>
      <c r="T249" s="5" t="inlineStr">
        <is>
          <t>exact · не проверено</t>
        </is>
      </c>
      <c r="U249" s="5" t="inlineStr">
        <is>
          <t>https://dn.ru/klapan/klapan-zapornyi/2hod/stalnoi/shturval/russia/15s22nzh/dn80</t>
        </is>
      </c>
    </row>
    <row r="250" ht="34" customHeight="1">
      <c r="A250" s="5" t="inlineStr">
        <is>
          <t>1.6</t>
        </is>
      </c>
      <c r="B250" s="6" t="n">
        <v>37</v>
      </c>
      <c r="C250" s="5" t="inlineStr">
        <is>
          <t>Клапаны</t>
        </is>
      </c>
      <c r="D250" s="5" t="inlineStr">
        <is>
          <t>Клапан запорный 15с65нж Ду 100 Ру 16 с КОФ</t>
        </is>
      </c>
      <c r="E250" s="6" t="n">
        <v>1</v>
      </c>
      <c r="F250" s="5" t="inlineStr">
        <is>
          <t>шт</t>
        </is>
      </c>
      <c r="G250" s="6" t="n">
        <v>100</v>
      </c>
      <c r="H250" s="6" t="n">
        <v>1.6</v>
      </c>
      <c r="I250" s="5" t="inlineStr">
        <is>
          <t>сталь 25Л</t>
        </is>
      </c>
      <c r="J250" s="5" t="inlineStr">
        <is>
          <t>ручной (маховик)</t>
        </is>
      </c>
      <c r="K250" s="7" t="n">
        <v>16328.91</v>
      </c>
      <c r="L250" s="15">
        <f>IF(K250="","",K250*(1-0.1))</f>
        <v/>
      </c>
      <c r="M250" s="6" t="n">
        <v>40</v>
      </c>
      <c r="N250" s="15">
        <f>IF(K250="","",L250*E250)</f>
        <v/>
      </c>
      <c r="O250" s="15">
        <f>IF(M250="","",M250*E250*55)</f>
        <v/>
      </c>
      <c r="P250" s="15">
        <f>IF(N250="","",N250+N(O250))</f>
        <v/>
      </c>
      <c r="Q250" s="15">
        <f>IF(P250="","",P250/E250)</f>
        <v/>
      </c>
      <c r="R250" s="5" t="inlineStr">
        <is>
          <t>ДН.ру (dn.ru), бренд ТехГидроМаш</t>
        </is>
      </c>
      <c r="S250" s="5" t="inlineStr">
        <is>
          <t>розница · B: dn.ru — живой магазин ООО «ДН.ру», © 2026,</t>
        </is>
      </c>
      <c r="T250" s="5" t="inlineStr">
        <is>
          <t>exact + КОФ (ответные фланцы+крепёж ≈ +3500 ₽ оценка) ·</t>
        </is>
      </c>
      <c r="U250" s="5" t="inlineStr">
        <is>
          <t>https://dn.ru/klapan/klapan-zapornyi/2hod/stalnoi/shturval/tekhgidromash/15s65nzh/dn100</t>
        </is>
      </c>
    </row>
    <row r="251" ht="34" customHeight="1">
      <c r="A251" s="5" t="inlineStr">
        <is>
          <t>1.6</t>
        </is>
      </c>
      <c r="B251" s="6" t="n">
        <v>38</v>
      </c>
      <c r="C251" s="5" t="inlineStr">
        <is>
          <t>Клапаны</t>
        </is>
      </c>
      <c r="D251" s="5" t="inlineStr">
        <is>
          <t>Клапан запорный 15с65нж Ду 25 Ру 16 с КОФ</t>
        </is>
      </c>
      <c r="E251" s="6" t="n">
        <v>1</v>
      </c>
      <c r="F251" s="5" t="inlineStr">
        <is>
          <t>шт</t>
        </is>
      </c>
      <c r="G251" s="6" t="n">
        <v>25</v>
      </c>
      <c r="H251" s="6" t="n">
        <v>1.6</v>
      </c>
      <c r="I251" s="5" t="inlineStr">
        <is>
          <t>сталь 25Л</t>
        </is>
      </c>
      <c r="J251" s="5" t="inlineStr">
        <is>
          <t>ручной (маховик)</t>
        </is>
      </c>
      <c r="K251" s="7" t="n">
        <v>3362.61</v>
      </c>
      <c r="L251" s="15">
        <f>IF(K251="","",K251*(1-0.1))</f>
        <v/>
      </c>
      <c r="M251" s="6" t="n">
        <v>5</v>
      </c>
      <c r="N251" s="15">
        <f>IF(K251="","",L251*E251)</f>
        <v/>
      </c>
      <c r="O251" s="15">
        <f>IF(M251="","",M251*E251*55)</f>
        <v/>
      </c>
      <c r="P251" s="15">
        <f>IF(N251="","",N251+N(O251))</f>
        <v/>
      </c>
      <c r="Q251" s="15">
        <f>IF(P251="","",P251/E251)</f>
        <v/>
      </c>
      <c r="R251" s="5" t="inlineStr">
        <is>
          <t>ДН.ру (dn.ru), бренд ТехГидроМаш</t>
        </is>
      </c>
      <c r="S251" s="5" t="inlineStr">
        <is>
          <t>розница · B: dn.ru — живой магазин ООО «ДН.ру», © 2026,</t>
        </is>
      </c>
      <c r="T251" s="5" t="inlineStr">
        <is>
          <t xml:space="preserve">exact + КОФ (ответные фланцы+крепёж ≈ +800 ₽ оценка) · </t>
        </is>
      </c>
      <c r="U251" s="5" t="inlineStr">
        <is>
          <t>https://dn.ru/klapan/klapan-zapornyi/2hod/stalnoi/shturval/tekhgidromash/15s65nzh/dn25</t>
        </is>
      </c>
    </row>
    <row r="252" ht="34" customHeight="1">
      <c r="A252" s="5" t="inlineStr">
        <is>
          <t>1.6</t>
        </is>
      </c>
      <c r="B252" s="6" t="n">
        <v>39</v>
      </c>
      <c r="C252" s="5" t="inlineStr">
        <is>
          <t>Клапаны</t>
        </is>
      </c>
      <c r="D252" s="5" t="inlineStr">
        <is>
          <t>Клапан запорный 15с65нж Ду 40 Ру 16 с КОФ</t>
        </is>
      </c>
      <c r="E252" s="6" t="n">
        <v>1</v>
      </c>
      <c r="F252" s="5" t="inlineStr">
        <is>
          <t>шт</t>
        </is>
      </c>
      <c r="G252" s="6" t="n">
        <v>40</v>
      </c>
      <c r="H252" s="6" t="n">
        <v>1.6</v>
      </c>
      <c r="I252" s="5" t="inlineStr">
        <is>
          <t>сталь 25Л</t>
        </is>
      </c>
      <c r="J252" s="5" t="inlineStr">
        <is>
          <t>ручной (маховик)</t>
        </is>
      </c>
      <c r="K252" s="7" t="n">
        <v>5349.83</v>
      </c>
      <c r="L252" s="15">
        <f>IF(K252="","",K252*(1-0.1))</f>
        <v/>
      </c>
      <c r="M252" s="6" t="n">
        <v>10</v>
      </c>
      <c r="N252" s="15">
        <f>IF(K252="","",L252*E252)</f>
        <v/>
      </c>
      <c r="O252" s="15">
        <f>IF(M252="","",M252*E252*55)</f>
        <v/>
      </c>
      <c r="P252" s="15">
        <f>IF(N252="","",N252+N(O252))</f>
        <v/>
      </c>
      <c r="Q252" s="15">
        <f>IF(P252="","",P252/E252)</f>
        <v/>
      </c>
      <c r="R252" s="5" t="inlineStr">
        <is>
          <t>ДН.ру (dn.ru), бренд ТехГидроМаш</t>
        </is>
      </c>
      <c r="S252" s="5" t="inlineStr">
        <is>
          <t>розница · B: dn.ru — живой магазин ООО «ДН.ру», © 2026,</t>
        </is>
      </c>
      <c r="T252" s="5" t="inlineStr">
        <is>
          <t>exact + КОФ (ответные фланцы+крепёж ≈ +1200 ₽ оценка) ·</t>
        </is>
      </c>
      <c r="U252" s="5" t="inlineStr">
        <is>
          <t>https://dn.ru/klapan/klapan-zapornyi/2hod/stalnoi/shturval/tekhgidromash/15s65nzh/dn40</t>
        </is>
      </c>
    </row>
    <row r="253" ht="34" customHeight="1">
      <c r="A253" s="5" t="inlineStr">
        <is>
          <t>1.6</t>
        </is>
      </c>
      <c r="B253" s="6" t="n">
        <v>40</v>
      </c>
      <c r="C253" s="5" t="inlineStr">
        <is>
          <t>Клапаны</t>
        </is>
      </c>
      <c r="D253" s="5" t="inlineStr">
        <is>
          <t>Клапан запорный 15с65нж Ду 50 Ру 16 с КОФ</t>
        </is>
      </c>
      <c r="E253" s="6" t="n">
        <v>2</v>
      </c>
      <c r="F253" s="5" t="inlineStr">
        <is>
          <t>шт</t>
        </is>
      </c>
      <c r="G253" s="6" t="n">
        <v>50</v>
      </c>
      <c r="H253" s="6" t="n">
        <v>1.6</v>
      </c>
      <c r="I253" s="5" t="inlineStr">
        <is>
          <t>сталь 25Л</t>
        </is>
      </c>
      <c r="J253" s="5" t="inlineStr">
        <is>
          <t>ручной (маховик)</t>
        </is>
      </c>
      <c r="K253" s="7" t="n">
        <v>6662.43</v>
      </c>
      <c r="L253" s="15">
        <f>IF(K253="","",K253*(1-0.1))</f>
        <v/>
      </c>
      <c r="M253" s="6" t="n">
        <v>14</v>
      </c>
      <c r="N253" s="15">
        <f>IF(K253="","",L253*E253)</f>
        <v/>
      </c>
      <c r="O253" s="15">
        <f>IF(M253="","",M253*E253*55)</f>
        <v/>
      </c>
      <c r="P253" s="15">
        <f>IF(N253="","",N253+N(O253))</f>
        <v/>
      </c>
      <c r="Q253" s="15">
        <f>IF(P253="","",P253/E253)</f>
        <v/>
      </c>
      <c r="R253" s="5" t="inlineStr">
        <is>
          <t>ДН.ру (dn.ru), бренд ТехГидроМаш</t>
        </is>
      </c>
      <c r="S253" s="5" t="inlineStr">
        <is>
          <t>розница · B: dn.ru — живой магазин ООО «ДН.ру», © 2026,</t>
        </is>
      </c>
      <c r="T253" s="5" t="inlineStr">
        <is>
          <t>exact + КОФ (ответные фланцы+крепёж ≈ +1500 ₽ оценка) ·</t>
        </is>
      </c>
      <c r="U253" s="5" t="inlineStr">
        <is>
          <t>https://dn.ru/klapan/klapan-zapornyi/2hod/stalnoi/shturval/tekhgidromash/15s65nzh/dn50</t>
        </is>
      </c>
    </row>
    <row r="254" ht="34" customHeight="1">
      <c r="A254" s="5" t="inlineStr">
        <is>
          <t>1.6</t>
        </is>
      </c>
      <c r="B254" s="6" t="n">
        <v>41</v>
      </c>
      <c r="C254" s="5" t="inlineStr">
        <is>
          <t>Задвижки и затворы</t>
        </is>
      </c>
      <c r="D254" s="5" t="inlineStr">
        <is>
          <t>Задвижка 30нж41нж Ду 80 Ру 16 1исп. САЗ</t>
        </is>
      </c>
      <c r="E254" s="6" t="n">
        <v>1</v>
      </c>
      <c r="F254" s="5" t="inlineStr">
        <is>
          <t>шт</t>
        </is>
      </c>
      <c r="G254" s="6" t="n">
        <v>80</v>
      </c>
      <c r="H254" s="6" t="n">
        <v>1.6</v>
      </c>
      <c r="I254" s="5" t="inlineStr">
        <is>
          <t>сталь 12Х18Н9ТЛ</t>
        </is>
      </c>
      <c r="J254" s="5" t="inlineStr">
        <is>
          <t>ручной (маховик)</t>
        </is>
      </c>
      <c r="K254" s="7" t="n">
        <v>47283</v>
      </c>
      <c r="L254" s="15">
        <f>IF(K254="","",K254*(1-0.1))</f>
        <v/>
      </c>
      <c r="M254" s="6" t="n">
        <v>26</v>
      </c>
      <c r="N254" s="15">
        <f>IF(K254="","",L254*E254)</f>
        <v/>
      </c>
      <c r="O254" s="15">
        <f>IF(M254="","",M254*E254*55)</f>
        <v/>
      </c>
      <c r="P254" s="15">
        <f>IF(N254="","",N254+N(O254))</f>
        <v/>
      </c>
      <c r="Q254" s="15">
        <f>IF(P254="","",P254/E254)</f>
        <v/>
      </c>
      <c r="R254" s="5" t="inlineStr">
        <is>
          <t>СибЗТА (sibzta.ru, Москва)</t>
        </is>
      </c>
      <c r="S254" s="5" t="inlineStr">
        <is>
          <t>розница · A: прайс-лист от 12.01.2026 (розничная цена)</t>
        </is>
      </c>
      <c r="T254" s="5" t="inlineStr">
        <is>
          <t>analog: 30нж41нж СибЗТА вместо исп.1 САЗ (та же марка/D</t>
        </is>
      </c>
      <c r="U254" s="5" t="inlineStr">
        <is>
          <t>https://sibzta.ru/price/</t>
        </is>
      </c>
    </row>
    <row r="255" ht="34" customHeight="1">
      <c r="A255" s="5" t="inlineStr">
        <is>
          <t>1.6</t>
        </is>
      </c>
      <c r="B255" s="6" t="n">
        <v>42</v>
      </c>
      <c r="C255" s="5" t="inlineStr">
        <is>
          <t>Задвижки и затворы</t>
        </is>
      </c>
      <c r="D255" s="5" t="inlineStr">
        <is>
          <t>Задвижка 30с41нж Ду 50 Ру 16</t>
        </is>
      </c>
      <c r="E255" s="6" t="n">
        <v>14</v>
      </c>
      <c r="F255" s="5" t="inlineStr">
        <is>
          <t>шт</t>
        </is>
      </c>
      <c r="G255" s="6" t="n">
        <v>50</v>
      </c>
      <c r="H255" s="6" t="n">
        <v>1.6</v>
      </c>
      <c r="I255" s="5" t="inlineStr">
        <is>
          <t>сталь 25Л</t>
        </is>
      </c>
      <c r="J255" s="5" t="inlineStr">
        <is>
          <t>ручной (маховик)</t>
        </is>
      </c>
      <c r="K255" s="7" t="n">
        <v>7482</v>
      </c>
      <c r="L255" s="15">
        <f>IF(K255="","",K255*(1-0.1))</f>
        <v/>
      </c>
      <c r="M255" s="6" t="n">
        <v>16</v>
      </c>
      <c r="N255" s="15">
        <f>IF(K255="","",L255*E255)</f>
        <v/>
      </c>
      <c r="O255" s="15">
        <f>IF(M255="","",M255*E255*55)</f>
        <v/>
      </c>
      <c r="P255" s="15">
        <f>IF(N255="","",N255+N(O255))</f>
        <v/>
      </c>
      <c r="Q255" s="15">
        <f>IF(P255="","",P255/E255)</f>
        <v/>
      </c>
      <c r="R255" s="5" t="inlineStr">
        <is>
          <t>СибЗТА (sibzta.ru, Москва)</t>
        </is>
      </c>
      <c r="S255" s="5" t="inlineStr">
        <is>
          <t>розница · A: прайс-лист от 12.01.2026 (розничная цена)</t>
        </is>
      </c>
      <c r="T255" s="5" t="inlineStr">
        <is>
          <t>exact · не проверено</t>
        </is>
      </c>
      <c r="U255" s="5" t="inlineStr">
        <is>
          <t>https://sibzta.ru/price/</t>
        </is>
      </c>
    </row>
    <row r="256" ht="34" customHeight="1">
      <c r="A256" s="5" t="inlineStr">
        <is>
          <t>1.6</t>
        </is>
      </c>
      <c r="B256" s="6" t="n">
        <v>43</v>
      </c>
      <c r="C256" s="5" t="inlineStr">
        <is>
          <t>Задвижки и затворы</t>
        </is>
      </c>
      <c r="D256" s="5" t="inlineStr">
        <is>
          <t>Задвижка 30с41нж Ду 80 Ру 16</t>
        </is>
      </c>
      <c r="E256" s="6" t="n">
        <v>11</v>
      </c>
      <c r="F256" s="5" t="inlineStr">
        <is>
          <t>шт</t>
        </is>
      </c>
      <c r="G256" s="6" t="n">
        <v>80</v>
      </c>
      <c r="H256" s="6" t="n">
        <v>1.6</v>
      </c>
      <c r="I256" s="5" t="inlineStr">
        <is>
          <t>сталь 25Л</t>
        </is>
      </c>
      <c r="J256" s="5" t="inlineStr">
        <is>
          <t>ручной (маховик)</t>
        </is>
      </c>
      <c r="K256" s="7" t="n">
        <v>12083</v>
      </c>
      <c r="L256" s="15">
        <f>IF(K256="","",K256*(1-0.1))</f>
        <v/>
      </c>
      <c r="M256" s="6" t="n">
        <v>25</v>
      </c>
      <c r="N256" s="15">
        <f>IF(K256="","",L256*E256)</f>
        <v/>
      </c>
      <c r="O256" s="15">
        <f>IF(M256="","",M256*E256*55)</f>
        <v/>
      </c>
      <c r="P256" s="15">
        <f>IF(N256="","",N256+N(O256))</f>
        <v/>
      </c>
      <c r="Q256" s="15">
        <f>IF(P256="","",P256/E256)</f>
        <v/>
      </c>
      <c r="R256" s="5" t="inlineStr">
        <is>
          <t>СибЗТА (sibzta.ru, Москва)</t>
        </is>
      </c>
      <c r="S256" s="5" t="inlineStr">
        <is>
          <t>розница · A: прайс-лист от 12.01.2026 (розничная цена)</t>
        </is>
      </c>
      <c r="T256" s="5" t="inlineStr">
        <is>
          <t>exact · не проверено</t>
        </is>
      </c>
      <c r="U256" s="5" t="inlineStr">
        <is>
          <t>https://sibzta.ru/price/</t>
        </is>
      </c>
    </row>
    <row r="257" ht="34" customHeight="1">
      <c r="A257" s="5" t="inlineStr">
        <is>
          <t>1.6</t>
        </is>
      </c>
      <c r="B257" s="6" t="n">
        <v>44</v>
      </c>
      <c r="C257" s="5" t="inlineStr">
        <is>
          <t>Задвижки и затворы</t>
        </is>
      </c>
      <c r="D257" s="5" t="inlineStr">
        <is>
          <t>Задвижка 30с41нж Ду 100 Ру 16</t>
        </is>
      </c>
      <c r="E257" s="6" t="n">
        <v>10</v>
      </c>
      <c r="F257" s="5" t="inlineStr">
        <is>
          <t>шт</t>
        </is>
      </c>
      <c r="G257" s="6" t="n">
        <v>100</v>
      </c>
      <c r="H257" s="6" t="n">
        <v>1.6</v>
      </c>
      <c r="I257" s="5" t="inlineStr">
        <is>
          <t>сталь 25Л</t>
        </is>
      </c>
      <c r="J257" s="5" t="inlineStr">
        <is>
          <t>ручной (маховик)</t>
        </is>
      </c>
      <c r="K257" s="7" t="n">
        <v>14448</v>
      </c>
      <c r="L257" s="15">
        <f>IF(K257="","",K257*(1-0.1))</f>
        <v/>
      </c>
      <c r="M257" s="6" t="n">
        <v>34</v>
      </c>
      <c r="N257" s="15">
        <f>IF(K257="","",L257*E257)</f>
        <v/>
      </c>
      <c r="O257" s="15">
        <f>IF(M257="","",M257*E257*55)</f>
        <v/>
      </c>
      <c r="P257" s="15">
        <f>IF(N257="","",N257+N(O257))</f>
        <v/>
      </c>
      <c r="Q257" s="15">
        <f>IF(P257="","",P257/E257)</f>
        <v/>
      </c>
      <c r="R257" s="5" t="inlineStr">
        <is>
          <t>СибЗТА (sibzta.ru, Москва)</t>
        </is>
      </c>
      <c r="S257" s="5" t="inlineStr">
        <is>
          <t>розница · A: прайс-лист от 12.01.2026 (розничная цена)</t>
        </is>
      </c>
      <c r="T257" s="5" t="inlineStr">
        <is>
          <t>exact · не проверено</t>
        </is>
      </c>
      <c r="U257" s="5" t="inlineStr">
        <is>
          <t>https://sibzta.ru/price/</t>
        </is>
      </c>
    </row>
    <row r="258" ht="34" customHeight="1">
      <c r="A258" s="5" t="inlineStr">
        <is>
          <t>1.6</t>
        </is>
      </c>
      <c r="B258" s="6" t="n">
        <v>45</v>
      </c>
      <c r="C258" s="5" t="inlineStr">
        <is>
          <t>Задвижки и затворы</t>
        </is>
      </c>
      <c r="D258" s="5" t="inlineStr">
        <is>
          <t>Задвижка 30с41нж Ду 150 Ру 16</t>
        </is>
      </c>
      <c r="E258" s="6" t="n">
        <v>7</v>
      </c>
      <c r="F258" s="5" t="inlineStr">
        <is>
          <t>шт</t>
        </is>
      </c>
      <c r="G258" s="6" t="n">
        <v>150</v>
      </c>
      <c r="H258" s="6" t="n">
        <v>1.6</v>
      </c>
      <c r="I258" s="5" t="inlineStr">
        <is>
          <t>сталь 25Л</t>
        </is>
      </c>
      <c r="J258" s="5" t="inlineStr">
        <is>
          <t>ручной (маховик)</t>
        </is>
      </c>
      <c r="K258" s="7" t="n">
        <v>27735</v>
      </c>
      <c r="L258" s="15">
        <f>IF(K258="","",K258*(1-0.1))</f>
        <v/>
      </c>
      <c r="M258" s="6" t="n">
        <v>60</v>
      </c>
      <c r="N258" s="15">
        <f>IF(K258="","",L258*E258)</f>
        <v/>
      </c>
      <c r="O258" s="15">
        <f>IF(M258="","",M258*E258*55)</f>
        <v/>
      </c>
      <c r="P258" s="15">
        <f>IF(N258="","",N258+N(O258))</f>
        <v/>
      </c>
      <c r="Q258" s="15">
        <f>IF(P258="","",P258/E258)</f>
        <v/>
      </c>
      <c r="R258" s="5" t="inlineStr">
        <is>
          <t>СибЗТА (sibzta.ru, Москва)</t>
        </is>
      </c>
      <c r="S258" s="5" t="inlineStr">
        <is>
          <t>розница · A: прайс-лист от 12.01.2026 (розничная цена)</t>
        </is>
      </c>
      <c r="T258" s="5" t="inlineStr">
        <is>
          <t>exact · не проверено</t>
        </is>
      </c>
      <c r="U258" s="5" t="inlineStr">
        <is>
          <t>https://sibzta.ru/price/</t>
        </is>
      </c>
    </row>
    <row r="259" ht="34" customHeight="1">
      <c r="A259" s="5" t="inlineStr">
        <is>
          <t>1.6</t>
        </is>
      </c>
      <c r="B259" s="6" t="n">
        <v>46</v>
      </c>
      <c r="C259" s="5" t="inlineStr">
        <is>
          <t>Задвижки и затворы</t>
        </is>
      </c>
      <c r="D259" s="5" t="inlineStr">
        <is>
          <t>Задвижка 30с41нж Ду 200 Ру 16</t>
        </is>
      </c>
      <c r="E259" s="6" t="n">
        <v>2</v>
      </c>
      <c r="F259" s="5" t="inlineStr">
        <is>
          <t>шт</t>
        </is>
      </c>
      <c r="G259" s="6" t="n">
        <v>200</v>
      </c>
      <c r="H259" s="6" t="n">
        <v>1.6</v>
      </c>
      <c r="I259" s="5" t="inlineStr">
        <is>
          <t>сталь 25Л</t>
        </is>
      </c>
      <c r="J259" s="5" t="inlineStr">
        <is>
          <t>ручной (маховик)</t>
        </is>
      </c>
      <c r="K259" s="7" t="n">
        <v>38700</v>
      </c>
      <c r="L259" s="15">
        <f>IF(K259="","",K259*(1-0.1))</f>
        <v/>
      </c>
      <c r="M259" s="6" t="n">
        <v>95</v>
      </c>
      <c r="N259" s="15">
        <f>IF(K259="","",L259*E259)</f>
        <v/>
      </c>
      <c r="O259" s="15">
        <f>IF(M259="","",M259*E259*55)</f>
        <v/>
      </c>
      <c r="P259" s="15">
        <f>IF(N259="","",N259+N(O259))</f>
        <v/>
      </c>
      <c r="Q259" s="15">
        <f>IF(P259="","",P259/E259)</f>
        <v/>
      </c>
      <c r="R259" s="5" t="inlineStr">
        <is>
          <t>СибЗТА (sibzta.ru, Москва)</t>
        </is>
      </c>
      <c r="S259" s="5" t="inlineStr">
        <is>
          <t>розница · A: прайс-лист от 12.01.2026 (розничная цена)</t>
        </is>
      </c>
      <c r="T259" s="5" t="inlineStr">
        <is>
          <t>exact · не проверено</t>
        </is>
      </c>
      <c r="U259" s="5" t="inlineStr">
        <is>
          <t>https://sibzta.ru/price/</t>
        </is>
      </c>
    </row>
    <row r="260" ht="34" customHeight="1">
      <c r="A260" s="5" t="inlineStr">
        <is>
          <t>1.6</t>
        </is>
      </c>
      <c r="B260" s="6" t="n">
        <v>47</v>
      </c>
      <c r="C260" s="5" t="inlineStr">
        <is>
          <t>Задвижки и затворы</t>
        </is>
      </c>
      <c r="D260" s="5" t="inlineStr">
        <is>
          <t>Задвижка 30ч6бр Ду 50 Ру 10</t>
        </is>
      </c>
      <c r="E260" s="6" t="n">
        <v>9</v>
      </c>
      <c r="F260" s="5" t="inlineStr">
        <is>
          <t>шт</t>
        </is>
      </c>
      <c r="G260" s="6" t="n">
        <v>50</v>
      </c>
      <c r="H260" s="6" t="n">
        <v>1</v>
      </c>
      <c r="I260" s="5" t="inlineStr">
        <is>
          <t>серый чугун СЧ 18 (СЧ 20)</t>
        </is>
      </c>
      <c r="J260" s="5" t="inlineStr">
        <is>
          <t>ручной (маховик)</t>
        </is>
      </c>
      <c r="K260" s="7" t="n">
        <v>3488</v>
      </c>
      <c r="L260" s="15">
        <f>IF(K260="","",K260*(1-0.1))</f>
        <v/>
      </c>
      <c r="M260" s="6" t="n">
        <v>13</v>
      </c>
      <c r="N260" s="15">
        <f>IF(K260="","",L260*E260)</f>
        <v/>
      </c>
      <c r="O260" s="15">
        <f>IF(M260="","",M260*E260*55)</f>
        <v/>
      </c>
      <c r="P260" s="15">
        <f>IF(N260="","",N260+N(O260))</f>
        <v/>
      </c>
      <c r="Q260" s="15">
        <f>IF(P260="","",P260/E260)</f>
        <v/>
      </c>
      <c r="R260" s="5" t="inlineStr">
        <is>
          <t>БК-Арматура (bkarm.ru)</t>
        </is>
      </c>
      <c r="S260" s="5" t="inlineStr">
        <is>
          <t>розница · C: © 1994-2026, прайс-страница, цены с НДС</t>
        </is>
      </c>
      <c r="T260" s="5" t="inlineStr">
        <is>
          <t>analog: 30ч6бр ЛМЗ PN16 DN50 (выше PN) · не проверено</t>
        </is>
      </c>
      <c r="U260" s="5" t="inlineStr">
        <is>
          <t>https://bkarm.ru/zadvizhki-chugunnye-prajs-list/</t>
        </is>
      </c>
    </row>
    <row r="261" ht="34" customHeight="1">
      <c r="A261" s="5" t="inlineStr">
        <is>
          <t>1.6</t>
        </is>
      </c>
      <c r="B261" s="6" t="n">
        <v>48</v>
      </c>
      <c r="C261" s="5" t="inlineStr">
        <is>
          <t>Задвижки и затворы</t>
        </is>
      </c>
      <c r="D261" s="5" t="inlineStr">
        <is>
          <t>Задвижка 30ч6бр Ду 80 Ру 10</t>
        </is>
      </c>
      <c r="E261" s="6" t="n">
        <v>3</v>
      </c>
      <c r="F261" s="5" t="inlineStr">
        <is>
          <t>шт</t>
        </is>
      </c>
      <c r="G261" s="6" t="n">
        <v>80</v>
      </c>
      <c r="H261" s="6" t="n">
        <v>1</v>
      </c>
      <c r="I261" s="5" t="inlineStr">
        <is>
          <t>серый чугун СЧ 18 (СЧ 20)</t>
        </is>
      </c>
      <c r="J261" s="5" t="inlineStr">
        <is>
          <t>ручной (маховик)</t>
        </is>
      </c>
      <c r="K261" s="7" t="n">
        <v>5666</v>
      </c>
      <c r="L261" s="15">
        <f>IF(K261="","",K261*(1-0.1))</f>
        <v/>
      </c>
      <c r="M261" s="6" t="n">
        <v>22</v>
      </c>
      <c r="N261" s="15">
        <f>IF(K261="","",L261*E261)</f>
        <v/>
      </c>
      <c r="O261" s="15">
        <f>IF(M261="","",M261*E261*55)</f>
        <v/>
      </c>
      <c r="P261" s="15">
        <f>IF(N261="","",N261+N(O261))</f>
        <v/>
      </c>
      <c r="Q261" s="15">
        <f>IF(P261="","",P261/E261)</f>
        <v/>
      </c>
      <c r="R261" s="5" t="inlineStr">
        <is>
          <t>БК-Арматура (bkarm.ru)</t>
        </is>
      </c>
      <c r="S261" s="5" t="inlineStr">
        <is>
          <t>розница · C: © 1994-2026, прайс-страница, цены с НДС</t>
        </is>
      </c>
      <c r="T261" s="5" t="inlineStr">
        <is>
          <t>exact · не проверено</t>
        </is>
      </c>
      <c r="U261" s="5" t="inlineStr">
        <is>
          <t>https://bkarm.ru/zadvizhki-chugunnye-prajs-list/</t>
        </is>
      </c>
    </row>
    <row r="262" ht="34" customHeight="1">
      <c r="A262" s="5" t="inlineStr">
        <is>
          <t>1.6</t>
        </is>
      </c>
      <c r="B262" s="6" t="n">
        <v>49</v>
      </c>
      <c r="C262" s="5" t="inlineStr">
        <is>
          <t>Задвижки и затворы</t>
        </is>
      </c>
      <c r="D262" s="5" t="inlineStr">
        <is>
          <t>Задвижка 30ч6бр Ду 100 Ру 10</t>
        </is>
      </c>
      <c r="E262" s="6" t="n">
        <v>3</v>
      </c>
      <c r="F262" s="5" t="inlineStr">
        <is>
          <t>шт</t>
        </is>
      </c>
      <c r="G262" s="6" t="n">
        <v>100</v>
      </c>
      <c r="H262" s="6" t="n">
        <v>1</v>
      </c>
      <c r="I262" s="5" t="inlineStr">
        <is>
          <t>серый чугун СЧ 18 (СЧ 20)</t>
        </is>
      </c>
      <c r="J262" s="5" t="inlineStr">
        <is>
          <t>ручной (маховик)</t>
        </is>
      </c>
      <c r="K262" s="7" t="n">
        <v>8135</v>
      </c>
      <c r="L262" s="15">
        <f>IF(K262="","",K262*(1-0.1))</f>
        <v/>
      </c>
      <c r="M262" s="6" t="n">
        <v>30</v>
      </c>
      <c r="N262" s="15">
        <f>IF(K262="","",L262*E262)</f>
        <v/>
      </c>
      <c r="O262" s="15">
        <f>IF(M262="","",M262*E262*55)</f>
        <v/>
      </c>
      <c r="P262" s="15">
        <f>IF(N262="","",N262+N(O262))</f>
        <v/>
      </c>
      <c r="Q262" s="15">
        <f>IF(P262="","",P262/E262)</f>
        <v/>
      </c>
      <c r="R262" s="5" t="inlineStr">
        <is>
          <t>БК-Арматура (bkarm.ru)</t>
        </is>
      </c>
      <c r="S262" s="5" t="inlineStr">
        <is>
          <t>розница · C: © 1994-2026, прайс-страница, цены с НДС</t>
        </is>
      </c>
      <c r="T262" s="5" t="inlineStr">
        <is>
          <t>exact · не проверено</t>
        </is>
      </c>
      <c r="U262" s="5" t="inlineStr">
        <is>
          <t>https://bkarm.ru/zadvizhki-chugunnye-prajs-list/</t>
        </is>
      </c>
    </row>
    <row r="263" ht="34" customHeight="1">
      <c r="A263" s="5" t="inlineStr">
        <is>
          <t>1.6</t>
        </is>
      </c>
      <c r="B263" s="6" t="n">
        <v>50</v>
      </c>
      <c r="C263" s="5" t="inlineStr">
        <is>
          <t>Краны шаровые и прочее</t>
        </is>
      </c>
      <c r="D263" s="5" t="inlineStr">
        <is>
          <t>Кран шаровой 11б27п(м) Ду 015 Ру16 3-х ходовой для манометров</t>
        </is>
      </c>
      <c r="E263" s="6" t="n">
        <v>132</v>
      </c>
      <c r="F263" s="5" t="inlineStr">
        <is>
          <t>шт</t>
        </is>
      </c>
      <c r="G263" s="6" t="n">
        <v>15</v>
      </c>
      <c r="H263" s="6" t="n">
        <v>1.6</v>
      </c>
      <c r="I263" s="5" t="inlineStr">
        <is>
          <t>латунь ЛЦ40Сд</t>
        </is>
      </c>
      <c r="J263" s="5" t="inlineStr">
        <is>
          <t>ручной (рукоятка)</t>
        </is>
      </c>
      <c r="K263" s="7" t="n">
        <v>420</v>
      </c>
      <c r="L263" s="15">
        <f>IF(K263="","",K263*(1-0.1))</f>
        <v/>
      </c>
      <c r="M263" s="6" t="n">
        <v>0.15</v>
      </c>
      <c r="N263" s="15">
        <f>IF(K263="","",L263*E263)</f>
        <v/>
      </c>
      <c r="O263" s="15">
        <f>IF(M263="","",M263*E263*55)</f>
        <v/>
      </c>
      <c r="P263" s="15">
        <f>IF(N263="","",N263+N(O263))</f>
        <v/>
      </c>
      <c r="Q263" s="15">
        <f>IF(P263="","",P263/E263)</f>
        <v/>
      </c>
      <c r="R263" s="5" t="inlineStr">
        <is>
          <t>рос. производители 11б18бк (напр. Р</t>
        </is>
      </c>
      <c r="S263" s="5" t="inlineStr">
        <is>
          <t>оценка · открытой рублёвой цены 2026 не найдено</t>
        </is>
      </c>
      <c r="T263" s="5" t="inlineStr">
        <is>
          <t>analog: кран трёхходовой 11б18бк латунь PN16 · не прове</t>
        </is>
      </c>
      <c r="U263" s="5" t="inlineStr"/>
    </row>
    <row r="264" ht="34" customHeight="1">
      <c r="A264" s="5" t="inlineStr">
        <is>
          <t>1.6</t>
        </is>
      </c>
      <c r="B264" s="6" t="n">
        <v>51</v>
      </c>
      <c r="C264" s="5" t="inlineStr">
        <is>
          <t>Краны шаровые и прочее</t>
        </is>
      </c>
      <c r="D264" s="5" t="inlineStr">
        <is>
          <t>Кран шаровой 11б27п1 Ду 15 Ру 16</t>
        </is>
      </c>
      <c r="E264" s="6" t="n">
        <v>47</v>
      </c>
      <c r="F264" s="5" t="inlineStr">
        <is>
          <t>шт</t>
        </is>
      </c>
      <c r="G264" s="6" t="n">
        <v>15</v>
      </c>
      <c r="H264" s="6" t="n">
        <v>1.6</v>
      </c>
      <c r="I264" s="5" t="inlineStr">
        <is>
          <t>латунь ЛЦ40Сд</t>
        </is>
      </c>
      <c r="J264" s="5" t="inlineStr">
        <is>
          <t>ручной (рукоятка)</t>
        </is>
      </c>
      <c r="K264" s="7" t="n">
        <v>302</v>
      </c>
      <c r="L264" s="15">
        <f>IF(K264="","",K264*(1-0.1))</f>
        <v/>
      </c>
      <c r="M264" s="6" t="n">
        <v>0.15</v>
      </c>
      <c r="N264" s="15">
        <f>IF(K264="","",L264*E264)</f>
        <v/>
      </c>
      <c r="O264" s="15">
        <f>IF(M264="","",M264*E264*55)</f>
        <v/>
      </c>
      <c r="P264" s="15">
        <f>IF(N264="","",N264+N(O264))</f>
        <v/>
      </c>
      <c r="Q264" s="15">
        <f>IF(P264="","",P264/E264)</f>
        <v/>
      </c>
      <c r="R264" s="5" t="inlineStr">
        <is>
          <t>ДН.ру (dn.ru), дилер LD / пр-ль ООО</t>
        </is>
      </c>
      <c r="S264" s="5" t="inlineStr">
        <is>
          <t>розница · B: dn.ru ©2026, цена «на 2026-10/11», товар в</t>
        </is>
      </c>
      <c r="T264" s="5" t="inlineStr">
        <is>
          <t>exact · не проверено</t>
        </is>
      </c>
      <c r="U264" s="5" t="inlineStr">
        <is>
          <t>https://dn.ru/sharovyi-kran/teplosnabzhenie/rezbovye-kran/standartnyi/ld/pride-47-v-v-r/dn15</t>
        </is>
      </c>
    </row>
    <row r="265" ht="34" customHeight="1">
      <c r="A265" s="5" t="inlineStr">
        <is>
          <t>1.6</t>
        </is>
      </c>
      <c r="B265" s="6" t="n">
        <v>52</v>
      </c>
      <c r="C265" s="5" t="inlineStr">
        <is>
          <t>Краны шаровые и прочее</t>
        </is>
      </c>
      <c r="D265" s="5" t="inlineStr">
        <is>
          <t>Кран шаровой 11б27п1 Ду 20 Ру 16</t>
        </is>
      </c>
      <c r="E265" s="6" t="n">
        <v>63</v>
      </c>
      <c r="F265" s="5" t="inlineStr">
        <is>
          <t>шт</t>
        </is>
      </c>
      <c r="G265" s="6" t="n">
        <v>20</v>
      </c>
      <c r="H265" s="6" t="n">
        <v>1.6</v>
      </c>
      <c r="I265" s="5" t="inlineStr">
        <is>
          <t>латунь ЛЦ40Сд</t>
        </is>
      </c>
      <c r="J265" s="5" t="inlineStr">
        <is>
          <t>ручной (рукоятка)</t>
        </is>
      </c>
      <c r="K265" s="7" t="n">
        <v>402</v>
      </c>
      <c r="L265" s="15">
        <f>IF(K265="","",K265*(1-0.1))</f>
        <v/>
      </c>
      <c r="M265" s="6" t="n">
        <v>0.24</v>
      </c>
      <c r="N265" s="15">
        <f>IF(K265="","",L265*E265)</f>
        <v/>
      </c>
      <c r="O265" s="15">
        <f>IF(M265="","",M265*E265*55)</f>
        <v/>
      </c>
      <c r="P265" s="15">
        <f>IF(N265="","",N265+N(O265))</f>
        <v/>
      </c>
      <c r="Q265" s="15">
        <f>IF(P265="","",P265/E265)</f>
        <v/>
      </c>
      <c r="R265" s="5" t="inlineStr">
        <is>
          <t>ДН.ру (dn.ru), дилер LD / пр-ль ООО</t>
        </is>
      </c>
      <c r="S265" s="5" t="inlineStr">
        <is>
          <t>розница · B: dn.ru ©2026, цена «на 2026-10/11», товар в</t>
        </is>
      </c>
      <c r="T265" s="5" t="inlineStr">
        <is>
          <t>exact · не проверено</t>
        </is>
      </c>
      <c r="U265" s="5" t="inlineStr">
        <is>
          <t>https://dn.ru/sharovyi-kran/teplosnabzhenie/rezbovye-kran/standartnyi/ld/pride-47-v-v-r/dn15</t>
        </is>
      </c>
    </row>
    <row r="266" ht="34" customHeight="1">
      <c r="A266" s="5" t="inlineStr">
        <is>
          <t>1.6</t>
        </is>
      </c>
      <c r="B266" s="6" t="n">
        <v>53</v>
      </c>
      <c r="C266" s="5" t="inlineStr">
        <is>
          <t>Краны шаровые и прочее</t>
        </is>
      </c>
      <c r="D266" s="5" t="inlineStr">
        <is>
          <t>Кран шаровой 11б27п1 Ду 25 Ру 16</t>
        </is>
      </c>
      <c r="E266" s="6" t="n">
        <v>40</v>
      </c>
      <c r="F266" s="5" t="inlineStr">
        <is>
          <t>шт</t>
        </is>
      </c>
      <c r="G266" s="6" t="n">
        <v>25</v>
      </c>
      <c r="H266" s="6" t="n">
        <v>1.6</v>
      </c>
      <c r="I266" s="5" t="inlineStr">
        <is>
          <t>латунь ЛЦ40Сд</t>
        </is>
      </c>
      <c r="J266" s="5" t="inlineStr">
        <is>
          <t>ручной (рукоятка)</t>
        </is>
      </c>
      <c r="K266" s="7" t="n">
        <v>919</v>
      </c>
      <c r="L266" s="15">
        <f>IF(K266="","",K266*(1-0.1))</f>
        <v/>
      </c>
      <c r="M266" s="6" t="n">
        <v>0.4</v>
      </c>
      <c r="N266" s="15">
        <f>IF(K266="","",L266*E266)</f>
        <v/>
      </c>
      <c r="O266" s="15">
        <f>IF(M266="","",M266*E266*55)</f>
        <v/>
      </c>
      <c r="P266" s="15">
        <f>IF(N266="","",N266+N(O266))</f>
        <v/>
      </c>
      <c r="Q266" s="15">
        <f>IF(P266="","",P266/E266)</f>
        <v/>
      </c>
      <c r="R266" s="5" t="inlineStr">
        <is>
          <t>ДН.ру (dn.ru), дилер LD / пр-ль ООО</t>
        </is>
      </c>
      <c r="S266" s="5" t="inlineStr">
        <is>
          <t>розница · B: dn.ru ©2026, цена «на 2026-10/11», товар в</t>
        </is>
      </c>
      <c r="T266" s="5" t="inlineStr">
        <is>
          <t>exact · не проверено</t>
        </is>
      </c>
      <c r="U266" s="5" t="inlineStr">
        <is>
          <t>https://dn.ru/sharovyi-kran/teplosnabzhenie/rezbovye-kran/standartnyi/ld/pride-47-v-v-r/dn15</t>
        </is>
      </c>
    </row>
    <row r="267" ht="34" customHeight="1">
      <c r="A267" s="5" t="inlineStr">
        <is>
          <t>1.6</t>
        </is>
      </c>
      <c r="B267" s="6" t="n">
        <v>54</v>
      </c>
      <c r="C267" s="5" t="inlineStr">
        <is>
          <t>Краны шаровые и прочее</t>
        </is>
      </c>
      <c r="D267" s="5" t="inlineStr">
        <is>
          <t>Кран шаровой 11б27п1 Ду 32 Ру 16</t>
        </is>
      </c>
      <c r="E267" s="6" t="n">
        <v>77</v>
      </c>
      <c r="F267" s="5" t="inlineStr">
        <is>
          <t>шт</t>
        </is>
      </c>
      <c r="G267" s="6" t="n">
        <v>32</v>
      </c>
      <c r="H267" s="6" t="n">
        <v>1.6</v>
      </c>
      <c r="I267" s="5" t="inlineStr">
        <is>
          <t>латунь ЛЦ40Сд</t>
        </is>
      </c>
      <c r="J267" s="5" t="inlineStr">
        <is>
          <t>ручной (рукоятка)</t>
        </is>
      </c>
      <c r="K267" s="7" t="n">
        <v>1495</v>
      </c>
      <c r="L267" s="15">
        <f>IF(K267="","",K267*(1-0.1))</f>
        <v/>
      </c>
      <c r="M267" s="6" t="n">
        <v>0.65</v>
      </c>
      <c r="N267" s="15">
        <f>IF(K267="","",L267*E267)</f>
        <v/>
      </c>
      <c r="O267" s="15">
        <f>IF(M267="","",M267*E267*55)</f>
        <v/>
      </c>
      <c r="P267" s="15">
        <f>IF(N267="","",N267+N(O267))</f>
        <v/>
      </c>
      <c r="Q267" s="15">
        <f>IF(P267="","",P267/E267)</f>
        <v/>
      </c>
      <c r="R267" s="5" t="inlineStr">
        <is>
          <t>ДН.ру (dn.ru), дилер LD / пр-ль ООО</t>
        </is>
      </c>
      <c r="S267" s="5" t="inlineStr">
        <is>
          <t>розница · B: dn.ru ©2026, цена «на 2026-10/11», товар в</t>
        </is>
      </c>
      <c r="T267" s="5" t="inlineStr">
        <is>
          <t>exact · не проверено</t>
        </is>
      </c>
      <c r="U267" s="5" t="inlineStr">
        <is>
          <t>https://dn.ru/sharovyi-kran/teplosnabzhenie/rezbovye-kran/standartnyi/ld/pride-47-v-v-r/dn15</t>
        </is>
      </c>
    </row>
    <row r="268" ht="34" customHeight="1">
      <c r="A268" s="5" t="inlineStr">
        <is>
          <t>1.6</t>
        </is>
      </c>
      <c r="B268" s="6" t="n">
        <v>55</v>
      </c>
      <c r="C268" s="5" t="inlineStr">
        <is>
          <t>Краны шаровые и прочее</t>
        </is>
      </c>
      <c r="D268" s="5" t="inlineStr">
        <is>
          <t>Кран шаровой 11б27п1 Ду 40 Ру 16</t>
        </is>
      </c>
      <c r="E268" s="6" t="n">
        <v>2</v>
      </c>
      <c r="F268" s="5" t="inlineStr">
        <is>
          <t>шт</t>
        </is>
      </c>
      <c r="G268" s="6" t="n">
        <v>40</v>
      </c>
      <c r="H268" s="6" t="n">
        <v>1.6</v>
      </c>
      <c r="I268" s="5" t="inlineStr">
        <is>
          <t>латунь ЛЦ40Сд</t>
        </is>
      </c>
      <c r="J268" s="5" t="inlineStr">
        <is>
          <t>ручной (рукоятка)</t>
        </is>
      </c>
      <c r="K268" s="7" t="n">
        <v>2022</v>
      </c>
      <c r="L268" s="15">
        <f>IF(K268="","",K268*(1-0.1))</f>
        <v/>
      </c>
      <c r="M268" s="6" t="n">
        <v>0.95</v>
      </c>
      <c r="N268" s="15">
        <f>IF(K268="","",L268*E268)</f>
        <v/>
      </c>
      <c r="O268" s="15">
        <f>IF(M268="","",M268*E268*55)</f>
        <v/>
      </c>
      <c r="P268" s="15">
        <f>IF(N268="","",N268+N(O268))</f>
        <v/>
      </c>
      <c r="Q268" s="15">
        <f>IF(P268="","",P268/E268)</f>
        <v/>
      </c>
      <c r="R268" s="5" t="inlineStr">
        <is>
          <t>ДН.ру (dn.ru), дилер LD / пр-ль ООО</t>
        </is>
      </c>
      <c r="S268" s="5" t="inlineStr">
        <is>
          <t>розница · B: dn.ru ©2026, цена «на 2026-10/11», товар в</t>
        </is>
      </c>
      <c r="T268" s="5" t="inlineStr">
        <is>
          <t>exact · не проверено</t>
        </is>
      </c>
      <c r="U268" s="5" t="inlineStr">
        <is>
          <t>https://dn.ru/sharovyi-kran/teplosnabzhenie/rezbovye-kran/standartnyi/ld/pride-47-v-v-r/dn15</t>
        </is>
      </c>
    </row>
    <row r="269" ht="34" customHeight="1">
      <c r="A269" s="5" t="inlineStr">
        <is>
          <t>1.6</t>
        </is>
      </c>
      <c r="B269" s="6" t="n">
        <v>56</v>
      </c>
      <c r="C269" s="5" t="inlineStr">
        <is>
          <t>Краны шаровые и прочее</t>
        </is>
      </c>
      <c r="D269" s="5" t="inlineStr">
        <is>
          <t>Кран шаровой 11б27п1 Ду 50 Ру 16</t>
        </is>
      </c>
      <c r="E269" s="6" t="n">
        <v>6</v>
      </c>
      <c r="F269" s="5" t="inlineStr">
        <is>
          <t>шт</t>
        </is>
      </c>
      <c r="G269" s="6" t="n">
        <v>50</v>
      </c>
      <c r="H269" s="6" t="n">
        <v>1.6</v>
      </c>
      <c r="I269" s="5" t="inlineStr">
        <is>
          <t>латунь ЛЦ40Сд</t>
        </is>
      </c>
      <c r="J269" s="5" t="inlineStr">
        <is>
          <t>ручной (рукоятка)</t>
        </is>
      </c>
      <c r="K269" s="7" t="n">
        <v>3781</v>
      </c>
      <c r="L269" s="15">
        <f>IF(K269="","",K269*(1-0.1))</f>
        <v/>
      </c>
      <c r="M269" s="6" t="n">
        <v>1.5</v>
      </c>
      <c r="N269" s="15">
        <f>IF(K269="","",L269*E269)</f>
        <v/>
      </c>
      <c r="O269" s="15">
        <f>IF(M269="","",M269*E269*55)</f>
        <v/>
      </c>
      <c r="P269" s="15">
        <f>IF(N269="","",N269+N(O269))</f>
        <v/>
      </c>
      <c r="Q269" s="15">
        <f>IF(P269="","",P269/E269)</f>
        <v/>
      </c>
      <c r="R269" s="5" t="inlineStr">
        <is>
          <t>ДН.ру (dn.ru), дилер LD / пр-ль ООО</t>
        </is>
      </c>
      <c r="S269" s="5" t="inlineStr">
        <is>
          <t>розница · B: dn.ru ©2026, цена «на 2026-10/11», товар в</t>
        </is>
      </c>
      <c r="T269" s="5" t="inlineStr">
        <is>
          <t>exact · не проверено</t>
        </is>
      </c>
      <c r="U269" s="5" t="inlineStr">
        <is>
          <t>https://dn.ru/sharovyi-kran/teplosnabzhenie/rezbovye-kran/standartnyi/ld/pride-47-v-v-r/dn15</t>
        </is>
      </c>
    </row>
    <row r="270" ht="34" customHeight="1">
      <c r="A270" s="5" t="inlineStr">
        <is>
          <t>1.6</t>
        </is>
      </c>
      <c r="B270" s="6" t="n">
        <v>57</v>
      </c>
      <c r="C270" s="5" t="inlineStr">
        <is>
          <t>Краны шаровые и прочее</t>
        </is>
      </c>
      <c r="D270" s="5" t="inlineStr">
        <is>
          <t>Кран шаровой 11с22п Ду 32 Ру 16</t>
        </is>
      </c>
      <c r="E270" s="6" t="n">
        <v>55</v>
      </c>
      <c r="F270" s="5" t="inlineStr">
        <is>
          <t>шт</t>
        </is>
      </c>
      <c r="G270" s="6" t="n">
        <v>32</v>
      </c>
      <c r="H270" s="6" t="n">
        <v>1.6</v>
      </c>
      <c r="I270" s="5" t="inlineStr">
        <is>
          <t>сталь 20</t>
        </is>
      </c>
      <c r="J270" s="5" t="inlineStr">
        <is>
          <t>ручной (рукоятка)</t>
        </is>
      </c>
      <c r="K270" s="7" t="n">
        <v>2966</v>
      </c>
      <c r="L270" s="15">
        <f>IF(K270="","",K270*(1-0.1))</f>
        <v/>
      </c>
      <c r="M270" s="6" t="n">
        <v>4</v>
      </c>
      <c r="N270" s="15">
        <f>IF(K270="","",L270*E270)</f>
        <v/>
      </c>
      <c r="O270" s="15">
        <f>IF(M270="","",M270*E270*55)</f>
        <v/>
      </c>
      <c r="P270" s="15">
        <f>IF(N270="","",N270+N(O270))</f>
        <v/>
      </c>
      <c r="Q270" s="15">
        <f>IF(P270="","",P270/E270)</f>
        <v/>
      </c>
      <c r="R270" s="5" t="inlineStr">
        <is>
          <t>ДН.ру (dn.ru), дилер LD / пр-ль ООО</t>
        </is>
      </c>
      <c r="S270" s="5" t="inlineStr">
        <is>
          <t>розница · B: dn.ru ©2026, цена «на 2026-10/11», товар в</t>
        </is>
      </c>
      <c r="T270" s="5" t="inlineStr">
        <is>
          <t>analog: LD КШ.Ц.Ф Н/П фланцевый ст.20 · не проверено</t>
        </is>
      </c>
      <c r="U270" s="5" t="inlineStr">
        <is>
          <t>https://dn.ru/sharovyi-kran/teplosnabzhenie/flantcevyi-kran/standartnyi/ld/st20/dn100</t>
        </is>
      </c>
    </row>
    <row r="271" ht="34" customHeight="1">
      <c r="A271" s="5" t="inlineStr">
        <is>
          <t>1.6</t>
        </is>
      </c>
      <c r="B271" s="6" t="n">
        <v>58</v>
      </c>
      <c r="C271" s="5" t="inlineStr">
        <is>
          <t>Краны шаровые и прочее</t>
        </is>
      </c>
      <c r="D271" s="5" t="inlineStr">
        <is>
          <t>Кран шаровой 11с22п Ду 50 Ру 16</t>
        </is>
      </c>
      <c r="E271" s="6" t="n">
        <v>35</v>
      </c>
      <c r="F271" s="5" t="inlineStr">
        <is>
          <t>шт</t>
        </is>
      </c>
      <c r="G271" s="6" t="n">
        <v>50</v>
      </c>
      <c r="H271" s="6" t="n">
        <v>1.6</v>
      </c>
      <c r="I271" s="5" t="inlineStr">
        <is>
          <t>сталь 20</t>
        </is>
      </c>
      <c r="J271" s="5" t="inlineStr">
        <is>
          <t>ручной (рукоятка)</t>
        </is>
      </c>
      <c r="K271" s="7" t="n">
        <v>3648</v>
      </c>
      <c r="L271" s="15">
        <f>IF(K271="","",K271*(1-0.1))</f>
        <v/>
      </c>
      <c r="M271" s="6" t="n">
        <v>6.5</v>
      </c>
      <c r="N271" s="15">
        <f>IF(K271="","",L271*E271)</f>
        <v/>
      </c>
      <c r="O271" s="15">
        <f>IF(M271="","",M271*E271*55)</f>
        <v/>
      </c>
      <c r="P271" s="15">
        <f>IF(N271="","",N271+N(O271))</f>
        <v/>
      </c>
      <c r="Q271" s="15">
        <f>IF(P271="","",P271/E271)</f>
        <v/>
      </c>
      <c r="R271" s="5" t="inlineStr">
        <is>
          <t>ДН.ру (dn.ru), дилер LD / пр-ль ООО</t>
        </is>
      </c>
      <c r="S271" s="5" t="inlineStr">
        <is>
          <t>розница · B: dn.ru ©2026, цена «на 2026-10/11», товар в</t>
        </is>
      </c>
      <c r="T271" s="5" t="inlineStr">
        <is>
          <t>analog: LD КШ.Ц.Ф Н/П фланцевый ст.20 · не проверено</t>
        </is>
      </c>
      <c r="U271" s="5" t="inlineStr">
        <is>
          <t>https://dn.ru/sharovyi-kran/teplosnabzhenie/flantcevyi-kran/standartnyi/ld/st20/dn100</t>
        </is>
      </c>
    </row>
    <row r="272" ht="34" customHeight="1">
      <c r="A272" s="5" t="inlineStr">
        <is>
          <t>1.6</t>
        </is>
      </c>
      <c r="B272" s="6" t="n">
        <v>59</v>
      </c>
      <c r="C272" s="5" t="inlineStr">
        <is>
          <t>Краны шаровые и прочее</t>
        </is>
      </c>
      <c r="D272" s="5" t="inlineStr">
        <is>
          <t>Кран шаровой 11с22п Ду 80 Ру 16</t>
        </is>
      </c>
      <c r="E272" s="6" t="n">
        <v>24</v>
      </c>
      <c r="F272" s="5" t="inlineStr">
        <is>
          <t>шт</t>
        </is>
      </c>
      <c r="G272" s="6" t="n">
        <v>80</v>
      </c>
      <c r="H272" s="6" t="n">
        <v>1.6</v>
      </c>
      <c r="I272" s="5" t="inlineStr">
        <is>
          <t>сталь 20</t>
        </is>
      </c>
      <c r="J272" s="5" t="inlineStr">
        <is>
          <t>ручной (рукоятка)</t>
        </is>
      </c>
      <c r="K272" s="7" t="n">
        <v>6789</v>
      </c>
      <c r="L272" s="15">
        <f>IF(K272="","",K272*(1-0.1))</f>
        <v/>
      </c>
      <c r="M272" s="6" t="n">
        <v>11</v>
      </c>
      <c r="N272" s="15">
        <f>IF(K272="","",L272*E272)</f>
        <v/>
      </c>
      <c r="O272" s="15">
        <f>IF(M272="","",M272*E272*55)</f>
        <v/>
      </c>
      <c r="P272" s="15">
        <f>IF(N272="","",N272+N(O272))</f>
        <v/>
      </c>
      <c r="Q272" s="15">
        <f>IF(P272="","",P272/E272)</f>
        <v/>
      </c>
      <c r="R272" s="5" t="inlineStr">
        <is>
          <t>ДН.ру (dn.ru), дилер LD / пр-ль ООО</t>
        </is>
      </c>
      <c r="S272" s="5" t="inlineStr">
        <is>
          <t>розница · B: dn.ru ©2026, цена «на 2026-10/11», товар в</t>
        </is>
      </c>
      <c r="T272" s="5" t="inlineStr">
        <is>
          <t>analog: LD КШ.Ц.Ф Н/П фланцевый ст.20 · не проверено</t>
        </is>
      </c>
      <c r="U272" s="5" t="inlineStr">
        <is>
          <t>https://dn.ru/sharovyi-kran/teplosnabzhenie/flantcevyi-kran/standartnyi/ld/st20/dn100</t>
        </is>
      </c>
    </row>
    <row r="273" ht="34" customHeight="1">
      <c r="A273" s="5" t="inlineStr">
        <is>
          <t>1.6</t>
        </is>
      </c>
      <c r="B273" s="6" t="n">
        <v>60</v>
      </c>
      <c r="C273" s="5" t="inlineStr">
        <is>
          <t>Краны шаровые и прочее</t>
        </is>
      </c>
      <c r="D273" s="5" t="inlineStr">
        <is>
          <t>Кран шаровой 11с22п Ду 100 Ру 16</t>
        </is>
      </c>
      <c r="E273" s="6" t="n">
        <v>27</v>
      </c>
      <c r="F273" s="5" t="inlineStr">
        <is>
          <t>шт</t>
        </is>
      </c>
      <c r="G273" s="6" t="n">
        <v>100</v>
      </c>
      <c r="H273" s="6" t="n">
        <v>1.6</v>
      </c>
      <c r="I273" s="5" t="inlineStr">
        <is>
          <t>сталь 20</t>
        </is>
      </c>
      <c r="J273" s="5" t="inlineStr">
        <is>
          <t>ручной (рукоятка)</t>
        </is>
      </c>
      <c r="K273" s="7" t="n">
        <v>7989</v>
      </c>
      <c r="L273" s="15">
        <f>IF(K273="","",K273*(1-0.1))</f>
        <v/>
      </c>
      <c r="M273" s="6" t="n">
        <v>12.9</v>
      </c>
      <c r="N273" s="15">
        <f>IF(K273="","",L273*E273)</f>
        <v/>
      </c>
      <c r="O273" s="15">
        <f>IF(M273="","",M273*E273*55)</f>
        <v/>
      </c>
      <c r="P273" s="15">
        <f>IF(N273="","",N273+N(O273))</f>
        <v/>
      </c>
      <c r="Q273" s="15">
        <f>IF(P273="","",P273/E273)</f>
        <v/>
      </c>
      <c r="R273" s="5" t="inlineStr">
        <is>
          <t>ДН.ру (dn.ru), дилер LD / пр-ль ООО</t>
        </is>
      </c>
      <c r="S273" s="5" t="inlineStr">
        <is>
          <t>розница · B: dn.ru ©2026, цена «на 2026-10/11», товар в</t>
        </is>
      </c>
      <c r="T273" s="5" t="inlineStr">
        <is>
          <t>analog: LD КШ.Ц.Ф Н/П фланцевый ст.20 · не проверено</t>
        </is>
      </c>
      <c r="U273" s="5" t="inlineStr">
        <is>
          <t>https://dn.ru/sharovyi-kran/teplosnabzhenie/flantcevyi-kran/standartnyi/ld/st20/dn100</t>
        </is>
      </c>
    </row>
    <row r="274" ht="34" customHeight="1">
      <c r="A274" s="5" t="inlineStr">
        <is>
          <t>1.6</t>
        </is>
      </c>
      <c r="B274" s="6" t="n">
        <v>61</v>
      </c>
      <c r="C274" s="5" t="inlineStr">
        <is>
          <t>Краны шаровые и прочее</t>
        </is>
      </c>
      <c r="D274" s="5" t="inlineStr">
        <is>
          <t>Кран шаровой 11с22п Ду 150 Ру 16</t>
        </is>
      </c>
      <c r="E274" s="6" t="n">
        <v>13</v>
      </c>
      <c r="F274" s="5" t="inlineStr">
        <is>
          <t>шт</t>
        </is>
      </c>
      <c r="G274" s="6" t="n">
        <v>150</v>
      </c>
      <c r="H274" s="6" t="n">
        <v>1.6</v>
      </c>
      <c r="I274" s="5" t="inlineStr">
        <is>
          <t>сталь 20</t>
        </is>
      </c>
      <c r="J274" s="5" t="inlineStr">
        <is>
          <t>ручной (рукоятка)</t>
        </is>
      </c>
      <c r="K274" s="7" t="n">
        <v>22652</v>
      </c>
      <c r="L274" s="15">
        <f>IF(K274="","",K274*(1-0.1))</f>
        <v/>
      </c>
      <c r="M274" s="6" t="n">
        <v>33</v>
      </c>
      <c r="N274" s="15">
        <f>IF(K274="","",L274*E274)</f>
        <v/>
      </c>
      <c r="O274" s="15">
        <f>IF(M274="","",M274*E274*55)</f>
        <v/>
      </c>
      <c r="P274" s="15">
        <f>IF(N274="","",N274+N(O274))</f>
        <v/>
      </c>
      <c r="Q274" s="15">
        <f>IF(P274="","",P274/E274)</f>
        <v/>
      </c>
      <c r="R274" s="5" t="inlineStr">
        <is>
          <t>ДН.ру (dn.ru), дилер LD / пр-ль ООО</t>
        </is>
      </c>
      <c r="S274" s="5" t="inlineStr">
        <is>
          <t>розница · B: dn.ru ©2026, цена «на 2026-10/11», товар в</t>
        </is>
      </c>
      <c r="T274" s="5" t="inlineStr">
        <is>
          <t>analog: LD КШ.Ц.Ф Н/П фланцевый ст.20 · не проверено</t>
        </is>
      </c>
      <c r="U274" s="5" t="inlineStr">
        <is>
          <t>https://dn.ru/sharovyi-kran/teplosnabzhenie/flantcevyi-kran/standartnyi/ld/st20/dn100</t>
        </is>
      </c>
    </row>
    <row r="275" ht="34" customHeight="1">
      <c r="A275" s="5" t="inlineStr">
        <is>
          <t>1.6</t>
        </is>
      </c>
      <c r="B275" s="6" t="n">
        <v>62</v>
      </c>
      <c r="C275" s="5" t="inlineStr">
        <is>
          <t>Краны шаровые и прочее</t>
        </is>
      </c>
      <c r="D275" s="5" t="inlineStr">
        <is>
          <t>Кран шаровой 11с22п Ду 200 Ру 16</t>
        </is>
      </c>
      <c r="E275" s="6" t="n">
        <v>3</v>
      </c>
      <c r="F275" s="5" t="inlineStr">
        <is>
          <t>шт</t>
        </is>
      </c>
      <c r="G275" s="6" t="n">
        <v>200</v>
      </c>
      <c r="H275" s="6" t="n">
        <v>1.6</v>
      </c>
      <c r="I275" s="5" t="inlineStr">
        <is>
          <t>сталь 20</t>
        </is>
      </c>
      <c r="J275" s="5" t="inlineStr">
        <is>
          <t>ручной (рукоятка)</t>
        </is>
      </c>
      <c r="K275" s="7" t="n">
        <v>42510</v>
      </c>
      <c r="L275" s="15">
        <f>IF(K275="","",K275*(1-0.1))</f>
        <v/>
      </c>
      <c r="M275" s="6" t="n">
        <v>58</v>
      </c>
      <c r="N275" s="15">
        <f>IF(K275="","",L275*E275)</f>
        <v/>
      </c>
      <c r="O275" s="15">
        <f>IF(M275="","",M275*E275*55)</f>
        <v/>
      </c>
      <c r="P275" s="15">
        <f>IF(N275="","",N275+N(O275))</f>
        <v/>
      </c>
      <c r="Q275" s="15">
        <f>IF(P275="","",P275/E275)</f>
        <v/>
      </c>
      <c r="R275" s="5" t="inlineStr">
        <is>
          <t>ДН.ру (dn.ru), дилер LD / пр-ль ООО</t>
        </is>
      </c>
      <c r="S275" s="5" t="inlineStr">
        <is>
          <t>розница · B: dn.ru ©2026, цена «на 2026-10/11», товар в</t>
        </is>
      </c>
      <c r="T275" s="5" t="inlineStr">
        <is>
          <t>analog: LD КШ.Ц.Ф Н/П фланцевый ст.20 · не проверено</t>
        </is>
      </c>
      <c r="U275" s="5" t="inlineStr">
        <is>
          <t>https://dn.ru/sharovyi-kran/teplosnabzhenie/flantcevyi-kran/standartnyi/ld/st20/dn100</t>
        </is>
      </c>
    </row>
    <row r="276" ht="34" customHeight="1">
      <c r="A276" s="5" t="inlineStr">
        <is>
          <t>1.6</t>
        </is>
      </c>
      <c r="B276" s="6" t="n">
        <v>63</v>
      </c>
      <c r="C276" s="5" t="inlineStr">
        <is>
          <t>Краны шаровые и прочее</t>
        </is>
      </c>
      <c r="D276" s="5" t="inlineStr">
        <is>
          <t>Кран запорный шаровой 11С67П Ду 100 Ру 16</t>
        </is>
      </c>
      <c r="E276" s="6" t="n">
        <v>25</v>
      </c>
      <c r="F276" s="5" t="inlineStr">
        <is>
          <t>шт</t>
        </is>
      </c>
      <c r="G276" s="6" t="n">
        <v>100</v>
      </c>
      <c r="H276" s="6" t="n">
        <v>1.6</v>
      </c>
      <c r="I276" s="5" t="inlineStr">
        <is>
          <t>сталь 20</t>
        </is>
      </c>
      <c r="J276" s="5" t="inlineStr">
        <is>
          <t>ручной (рукоятка)</t>
        </is>
      </c>
      <c r="K276" s="7" t="n">
        <v>7989</v>
      </c>
      <c r="L276" s="15">
        <f>IF(K276="","",K276*(1-0.1))</f>
        <v/>
      </c>
      <c r="M276" s="6" t="n">
        <v>12.9</v>
      </c>
      <c r="N276" s="15">
        <f>IF(K276="","",L276*E276)</f>
        <v/>
      </c>
      <c r="O276" s="15">
        <f>IF(M276="","",M276*E276*55)</f>
        <v/>
      </c>
      <c r="P276" s="15">
        <f>IF(N276="","",N276+N(O276))</f>
        <v/>
      </c>
      <c r="Q276" s="15">
        <f>IF(P276="","",P276/E276)</f>
        <v/>
      </c>
      <c r="R276" s="5" t="inlineStr">
        <is>
          <t>ДН.ру (dn.ru), дилер LD / пр-ль ООО</t>
        </is>
      </c>
      <c r="S276" s="5" t="inlineStr">
        <is>
          <t>розница · B: dn.ru ©2026, цена «на 2026-10/11», товар в</t>
        </is>
      </c>
      <c r="T276" s="5" t="inlineStr">
        <is>
          <t>analog: LD КШ.Ц.Ф Н/П фланцевый ст.20 · не проверено</t>
        </is>
      </c>
      <c r="U276" s="5" t="inlineStr">
        <is>
          <t>https://dn.ru/sharovyi-kran/teplosnabzhenie/flantcevyi-kran/standartnyi/ld/st20/dn100</t>
        </is>
      </c>
    </row>
    <row r="277" ht="34" customHeight="1">
      <c r="A277" s="5" t="inlineStr">
        <is>
          <t>1.6</t>
        </is>
      </c>
      <c r="B277" s="6" t="n">
        <v>64</v>
      </c>
      <c r="C277" s="5" t="inlineStr">
        <is>
          <t>Краны шаровые и прочее</t>
        </is>
      </c>
      <c r="D277" s="5" t="inlineStr">
        <is>
          <t>Кран запорный шаровой 11С67П Ду 150 Ру 16</t>
        </is>
      </c>
      <c r="E277" s="6" t="n">
        <v>9</v>
      </c>
      <c r="F277" s="5" t="inlineStr">
        <is>
          <t>шт</t>
        </is>
      </c>
      <c r="G277" s="6" t="n">
        <v>150</v>
      </c>
      <c r="H277" s="6" t="n">
        <v>1.6</v>
      </c>
      <c r="I277" s="5" t="inlineStr">
        <is>
          <t>сталь 20</t>
        </is>
      </c>
      <c r="J277" s="5" t="inlineStr">
        <is>
          <t>ручной (рукоятка)</t>
        </is>
      </c>
      <c r="K277" s="7" t="n">
        <v>22652</v>
      </c>
      <c r="L277" s="15">
        <f>IF(K277="","",K277*(1-0.1))</f>
        <v/>
      </c>
      <c r="M277" s="6" t="n">
        <v>33</v>
      </c>
      <c r="N277" s="15">
        <f>IF(K277="","",L277*E277)</f>
        <v/>
      </c>
      <c r="O277" s="15">
        <f>IF(M277="","",M277*E277*55)</f>
        <v/>
      </c>
      <c r="P277" s="15">
        <f>IF(N277="","",N277+N(O277))</f>
        <v/>
      </c>
      <c r="Q277" s="15">
        <f>IF(P277="","",P277/E277)</f>
        <v/>
      </c>
      <c r="R277" s="5" t="inlineStr">
        <is>
          <t>ДН.ру (dn.ru), дилер LD / пр-ль ООО</t>
        </is>
      </c>
      <c r="S277" s="5" t="inlineStr">
        <is>
          <t>розница · B: dn.ru ©2026, цена «на 2026-10/11», товар в</t>
        </is>
      </c>
      <c r="T277" s="5" t="inlineStr">
        <is>
          <t>analog: LD КШ.Ц.Ф Н/П фланцевый ст.20 · не проверено</t>
        </is>
      </c>
      <c r="U277" s="5" t="inlineStr">
        <is>
          <t>https://dn.ru/sharovyi-kran/teplosnabzhenie/flantcevyi-kran/standartnyi/ld/st20/dn100</t>
        </is>
      </c>
    </row>
    <row r="278" ht="34" customHeight="1">
      <c r="A278" s="5" t="inlineStr">
        <is>
          <t>1.6</t>
        </is>
      </c>
      <c r="B278" s="6" t="n">
        <v>65</v>
      </c>
      <c r="C278" s="5" t="inlineStr">
        <is>
          <t>Краны шаровые и прочее</t>
        </is>
      </c>
      <c r="D278" s="5" t="inlineStr">
        <is>
          <t>Кран запорный шаровой 11С67П Ду 200 Ру 16</t>
        </is>
      </c>
      <c r="E278" s="6" t="n">
        <v>2</v>
      </c>
      <c r="F278" s="5" t="inlineStr">
        <is>
          <t>шт</t>
        </is>
      </c>
      <c r="G278" s="6" t="n">
        <v>200</v>
      </c>
      <c r="H278" s="6" t="n">
        <v>1.6</v>
      </c>
      <c r="I278" s="5" t="inlineStr">
        <is>
          <t>сталь 20</t>
        </is>
      </c>
      <c r="J278" s="5" t="inlineStr">
        <is>
          <t>ручной (рукоятка)</t>
        </is>
      </c>
      <c r="K278" s="7" t="n">
        <v>42510</v>
      </c>
      <c r="L278" s="15">
        <f>IF(K278="","",K278*(1-0.1))</f>
        <v/>
      </c>
      <c r="M278" s="6" t="n">
        <v>58</v>
      </c>
      <c r="N278" s="15">
        <f>IF(K278="","",L278*E278)</f>
        <v/>
      </c>
      <c r="O278" s="15">
        <f>IF(M278="","",M278*E278*55)</f>
        <v/>
      </c>
      <c r="P278" s="15">
        <f>IF(N278="","",N278+N(O278))</f>
        <v/>
      </c>
      <c r="Q278" s="15">
        <f>IF(P278="","",P278/E278)</f>
        <v/>
      </c>
      <c r="R278" s="5" t="inlineStr">
        <is>
          <t>ДН.ру (dn.ru), дилер LD / пр-ль ООО</t>
        </is>
      </c>
      <c r="S278" s="5" t="inlineStr">
        <is>
          <t>розница · B: dn.ru ©2026, цена «на 2026-10/11», товар в</t>
        </is>
      </c>
      <c r="T278" s="5" t="inlineStr">
        <is>
          <t>analog: LD КШ.Ц.Ф Н/П фланцевый ст.20 · не проверено</t>
        </is>
      </c>
      <c r="U278" s="5" t="inlineStr">
        <is>
          <t>https://dn.ru/sharovyi-kran/teplosnabzhenie/flantcevyi-kran/standartnyi/ld/st20/dn100</t>
        </is>
      </c>
    </row>
    <row r="279" ht="34" customHeight="1">
      <c r="A279" s="5" t="inlineStr">
        <is>
          <t>1.6</t>
        </is>
      </c>
      <c r="B279" s="6" t="n">
        <v>66</v>
      </c>
      <c r="C279" s="5" t="inlineStr">
        <is>
          <t>Краны шаровые и прочее</t>
        </is>
      </c>
      <c r="D279" s="5" t="inlineStr">
        <is>
          <t>Кран запорный шаровой 11С67П Ду 50 Ру 16</t>
        </is>
      </c>
      <c r="E279" s="6" t="n">
        <v>25</v>
      </c>
      <c r="F279" s="5" t="inlineStr">
        <is>
          <t>шт</t>
        </is>
      </c>
      <c r="G279" s="6" t="n">
        <v>50</v>
      </c>
      <c r="H279" s="6" t="n">
        <v>1.6</v>
      </c>
      <c r="I279" s="5" t="inlineStr">
        <is>
          <t>сталь 20</t>
        </is>
      </c>
      <c r="J279" s="5" t="inlineStr">
        <is>
          <t>ручной (рукоятка)</t>
        </is>
      </c>
      <c r="K279" s="7" t="n">
        <v>3648</v>
      </c>
      <c r="L279" s="15">
        <f>IF(K279="","",K279*(1-0.1))</f>
        <v/>
      </c>
      <c r="M279" s="6" t="n">
        <v>6.5</v>
      </c>
      <c r="N279" s="15">
        <f>IF(K279="","",L279*E279)</f>
        <v/>
      </c>
      <c r="O279" s="15">
        <f>IF(M279="","",M279*E279*55)</f>
        <v/>
      </c>
      <c r="P279" s="15">
        <f>IF(N279="","",N279+N(O279))</f>
        <v/>
      </c>
      <c r="Q279" s="15">
        <f>IF(P279="","",P279/E279)</f>
        <v/>
      </c>
      <c r="R279" s="5" t="inlineStr">
        <is>
          <t>ДН.ру (dn.ru), дилер LD / пр-ль ООО</t>
        </is>
      </c>
      <c r="S279" s="5" t="inlineStr">
        <is>
          <t>розница · B: dn.ru ©2026, цена «на 2026-10/11», товар в</t>
        </is>
      </c>
      <c r="T279" s="5" t="inlineStr">
        <is>
          <t>analog: LD КШ.Ц.Ф Н/П фланцевый ст.20 · не проверено</t>
        </is>
      </c>
      <c r="U279" s="5" t="inlineStr">
        <is>
          <t>https://dn.ru/sharovyi-kran/teplosnabzhenie/flantcevyi-kran/standartnyi/ld/st20/dn100</t>
        </is>
      </c>
    </row>
    <row r="280" ht="34" customHeight="1">
      <c r="A280" s="5" t="inlineStr">
        <is>
          <t>1.6</t>
        </is>
      </c>
      <c r="B280" s="6" t="n">
        <v>67</v>
      </c>
      <c r="C280" s="5" t="inlineStr">
        <is>
          <t>Краны шаровые и прочее</t>
        </is>
      </c>
      <c r="D280" s="5" t="inlineStr">
        <is>
          <t>Кран запорный шаровой 11С67П Ду 80 Ру 16</t>
        </is>
      </c>
      <c r="E280" s="6" t="n">
        <v>22</v>
      </c>
      <c r="F280" s="5" t="inlineStr">
        <is>
          <t>шт</t>
        </is>
      </c>
      <c r="G280" s="6" t="n">
        <v>80</v>
      </c>
      <c r="H280" s="6" t="n">
        <v>1.6</v>
      </c>
      <c r="I280" s="5" t="inlineStr">
        <is>
          <t>сталь 20</t>
        </is>
      </c>
      <c r="J280" s="5" t="inlineStr">
        <is>
          <t>ручной (рукоятка)</t>
        </is>
      </c>
      <c r="K280" s="7" t="n">
        <v>6789</v>
      </c>
      <c r="L280" s="15">
        <f>IF(K280="","",K280*(1-0.1))</f>
        <v/>
      </c>
      <c r="M280" s="6" t="n">
        <v>11</v>
      </c>
      <c r="N280" s="15">
        <f>IF(K280="","",L280*E280)</f>
        <v/>
      </c>
      <c r="O280" s="15">
        <f>IF(M280="","",M280*E280*55)</f>
        <v/>
      </c>
      <c r="P280" s="15">
        <f>IF(N280="","",N280+N(O280))</f>
        <v/>
      </c>
      <c r="Q280" s="15">
        <f>IF(P280="","",P280/E280)</f>
        <v/>
      </c>
      <c r="R280" s="5" t="inlineStr">
        <is>
          <t>ДН.ру (dn.ru), дилер LD / пр-ль ООО</t>
        </is>
      </c>
      <c r="S280" s="5" t="inlineStr">
        <is>
          <t>розница · B: dn.ru ©2026, цена «на 2026-10/11», товар в</t>
        </is>
      </c>
      <c r="T280" s="5" t="inlineStr">
        <is>
          <t>analog: LD КШ.Ц.Ф Н/П фланцевый ст.20 · не проверено</t>
        </is>
      </c>
      <c r="U280" s="5" t="inlineStr">
        <is>
          <t>https://dn.ru/sharovyi-kran/teplosnabzhenie/flantcevyi-kran/standartnyi/ld/st20/dn100</t>
        </is>
      </c>
    </row>
    <row r="281" ht="34" customHeight="1">
      <c r="A281" s="5" t="inlineStr">
        <is>
          <t>1.6</t>
        </is>
      </c>
      <c r="B281" s="6" t="n">
        <v>68</v>
      </c>
      <c r="C281" s="5" t="inlineStr">
        <is>
          <t>Краны шаровые и прочее</t>
        </is>
      </c>
      <c r="D281" s="5" t="inlineStr">
        <is>
          <t>Кран шаровой 11с67п Ду 25 Ру 25 цельносварной под приварку</t>
        </is>
      </c>
      <c r="E281" s="6" t="n">
        <v>36</v>
      </c>
      <c r="F281" s="5" t="inlineStr">
        <is>
          <t>шт</t>
        </is>
      </c>
      <c r="G281" s="6" t="n">
        <v>25</v>
      </c>
      <c r="H281" s="6" t="n">
        <v>2.5</v>
      </c>
      <c r="I281" s="5" t="inlineStr">
        <is>
          <t>сталь 20</t>
        </is>
      </c>
      <c r="J281" s="5" t="inlineStr">
        <is>
          <t>ручной (рукоятка)</t>
        </is>
      </c>
      <c r="K281" s="7" t="n">
        <v>1645</v>
      </c>
      <c r="L281" s="15">
        <f>IF(K281="","",K281*(1-0.1))</f>
        <v/>
      </c>
      <c r="M281" s="6" t="n">
        <v>1</v>
      </c>
      <c r="N281" s="15">
        <f>IF(K281="","",L281*E281)</f>
        <v/>
      </c>
      <c r="O281" s="15">
        <f>IF(M281="","",M281*E281*55)</f>
        <v/>
      </c>
      <c r="P281" s="15">
        <f>IF(N281="","",N281+N(O281))</f>
        <v/>
      </c>
      <c r="Q281" s="15">
        <f>IF(P281="","",P281/E281)</f>
        <v/>
      </c>
      <c r="R281" s="5" t="inlineStr">
        <is>
          <t>ДН.ру (dn.ru), дилер LD / пр-ль ООО</t>
        </is>
      </c>
      <c r="S281" s="5" t="inlineStr">
        <is>
          <t>розница · B: dn.ru ©2026, цена «на 2026-10/11», товар в</t>
        </is>
      </c>
      <c r="T281" s="5" t="inlineStr">
        <is>
          <t>exact · не проверено</t>
        </is>
      </c>
      <c r="U281" s="5" t="inlineStr">
        <is>
          <t>https://dn.ru/sharovyi-kran/teplosnabzhenie/kran-pod-privarku/standartnyi/ld/st20/dn50</t>
        </is>
      </c>
    </row>
    <row r="282" ht="34" customHeight="1">
      <c r="A282" s="5" t="inlineStr">
        <is>
          <t>1.6</t>
        </is>
      </c>
      <c r="B282" s="6" t="n">
        <v>69</v>
      </c>
      <c r="C282" s="5" t="inlineStr">
        <is>
          <t>Краны шаровые и прочее</t>
        </is>
      </c>
      <c r="D282" s="5" t="inlineStr">
        <is>
          <t>Кран шаровой 11с67п Ду 32 Ру 25 цельносварной под приварку</t>
        </is>
      </c>
      <c r="E282" s="6" t="n">
        <v>6</v>
      </c>
      <c r="F282" s="5" t="inlineStr">
        <is>
          <t>шт</t>
        </is>
      </c>
      <c r="G282" s="6" t="n">
        <v>32</v>
      </c>
      <c r="H282" s="6" t="n">
        <v>2.5</v>
      </c>
      <c r="I282" s="5" t="inlineStr">
        <is>
          <t>сталь 20</t>
        </is>
      </c>
      <c r="J282" s="5" t="inlineStr">
        <is>
          <t>ручной (рукоятка)</t>
        </is>
      </c>
      <c r="K282" s="7" t="n">
        <v>1713</v>
      </c>
      <c r="L282" s="15">
        <f>IF(K282="","",K282*(1-0.1))</f>
        <v/>
      </c>
      <c r="M282" s="6" t="n">
        <v>1.4</v>
      </c>
      <c r="N282" s="15">
        <f>IF(K282="","",L282*E282)</f>
        <v/>
      </c>
      <c r="O282" s="15">
        <f>IF(M282="","",M282*E282*55)</f>
        <v/>
      </c>
      <c r="P282" s="15">
        <f>IF(N282="","",N282+N(O282))</f>
        <v/>
      </c>
      <c r="Q282" s="15">
        <f>IF(P282="","",P282/E282)</f>
        <v/>
      </c>
      <c r="R282" s="5" t="inlineStr">
        <is>
          <t>ДН.ру (dn.ru), дилер LD / пр-ль ООО</t>
        </is>
      </c>
      <c r="S282" s="5" t="inlineStr">
        <is>
          <t>розница · B: dn.ru ©2026, цена «на 2026-10/11», товар в</t>
        </is>
      </c>
      <c r="T282" s="5" t="inlineStr">
        <is>
          <t>exact · не проверено</t>
        </is>
      </c>
      <c r="U282" s="5" t="inlineStr">
        <is>
          <t>https://dn.ru/sharovyi-kran/teplosnabzhenie/kran-pod-privarku/standartnyi/ld/st20/dn50</t>
        </is>
      </c>
    </row>
    <row r="283" ht="34" customHeight="1">
      <c r="A283" s="5" t="inlineStr">
        <is>
          <t>1.6</t>
        </is>
      </c>
      <c r="B283" s="6" t="n">
        <v>70</v>
      </c>
      <c r="C283" s="5" t="inlineStr">
        <is>
          <t>Краны шаровые и прочее</t>
        </is>
      </c>
      <c r="D283" s="5" t="inlineStr">
        <is>
          <t>Кран шаровой 11с67п Ду 40 Ру 25 цельносварной под приварку</t>
        </is>
      </c>
      <c r="E283" s="6" t="n">
        <v>10</v>
      </c>
      <c r="F283" s="5" t="inlineStr">
        <is>
          <t>шт</t>
        </is>
      </c>
      <c r="G283" s="6" t="n">
        <v>40</v>
      </c>
      <c r="H283" s="6" t="n">
        <v>2.5</v>
      </c>
      <c r="I283" s="5" t="inlineStr">
        <is>
          <t>сталь 20</t>
        </is>
      </c>
      <c r="J283" s="5" t="inlineStr">
        <is>
          <t>ручной (рукоятка)</t>
        </is>
      </c>
      <c r="K283" s="7" t="n">
        <v>2219</v>
      </c>
      <c r="L283" s="15">
        <f>IF(K283="","",K283*(1-0.1))</f>
        <v/>
      </c>
      <c r="M283" s="6" t="n">
        <v>2</v>
      </c>
      <c r="N283" s="15">
        <f>IF(K283="","",L283*E283)</f>
        <v/>
      </c>
      <c r="O283" s="15">
        <f>IF(M283="","",M283*E283*55)</f>
        <v/>
      </c>
      <c r="P283" s="15">
        <f>IF(N283="","",N283+N(O283))</f>
        <v/>
      </c>
      <c r="Q283" s="15">
        <f>IF(P283="","",P283/E283)</f>
        <v/>
      </c>
      <c r="R283" s="5" t="inlineStr">
        <is>
          <t>ДН.ру (dn.ru), дилер LD / пр-ль ООО</t>
        </is>
      </c>
      <c r="S283" s="5" t="inlineStr">
        <is>
          <t>розница · B: dn.ru ©2026, цена «на 2026-10/11», товар в</t>
        </is>
      </c>
      <c r="T283" s="5" t="inlineStr">
        <is>
          <t>exact · не проверено</t>
        </is>
      </c>
      <c r="U283" s="5" t="inlineStr">
        <is>
          <t>https://dn.ru/sharovyi-kran/teplosnabzhenie/kran-pod-privarku/standartnyi/ld/st20/dn50</t>
        </is>
      </c>
    </row>
    <row r="284" ht="34" customHeight="1">
      <c r="A284" s="5" t="inlineStr">
        <is>
          <t>1.6</t>
        </is>
      </c>
      <c r="B284" s="6" t="n">
        <v>71</v>
      </c>
      <c r="C284" s="5" t="inlineStr">
        <is>
          <t>Краны шаровые и прочее</t>
        </is>
      </c>
      <c r="D284" s="5" t="inlineStr">
        <is>
          <t>Кран шаровой 11с67п Ду 20 Ру 25 полнопрох. с КОФ (КЗШС41нж)</t>
        </is>
      </c>
      <c r="E284" s="6" t="n">
        <v>2</v>
      </c>
      <c r="F284" s="5" t="inlineStr">
        <is>
          <t>шт</t>
        </is>
      </c>
      <c r="G284" s="6" t="n">
        <v>20</v>
      </c>
      <c r="H284" s="6" t="n">
        <v>2.5</v>
      </c>
      <c r="I284" s="5" t="inlineStr">
        <is>
          <t>сталь 20</t>
        </is>
      </c>
      <c r="J284" s="5" t="inlineStr">
        <is>
          <t>ручной (рукоятка)</t>
        </is>
      </c>
      <c r="K284" s="7" t="n">
        <v>2686</v>
      </c>
      <c r="L284" s="15">
        <f>IF(K284="","",K284*(1-0.1))</f>
        <v/>
      </c>
      <c r="M284" s="6" t="n">
        <v>2.4</v>
      </c>
      <c r="N284" s="15">
        <f>IF(K284="","",L284*E284)</f>
        <v/>
      </c>
      <c r="O284" s="15">
        <f>IF(M284="","",M284*E284*55)</f>
        <v/>
      </c>
      <c r="P284" s="15">
        <f>IF(N284="","",N284+N(O284))</f>
        <v/>
      </c>
      <c r="Q284" s="15">
        <f>IF(P284="","",P284/E284)</f>
        <v/>
      </c>
      <c r="R284" s="5" t="inlineStr">
        <is>
          <t>ДН.ру (dn.ru), дилер LD / пр-ль ООО</t>
        </is>
      </c>
      <c r="S284" s="5" t="inlineStr">
        <is>
          <t>розница · B: dn.ru ©2026, цена «на 2026-10/11», товар в</t>
        </is>
      </c>
      <c r="T284" s="5" t="inlineStr">
        <is>
          <t>analog: LD КШ.Ц.Ф П/П PN25/PN40 (аналог КЗШС41нж/11с67п</t>
        </is>
      </c>
      <c r="U284" s="5" t="inlineStr">
        <is>
          <t>https://dn.ru/sharovyi-kran/teplosnabzhenie/flantcevyi-kran/polnoprohodnoi/ld/kshtsf/dn80-pn16-l-210</t>
        </is>
      </c>
    </row>
    <row r="285" ht="34" customHeight="1">
      <c r="A285" s="5" t="inlineStr">
        <is>
          <t>1.6</t>
        </is>
      </c>
      <c r="B285" s="6" t="n">
        <v>72</v>
      </c>
      <c r="C285" s="5" t="inlineStr">
        <is>
          <t>Краны шаровые и прочее</t>
        </is>
      </c>
      <c r="D285" s="5" t="inlineStr">
        <is>
          <t>Кран шаровой 11с67п Ду 25 Ру 25 полнопрох. с КОФ (КЗШС41нж)</t>
        </is>
      </c>
      <c r="E285" s="6" t="n">
        <v>9</v>
      </c>
      <c r="F285" s="5" t="inlineStr">
        <is>
          <t>шт</t>
        </is>
      </c>
      <c r="G285" s="6" t="n">
        <v>25</v>
      </c>
      <c r="H285" s="6" t="n">
        <v>2.5</v>
      </c>
      <c r="I285" s="5" t="inlineStr">
        <is>
          <t>сталь 20</t>
        </is>
      </c>
      <c r="J285" s="5" t="inlineStr">
        <is>
          <t>ручной (рукоятка)</t>
        </is>
      </c>
      <c r="K285" s="7" t="n">
        <v>2860</v>
      </c>
      <c r="L285" s="15">
        <f>IF(K285="","",K285*(1-0.1))</f>
        <v/>
      </c>
      <c r="M285" s="6" t="n">
        <v>3.2</v>
      </c>
      <c r="N285" s="15">
        <f>IF(K285="","",L285*E285)</f>
        <v/>
      </c>
      <c r="O285" s="15">
        <f>IF(M285="","",M285*E285*55)</f>
        <v/>
      </c>
      <c r="P285" s="15">
        <f>IF(N285="","",N285+N(O285))</f>
        <v/>
      </c>
      <c r="Q285" s="15">
        <f>IF(P285="","",P285/E285)</f>
        <v/>
      </c>
      <c r="R285" s="5" t="inlineStr">
        <is>
          <t>ДН.ру (dn.ru), дилер LD / пр-ль ООО</t>
        </is>
      </c>
      <c r="S285" s="5" t="inlineStr">
        <is>
          <t xml:space="preserve">оценка · B: dn.ru ©2026, цена «на 2026-10/11», товар в </t>
        </is>
      </c>
      <c r="T285" s="5" t="inlineStr">
        <is>
          <t>analog: LD КШ.Ц.Ф П/П PN25/PN40 (аналог КЗШС41нж/11с67п</t>
        </is>
      </c>
      <c r="U285" s="5" t="inlineStr">
        <is>
          <t>https://dn.ru/sharovyi-kran/teplosnabzhenie/flantcevyi-kran/polnoprohodnoi/ld/kshtsf/dn80-pn16-l-210</t>
        </is>
      </c>
    </row>
    <row r="286" ht="34" customHeight="1">
      <c r="A286" s="5" t="inlineStr">
        <is>
          <t>1.6</t>
        </is>
      </c>
      <c r="B286" s="6" t="n">
        <v>73</v>
      </c>
      <c r="C286" s="5" t="inlineStr">
        <is>
          <t>Краны шаровые и прочее</t>
        </is>
      </c>
      <c r="D286" s="5" t="inlineStr">
        <is>
          <t>Кран шаровой 11с67п Ду 32 Ру 25 полнопрох. с КОФ (КЗШС41нж)</t>
        </is>
      </c>
      <c r="E286" s="6" t="n">
        <v>10</v>
      </c>
      <c r="F286" s="5" t="inlineStr">
        <is>
          <t>шт</t>
        </is>
      </c>
      <c r="G286" s="6" t="n">
        <v>32</v>
      </c>
      <c r="H286" s="6" t="n">
        <v>2.5</v>
      </c>
      <c r="I286" s="5" t="inlineStr">
        <is>
          <t>сталь 20</t>
        </is>
      </c>
      <c r="J286" s="5" t="inlineStr">
        <is>
          <t>ручной (рукоятка)</t>
        </is>
      </c>
      <c r="K286" s="7" t="n">
        <v>3041</v>
      </c>
      <c r="L286" s="15">
        <f>IF(K286="","",K286*(1-0.1))</f>
        <v/>
      </c>
      <c r="M286" s="6" t="n">
        <v>4.3</v>
      </c>
      <c r="N286" s="15">
        <f>IF(K286="","",L286*E286)</f>
        <v/>
      </c>
      <c r="O286" s="15">
        <f>IF(M286="","",M286*E286*55)</f>
        <v/>
      </c>
      <c r="P286" s="15">
        <f>IF(N286="","",N286+N(O286))</f>
        <v/>
      </c>
      <c r="Q286" s="15">
        <f>IF(P286="","",P286/E286)</f>
        <v/>
      </c>
      <c r="R286" s="5" t="inlineStr">
        <is>
          <t>ДН.ру (dn.ru), дилер LD / пр-ль ООО</t>
        </is>
      </c>
      <c r="S286" s="5" t="inlineStr">
        <is>
          <t>розница · B: dn.ru ©2026, цена «на 2026-10/11», товар в</t>
        </is>
      </c>
      <c r="T286" s="5" t="inlineStr">
        <is>
          <t>analog: LD КШ.Ц.Ф П/П PN25/PN40 (аналог КЗШС41нж/11с67п</t>
        </is>
      </c>
      <c r="U286" s="5" t="inlineStr">
        <is>
          <t>https://dn.ru/sharovyi-kran/teplosnabzhenie/flantcevyi-kran/polnoprohodnoi/ld/kshtsf/dn80-pn16-l-210</t>
        </is>
      </c>
    </row>
    <row r="287" ht="34" customHeight="1">
      <c r="A287" s="5" t="inlineStr">
        <is>
          <t>1.6</t>
        </is>
      </c>
      <c r="B287" s="6" t="n">
        <v>74</v>
      </c>
      <c r="C287" s="5" t="inlineStr">
        <is>
          <t>Краны шаровые и прочее</t>
        </is>
      </c>
      <c r="D287" s="5" t="inlineStr">
        <is>
          <t>Кран шаровой 11с67п Ду 40 Ру 25 полнопрох. с КОФ (КЗШС41нж)</t>
        </is>
      </c>
      <c r="E287" s="6" t="n">
        <v>2</v>
      </c>
      <c r="F287" s="5" t="inlineStr">
        <is>
          <t>шт</t>
        </is>
      </c>
      <c r="G287" s="6" t="n">
        <v>40</v>
      </c>
      <c r="H287" s="6" t="n">
        <v>2.5</v>
      </c>
      <c r="I287" s="5" t="inlineStr">
        <is>
          <t>сталь 20</t>
        </is>
      </c>
      <c r="J287" s="5" t="inlineStr">
        <is>
          <t>ручной (рукоятка)</t>
        </is>
      </c>
      <c r="K287" s="7" t="n">
        <v>4212</v>
      </c>
      <c r="L287" s="15">
        <f>IF(K287="","",K287*(1-0.1))</f>
        <v/>
      </c>
      <c r="M287" s="6" t="n">
        <v>5.5</v>
      </c>
      <c r="N287" s="15">
        <f>IF(K287="","",L287*E287)</f>
        <v/>
      </c>
      <c r="O287" s="15">
        <f>IF(M287="","",M287*E287*55)</f>
        <v/>
      </c>
      <c r="P287" s="15">
        <f>IF(N287="","",N287+N(O287))</f>
        <v/>
      </c>
      <c r="Q287" s="15">
        <f>IF(P287="","",P287/E287)</f>
        <v/>
      </c>
      <c r="R287" s="5" t="inlineStr">
        <is>
          <t>ДН.ру (dn.ru), дилер LD / пр-ль ООО</t>
        </is>
      </c>
      <c r="S287" s="5" t="inlineStr">
        <is>
          <t>розница · B: dn.ru ©2026, цена «на 2026-10/11», товар в</t>
        </is>
      </c>
      <c r="T287" s="5" t="inlineStr">
        <is>
          <t>analog: LD КШ.Ц.Ф П/П PN25/PN40 (аналог КЗШС41нж/11с67п</t>
        </is>
      </c>
      <c r="U287" s="5" t="inlineStr">
        <is>
          <t>https://dn.ru/sharovyi-kran/teplosnabzhenie/flantcevyi-kran/polnoprohodnoi/ld/kshtsf/dn80-pn16-l-210</t>
        </is>
      </c>
    </row>
    <row r="288" ht="34" customHeight="1">
      <c r="A288" s="5" t="inlineStr">
        <is>
          <t>1.6</t>
        </is>
      </c>
      <c r="B288" s="6" t="n">
        <v>75</v>
      </c>
      <c r="C288" s="5" t="inlineStr">
        <is>
          <t>Краны шаровые и прочее</t>
        </is>
      </c>
      <c r="D288" s="5" t="inlineStr">
        <is>
          <t>Кран шаровой 11с67п Ду 50 Ру 25 полнопрох. с КОФ (КЗШС41нж)</t>
        </is>
      </c>
      <c r="E288" s="6" t="n">
        <v>9</v>
      </c>
      <c r="F288" s="5" t="inlineStr">
        <is>
          <t>шт</t>
        </is>
      </c>
      <c r="G288" s="6" t="n">
        <v>50</v>
      </c>
      <c r="H288" s="6" t="n">
        <v>2.5</v>
      </c>
      <c r="I288" s="5" t="inlineStr">
        <is>
          <t>сталь 20</t>
        </is>
      </c>
      <c r="J288" s="5" t="inlineStr">
        <is>
          <t>ручной (рукоятка)</t>
        </is>
      </c>
      <c r="K288" s="7" t="n">
        <v>4107</v>
      </c>
      <c r="L288" s="15">
        <f>IF(K288="","",K288*(1-0.1))</f>
        <v/>
      </c>
      <c r="M288" s="6" t="n">
        <v>7.2</v>
      </c>
      <c r="N288" s="15">
        <f>IF(K288="","",L288*E288)</f>
        <v/>
      </c>
      <c r="O288" s="15">
        <f>IF(M288="","",M288*E288*55)</f>
        <v/>
      </c>
      <c r="P288" s="15">
        <f>IF(N288="","",N288+N(O288))</f>
        <v/>
      </c>
      <c r="Q288" s="15">
        <f>IF(P288="","",P288/E288)</f>
        <v/>
      </c>
      <c r="R288" s="5" t="inlineStr">
        <is>
          <t>ДН.ру (dn.ru), дилер LD / пр-ль ООО</t>
        </is>
      </c>
      <c r="S288" s="5" t="inlineStr">
        <is>
          <t>розница · B: dn.ru ©2026, цена «на 2026-10/11», товар в</t>
        </is>
      </c>
      <c r="T288" s="5" t="inlineStr">
        <is>
          <t>analog: LD КШ.Ц.Ф П/П PN25/PN40 (аналог КЗШС41нж/11с67п</t>
        </is>
      </c>
      <c r="U288" s="5" t="inlineStr">
        <is>
          <t>https://dn.ru/sharovyi-kran/teplosnabzhenie/flantcevyi-kran/polnoprohodnoi/ld/kshtsf/dn80-pn16-l-210</t>
        </is>
      </c>
    </row>
    <row r="289" ht="34" customHeight="1">
      <c r="A289" s="5" t="inlineStr">
        <is>
          <t>1.6</t>
        </is>
      </c>
      <c r="B289" s="6" t="n">
        <v>76</v>
      </c>
      <c r="C289" s="5" t="inlineStr">
        <is>
          <t>Краны шаровые и прочее</t>
        </is>
      </c>
      <c r="D289" s="5" t="inlineStr">
        <is>
          <t>Кран шаровой 11с67п Ду 80 Ру 25 полнопрох. с КОФ (КЗШС41нж)</t>
        </is>
      </c>
      <c r="E289" s="6" t="n">
        <v>9</v>
      </c>
      <c r="F289" s="5" t="inlineStr">
        <is>
          <t>шт</t>
        </is>
      </c>
      <c r="G289" s="6" t="n">
        <v>80</v>
      </c>
      <c r="H289" s="6" t="n">
        <v>2.5</v>
      </c>
      <c r="I289" s="5" t="inlineStr">
        <is>
          <t>сталь 20</t>
        </is>
      </c>
      <c r="J289" s="5" t="inlineStr">
        <is>
          <t>ручной (рукоятка)</t>
        </is>
      </c>
      <c r="K289" s="7" t="n">
        <v>8770</v>
      </c>
      <c r="L289" s="15">
        <f>IF(K289="","",K289*(1-0.1))</f>
        <v/>
      </c>
      <c r="M289" s="6" t="n">
        <v>14</v>
      </c>
      <c r="N289" s="15">
        <f>IF(K289="","",L289*E289)</f>
        <v/>
      </c>
      <c r="O289" s="15">
        <f>IF(M289="","",M289*E289*55)</f>
        <v/>
      </c>
      <c r="P289" s="15">
        <f>IF(N289="","",N289+N(O289))</f>
        <v/>
      </c>
      <c r="Q289" s="15">
        <f>IF(P289="","",P289/E289)</f>
        <v/>
      </c>
      <c r="R289" s="5" t="inlineStr">
        <is>
          <t>ДН.ру (dn.ru), дилер LD / пр-ль ООО</t>
        </is>
      </c>
      <c r="S289" s="5" t="inlineStr">
        <is>
          <t>розница · B: dn.ru ©2026, цена «на 2026-10/11», товар в</t>
        </is>
      </c>
      <c r="T289" s="5" t="inlineStr">
        <is>
          <t>analog: LD КШ.Ц.Ф П/П PN25/PN40 (аналог КЗШС41нж/11с67п</t>
        </is>
      </c>
      <c r="U289" s="5" t="inlineStr">
        <is>
          <t>https://dn.ru/sharovyi-kran/teplosnabzhenie/flantcevyi-kran/polnoprohodnoi/ld/kshtsf/dn80-pn16-l-210</t>
        </is>
      </c>
    </row>
    <row r="290" ht="34" customHeight="1">
      <c r="A290" s="5" t="inlineStr">
        <is>
          <t>1.6</t>
        </is>
      </c>
      <c r="B290" s="6" t="n">
        <v>77</v>
      </c>
      <c r="C290" s="5" t="inlineStr">
        <is>
          <t>Краны шаровые и прочее</t>
        </is>
      </c>
      <c r="D290" s="5" t="inlineStr">
        <is>
          <t>Кран шаровой 11с67п Ду 100 Ру 16 ЦУФ.001 КШ укороченный полнопроходной фланцевый с рукояткой</t>
        </is>
      </c>
      <c r="E290" s="6" t="n">
        <v>4</v>
      </c>
      <c r="F290" s="5" t="inlineStr">
        <is>
          <t>шт</t>
        </is>
      </c>
      <c r="G290" s="6" t="n">
        <v>100</v>
      </c>
      <c r="H290" s="6" t="n">
        <v>1.6</v>
      </c>
      <c r="I290" s="5" t="inlineStr">
        <is>
          <t xml:space="preserve">сталь </t>
        </is>
      </c>
      <c r="J290" s="5" t="inlineStr">
        <is>
          <t>Ручка-рычаг</t>
        </is>
      </c>
      <c r="K290" s="7" t="n">
        <v>17788</v>
      </c>
      <c r="L290" s="15">
        <f>IF(K290="","",K290*(1-0.1))</f>
        <v/>
      </c>
      <c r="M290" s="6" t="n">
        <v>20</v>
      </c>
      <c r="N290" s="15">
        <f>IF(K290="","",L290*E290)</f>
        <v/>
      </c>
      <c r="O290" s="15">
        <f>IF(M290="","",M290*E290*55)</f>
        <v/>
      </c>
      <c r="P290" s="15">
        <f>IF(N290="","",N290+N(O290))</f>
        <v/>
      </c>
      <c r="Q290" s="15">
        <f>IF(P290="","",P290/E290)</f>
        <v/>
      </c>
      <c r="R290" s="5" t="inlineStr">
        <is>
          <t>ДН.ру (dn.ru), дилер LD / пр-ль ООО</t>
        </is>
      </c>
      <c r="S290" s="5" t="inlineStr">
        <is>
          <t>розница · B: dn.ru ©2026, цена «на 2026-10/11», товар в</t>
        </is>
      </c>
      <c r="T290" s="5" t="inlineStr">
        <is>
          <t>analog: LD КШ.Ц.Ф П/П (аналог 11с67п ЦУФ.001 полнопрохо</t>
        </is>
      </c>
      <c r="U290" s="5" t="inlineStr">
        <is>
          <t>https://dn.ru/sharovyi-kran/teplosnabzhenie/flantcevyi-kran/polnoprohodnoi/ld/ksh-c-f/dn100</t>
        </is>
      </c>
    </row>
    <row r="291" ht="34" customHeight="1">
      <c r="A291" s="5" t="inlineStr">
        <is>
          <t>1.6</t>
        </is>
      </c>
      <c r="B291" s="6" t="n">
        <v>78</v>
      </c>
      <c r="C291" s="5" t="inlineStr">
        <is>
          <t>Краны шаровые и прочее</t>
        </is>
      </c>
      <c r="D291" s="5" t="inlineStr">
        <is>
          <t>Кран шаровой 11с67п Ду 32 Ру 16 ЦУФ.001 КШ укороченный полнопроходной фланцевый с рукояткой</t>
        </is>
      </c>
      <c r="E291" s="6" t="n">
        <v>1</v>
      </c>
      <c r="F291" s="5" t="inlineStr">
        <is>
          <t>шт</t>
        </is>
      </c>
      <c r="G291" s="6" t="n">
        <v>32</v>
      </c>
      <c r="H291" s="6" t="n">
        <v>1.6</v>
      </c>
      <c r="I291" s="5" t="inlineStr">
        <is>
          <t xml:space="preserve">сталь </t>
        </is>
      </c>
      <c r="J291" s="5" t="inlineStr">
        <is>
          <t>Ручка-рычаг</t>
        </is>
      </c>
      <c r="K291" s="7" t="n">
        <v>3041</v>
      </c>
      <c r="L291" s="15">
        <f>IF(K291="","",K291*(1-0.1))</f>
        <v/>
      </c>
      <c r="M291" s="6" t="n">
        <v>4.3</v>
      </c>
      <c r="N291" s="15">
        <f>IF(K291="","",L291*E291)</f>
        <v/>
      </c>
      <c r="O291" s="15">
        <f>IF(M291="","",M291*E291*55)</f>
        <v/>
      </c>
      <c r="P291" s="15">
        <f>IF(N291="","",N291+N(O291))</f>
        <v/>
      </c>
      <c r="Q291" s="15">
        <f>IF(P291="","",P291/E291)</f>
        <v/>
      </c>
      <c r="R291" s="5" t="inlineStr">
        <is>
          <t>ДН.ру (dn.ru), дилер LD / пр-ль ООО</t>
        </is>
      </c>
      <c r="S291" s="5" t="inlineStr">
        <is>
          <t>розница · B: dn.ru ©2026, цена «на 2026-10/11», товар в</t>
        </is>
      </c>
      <c r="T291" s="5" t="inlineStr">
        <is>
          <t>analog: LD КШ.Ц.Ф П/П (аналог 11с67п ЦУФ.001 полнопрохо</t>
        </is>
      </c>
      <c r="U291" s="5" t="inlineStr">
        <is>
          <t>https://dn.ru/sharovyi-kran/teplosnabzhenie/flantcevyi-kran/polnoprohodnoi/ld/ksh-c-f/dn100</t>
        </is>
      </c>
    </row>
    <row r="292" ht="34" customHeight="1">
      <c r="A292" s="5" t="inlineStr">
        <is>
          <t>1.6</t>
        </is>
      </c>
      <c r="B292" s="6" t="n">
        <v>79</v>
      </c>
      <c r="C292" s="5" t="inlineStr">
        <is>
          <t>Краны шаровые и прочее</t>
        </is>
      </c>
      <c r="D292" s="5" t="inlineStr">
        <is>
          <t>Кран шаровой 11с67п Ду 40 Ру 16 ЦУФ.001 КШ укороченный полнопроходной фланцевый с рукояткой</t>
        </is>
      </c>
      <c r="E292" s="6" t="n">
        <v>1</v>
      </c>
      <c r="F292" s="5" t="inlineStr">
        <is>
          <t>шт</t>
        </is>
      </c>
      <c r="G292" s="6" t="n">
        <v>40</v>
      </c>
      <c r="H292" s="6" t="n">
        <v>1.6</v>
      </c>
      <c r="I292" s="5" t="inlineStr">
        <is>
          <t xml:space="preserve">сталь </t>
        </is>
      </c>
      <c r="J292" s="5" t="inlineStr">
        <is>
          <t>Ручка-рычаг</t>
        </is>
      </c>
      <c r="K292" s="7" t="n">
        <v>4212</v>
      </c>
      <c r="L292" s="15">
        <f>IF(K292="","",K292*(1-0.1))</f>
        <v/>
      </c>
      <c r="M292" s="6" t="n">
        <v>5.5</v>
      </c>
      <c r="N292" s="15">
        <f>IF(K292="","",L292*E292)</f>
        <v/>
      </c>
      <c r="O292" s="15">
        <f>IF(M292="","",M292*E292*55)</f>
        <v/>
      </c>
      <c r="P292" s="15">
        <f>IF(N292="","",N292+N(O292))</f>
        <v/>
      </c>
      <c r="Q292" s="15">
        <f>IF(P292="","",P292/E292)</f>
        <v/>
      </c>
      <c r="R292" s="5" t="inlineStr">
        <is>
          <t>ДН.ру (dn.ru), дилер LD / пр-ль ООО</t>
        </is>
      </c>
      <c r="S292" s="5" t="inlineStr">
        <is>
          <t>розница · B: dn.ru ©2026, цена «на 2026-10/11», товар в</t>
        </is>
      </c>
      <c r="T292" s="5" t="inlineStr">
        <is>
          <t>analog: LD КШ.Ц.Ф П/П (аналог 11с67п ЦУФ.001 полнопрохо</t>
        </is>
      </c>
      <c r="U292" s="5" t="inlineStr">
        <is>
          <t>https://dn.ru/sharovyi-kran/teplosnabzhenie/flantcevyi-kran/polnoprohodnoi/ld/ksh-c-f/dn100</t>
        </is>
      </c>
    </row>
    <row r="293" ht="34" customHeight="1">
      <c r="A293" s="5" t="inlineStr">
        <is>
          <t>1.6</t>
        </is>
      </c>
      <c r="B293" s="6" t="n">
        <v>80</v>
      </c>
      <c r="C293" s="5" t="inlineStr">
        <is>
          <t>Краны шаровые и прочее</t>
        </is>
      </c>
      <c r="D293" s="5" t="inlineStr">
        <is>
          <t>Кран шаровой 11с67п Ду 50 Ру 16 ЦУФ.001 КШ укороченный полнопроходной фланцевый с рукояткой</t>
        </is>
      </c>
      <c r="E293" s="6" t="n">
        <v>3</v>
      </c>
      <c r="F293" s="5" t="inlineStr">
        <is>
          <t>шт</t>
        </is>
      </c>
      <c r="G293" s="6" t="n">
        <v>50</v>
      </c>
      <c r="H293" s="6" t="n">
        <v>1.6</v>
      </c>
      <c r="I293" s="5" t="inlineStr">
        <is>
          <t xml:space="preserve">сталь </t>
        </is>
      </c>
      <c r="J293" s="5" t="inlineStr">
        <is>
          <t>Ручка-рычаг</t>
        </is>
      </c>
      <c r="K293" s="7" t="n">
        <v>4107</v>
      </c>
      <c r="L293" s="15">
        <f>IF(K293="","",K293*(1-0.1))</f>
        <v/>
      </c>
      <c r="M293" s="6" t="n">
        <v>7.2</v>
      </c>
      <c r="N293" s="15">
        <f>IF(K293="","",L293*E293)</f>
        <v/>
      </c>
      <c r="O293" s="15">
        <f>IF(M293="","",M293*E293*55)</f>
        <v/>
      </c>
      <c r="P293" s="15">
        <f>IF(N293="","",N293+N(O293))</f>
        <v/>
      </c>
      <c r="Q293" s="15">
        <f>IF(P293="","",P293/E293)</f>
        <v/>
      </c>
      <c r="R293" s="5" t="inlineStr">
        <is>
          <t>ДН.ру (dn.ru), дилер LD / пр-ль ООО</t>
        </is>
      </c>
      <c r="S293" s="5" t="inlineStr">
        <is>
          <t>розница · B: dn.ru ©2026, цена «на 2026-10/11», товар в</t>
        </is>
      </c>
      <c r="T293" s="5" t="inlineStr">
        <is>
          <t>analog: LD КШ.Ц.Ф П/П (аналог 11с67п ЦУФ.001 полнопрохо</t>
        </is>
      </c>
      <c r="U293" s="5" t="inlineStr">
        <is>
          <t>https://dn.ru/sharovyi-kran/teplosnabzhenie/flantcevyi-kran/polnoprohodnoi/ld/ksh-c-f/dn100</t>
        </is>
      </c>
    </row>
    <row r="294" ht="34" customHeight="1">
      <c r="A294" s="5" t="inlineStr">
        <is>
          <t>1.6</t>
        </is>
      </c>
      <c r="B294" s="6" t="n">
        <v>81</v>
      </c>
      <c r="C294" s="5" t="inlineStr">
        <is>
          <t>Краны шаровые и прочее</t>
        </is>
      </c>
      <c r="D294" s="5" t="inlineStr">
        <is>
          <t>Кран шаровой 11с67п Ду 80 Ру 16 ЦУФ.001 КШ укороченный полнопроходной фланцевый с рукояткой</t>
        </is>
      </c>
      <c r="E294" s="6" t="n">
        <v>6</v>
      </c>
      <c r="F294" s="5" t="inlineStr">
        <is>
          <t>шт</t>
        </is>
      </c>
      <c r="G294" s="6" t="n">
        <v>80</v>
      </c>
      <c r="H294" s="6" t="n">
        <v>1.6</v>
      </c>
      <c r="I294" s="5" t="inlineStr">
        <is>
          <t xml:space="preserve">сталь </t>
        </is>
      </c>
      <c r="J294" s="5" t="inlineStr">
        <is>
          <t>Ручка-рычаг</t>
        </is>
      </c>
      <c r="K294" s="7" t="n">
        <v>8354</v>
      </c>
      <c r="L294" s="15">
        <f>IF(K294="","",K294*(1-0.1))</f>
        <v/>
      </c>
      <c r="M294" s="6" t="n">
        <v>13.5</v>
      </c>
      <c r="N294" s="15">
        <f>IF(K294="","",L294*E294)</f>
        <v/>
      </c>
      <c r="O294" s="15">
        <f>IF(M294="","",M294*E294*55)</f>
        <v/>
      </c>
      <c r="P294" s="15">
        <f>IF(N294="","",N294+N(O294))</f>
        <v/>
      </c>
      <c r="Q294" s="15">
        <f>IF(P294="","",P294/E294)</f>
        <v/>
      </c>
      <c r="R294" s="5" t="inlineStr">
        <is>
          <t>ДН.ру (dn.ru), дилер LD / пр-ль ООО</t>
        </is>
      </c>
      <c r="S294" s="5" t="inlineStr">
        <is>
          <t>розница · B: dn.ru ©2026, цена «на 2026-10/11», товар в</t>
        </is>
      </c>
      <c r="T294" s="5" t="inlineStr">
        <is>
          <t>analog: LD КШ.Ц.Ф П/П (аналог 11с67п ЦУФ.001 полнопрохо</t>
        </is>
      </c>
      <c r="U294" s="5" t="inlineStr">
        <is>
          <t>https://dn.ru/sharovyi-kran/teplosnabzhenie/flantcevyi-kran/polnoprohodnoi/ld/ksh-c-f/dn100</t>
        </is>
      </c>
    </row>
    <row r="295" ht="34" customHeight="1">
      <c r="A295" s="5" t="inlineStr">
        <is>
          <t>1.6</t>
        </is>
      </c>
      <c r="B295" s="6" t="n">
        <v>82</v>
      </c>
      <c r="C295" s="5" t="inlineStr">
        <is>
          <t>Краны шаровые и прочее</t>
        </is>
      </c>
      <c r="D295" s="5" t="inlineStr">
        <is>
          <t>Кран шаровой TEMPER 28020025 муфтовый, Ду 25, Ру 40</t>
        </is>
      </c>
      <c r="E295" s="6" t="n">
        <v>2</v>
      </c>
      <c r="F295" s="5" t="inlineStr">
        <is>
          <t>шт</t>
        </is>
      </c>
      <c r="G295" s="6" t="n">
        <v>25</v>
      </c>
      <c r="H295" s="6" t="n">
        <v>4</v>
      </c>
      <c r="I295" s="5" t="inlineStr">
        <is>
          <t xml:space="preserve">сталь </t>
        </is>
      </c>
      <c r="J295" s="5" t="inlineStr">
        <is>
          <t>ручной (рукоятка)</t>
        </is>
      </c>
      <c r="K295" s="7" t="n">
        <v>1600</v>
      </c>
      <c r="L295" s="15">
        <f>IF(K295="","",K295*(1-0.1))</f>
        <v/>
      </c>
      <c r="M295" s="6" t="n">
        <v>0.8</v>
      </c>
      <c r="N295" s="15">
        <f>IF(K295="","",L295*E295)</f>
        <v/>
      </c>
      <c r="O295" s="15">
        <f>IF(M295="","",M295*E295*55)</f>
        <v/>
      </c>
      <c r="P295" s="15">
        <f>IF(N295="","",N295+N(O295))</f>
        <v/>
      </c>
      <c r="Q295" s="15">
        <f>IF(P295="","",P295/E295)</f>
        <v/>
      </c>
      <c r="R295" s="5" t="inlineStr">
        <is>
          <t>TEMPER (Россия)</t>
        </is>
      </c>
      <c r="S295" s="5" t="inlineStr">
        <is>
          <t>оценка · C: единичное объявление (UZ, 229 600 сум ≈ 1 6</t>
        </is>
      </c>
      <c r="T295" s="5" t="inlineStr">
        <is>
          <t>exact · не проверено</t>
        </is>
      </c>
      <c r="U295" s="5" t="inlineStr">
        <is>
          <t>https://glotr.uz/krani/?d913=5393</t>
        </is>
      </c>
    </row>
    <row r="296" ht="34" customHeight="1">
      <c r="A296" s="5" t="inlineStr">
        <is>
          <t>1.6</t>
        </is>
      </c>
      <c r="B296" s="6" t="n">
        <v>83</v>
      </c>
      <c r="C296" s="5" t="inlineStr">
        <is>
          <t>Краны шаровые и прочее</t>
        </is>
      </c>
      <c r="D296" s="5" t="inlineStr">
        <is>
          <t>Кран шаровый LD полнопроходной 11с67п КШРФ Ду 100 Ру 16 с КОФ</t>
        </is>
      </c>
      <c r="E296" s="6" t="n">
        <v>3</v>
      </c>
      <c r="F296" s="5" t="inlineStr">
        <is>
          <t>шт</t>
        </is>
      </c>
      <c r="G296" s="6" t="n">
        <v>100</v>
      </c>
      <c r="H296" s="6" t="n">
        <v>1.6</v>
      </c>
      <c r="I296" s="5" t="inlineStr">
        <is>
          <t xml:space="preserve">сталь </t>
        </is>
      </c>
      <c r="J296" s="5" t="inlineStr">
        <is>
          <t>-</t>
        </is>
      </c>
      <c r="K296" s="7" t="n">
        <v>12375</v>
      </c>
      <c r="L296" s="15">
        <f>IF(K296="","",K296*(1-0.1))</f>
        <v/>
      </c>
      <c r="M296" s="6" t="n">
        <v>21</v>
      </c>
      <c r="N296" s="15">
        <f>IF(K296="","",L296*E296)</f>
        <v/>
      </c>
      <c r="O296" s="15">
        <f>IF(M296="","",M296*E296*55)</f>
        <v/>
      </c>
      <c r="P296" s="15">
        <f>IF(N296="","",N296+N(O296))</f>
        <v/>
      </c>
      <c r="Q296" s="15">
        <f>IF(P296="","",P296/E296)</f>
        <v/>
      </c>
      <c r="R296" s="5" t="inlineStr">
        <is>
          <t>ДН.ру (dn.ru), дилер LD / пр-ль ООО</t>
        </is>
      </c>
      <c r="S296" s="5" t="inlineStr">
        <is>
          <t>розница · B: dn.ru ©2026, цена «на 2026-10/11», товар в</t>
        </is>
      </c>
      <c r="T296" s="5" t="inlineStr">
        <is>
          <t>exact · не проверено</t>
        </is>
      </c>
      <c r="U296" s="5" t="inlineStr">
        <is>
          <t>https://dn.ru/sharovyi-kran/teplosnabzhenie/flantcevyi-kran/polnoprohodnoi/ld/kshrf-stal-20/dn150</t>
        </is>
      </c>
    </row>
    <row r="297" ht="34" customHeight="1">
      <c r="A297" s="5" t="inlineStr">
        <is>
          <t>1.6</t>
        </is>
      </c>
      <c r="B297" s="6" t="n">
        <v>84</v>
      </c>
      <c r="C297" s="5" t="inlineStr">
        <is>
          <t>Краны шаровые и прочее</t>
        </is>
      </c>
      <c r="D297" s="5" t="inlineStr">
        <is>
          <t>Кран шаровый LD полнопроходной 11с67п КШРФ Ду 150 Ру 16 с КОФ</t>
        </is>
      </c>
      <c r="E297" s="6" t="n">
        <v>1</v>
      </c>
      <c r="F297" s="5" t="inlineStr">
        <is>
          <t>шт</t>
        </is>
      </c>
      <c r="G297" s="6" t="n">
        <v>150</v>
      </c>
      <c r="H297" s="6" t="n">
        <v>1.6</v>
      </c>
      <c r="I297" s="5" t="inlineStr">
        <is>
          <t xml:space="preserve">сталь </t>
        </is>
      </c>
      <c r="J297" s="5" t="inlineStr">
        <is>
          <t>-</t>
        </is>
      </c>
      <c r="K297" s="7" t="n">
        <v>27260</v>
      </c>
      <c r="L297" s="15">
        <f>IF(K297="","",K297*(1-0.1))</f>
        <v/>
      </c>
      <c r="M297" s="6" t="n">
        <v>40</v>
      </c>
      <c r="N297" s="15">
        <f>IF(K297="","",L297*E297)</f>
        <v/>
      </c>
      <c r="O297" s="15">
        <f>IF(M297="","",M297*E297*55)</f>
        <v/>
      </c>
      <c r="P297" s="15">
        <f>IF(N297="","",N297+N(O297))</f>
        <v/>
      </c>
      <c r="Q297" s="15">
        <f>IF(P297="","",P297/E297)</f>
        <v/>
      </c>
      <c r="R297" s="5" t="inlineStr">
        <is>
          <t>ДН.ру (dn.ru), дилер LD / пр-ль ООО</t>
        </is>
      </c>
      <c r="S297" s="5" t="inlineStr">
        <is>
          <t>розница · B: dn.ru ©2026, цена «на 2026-10/11», товар в</t>
        </is>
      </c>
      <c r="T297" s="5" t="inlineStr">
        <is>
          <t>exact · не проверено</t>
        </is>
      </c>
      <c r="U297" s="5" t="inlineStr">
        <is>
          <t>https://dn.ru/sharovyi-kran/teplosnabzhenie/flantcevyi-kran/polnoprohodnoi/ld/kshrf-stal-20/dn150</t>
        </is>
      </c>
    </row>
    <row r="298" ht="34" customHeight="1">
      <c r="A298" s="5" t="inlineStr">
        <is>
          <t>1.6</t>
        </is>
      </c>
      <c r="B298" s="6" t="n">
        <v>85</v>
      </c>
      <c r="C298" s="5" t="inlineStr">
        <is>
          <t>Краны шаровые и прочее</t>
        </is>
      </c>
      <c r="D298" s="5" t="inlineStr">
        <is>
          <t>Кран шаровый LD полнопроходной 11с67п КШРФ Ду 25 Ру 16 с КОФ</t>
        </is>
      </c>
      <c r="E298" s="6" t="n">
        <v>2</v>
      </c>
      <c r="F298" s="5" t="inlineStr">
        <is>
          <t>шт</t>
        </is>
      </c>
      <c r="G298" s="6" t="n">
        <v>25</v>
      </c>
      <c r="H298" s="6" t="n">
        <v>1.6</v>
      </c>
      <c r="I298" s="5" t="inlineStr">
        <is>
          <t xml:space="preserve">сталь </t>
        </is>
      </c>
      <c r="J298" s="5" t="inlineStr">
        <is>
          <t>-</t>
        </is>
      </c>
      <c r="K298" s="7" t="n">
        <v>2297</v>
      </c>
      <c r="L298" s="15">
        <f>IF(K298="","",K298*(1-0.1))</f>
        <v/>
      </c>
      <c r="M298" s="6" t="n">
        <v>4.7</v>
      </c>
      <c r="N298" s="15">
        <f>IF(K298="","",L298*E298)</f>
        <v/>
      </c>
      <c r="O298" s="15">
        <f>IF(M298="","",M298*E298*55)</f>
        <v/>
      </c>
      <c r="P298" s="15">
        <f>IF(N298="","",N298+N(O298))</f>
        <v/>
      </c>
      <c r="Q298" s="15">
        <f>IF(P298="","",P298/E298)</f>
        <v/>
      </c>
      <c r="R298" s="5" t="inlineStr">
        <is>
          <t>ДН.ру (dn.ru), дилер LD / пр-ль ООО</t>
        </is>
      </c>
      <c r="S298" s="5" t="inlineStr">
        <is>
          <t>розница · B: dn.ru ©2026, цена «на 2026-10/11», товар в</t>
        </is>
      </c>
      <c r="T298" s="5" t="inlineStr">
        <is>
          <t>exact · не проверено</t>
        </is>
      </c>
      <c r="U298" s="5" t="inlineStr">
        <is>
          <t>https://dn.ru/sharovyi-kran/teplosnabzhenie/flantcevyi-kran/polnoprohodnoi/ld/kshrf-stal-20/dn150</t>
        </is>
      </c>
    </row>
    <row r="299" ht="34" customHeight="1">
      <c r="A299" s="5" t="inlineStr">
        <is>
          <t>1.6</t>
        </is>
      </c>
      <c r="B299" s="6" t="n">
        <v>86</v>
      </c>
      <c r="C299" s="5" t="inlineStr">
        <is>
          <t>Краны шаровые и прочее</t>
        </is>
      </c>
      <c r="D299" s="5" t="inlineStr">
        <is>
          <t>Кран шаровый LD полнопроходной 11с67п КШРФ Ду 40 Ру 16 с КОФ</t>
        </is>
      </c>
      <c r="E299" s="6" t="n">
        <v>6</v>
      </c>
      <c r="F299" s="5" t="inlineStr">
        <is>
          <t>шт</t>
        </is>
      </c>
      <c r="G299" s="6" t="n">
        <v>40</v>
      </c>
      <c r="H299" s="6" t="n">
        <v>1.6</v>
      </c>
      <c r="I299" s="5" t="inlineStr">
        <is>
          <t xml:space="preserve">сталь </t>
        </is>
      </c>
      <c r="J299" s="5" t="inlineStr">
        <is>
          <t>-</t>
        </is>
      </c>
      <c r="K299" s="7" t="n">
        <v>2989</v>
      </c>
      <c r="L299" s="15">
        <f>IF(K299="","",K299*(1-0.1))</f>
        <v/>
      </c>
      <c r="M299" s="6" t="n">
        <v>6.5</v>
      </c>
      <c r="N299" s="15">
        <f>IF(K299="","",L299*E299)</f>
        <v/>
      </c>
      <c r="O299" s="15">
        <f>IF(M299="","",M299*E299*55)</f>
        <v/>
      </c>
      <c r="P299" s="15">
        <f>IF(N299="","",N299+N(O299))</f>
        <v/>
      </c>
      <c r="Q299" s="15">
        <f>IF(P299="","",P299/E299)</f>
        <v/>
      </c>
      <c r="R299" s="5" t="inlineStr">
        <is>
          <t>ДН.ру (dn.ru), дилер LD / пр-ль ООО</t>
        </is>
      </c>
      <c r="S299" s="5" t="inlineStr">
        <is>
          <t>розница · B: dn.ru ©2026, цена «на 2026-10/11», товар в</t>
        </is>
      </c>
      <c r="T299" s="5" t="inlineStr">
        <is>
          <t>exact · не проверено</t>
        </is>
      </c>
      <c r="U299" s="5" t="inlineStr">
        <is>
          <t>https://dn.ru/sharovyi-kran/teplosnabzhenie/flantcevyi-kran/polnoprohodnoi/ld/kshrf-stal-20/dn150</t>
        </is>
      </c>
    </row>
    <row r="300" ht="34" customHeight="1">
      <c r="A300" s="5" t="inlineStr">
        <is>
          <t>1.6</t>
        </is>
      </c>
      <c r="B300" s="6" t="n">
        <v>87</v>
      </c>
      <c r="C300" s="5" t="inlineStr">
        <is>
          <t>Краны шаровые и прочее</t>
        </is>
      </c>
      <c r="D300" s="5" t="inlineStr">
        <is>
          <t>Кран шаровый LD полнопроходной 11с67п КШРФ Ду 50 Ру 16 с КОФ</t>
        </is>
      </c>
      <c r="E300" s="6" t="n">
        <v>5</v>
      </c>
      <c r="F300" s="5" t="inlineStr">
        <is>
          <t>шт</t>
        </is>
      </c>
      <c r="G300" s="6" t="n">
        <v>50</v>
      </c>
      <c r="H300" s="6" t="n">
        <v>1.6</v>
      </c>
      <c r="I300" s="5" t="inlineStr">
        <is>
          <t xml:space="preserve">сталь </t>
        </is>
      </c>
      <c r="J300" s="5" t="inlineStr">
        <is>
          <t>-</t>
        </is>
      </c>
      <c r="K300" s="7" t="n">
        <v>3120</v>
      </c>
      <c r="L300" s="15">
        <f>IF(K300="","",K300*(1-0.1))</f>
        <v/>
      </c>
      <c r="M300" s="6" t="n">
        <v>8</v>
      </c>
      <c r="N300" s="15">
        <f>IF(K300="","",L300*E300)</f>
        <v/>
      </c>
      <c r="O300" s="15">
        <f>IF(M300="","",M300*E300*55)</f>
        <v/>
      </c>
      <c r="P300" s="15">
        <f>IF(N300="","",N300+N(O300))</f>
        <v/>
      </c>
      <c r="Q300" s="15">
        <f>IF(P300="","",P300/E300)</f>
        <v/>
      </c>
      <c r="R300" s="5" t="inlineStr">
        <is>
          <t>ДН.ру (dn.ru), дилер LD / пр-ль ООО</t>
        </is>
      </c>
      <c r="S300" s="5" t="inlineStr">
        <is>
          <t>розница · B: dn.ru ©2026, цена «на 2026-10/11», товар в</t>
        </is>
      </c>
      <c r="T300" s="5" t="inlineStr">
        <is>
          <t>exact · не проверено</t>
        </is>
      </c>
      <c r="U300" s="5" t="inlineStr">
        <is>
          <t>https://dn.ru/sharovyi-kran/teplosnabzhenie/flantcevyi-kran/polnoprohodnoi/ld/kshrf-stal-20/dn150</t>
        </is>
      </c>
    </row>
    <row r="301" ht="34" customHeight="1">
      <c r="A301" s="5" t="inlineStr">
        <is>
          <t>1.6</t>
        </is>
      </c>
      <c r="B301" s="6" t="n">
        <v>88</v>
      </c>
      <c r="C301" s="5" t="inlineStr">
        <is>
          <t>Краны шаровые и прочее</t>
        </is>
      </c>
      <c r="D301" s="5" t="inlineStr">
        <is>
          <t>Кран шаровый LD полнопроходной 11с67п КШРФ Ду 80 Ру 16 с КОФ</t>
        </is>
      </c>
      <c r="E301" s="6" t="n">
        <v>6</v>
      </c>
      <c r="F301" s="5" t="inlineStr">
        <is>
          <t>шт</t>
        </is>
      </c>
      <c r="G301" s="6" t="n">
        <v>80</v>
      </c>
      <c r="H301" s="6" t="n">
        <v>1.6</v>
      </c>
      <c r="I301" s="5" t="inlineStr">
        <is>
          <t xml:space="preserve">сталь </t>
        </is>
      </c>
      <c r="J301" s="5" t="inlineStr">
        <is>
          <t>-</t>
        </is>
      </c>
      <c r="K301" s="7" t="n">
        <v>5946</v>
      </c>
      <c r="L301" s="15">
        <f>IF(K301="","",K301*(1-0.1))</f>
        <v/>
      </c>
      <c r="M301" s="6" t="n">
        <v>14</v>
      </c>
      <c r="N301" s="15">
        <f>IF(K301="","",L301*E301)</f>
        <v/>
      </c>
      <c r="O301" s="15">
        <f>IF(M301="","",M301*E301*55)</f>
        <v/>
      </c>
      <c r="P301" s="15">
        <f>IF(N301="","",N301+N(O301))</f>
        <v/>
      </c>
      <c r="Q301" s="15">
        <f>IF(P301="","",P301/E301)</f>
        <v/>
      </c>
      <c r="R301" s="5" t="inlineStr">
        <is>
          <t>ДН.ру (dn.ru), дилер LD / пр-ль ООО</t>
        </is>
      </c>
      <c r="S301" s="5" t="inlineStr">
        <is>
          <t>розница · B: dn.ru ©2026, цена «на 2026-10/11», товар в</t>
        </is>
      </c>
      <c r="T301" s="5" t="inlineStr">
        <is>
          <t>exact · не проверено</t>
        </is>
      </c>
      <c r="U301" s="5" t="inlineStr">
        <is>
          <t>https://dn.ru/sharovyi-kran/teplosnabzhenie/flantcevyi-kran/polnoprohodnoi/ld/kshrf-stal-20/dn150</t>
        </is>
      </c>
    </row>
    <row r="302" ht="34" customHeight="1">
      <c r="A302" s="5" t="inlineStr">
        <is>
          <t>1.6</t>
        </is>
      </c>
      <c r="B302" s="6" t="n">
        <v>89</v>
      </c>
      <c r="C302" s="5" t="inlineStr">
        <is>
          <t>Задвижки и затворы</t>
        </is>
      </c>
      <c r="D302" s="5" t="inlineStr">
        <is>
          <t>Затвор дисковый поворотный(ГРЭНВЭЛ) ЗП ТЛ Ду 100 Ру 16</t>
        </is>
      </c>
      <c r="E302" s="6" t="n">
        <v>2</v>
      </c>
      <c r="F302" s="5" t="inlineStr">
        <is>
          <t>шт</t>
        </is>
      </c>
      <c r="G302" s="6" t="n">
        <v>100</v>
      </c>
      <c r="H302" s="6" t="n">
        <v>1.6</v>
      </c>
      <c r="I302" s="5" t="inlineStr">
        <is>
          <t>серый чугун GG25</t>
        </is>
      </c>
      <c r="J302" s="5" t="inlineStr">
        <is>
          <t>-</t>
        </is>
      </c>
      <c r="K302" s="7" t="n">
        <v>13640</v>
      </c>
      <c r="L302" s="15">
        <f>IF(K302="","",K302*(1-0.1))</f>
        <v/>
      </c>
      <c r="M302" s="6" t="n">
        <v>4.5</v>
      </c>
      <c r="N302" s="15">
        <f>IF(K302="","",L302*E302)</f>
        <v/>
      </c>
      <c r="O302" s="15">
        <f>IF(M302="","",M302*E302*55)</f>
        <v/>
      </c>
      <c r="P302" s="15">
        <f>IF(N302="","",N302+N(O302))</f>
        <v/>
      </c>
      <c r="Q302" s="15">
        <f>IF(P302="","",P302/E302)</f>
        <v/>
      </c>
      <c r="R302" s="5" t="inlineStr">
        <is>
          <t>АДЛ (adl.ru), производитель Гранвэл</t>
        </is>
      </c>
      <c r="S302" s="5" t="inlineStr">
        <is>
          <t>прайс завода · A: прайс-лист АДЛ от 12.10.2026 (у.е.=EU</t>
        </is>
      </c>
      <c r="T302" s="5" t="inlineStr">
        <is>
          <t>exact: ЗПТЛ-FLN(W)-5-100-MN-HT (диск CF8M, EPDM HT) · н</t>
        </is>
      </c>
      <c r="U302" s="5" t="inlineStr">
        <is>
          <t>https://adl.ru/files/a7d1f80d-deeb-11e5-9f63-001f296a5bc2/Price_ADL_Valves_HVAC.XLSX</t>
        </is>
      </c>
    </row>
    <row r="303" ht="34" customHeight="1">
      <c r="A303" s="5" t="inlineStr">
        <is>
          <t>1.6</t>
        </is>
      </c>
      <c r="B303" s="6" t="n">
        <v>90</v>
      </c>
      <c r="C303" s="5" t="inlineStr">
        <is>
          <t>Задвижки и затворы</t>
        </is>
      </c>
      <c r="D303" s="5" t="inlineStr">
        <is>
          <t>Затвор дисковый поворотный(ГРЭНВЭЛ) ЗП ТЛ Ду 80 Ру 16</t>
        </is>
      </c>
      <c r="E303" s="6" t="n">
        <v>1</v>
      </c>
      <c r="F303" s="5" t="inlineStr">
        <is>
          <t>шт</t>
        </is>
      </c>
      <c r="G303" s="6" t="n">
        <v>80</v>
      </c>
      <c r="H303" s="6" t="n">
        <v>1.6</v>
      </c>
      <c r="I303" s="5" t="inlineStr">
        <is>
          <t>серый чугун GG25</t>
        </is>
      </c>
      <c r="J303" s="5" t="inlineStr">
        <is>
          <t>-</t>
        </is>
      </c>
      <c r="K303" s="7" t="n">
        <v>11423</v>
      </c>
      <c r="L303" s="15">
        <f>IF(K303="","",K303*(1-0.1))</f>
        <v/>
      </c>
      <c r="M303" s="6" t="n">
        <v>3.5</v>
      </c>
      <c r="N303" s="15">
        <f>IF(K303="","",L303*E303)</f>
        <v/>
      </c>
      <c r="O303" s="15">
        <f>IF(M303="","",M303*E303*55)</f>
        <v/>
      </c>
      <c r="P303" s="15">
        <f>IF(N303="","",N303+N(O303))</f>
        <v/>
      </c>
      <c r="Q303" s="15">
        <f>IF(P303="","",P303/E303)</f>
        <v/>
      </c>
      <c r="R303" s="5" t="inlineStr">
        <is>
          <t>АДЛ (adl.ru), производитель Гранвэл</t>
        </is>
      </c>
      <c r="S303" s="5" t="inlineStr">
        <is>
          <t>прайс завода · A: прайс-лист АДЛ от 12.10.2026 (у.е.=EU</t>
        </is>
      </c>
      <c r="T303" s="5" t="inlineStr">
        <is>
          <t>exact: ЗПТЛ-FLN(W)-5-080-MN-HT (диск CF8M, EPDM HT) · н</t>
        </is>
      </c>
      <c r="U303" s="5" t="inlineStr">
        <is>
          <t>https://adl.ru/files/a7d1f80d-deeb-11e5-9f63-001f296a5bc2/Price_ADL_Valves_HVAC.XLSX</t>
        </is>
      </c>
    </row>
    <row r="304" ht="34" customHeight="1">
      <c r="A304" s="5" t="inlineStr">
        <is>
          <t>1.6</t>
        </is>
      </c>
      <c r="B304" s="6" t="n">
        <v>91</v>
      </c>
      <c r="C304" s="5" t="inlineStr">
        <is>
          <t>Задвижки и затворы</t>
        </is>
      </c>
      <c r="D304" s="5" t="inlineStr">
        <is>
          <t>Затвор дисковый поворотный(ГРЭНВЭЛ) Тип /серия FL(w)-3-MR-E Ду 80 Ру 16</t>
        </is>
      </c>
      <c r="E304" s="6" t="n">
        <v>1</v>
      </c>
      <c r="F304" s="5" t="inlineStr">
        <is>
          <t>шт</t>
        </is>
      </c>
      <c r="G304" s="6" t="n">
        <v>80</v>
      </c>
      <c r="H304" s="6" t="n">
        <v>1.6</v>
      </c>
      <c r="I304" s="5" t="inlineStr">
        <is>
          <t>серый чугун GG25</t>
        </is>
      </c>
      <c r="J304" s="5" t="inlineStr">
        <is>
          <t>ручной (рукоятка)</t>
        </is>
      </c>
      <c r="K304" s="7" t="n">
        <v>6607</v>
      </c>
      <c r="L304" s="15">
        <f>IF(K304="","",K304*(1-0.1))</f>
        <v/>
      </c>
      <c r="M304" s="6" t="n">
        <v>3.5</v>
      </c>
      <c r="N304" s="15">
        <f>IF(K304="","",L304*E304)</f>
        <v/>
      </c>
      <c r="O304" s="15">
        <f>IF(M304="","",M304*E304*55)</f>
        <v/>
      </c>
      <c r="P304" s="15">
        <f>IF(N304="","",N304+N(O304))</f>
        <v/>
      </c>
      <c r="Q304" s="15">
        <f>IF(P304="","",P304/E304)</f>
        <v/>
      </c>
      <c r="R304" s="5" t="inlineStr">
        <is>
          <t>АДЛ (adl.ru), производитель Гранвэл</t>
        </is>
      </c>
      <c r="S304" s="5" t="inlineStr">
        <is>
          <t>прайс завода · A: прайс-лист АДЛ от 12.10.2026 (у.е.=EU</t>
        </is>
      </c>
      <c r="T304" s="5" t="inlineStr">
        <is>
          <t xml:space="preserve">exact: ЗПВС-FL(W)-3-080-MN-E (корпус GG25, диск GGG40, </t>
        </is>
      </c>
      <c r="U304" s="5" t="inlineStr">
        <is>
          <t>https://adl.ru/files/a7d1f80d-deeb-11e5-9f63-001f296a5bc2/Price_ADL_Valves_HVAC.XLSX</t>
        </is>
      </c>
    </row>
    <row r="305" ht="34" customHeight="1">
      <c r="A305" s="5" t="inlineStr">
        <is>
          <t>1.6</t>
        </is>
      </c>
      <c r="B305" s="6" t="n">
        <v>92</v>
      </c>
      <c r="C305" s="5" t="inlineStr">
        <is>
          <t>Клапаны</t>
        </is>
      </c>
      <c r="D305" s="5" t="inlineStr">
        <is>
          <t>Газовый клапан Dungs LGV 507/5 230 V, 119271</t>
        </is>
      </c>
      <c r="E305" s="6" t="n">
        <v>2</v>
      </c>
      <c r="F305" s="5" t="inlineStr">
        <is>
          <t>шт</t>
        </is>
      </c>
      <c r="G305" s="5" t="inlineStr">
        <is>
          <t>-</t>
        </is>
      </c>
      <c r="H305" s="5" t="inlineStr">
        <is>
          <t>-</t>
        </is>
      </c>
      <c r="I305" s="5" t="inlineStr">
        <is>
          <t xml:space="preserve">
корпус: алюминий, сталь;</t>
        </is>
      </c>
      <c r="J305" s="5" t="inlineStr">
        <is>
          <t>-</t>
        </is>
      </c>
      <c r="K305" s="7" t="n">
        <v>45000</v>
      </c>
      <c r="L305" s="15">
        <f>IF(K305="","",K305*(1-0.1))</f>
        <v/>
      </c>
      <c r="M305" s="6" t="n">
        <v>2.5</v>
      </c>
      <c r="N305" s="15">
        <f>IF(K305="","",L305*E305)</f>
        <v/>
      </c>
      <c r="O305" s="15">
        <f>IF(M305="","",M305*E305*55)</f>
        <v/>
      </c>
      <c r="P305" s="15">
        <f>IF(N305="","",N305+N(O305))</f>
        <v/>
      </c>
      <c r="Q305" s="15">
        <f>IF(P305="","",P305/E305)</f>
        <v/>
      </c>
      <c r="R305" s="5" t="inlineStr">
        <is>
          <t>дилеры Dungs</t>
        </is>
      </c>
      <c r="S305" s="5" t="inlineStr">
        <is>
          <t>оценка · оценка, без прямого прайса</t>
        </is>
      </c>
      <c r="T305" s="5" t="inlineStr">
        <is>
          <t>exact (марка), цена оценочная · не проверено</t>
        </is>
      </c>
      <c r="U305" s="5" t="inlineStr"/>
    </row>
    <row r="306" ht="34" customHeight="1">
      <c r="A306" s="5" t="inlineStr">
        <is>
          <t>1.6</t>
        </is>
      </c>
      <c r="B306" s="6" t="n">
        <v>93</v>
      </c>
      <c r="C306" s="5" t="inlineStr">
        <is>
          <t>Краны шаровые и прочее</t>
        </is>
      </c>
      <c r="D306" s="5" t="inlineStr">
        <is>
          <t>Электропривод Esbe 95 - 12051900</t>
        </is>
      </c>
      <c r="E306" s="6" t="n">
        <v>1</v>
      </c>
      <c r="F306" s="5" t="inlineStr">
        <is>
          <t>шт</t>
        </is>
      </c>
      <c r="G306" s="5" t="inlineStr">
        <is>
          <t>-</t>
        </is>
      </c>
      <c r="H306" s="5" t="inlineStr">
        <is>
          <t>-</t>
        </is>
      </c>
      <c r="I306" s="5" t="inlineStr">
        <is>
          <t>-</t>
        </is>
      </c>
      <c r="J306" s="5" t="inlineStr">
        <is>
          <t>-</t>
        </is>
      </c>
      <c r="K306" s="7" t="n">
        <v>22000</v>
      </c>
      <c r="L306" s="15">
        <f>IF(K306="","",K306*(1-0.1))</f>
        <v/>
      </c>
      <c r="M306" s="6" t="n">
        <v>1.2</v>
      </c>
      <c r="N306" s="15">
        <f>IF(K306="","",L306*E306)</f>
        <v/>
      </c>
      <c r="O306" s="15">
        <f>IF(M306="","",M306*E306*55)</f>
        <v/>
      </c>
      <c r="P306" s="15">
        <f>IF(N306="","",N306+N(O306))</f>
        <v/>
      </c>
      <c r="Q306" s="15">
        <f>IF(P306="","",P306/E306)</f>
        <v/>
      </c>
      <c r="R306" s="5" t="inlineStr">
        <is>
          <t>—</t>
        </is>
      </c>
      <c r="S306" s="5" t="inlineStr">
        <is>
          <t>оценка · открытой цены 2026 нет</t>
        </is>
      </c>
      <c r="T306" s="5" t="inlineStr">
        <is>
          <t>analog: поворотный сервопривод для 3-ход. клапанов (ESB</t>
        </is>
      </c>
      <c r="U306" s="5" t="inlineStr"/>
    </row>
    <row r="307" ht="34" customHeight="1">
      <c r="A307" s="5" t="inlineStr">
        <is>
          <t>1.7</t>
        </is>
      </c>
      <c r="B307" s="6" t="n">
        <v>1</v>
      </c>
      <c r="C307" s="5" t="inlineStr">
        <is>
          <t>Краны шаровые и прочее</t>
        </is>
      </c>
      <c r="D307" s="5" t="inlineStr">
        <is>
          <t>АРТ-85 Ду 50 Ру 16 "после себя"</t>
        </is>
      </c>
      <c r="E307" s="6" t="n">
        <v>1</v>
      </c>
      <c r="F307" s="5" t="inlineStr">
        <is>
          <t>шт</t>
        </is>
      </c>
      <c r="G307" s="6" t="n">
        <v>50</v>
      </c>
      <c r="H307" s="6" t="n">
        <v>1.6</v>
      </c>
      <c r="I307" s="5" t="inlineStr">
        <is>
          <t>-</t>
        </is>
      </c>
      <c r="J307" s="5" t="inlineStr">
        <is>
          <t>-</t>
        </is>
      </c>
      <c r="K307" s="7" t="n">
        <v>45000</v>
      </c>
      <c r="L307" s="15">
        <f>IF(K307="","",K307*(1-0.1))</f>
        <v/>
      </c>
      <c r="M307" s="6" t="n">
        <v>25</v>
      </c>
      <c r="N307" s="15">
        <f>IF(K307="","",L307*E307)</f>
        <v/>
      </c>
      <c r="O307" s="15">
        <f>IF(M307="","",M307*E307*55)</f>
        <v/>
      </c>
      <c r="P307" s="15">
        <f>IF(N307="","",N307+N(O307))</f>
        <v/>
      </c>
      <c r="Q307" s="15">
        <f>IF(P307="","",P307/E307)</f>
        <v/>
      </c>
      <c r="R307" s="5" t="inlineStr">
        <is>
          <t>ДН.ру РДПС-25Л Ду50 Ру25 «после себ</t>
        </is>
      </c>
      <c r="S307" s="5" t="inlineStr">
        <is>
          <t>оценка · цена в выдаче не показана</t>
        </is>
      </c>
      <c r="T307" s="5" t="inlineStr">
        <is>
          <t>analog: регулятор давления «после себя» фланц. Ду50 PN1</t>
        </is>
      </c>
      <c r="U307" s="5" t="inlineStr">
        <is>
          <t>https://www.vseinstrumenti.ru/product/regulyator-davleniya-posle-sebya-dn-ru-rdps-25l-m-ma-f-no-du50-ru25-kv40-flantsevyj-0-3-1-2mpa-d230-21196-22110260/</t>
        </is>
      </c>
    </row>
    <row r="308" ht="34" customHeight="1">
      <c r="A308" s="5" t="inlineStr">
        <is>
          <t>1.7</t>
        </is>
      </c>
      <c r="B308" s="6" t="n">
        <v>2</v>
      </c>
      <c r="C308" s="5" t="inlineStr">
        <is>
          <t>Краны шаровые и прочее</t>
        </is>
      </c>
      <c r="D308" s="5" t="inlineStr">
        <is>
          <t>Кран шаровой 11с67п Ду 25 Ру 25 цельносварной под приварку</t>
        </is>
      </c>
      <c r="E308" s="6" t="n">
        <v>12</v>
      </c>
      <c r="F308" s="5" t="inlineStr">
        <is>
          <t>шт</t>
        </is>
      </c>
      <c r="G308" s="6" t="n">
        <v>25</v>
      </c>
      <c r="H308" s="6" t="n">
        <v>2.5</v>
      </c>
      <c r="I308" s="5" t="inlineStr">
        <is>
          <t>сталь 20</t>
        </is>
      </c>
      <c r="J308" s="5" t="inlineStr">
        <is>
          <t>ручной (рукоятка)</t>
        </is>
      </c>
      <c r="K308" s="7" t="n">
        <v>1645</v>
      </c>
      <c r="L308" s="15">
        <f>IF(K308="","",K308*(1-0.1))</f>
        <v/>
      </c>
      <c r="M308" s="6" t="n">
        <v>1</v>
      </c>
      <c r="N308" s="15">
        <f>IF(K308="","",L308*E308)</f>
        <v/>
      </c>
      <c r="O308" s="15">
        <f>IF(M308="","",M308*E308*55)</f>
        <v/>
      </c>
      <c r="P308" s="15">
        <f>IF(N308="","",N308+N(O308))</f>
        <v/>
      </c>
      <c r="Q308" s="15">
        <f>IF(P308="","",P308/E308)</f>
        <v/>
      </c>
      <c r="R308" s="5" t="inlineStr">
        <is>
          <t>ДН.ру (dn.ru), дилер LD / пр-ль ООО</t>
        </is>
      </c>
      <c r="S308" s="5" t="inlineStr">
        <is>
          <t>розница · B: dn.ru ©2026, цена «на 2026-10/11», товар в</t>
        </is>
      </c>
      <c r="T308" s="5" t="inlineStr">
        <is>
          <t>exact · не проверено</t>
        </is>
      </c>
      <c r="U308" s="5" t="inlineStr">
        <is>
          <t>https://dn.ru/sharovyi-kran/teplosnabzhenie/kran-pod-privarku/standartnyi/ld/st20/dn50</t>
        </is>
      </c>
    </row>
    <row r="309" ht="34" customHeight="1">
      <c r="A309" s="5" t="inlineStr">
        <is>
          <t>1.7</t>
        </is>
      </c>
      <c r="B309" s="6" t="n">
        <v>3</v>
      </c>
      <c r="C309" s="5" t="inlineStr">
        <is>
          <t>Краны шаровые и прочее</t>
        </is>
      </c>
      <c r="D309" s="5" t="inlineStr">
        <is>
          <t>Кран шаровой 11с67п Ду 32 Ру 25 цельносварной под приварку</t>
        </is>
      </c>
      <c r="E309" s="6" t="n">
        <v>12</v>
      </c>
      <c r="F309" s="5" t="inlineStr">
        <is>
          <t>шт</t>
        </is>
      </c>
      <c r="G309" s="6" t="n">
        <v>32</v>
      </c>
      <c r="H309" s="6" t="n">
        <v>2.5</v>
      </c>
      <c r="I309" s="5" t="inlineStr">
        <is>
          <t>сталь 20</t>
        </is>
      </c>
      <c r="J309" s="5" t="inlineStr">
        <is>
          <t>ручной (рукоятка)</t>
        </is>
      </c>
      <c r="K309" s="7" t="n">
        <v>1713</v>
      </c>
      <c r="L309" s="15">
        <f>IF(K309="","",K309*(1-0.1))</f>
        <v/>
      </c>
      <c r="M309" s="6" t="n">
        <v>1.4</v>
      </c>
      <c r="N309" s="15">
        <f>IF(K309="","",L309*E309)</f>
        <v/>
      </c>
      <c r="O309" s="15">
        <f>IF(M309="","",M309*E309*55)</f>
        <v/>
      </c>
      <c r="P309" s="15">
        <f>IF(N309="","",N309+N(O309))</f>
        <v/>
      </c>
      <c r="Q309" s="15">
        <f>IF(P309="","",P309/E309)</f>
        <v/>
      </c>
      <c r="R309" s="5" t="inlineStr">
        <is>
          <t>ДН.ру (dn.ru), дилер LD / пр-ль ООО</t>
        </is>
      </c>
      <c r="S309" s="5" t="inlineStr">
        <is>
          <t>розница · B: dn.ru ©2026, цена «на 2026-10/11», товар в</t>
        </is>
      </c>
      <c r="T309" s="5" t="inlineStr">
        <is>
          <t>exact · не проверено</t>
        </is>
      </c>
      <c r="U309" s="5" t="inlineStr">
        <is>
          <t>https://dn.ru/sharovyi-kran/teplosnabzhenie/kran-pod-privarku/standartnyi/ld/st20/dn50</t>
        </is>
      </c>
    </row>
    <row r="310" ht="34" customHeight="1">
      <c r="A310" s="5" t="inlineStr">
        <is>
          <t>1.7</t>
        </is>
      </c>
      <c r="B310" s="6" t="n">
        <v>4</v>
      </c>
      <c r="C310" s="5" t="inlineStr">
        <is>
          <t>Краны шаровые и прочее</t>
        </is>
      </c>
      <c r="D310" s="5" t="inlineStr">
        <is>
          <t>Кран шаровой 11с67п Ду 40 Ру 25 цельносварной под приварку</t>
        </is>
      </c>
      <c r="E310" s="6" t="n">
        <v>10</v>
      </c>
      <c r="F310" s="5" t="inlineStr">
        <is>
          <t>шт</t>
        </is>
      </c>
      <c r="G310" s="6" t="n">
        <v>40</v>
      </c>
      <c r="H310" s="6" t="n">
        <v>2.5</v>
      </c>
      <c r="I310" s="5" t="inlineStr">
        <is>
          <t>сталь 20</t>
        </is>
      </c>
      <c r="J310" s="5" t="inlineStr">
        <is>
          <t>ручной (рукоятка)</t>
        </is>
      </c>
      <c r="K310" s="7" t="n">
        <v>2219</v>
      </c>
      <c r="L310" s="15">
        <f>IF(K310="","",K310*(1-0.1))</f>
        <v/>
      </c>
      <c r="M310" s="6" t="n">
        <v>2</v>
      </c>
      <c r="N310" s="15">
        <f>IF(K310="","",L310*E310)</f>
        <v/>
      </c>
      <c r="O310" s="15">
        <f>IF(M310="","",M310*E310*55)</f>
        <v/>
      </c>
      <c r="P310" s="15">
        <f>IF(N310="","",N310+N(O310))</f>
        <v/>
      </c>
      <c r="Q310" s="15">
        <f>IF(P310="","",P310/E310)</f>
        <v/>
      </c>
      <c r="R310" s="5" t="inlineStr">
        <is>
          <t>ДН.ру (dn.ru), дилер LD / пр-ль ООО</t>
        </is>
      </c>
      <c r="S310" s="5" t="inlineStr">
        <is>
          <t>розница · B: dn.ru ©2026, цена «на 2026-10/11», товар в</t>
        </is>
      </c>
      <c r="T310" s="5" t="inlineStr">
        <is>
          <t>exact · не проверено</t>
        </is>
      </c>
      <c r="U310" s="5" t="inlineStr">
        <is>
          <t>https://dn.ru/sharovyi-kran/teplosnabzhenie/kran-pod-privarku/standartnyi/ld/st20/dn50</t>
        </is>
      </c>
    </row>
    <row r="311" ht="34" customHeight="1">
      <c r="A311" s="5" t="inlineStr">
        <is>
          <t>1.8</t>
        </is>
      </c>
      <c r="B311" s="6" t="n">
        <v>1</v>
      </c>
      <c r="C311" s="5" t="inlineStr">
        <is>
          <t>Задвижки и затворы</t>
        </is>
      </c>
      <c r="D311" s="5" t="inlineStr">
        <is>
          <t>Задвижка 30нж41нж Ду 80 Ру 16 1исп. САЗ</t>
        </is>
      </c>
      <c r="E311" s="6" t="n">
        <v>1</v>
      </c>
      <c r="F311" s="5" t="inlineStr">
        <is>
          <t>шт</t>
        </is>
      </c>
      <c r="G311" s="6" t="n">
        <v>80</v>
      </c>
      <c r="H311" s="6" t="n">
        <v>1.6</v>
      </c>
      <c r="I311" s="5" t="inlineStr">
        <is>
          <t>углеродистая сталь</t>
        </is>
      </c>
      <c r="J311" s="5" t="inlineStr">
        <is>
          <t xml:space="preserve">Ручное </t>
        </is>
      </c>
      <c r="K311" s="7" t="n">
        <v>47283</v>
      </c>
      <c r="L311" s="15">
        <f>IF(K311="","",K311*(1-0.1))</f>
        <v/>
      </c>
      <c r="M311" s="6" t="n">
        <v>26</v>
      </c>
      <c r="N311" s="15">
        <f>IF(K311="","",L311*E311)</f>
        <v/>
      </c>
      <c r="O311" s="15">
        <f>IF(M311="","",M311*E311*55)</f>
        <v/>
      </c>
      <c r="P311" s="15">
        <f>IF(N311="","",N311+N(O311))</f>
        <v/>
      </c>
      <c r="Q311" s="15">
        <f>IF(P311="","",P311/E311)</f>
        <v/>
      </c>
      <c r="R311" s="5" t="inlineStr">
        <is>
          <t>СибЗТА (sibzta.ru, Москва)</t>
        </is>
      </c>
      <c r="S311" s="5" t="inlineStr">
        <is>
          <t>розница · A: прайс-лист от 12.01.2026 (розничная цена)</t>
        </is>
      </c>
      <c r="T311" s="5" t="inlineStr">
        <is>
          <t>analog: 30нж41нж СибЗТА вместо исп.1 САЗ (та же марка/D</t>
        </is>
      </c>
      <c r="U311" s="5" t="inlineStr">
        <is>
          <t>https://sibzta.ru/price/</t>
        </is>
      </c>
    </row>
    <row r="312" ht="34" customHeight="1">
      <c r="A312" s="5" t="inlineStr">
        <is>
          <t>1.8</t>
        </is>
      </c>
      <c r="B312" s="6" t="n">
        <v>2</v>
      </c>
      <c r="C312" s="5" t="inlineStr">
        <is>
          <t>Краны шаровые и прочее</t>
        </is>
      </c>
      <c r="D312" s="5" t="inlineStr">
        <is>
          <t>Кран шаровой 10нж45фт 2ЦФ Ду 20 Ру 16</t>
        </is>
      </c>
      <c r="E312" s="6" t="n">
        <v>2</v>
      </c>
      <c r="F312" s="5" t="inlineStr">
        <is>
          <t>шт</t>
        </is>
      </c>
      <c r="G312" s="6" t="n">
        <v>20</v>
      </c>
      <c r="H312" s="6" t="n">
        <v>1.6</v>
      </c>
      <c r="I312" s="5" t="inlineStr">
        <is>
          <t>нержавеющая сталь 12Х18Н10Т</t>
        </is>
      </c>
      <c r="J312" s="5" t="inlineStr">
        <is>
          <t xml:space="preserve">Ручное </t>
        </is>
      </c>
      <c r="K312" s="7" t="n">
        <v>11000</v>
      </c>
      <c r="L312" s="15">
        <f>IF(K312="","",K312*(1-0.1))</f>
        <v/>
      </c>
      <c r="M312" s="6" t="n">
        <v>2.4</v>
      </c>
      <c r="N312" s="15">
        <f>IF(K312="","",L312*E312)</f>
        <v/>
      </c>
      <c r="O312" s="15">
        <f>IF(M312="","",M312*E312*55)</f>
        <v/>
      </c>
      <c r="P312" s="15">
        <f>IF(N312="","",N312+N(O312))</f>
        <v/>
      </c>
      <c r="Q312" s="15">
        <f>IF(P312="","",P312/E312)</f>
        <v/>
      </c>
      <c r="R312" s="5" t="inlineStr">
        <is>
          <t>ДН.ру (dn.ru), LD нерж. серия КШ.Ц.</t>
        </is>
      </c>
      <c r="S312" s="5" t="inlineStr">
        <is>
          <t>оценка · B: dn.ru ©2026 (только Ду100 = 87 346 ₽)</t>
        </is>
      </c>
      <c r="T312" s="5" t="inlineStr">
        <is>
          <t xml:space="preserve">analog: LD КШ.Ц.Ф.020.040.01 нерж. фланцевый (10нж45фт </t>
        </is>
      </c>
      <c r="U312" s="5" t="inlineStr">
        <is>
          <t>https://dn.ru/sharovyi-kran/teplosnabzhenie/flantcevyi-kran/standartnyi/ld/kshcf-ru16/dn100-80-isp5</t>
        </is>
      </c>
    </row>
    <row r="313" ht="34" customHeight="1">
      <c r="A313" s="5" t="inlineStr">
        <is>
          <t>1.8</t>
        </is>
      </c>
      <c r="B313" s="6" t="n">
        <v>3</v>
      </c>
      <c r="C313" s="5" t="inlineStr">
        <is>
          <t>Краны шаровые и прочее</t>
        </is>
      </c>
      <c r="D313" s="5" t="inlineStr">
        <is>
          <t>Кран шаровой 10нж45фт 2ЦФ Ду 25 Ру 16</t>
        </is>
      </c>
      <c r="E313" s="6" t="n">
        <v>2</v>
      </c>
      <c r="F313" s="5" t="inlineStr">
        <is>
          <t>шт</t>
        </is>
      </c>
      <c r="G313" s="6" t="n">
        <v>25</v>
      </c>
      <c r="H313" s="6" t="n">
        <v>1.6</v>
      </c>
      <c r="I313" s="5" t="inlineStr">
        <is>
          <t>нержавеющая сталь 12Х18Н10Т</t>
        </is>
      </c>
      <c r="J313" s="5" t="inlineStr">
        <is>
          <t xml:space="preserve">Ручное </t>
        </is>
      </c>
      <c r="K313" s="7" t="n">
        <v>12500</v>
      </c>
      <c r="L313" s="15">
        <f>IF(K313="","",K313*(1-0.1))</f>
        <v/>
      </c>
      <c r="M313" s="6" t="n">
        <v>3.2</v>
      </c>
      <c r="N313" s="15">
        <f>IF(K313="","",L313*E313)</f>
        <v/>
      </c>
      <c r="O313" s="15">
        <f>IF(M313="","",M313*E313*55)</f>
        <v/>
      </c>
      <c r="P313" s="15">
        <f>IF(N313="","",N313+N(O313))</f>
        <v/>
      </c>
      <c r="Q313" s="15">
        <f>IF(P313="","",P313/E313)</f>
        <v/>
      </c>
      <c r="R313" s="5" t="inlineStr">
        <is>
          <t>ДН.ру (dn.ru), LD нерж. серия КШ.Ц.</t>
        </is>
      </c>
      <c r="S313" s="5" t="inlineStr">
        <is>
          <t>оценка · B: dn.ru ©2026 (соседний Ду)</t>
        </is>
      </c>
      <c r="T313" s="5" t="inlineStr">
        <is>
          <t>analog: LD КШ.Ц.Ф.025.040.01 нерж. фланцевый · не прове</t>
        </is>
      </c>
      <c r="U313" s="5" t="inlineStr">
        <is>
          <t>https://dn.ru/sharovyi-kran/teplosnabzhenie/flantcevyi-kran/standartnyi/ld/kshcf-ru16/dn100-80-isp5</t>
        </is>
      </c>
    </row>
    <row r="314" ht="34" customHeight="1">
      <c r="A314" s="5" t="inlineStr">
        <is>
          <t>1.8</t>
        </is>
      </c>
      <c r="B314" s="6" t="n">
        <v>4</v>
      </c>
      <c r="C314" s="5" t="inlineStr">
        <is>
          <t>Краны шаровые и прочее</t>
        </is>
      </c>
      <c r="D314" s="5" t="inlineStr">
        <is>
          <t>Кран шаровой 10нж45фт 2ЦФ Ду 32 Ру 16</t>
        </is>
      </c>
      <c r="E314" s="6" t="n">
        <v>2</v>
      </c>
      <c r="F314" s="5" t="inlineStr">
        <is>
          <t>шт</t>
        </is>
      </c>
      <c r="G314" s="6" t="n">
        <v>32</v>
      </c>
      <c r="H314" s="6" t="n">
        <v>1.6</v>
      </c>
      <c r="I314" s="5" t="inlineStr">
        <is>
          <t>нержавеющая сталь 12Х18Н10Т</t>
        </is>
      </c>
      <c r="J314" s="5" t="inlineStr">
        <is>
          <t xml:space="preserve">Ручное </t>
        </is>
      </c>
      <c r="K314" s="7" t="n">
        <v>15000</v>
      </c>
      <c r="L314" s="15">
        <f>IF(K314="","",K314*(1-0.1))</f>
        <v/>
      </c>
      <c r="M314" s="6" t="n">
        <v>4.3</v>
      </c>
      <c r="N314" s="15">
        <f>IF(K314="","",L314*E314)</f>
        <v/>
      </c>
      <c r="O314" s="15">
        <f>IF(M314="","",M314*E314*55)</f>
        <v/>
      </c>
      <c r="P314" s="15">
        <f>IF(N314="","",N314+N(O314))</f>
        <v/>
      </c>
      <c r="Q314" s="15">
        <f>IF(P314="","",P314/E314)</f>
        <v/>
      </c>
      <c r="R314" s="5" t="inlineStr">
        <is>
          <t>ДН.ру (dn.ru), LD нерж. серия КШ.Ц.</t>
        </is>
      </c>
      <c r="S314" s="5" t="inlineStr">
        <is>
          <t>оценка · B: dn.ru ©2026 (соседний Ду)</t>
        </is>
      </c>
      <c r="T314" s="5" t="inlineStr">
        <is>
          <t>analog: LD КШ.Ц.Ф.032.040.01 нерж. фланцевый · не прове</t>
        </is>
      </c>
      <c r="U314" s="5" t="inlineStr">
        <is>
          <t>https://dn.ru/sharovyi-kran/teplosnabzhenie/flantcevyi-kran/standartnyi/ld/kshcf-ru16/dn100-80-isp5</t>
        </is>
      </c>
    </row>
    <row r="315" ht="34" customHeight="1">
      <c r="A315" s="5" t="inlineStr">
        <is>
          <t>1.8</t>
        </is>
      </c>
      <c r="B315" s="6" t="n">
        <v>5</v>
      </c>
      <c r="C315" s="5" t="inlineStr">
        <is>
          <t>Краны шаровые и прочее</t>
        </is>
      </c>
      <c r="D315" s="5" t="inlineStr">
        <is>
          <t>Кран шаровой 11с22п Ду 80 Ру 16</t>
        </is>
      </c>
      <c r="E315" s="6" t="n">
        <v>2</v>
      </c>
      <c r="F315" s="5" t="inlineStr">
        <is>
          <t>шт</t>
        </is>
      </c>
      <c r="G315" s="6" t="n">
        <v>80</v>
      </c>
      <c r="H315" s="6" t="n">
        <v>1.6</v>
      </c>
      <c r="I315" s="5" t="inlineStr">
        <is>
          <t>сталь 20</t>
        </is>
      </c>
      <c r="J315" s="5" t="inlineStr">
        <is>
          <t>ручной (рукоятка)</t>
        </is>
      </c>
      <c r="K315" s="7" t="n">
        <v>6789</v>
      </c>
      <c r="L315" s="15">
        <f>IF(K315="","",K315*(1-0.1))</f>
        <v/>
      </c>
      <c r="M315" s="6" t="n">
        <v>11</v>
      </c>
      <c r="N315" s="15">
        <f>IF(K315="","",L315*E315)</f>
        <v/>
      </c>
      <c r="O315" s="15">
        <f>IF(M315="","",M315*E315*55)</f>
        <v/>
      </c>
      <c r="P315" s="15">
        <f>IF(N315="","",N315+N(O315))</f>
        <v/>
      </c>
      <c r="Q315" s="15">
        <f>IF(P315="","",P315/E315)</f>
        <v/>
      </c>
      <c r="R315" s="5" t="inlineStr">
        <is>
          <t>ДН.ру (dn.ru), дилер LD / пр-ль ООО</t>
        </is>
      </c>
      <c r="S315" s="5" t="inlineStr">
        <is>
          <t>розница · B: dn.ru ©2026, цена «на 2026-10/11», товар в</t>
        </is>
      </c>
      <c r="T315" s="5" t="inlineStr">
        <is>
          <t>analog: LD КШ.Ц.Ф Н/П фланцевый ст.20 · не проверено</t>
        </is>
      </c>
      <c r="U315" s="5" t="inlineStr">
        <is>
          <t>https://dn.ru/sharovyi-kran/teplosnabzhenie/flantcevyi-kran/standartnyi/ld/st20/dn100</t>
        </is>
      </c>
    </row>
    <row r="316" ht="34" customHeight="1">
      <c r="A316" s="5" t="inlineStr">
        <is>
          <t>1.8</t>
        </is>
      </c>
      <c r="B316" s="6" t="n">
        <v>6</v>
      </c>
      <c r="C316" s="5" t="inlineStr">
        <is>
          <t>Краны шаровые и прочее</t>
        </is>
      </c>
      <c r="D316" s="5" t="inlineStr">
        <is>
          <t>Кран шаровой 11с22п Ду 100 Ру 16</t>
        </is>
      </c>
      <c r="E316" s="6" t="n">
        <v>1</v>
      </c>
      <c r="F316" s="5" t="inlineStr">
        <is>
          <t>шт</t>
        </is>
      </c>
      <c r="G316" s="6" t="n">
        <v>100</v>
      </c>
      <c r="H316" s="6" t="n">
        <v>1.6</v>
      </c>
      <c r="I316" s="5" t="inlineStr">
        <is>
          <t>сталь 20</t>
        </is>
      </c>
      <c r="J316" s="5" t="inlineStr">
        <is>
          <t>ручной (рукоятка)</t>
        </is>
      </c>
      <c r="K316" s="7" t="n">
        <v>7989</v>
      </c>
      <c r="L316" s="15">
        <f>IF(K316="","",K316*(1-0.1))</f>
        <v/>
      </c>
      <c r="M316" s="6" t="n">
        <v>12.9</v>
      </c>
      <c r="N316" s="15">
        <f>IF(K316="","",L316*E316)</f>
        <v/>
      </c>
      <c r="O316" s="15">
        <f>IF(M316="","",M316*E316*55)</f>
        <v/>
      </c>
      <c r="P316" s="15">
        <f>IF(N316="","",N316+N(O316))</f>
        <v/>
      </c>
      <c r="Q316" s="15">
        <f>IF(P316="","",P316/E316)</f>
        <v/>
      </c>
      <c r="R316" s="5" t="inlineStr">
        <is>
          <t>ДН.ру (dn.ru), дилер LD / пр-ль ООО</t>
        </is>
      </c>
      <c r="S316" s="5" t="inlineStr">
        <is>
          <t>розница · B: dn.ru ©2026, цена «на 2026-10/11», товар в</t>
        </is>
      </c>
      <c r="T316" s="5" t="inlineStr">
        <is>
          <t>analog: LD КШ.Ц.Ф Н/П фланцевый ст.20 · не проверено</t>
        </is>
      </c>
      <c r="U316" s="5" t="inlineStr">
        <is>
          <t>https://dn.ru/sharovyi-kran/teplosnabzhenie/flantcevyi-kran/standartnyi/ld/st20/dn100</t>
        </is>
      </c>
    </row>
    <row r="317" ht="34" customHeight="1">
      <c r="A317" s="5" t="inlineStr">
        <is>
          <t>1.8</t>
        </is>
      </c>
      <c r="B317" s="6" t="n">
        <v>7</v>
      </c>
      <c r="C317" s="5" t="inlineStr">
        <is>
          <t>Краны шаровые и прочее</t>
        </is>
      </c>
      <c r="D317" s="5" t="inlineStr">
        <is>
          <t>Кран шаровой 11с67п Ду 50 Ру 25 полнопрох. с КОФ (КЗШС41нж)</t>
        </is>
      </c>
      <c r="E317" s="6" t="n">
        <v>4</v>
      </c>
      <c r="F317" s="5" t="inlineStr">
        <is>
          <t>шт</t>
        </is>
      </c>
      <c r="G317" s="6" t="n">
        <v>20</v>
      </c>
      <c r="H317" s="6" t="n">
        <v>2.5</v>
      </c>
      <c r="I317" s="5" t="inlineStr">
        <is>
          <t>Сталь 20</t>
        </is>
      </c>
      <c r="J317" s="5" t="inlineStr">
        <is>
          <t xml:space="preserve">Ручное </t>
        </is>
      </c>
      <c r="K317" s="7" t="n">
        <v>4107</v>
      </c>
      <c r="L317" s="15">
        <f>IF(K317="","",K317*(1-0.1))</f>
        <v/>
      </c>
      <c r="M317" s="6" t="n">
        <v>7.2</v>
      </c>
      <c r="N317" s="15">
        <f>IF(K317="","",L317*E317)</f>
        <v/>
      </c>
      <c r="O317" s="15">
        <f>IF(M317="","",M317*E317*55)</f>
        <v/>
      </c>
      <c r="P317" s="15">
        <f>IF(N317="","",N317+N(O317))</f>
        <v/>
      </c>
      <c r="Q317" s="15">
        <f>IF(P317="","",P317/E317)</f>
        <v/>
      </c>
      <c r="R317" s="5" t="inlineStr">
        <is>
          <t>ДН.ру (dn.ru), дилер LD / пр-ль ООО</t>
        </is>
      </c>
      <c r="S317" s="5" t="inlineStr">
        <is>
          <t>розница · B: dn.ru ©2026, цена «на 2026-10/11», товар в</t>
        </is>
      </c>
      <c r="T317" s="5" t="inlineStr">
        <is>
          <t>analog: LD КШ.Ц.Ф П/П PN25/PN40 (аналог КЗШС41нж/11с67п</t>
        </is>
      </c>
      <c r="U317" s="5" t="inlineStr">
        <is>
          <t>https://dn.ru/sharovyi-kran/teplosnabzhenie/flantcevyi-kran/polnoprohodnoi/ld/kshtsf/dn80-pn16-l-210</t>
        </is>
      </c>
    </row>
    <row r="318" ht="34" customHeight="1">
      <c r="A318" s="8" t="inlineStr"/>
      <c r="B318" s="8" t="inlineStr"/>
      <c r="C318" s="8" t="inlineStr"/>
      <c r="D318" s="8" t="inlineStr">
        <is>
          <t>ИТОГО</t>
        </is>
      </c>
      <c r="E318" s="8">
        <f>SUM(E3:E317)</f>
        <v/>
      </c>
      <c r="F318" s="8" t="inlineStr"/>
      <c r="G318" s="8" t="inlineStr"/>
      <c r="H318" s="8" t="inlineStr"/>
      <c r="I318" s="8" t="inlineStr"/>
      <c r="J318" s="8" t="inlineStr"/>
      <c r="K318" s="8" t="inlineStr"/>
      <c r="L318" s="8" t="inlineStr"/>
      <c r="M318" s="8" t="inlineStr"/>
      <c r="N318" s="19">
        <f>SUM(N3:N317)</f>
        <v/>
      </c>
      <c r="O318" s="19">
        <f>SUM(O3:O317)</f>
        <v/>
      </c>
      <c r="P318" s="19">
        <f>SUM(P3:P317)</f>
        <v/>
      </c>
      <c r="Q318" s="9" t="n"/>
      <c r="R318" s="9" t="n"/>
      <c r="S318" s="9" t="n"/>
      <c r="T318" s="9" t="n"/>
      <c r="U318" s="9" t="n"/>
    </row>
  </sheetData>
  <autoFilter ref="A2:U317"/>
  <hyperlinks>
    <hyperlink xmlns:r="http://schemas.openxmlformats.org/officeDocument/2006/relationships" ref="U3" r:id="rId1"/>
    <hyperlink xmlns:r="http://schemas.openxmlformats.org/officeDocument/2006/relationships" ref="U4" r:id="rId2"/>
    <hyperlink xmlns:r="http://schemas.openxmlformats.org/officeDocument/2006/relationships" ref="U5" r:id="rId3"/>
    <hyperlink xmlns:r="http://schemas.openxmlformats.org/officeDocument/2006/relationships" ref="U6" r:id="rId4"/>
    <hyperlink xmlns:r="http://schemas.openxmlformats.org/officeDocument/2006/relationships" ref="U7" r:id="rId5"/>
    <hyperlink xmlns:r="http://schemas.openxmlformats.org/officeDocument/2006/relationships" ref="U8" r:id="rId6"/>
    <hyperlink xmlns:r="http://schemas.openxmlformats.org/officeDocument/2006/relationships" ref="U9" r:id="rId7"/>
    <hyperlink xmlns:r="http://schemas.openxmlformats.org/officeDocument/2006/relationships" ref="U10" r:id="rId8"/>
    <hyperlink xmlns:r="http://schemas.openxmlformats.org/officeDocument/2006/relationships" ref="U11" r:id="rId9"/>
    <hyperlink xmlns:r="http://schemas.openxmlformats.org/officeDocument/2006/relationships" ref="U12" r:id="rId10"/>
    <hyperlink xmlns:r="http://schemas.openxmlformats.org/officeDocument/2006/relationships" ref="U13" r:id="rId11"/>
    <hyperlink xmlns:r="http://schemas.openxmlformats.org/officeDocument/2006/relationships" ref="U14" r:id="rId12"/>
    <hyperlink xmlns:r="http://schemas.openxmlformats.org/officeDocument/2006/relationships" ref="U15" r:id="rId13"/>
    <hyperlink xmlns:r="http://schemas.openxmlformats.org/officeDocument/2006/relationships" ref="U16" r:id="rId14"/>
    <hyperlink xmlns:r="http://schemas.openxmlformats.org/officeDocument/2006/relationships" ref="U17" r:id="rId15"/>
    <hyperlink xmlns:r="http://schemas.openxmlformats.org/officeDocument/2006/relationships" ref="U18" r:id="rId16"/>
    <hyperlink xmlns:r="http://schemas.openxmlformats.org/officeDocument/2006/relationships" ref="U19" r:id="rId17"/>
    <hyperlink xmlns:r="http://schemas.openxmlformats.org/officeDocument/2006/relationships" ref="U20" r:id="rId18"/>
    <hyperlink xmlns:r="http://schemas.openxmlformats.org/officeDocument/2006/relationships" ref="U21" r:id="rId19"/>
    <hyperlink xmlns:r="http://schemas.openxmlformats.org/officeDocument/2006/relationships" ref="U22" r:id="rId20"/>
    <hyperlink xmlns:r="http://schemas.openxmlformats.org/officeDocument/2006/relationships" ref="U23" r:id="rId21"/>
    <hyperlink xmlns:r="http://schemas.openxmlformats.org/officeDocument/2006/relationships" ref="U24" r:id="rId22"/>
    <hyperlink xmlns:r="http://schemas.openxmlformats.org/officeDocument/2006/relationships" ref="U25" r:id="rId23"/>
    <hyperlink xmlns:r="http://schemas.openxmlformats.org/officeDocument/2006/relationships" ref="U26" r:id="rId24"/>
    <hyperlink xmlns:r="http://schemas.openxmlformats.org/officeDocument/2006/relationships" ref="U27" r:id="rId25"/>
    <hyperlink xmlns:r="http://schemas.openxmlformats.org/officeDocument/2006/relationships" ref="U28" r:id="rId26"/>
    <hyperlink xmlns:r="http://schemas.openxmlformats.org/officeDocument/2006/relationships" ref="U29" r:id="rId27"/>
    <hyperlink xmlns:r="http://schemas.openxmlformats.org/officeDocument/2006/relationships" ref="U30" r:id="rId28"/>
    <hyperlink xmlns:r="http://schemas.openxmlformats.org/officeDocument/2006/relationships" ref="U31" r:id="rId29"/>
    <hyperlink xmlns:r="http://schemas.openxmlformats.org/officeDocument/2006/relationships" ref="U32" r:id="rId30"/>
    <hyperlink xmlns:r="http://schemas.openxmlformats.org/officeDocument/2006/relationships" ref="U33" r:id="rId31"/>
    <hyperlink xmlns:r="http://schemas.openxmlformats.org/officeDocument/2006/relationships" ref="U34" r:id="rId32"/>
    <hyperlink xmlns:r="http://schemas.openxmlformats.org/officeDocument/2006/relationships" ref="U35" r:id="rId33"/>
    <hyperlink xmlns:r="http://schemas.openxmlformats.org/officeDocument/2006/relationships" ref="U36" r:id="rId34"/>
    <hyperlink xmlns:r="http://schemas.openxmlformats.org/officeDocument/2006/relationships" ref="U37" r:id="rId35"/>
    <hyperlink xmlns:r="http://schemas.openxmlformats.org/officeDocument/2006/relationships" ref="U38" r:id="rId36"/>
    <hyperlink xmlns:r="http://schemas.openxmlformats.org/officeDocument/2006/relationships" ref="U39" r:id="rId37"/>
    <hyperlink xmlns:r="http://schemas.openxmlformats.org/officeDocument/2006/relationships" ref="U40" r:id="rId38"/>
    <hyperlink xmlns:r="http://schemas.openxmlformats.org/officeDocument/2006/relationships" ref="U41" r:id="rId39"/>
    <hyperlink xmlns:r="http://schemas.openxmlformats.org/officeDocument/2006/relationships" ref="U42" r:id="rId40"/>
    <hyperlink xmlns:r="http://schemas.openxmlformats.org/officeDocument/2006/relationships" ref="U43" r:id="rId41"/>
    <hyperlink xmlns:r="http://schemas.openxmlformats.org/officeDocument/2006/relationships" ref="U44" r:id="rId42"/>
    <hyperlink xmlns:r="http://schemas.openxmlformats.org/officeDocument/2006/relationships" ref="U45" r:id="rId43"/>
    <hyperlink xmlns:r="http://schemas.openxmlformats.org/officeDocument/2006/relationships" ref="U46" r:id="rId44"/>
    <hyperlink xmlns:r="http://schemas.openxmlformats.org/officeDocument/2006/relationships" ref="U47" r:id="rId45"/>
    <hyperlink xmlns:r="http://schemas.openxmlformats.org/officeDocument/2006/relationships" ref="U48" r:id="rId46"/>
    <hyperlink xmlns:r="http://schemas.openxmlformats.org/officeDocument/2006/relationships" ref="U49" r:id="rId47"/>
    <hyperlink xmlns:r="http://schemas.openxmlformats.org/officeDocument/2006/relationships" ref="U50" r:id="rId48"/>
    <hyperlink xmlns:r="http://schemas.openxmlformats.org/officeDocument/2006/relationships" ref="U51" r:id="rId49"/>
    <hyperlink xmlns:r="http://schemas.openxmlformats.org/officeDocument/2006/relationships" ref="U52" r:id="rId50"/>
    <hyperlink xmlns:r="http://schemas.openxmlformats.org/officeDocument/2006/relationships" ref="U53" r:id="rId51"/>
    <hyperlink xmlns:r="http://schemas.openxmlformats.org/officeDocument/2006/relationships" ref="U54" r:id="rId52"/>
    <hyperlink xmlns:r="http://schemas.openxmlformats.org/officeDocument/2006/relationships" ref="U55" r:id="rId53"/>
    <hyperlink xmlns:r="http://schemas.openxmlformats.org/officeDocument/2006/relationships" ref="U56" r:id="rId54"/>
    <hyperlink xmlns:r="http://schemas.openxmlformats.org/officeDocument/2006/relationships" ref="U57" r:id="rId55"/>
    <hyperlink xmlns:r="http://schemas.openxmlformats.org/officeDocument/2006/relationships" ref="U58" r:id="rId56"/>
    <hyperlink xmlns:r="http://schemas.openxmlformats.org/officeDocument/2006/relationships" ref="U59" r:id="rId57"/>
    <hyperlink xmlns:r="http://schemas.openxmlformats.org/officeDocument/2006/relationships" ref="U60" r:id="rId58"/>
    <hyperlink xmlns:r="http://schemas.openxmlformats.org/officeDocument/2006/relationships" ref="U61" r:id="rId59"/>
    <hyperlink xmlns:r="http://schemas.openxmlformats.org/officeDocument/2006/relationships" ref="U62" r:id="rId60"/>
    <hyperlink xmlns:r="http://schemas.openxmlformats.org/officeDocument/2006/relationships" ref="U63" r:id="rId61"/>
    <hyperlink xmlns:r="http://schemas.openxmlformats.org/officeDocument/2006/relationships" ref="U64" r:id="rId62"/>
    <hyperlink xmlns:r="http://schemas.openxmlformats.org/officeDocument/2006/relationships" ref="U65" r:id="rId63"/>
    <hyperlink xmlns:r="http://schemas.openxmlformats.org/officeDocument/2006/relationships" ref="U66" r:id="rId64"/>
    <hyperlink xmlns:r="http://schemas.openxmlformats.org/officeDocument/2006/relationships" ref="U67" r:id="rId65"/>
    <hyperlink xmlns:r="http://schemas.openxmlformats.org/officeDocument/2006/relationships" ref="U68" r:id="rId66"/>
    <hyperlink xmlns:r="http://schemas.openxmlformats.org/officeDocument/2006/relationships" ref="U69" r:id="rId67"/>
    <hyperlink xmlns:r="http://schemas.openxmlformats.org/officeDocument/2006/relationships" ref="U79" r:id="rId68"/>
    <hyperlink xmlns:r="http://schemas.openxmlformats.org/officeDocument/2006/relationships" ref="U80" r:id="rId69"/>
    <hyperlink xmlns:r="http://schemas.openxmlformats.org/officeDocument/2006/relationships" ref="U81" r:id="rId70"/>
    <hyperlink xmlns:r="http://schemas.openxmlformats.org/officeDocument/2006/relationships" ref="U82" r:id="rId71"/>
    <hyperlink xmlns:r="http://schemas.openxmlformats.org/officeDocument/2006/relationships" ref="U83" r:id="rId72"/>
    <hyperlink xmlns:r="http://schemas.openxmlformats.org/officeDocument/2006/relationships" ref="U84" r:id="rId73"/>
    <hyperlink xmlns:r="http://schemas.openxmlformats.org/officeDocument/2006/relationships" ref="U85" r:id="rId74"/>
    <hyperlink xmlns:r="http://schemas.openxmlformats.org/officeDocument/2006/relationships" ref="U86" r:id="rId75"/>
    <hyperlink xmlns:r="http://schemas.openxmlformats.org/officeDocument/2006/relationships" ref="U87" r:id="rId76"/>
    <hyperlink xmlns:r="http://schemas.openxmlformats.org/officeDocument/2006/relationships" ref="U88" r:id="rId77"/>
    <hyperlink xmlns:r="http://schemas.openxmlformats.org/officeDocument/2006/relationships" ref="U89" r:id="rId78"/>
    <hyperlink xmlns:r="http://schemas.openxmlformats.org/officeDocument/2006/relationships" ref="U90" r:id="rId79"/>
    <hyperlink xmlns:r="http://schemas.openxmlformats.org/officeDocument/2006/relationships" ref="U91" r:id="rId80"/>
    <hyperlink xmlns:r="http://schemas.openxmlformats.org/officeDocument/2006/relationships" ref="U92" r:id="rId81"/>
    <hyperlink xmlns:r="http://schemas.openxmlformats.org/officeDocument/2006/relationships" ref="U93" r:id="rId82"/>
    <hyperlink xmlns:r="http://schemas.openxmlformats.org/officeDocument/2006/relationships" ref="U94" r:id="rId83"/>
    <hyperlink xmlns:r="http://schemas.openxmlformats.org/officeDocument/2006/relationships" ref="U99" r:id="rId84"/>
    <hyperlink xmlns:r="http://schemas.openxmlformats.org/officeDocument/2006/relationships" ref="U100" r:id="rId85"/>
    <hyperlink xmlns:r="http://schemas.openxmlformats.org/officeDocument/2006/relationships" ref="U101" r:id="rId86"/>
    <hyperlink xmlns:r="http://schemas.openxmlformats.org/officeDocument/2006/relationships" ref="U102" r:id="rId87"/>
    <hyperlink xmlns:r="http://schemas.openxmlformats.org/officeDocument/2006/relationships" ref="U103" r:id="rId88"/>
    <hyperlink xmlns:r="http://schemas.openxmlformats.org/officeDocument/2006/relationships" ref="U104" r:id="rId89"/>
    <hyperlink xmlns:r="http://schemas.openxmlformats.org/officeDocument/2006/relationships" ref="U105" r:id="rId90"/>
    <hyperlink xmlns:r="http://schemas.openxmlformats.org/officeDocument/2006/relationships" ref="U106" r:id="rId91"/>
    <hyperlink xmlns:r="http://schemas.openxmlformats.org/officeDocument/2006/relationships" ref="U107" r:id="rId92"/>
    <hyperlink xmlns:r="http://schemas.openxmlformats.org/officeDocument/2006/relationships" ref="U108" r:id="rId93"/>
    <hyperlink xmlns:r="http://schemas.openxmlformats.org/officeDocument/2006/relationships" ref="U109" r:id="rId94"/>
    <hyperlink xmlns:r="http://schemas.openxmlformats.org/officeDocument/2006/relationships" ref="U110" r:id="rId95"/>
    <hyperlink xmlns:r="http://schemas.openxmlformats.org/officeDocument/2006/relationships" ref="U111" r:id="rId96"/>
    <hyperlink xmlns:r="http://schemas.openxmlformats.org/officeDocument/2006/relationships" ref="U112" r:id="rId97"/>
    <hyperlink xmlns:r="http://schemas.openxmlformats.org/officeDocument/2006/relationships" ref="U113" r:id="rId98"/>
    <hyperlink xmlns:r="http://schemas.openxmlformats.org/officeDocument/2006/relationships" ref="U114" r:id="rId99"/>
    <hyperlink xmlns:r="http://schemas.openxmlformats.org/officeDocument/2006/relationships" ref="U115" r:id="rId100"/>
    <hyperlink xmlns:r="http://schemas.openxmlformats.org/officeDocument/2006/relationships" ref="U116" r:id="rId101"/>
    <hyperlink xmlns:r="http://schemas.openxmlformats.org/officeDocument/2006/relationships" ref="U117" r:id="rId102"/>
    <hyperlink xmlns:r="http://schemas.openxmlformats.org/officeDocument/2006/relationships" ref="U118" r:id="rId103"/>
    <hyperlink xmlns:r="http://schemas.openxmlformats.org/officeDocument/2006/relationships" ref="U119" r:id="rId104"/>
    <hyperlink xmlns:r="http://schemas.openxmlformats.org/officeDocument/2006/relationships" ref="U120" r:id="rId105"/>
    <hyperlink xmlns:r="http://schemas.openxmlformats.org/officeDocument/2006/relationships" ref="U121" r:id="rId106"/>
    <hyperlink xmlns:r="http://schemas.openxmlformats.org/officeDocument/2006/relationships" ref="U122" r:id="rId107"/>
    <hyperlink xmlns:r="http://schemas.openxmlformats.org/officeDocument/2006/relationships" ref="U123" r:id="rId108"/>
    <hyperlink xmlns:r="http://schemas.openxmlformats.org/officeDocument/2006/relationships" ref="U124" r:id="rId109"/>
    <hyperlink xmlns:r="http://schemas.openxmlformats.org/officeDocument/2006/relationships" ref="U125" r:id="rId110"/>
    <hyperlink xmlns:r="http://schemas.openxmlformats.org/officeDocument/2006/relationships" ref="U126" r:id="rId111"/>
    <hyperlink xmlns:r="http://schemas.openxmlformats.org/officeDocument/2006/relationships" ref="U127" r:id="rId112"/>
    <hyperlink xmlns:r="http://schemas.openxmlformats.org/officeDocument/2006/relationships" ref="U128" r:id="rId113"/>
    <hyperlink xmlns:r="http://schemas.openxmlformats.org/officeDocument/2006/relationships" ref="U129" r:id="rId114"/>
    <hyperlink xmlns:r="http://schemas.openxmlformats.org/officeDocument/2006/relationships" ref="U130" r:id="rId115"/>
    <hyperlink xmlns:r="http://schemas.openxmlformats.org/officeDocument/2006/relationships" ref="U132" r:id="rId116"/>
    <hyperlink xmlns:r="http://schemas.openxmlformats.org/officeDocument/2006/relationships" ref="U133" r:id="rId117"/>
    <hyperlink xmlns:r="http://schemas.openxmlformats.org/officeDocument/2006/relationships" ref="U134" r:id="rId118"/>
    <hyperlink xmlns:r="http://schemas.openxmlformats.org/officeDocument/2006/relationships" ref="U135" r:id="rId119"/>
    <hyperlink xmlns:r="http://schemas.openxmlformats.org/officeDocument/2006/relationships" ref="U136" r:id="rId120"/>
    <hyperlink xmlns:r="http://schemas.openxmlformats.org/officeDocument/2006/relationships" ref="U137" r:id="rId121"/>
    <hyperlink xmlns:r="http://schemas.openxmlformats.org/officeDocument/2006/relationships" ref="U138" r:id="rId122"/>
    <hyperlink xmlns:r="http://schemas.openxmlformats.org/officeDocument/2006/relationships" ref="U139" r:id="rId123"/>
    <hyperlink xmlns:r="http://schemas.openxmlformats.org/officeDocument/2006/relationships" ref="U140" r:id="rId124"/>
    <hyperlink xmlns:r="http://schemas.openxmlformats.org/officeDocument/2006/relationships" ref="U141" r:id="rId125"/>
    <hyperlink xmlns:r="http://schemas.openxmlformats.org/officeDocument/2006/relationships" ref="U142" r:id="rId126"/>
    <hyperlink xmlns:r="http://schemas.openxmlformats.org/officeDocument/2006/relationships" ref="U143" r:id="rId127"/>
    <hyperlink xmlns:r="http://schemas.openxmlformats.org/officeDocument/2006/relationships" ref="U144" r:id="rId128"/>
    <hyperlink xmlns:r="http://schemas.openxmlformats.org/officeDocument/2006/relationships" ref="U145" r:id="rId129"/>
    <hyperlink xmlns:r="http://schemas.openxmlformats.org/officeDocument/2006/relationships" ref="U146" r:id="rId130"/>
    <hyperlink xmlns:r="http://schemas.openxmlformats.org/officeDocument/2006/relationships" ref="U147" r:id="rId131"/>
    <hyperlink xmlns:r="http://schemas.openxmlformats.org/officeDocument/2006/relationships" ref="U148" r:id="rId132"/>
    <hyperlink xmlns:r="http://schemas.openxmlformats.org/officeDocument/2006/relationships" ref="U149" r:id="rId133"/>
    <hyperlink xmlns:r="http://schemas.openxmlformats.org/officeDocument/2006/relationships" ref="U150" r:id="rId134"/>
    <hyperlink xmlns:r="http://schemas.openxmlformats.org/officeDocument/2006/relationships" ref="U151" r:id="rId135"/>
    <hyperlink xmlns:r="http://schemas.openxmlformats.org/officeDocument/2006/relationships" ref="U152" r:id="rId136"/>
    <hyperlink xmlns:r="http://schemas.openxmlformats.org/officeDocument/2006/relationships" ref="U153" r:id="rId137"/>
    <hyperlink xmlns:r="http://schemas.openxmlformats.org/officeDocument/2006/relationships" ref="U154" r:id="rId138"/>
    <hyperlink xmlns:r="http://schemas.openxmlformats.org/officeDocument/2006/relationships" ref="U155" r:id="rId139"/>
    <hyperlink xmlns:r="http://schemas.openxmlformats.org/officeDocument/2006/relationships" ref="U156" r:id="rId140"/>
    <hyperlink xmlns:r="http://schemas.openxmlformats.org/officeDocument/2006/relationships" ref="U157" r:id="rId141"/>
    <hyperlink xmlns:r="http://schemas.openxmlformats.org/officeDocument/2006/relationships" ref="U158" r:id="rId142"/>
    <hyperlink xmlns:r="http://schemas.openxmlformats.org/officeDocument/2006/relationships" ref="U159" r:id="rId143"/>
    <hyperlink xmlns:r="http://schemas.openxmlformats.org/officeDocument/2006/relationships" ref="U160" r:id="rId144"/>
    <hyperlink xmlns:r="http://schemas.openxmlformats.org/officeDocument/2006/relationships" ref="U161" r:id="rId145"/>
    <hyperlink xmlns:r="http://schemas.openxmlformats.org/officeDocument/2006/relationships" ref="U162" r:id="rId146"/>
    <hyperlink xmlns:r="http://schemas.openxmlformats.org/officeDocument/2006/relationships" ref="U163" r:id="rId147"/>
    <hyperlink xmlns:r="http://schemas.openxmlformats.org/officeDocument/2006/relationships" ref="U164" r:id="rId148"/>
    <hyperlink xmlns:r="http://schemas.openxmlformats.org/officeDocument/2006/relationships" ref="U165" r:id="rId149"/>
    <hyperlink xmlns:r="http://schemas.openxmlformats.org/officeDocument/2006/relationships" ref="U166" r:id="rId150"/>
    <hyperlink xmlns:r="http://schemas.openxmlformats.org/officeDocument/2006/relationships" ref="U167" r:id="rId151"/>
    <hyperlink xmlns:r="http://schemas.openxmlformats.org/officeDocument/2006/relationships" ref="U168" r:id="rId152"/>
    <hyperlink xmlns:r="http://schemas.openxmlformats.org/officeDocument/2006/relationships" ref="U169" r:id="rId153"/>
    <hyperlink xmlns:r="http://schemas.openxmlformats.org/officeDocument/2006/relationships" ref="U170" r:id="rId154"/>
    <hyperlink xmlns:r="http://schemas.openxmlformats.org/officeDocument/2006/relationships" ref="U171" r:id="rId155"/>
    <hyperlink xmlns:r="http://schemas.openxmlformats.org/officeDocument/2006/relationships" ref="U172" r:id="rId156"/>
    <hyperlink xmlns:r="http://schemas.openxmlformats.org/officeDocument/2006/relationships" ref="U173" r:id="rId157"/>
    <hyperlink xmlns:r="http://schemas.openxmlformats.org/officeDocument/2006/relationships" ref="U174" r:id="rId158"/>
    <hyperlink xmlns:r="http://schemas.openxmlformats.org/officeDocument/2006/relationships" ref="U175" r:id="rId159"/>
    <hyperlink xmlns:r="http://schemas.openxmlformats.org/officeDocument/2006/relationships" ref="U176" r:id="rId160"/>
    <hyperlink xmlns:r="http://schemas.openxmlformats.org/officeDocument/2006/relationships" ref="U179" r:id="rId161"/>
    <hyperlink xmlns:r="http://schemas.openxmlformats.org/officeDocument/2006/relationships" ref="U180" r:id="rId162"/>
    <hyperlink xmlns:r="http://schemas.openxmlformats.org/officeDocument/2006/relationships" ref="U181" r:id="rId163"/>
    <hyperlink xmlns:r="http://schemas.openxmlformats.org/officeDocument/2006/relationships" ref="U182" r:id="rId164"/>
    <hyperlink xmlns:r="http://schemas.openxmlformats.org/officeDocument/2006/relationships" ref="U183" r:id="rId165"/>
    <hyperlink xmlns:r="http://schemas.openxmlformats.org/officeDocument/2006/relationships" ref="U184" r:id="rId166"/>
    <hyperlink xmlns:r="http://schemas.openxmlformats.org/officeDocument/2006/relationships" ref="U185" r:id="rId167"/>
    <hyperlink xmlns:r="http://schemas.openxmlformats.org/officeDocument/2006/relationships" ref="U186" r:id="rId168"/>
    <hyperlink xmlns:r="http://schemas.openxmlformats.org/officeDocument/2006/relationships" ref="U187" r:id="rId169"/>
    <hyperlink xmlns:r="http://schemas.openxmlformats.org/officeDocument/2006/relationships" ref="U188" r:id="rId170"/>
    <hyperlink xmlns:r="http://schemas.openxmlformats.org/officeDocument/2006/relationships" ref="U189" r:id="rId171"/>
    <hyperlink xmlns:r="http://schemas.openxmlformats.org/officeDocument/2006/relationships" ref="U190" r:id="rId172"/>
    <hyperlink xmlns:r="http://schemas.openxmlformats.org/officeDocument/2006/relationships" ref="U191" r:id="rId173"/>
    <hyperlink xmlns:r="http://schemas.openxmlformats.org/officeDocument/2006/relationships" ref="U192" r:id="rId174"/>
    <hyperlink xmlns:r="http://schemas.openxmlformats.org/officeDocument/2006/relationships" ref="U193" r:id="rId175"/>
    <hyperlink xmlns:r="http://schemas.openxmlformats.org/officeDocument/2006/relationships" ref="U196" r:id="rId176"/>
    <hyperlink xmlns:r="http://schemas.openxmlformats.org/officeDocument/2006/relationships" ref="U197" r:id="rId177"/>
    <hyperlink xmlns:r="http://schemas.openxmlformats.org/officeDocument/2006/relationships" ref="U198" r:id="rId178"/>
    <hyperlink xmlns:r="http://schemas.openxmlformats.org/officeDocument/2006/relationships" ref="U199" r:id="rId179"/>
    <hyperlink xmlns:r="http://schemas.openxmlformats.org/officeDocument/2006/relationships" ref="U200" r:id="rId180"/>
    <hyperlink xmlns:r="http://schemas.openxmlformats.org/officeDocument/2006/relationships" ref="U201" r:id="rId181"/>
    <hyperlink xmlns:r="http://schemas.openxmlformats.org/officeDocument/2006/relationships" ref="U202" r:id="rId182"/>
    <hyperlink xmlns:r="http://schemas.openxmlformats.org/officeDocument/2006/relationships" ref="U203" r:id="rId183"/>
    <hyperlink xmlns:r="http://schemas.openxmlformats.org/officeDocument/2006/relationships" ref="U204" r:id="rId184"/>
    <hyperlink xmlns:r="http://schemas.openxmlformats.org/officeDocument/2006/relationships" ref="U205" r:id="rId185"/>
    <hyperlink xmlns:r="http://schemas.openxmlformats.org/officeDocument/2006/relationships" ref="U206" r:id="rId186"/>
    <hyperlink xmlns:r="http://schemas.openxmlformats.org/officeDocument/2006/relationships" ref="U207" r:id="rId187"/>
    <hyperlink xmlns:r="http://schemas.openxmlformats.org/officeDocument/2006/relationships" ref="U208" r:id="rId188"/>
    <hyperlink xmlns:r="http://schemas.openxmlformats.org/officeDocument/2006/relationships" ref="U209" r:id="rId189"/>
    <hyperlink xmlns:r="http://schemas.openxmlformats.org/officeDocument/2006/relationships" ref="U210" r:id="rId190"/>
    <hyperlink xmlns:r="http://schemas.openxmlformats.org/officeDocument/2006/relationships" ref="U211" r:id="rId191"/>
    <hyperlink xmlns:r="http://schemas.openxmlformats.org/officeDocument/2006/relationships" ref="U212" r:id="rId192"/>
    <hyperlink xmlns:r="http://schemas.openxmlformats.org/officeDocument/2006/relationships" ref="U213" r:id="rId193"/>
    <hyperlink xmlns:r="http://schemas.openxmlformats.org/officeDocument/2006/relationships" ref="U214" r:id="rId194"/>
    <hyperlink xmlns:r="http://schemas.openxmlformats.org/officeDocument/2006/relationships" ref="U215" r:id="rId195"/>
    <hyperlink xmlns:r="http://schemas.openxmlformats.org/officeDocument/2006/relationships" ref="U216" r:id="rId196"/>
    <hyperlink xmlns:r="http://schemas.openxmlformats.org/officeDocument/2006/relationships" ref="U217" r:id="rId197"/>
    <hyperlink xmlns:r="http://schemas.openxmlformats.org/officeDocument/2006/relationships" ref="U218" r:id="rId198"/>
    <hyperlink xmlns:r="http://schemas.openxmlformats.org/officeDocument/2006/relationships" ref="U219" r:id="rId199"/>
    <hyperlink xmlns:r="http://schemas.openxmlformats.org/officeDocument/2006/relationships" ref="U220" r:id="rId200"/>
    <hyperlink xmlns:r="http://schemas.openxmlformats.org/officeDocument/2006/relationships" ref="U221" r:id="rId201"/>
    <hyperlink xmlns:r="http://schemas.openxmlformats.org/officeDocument/2006/relationships" ref="U222" r:id="rId202"/>
    <hyperlink xmlns:r="http://schemas.openxmlformats.org/officeDocument/2006/relationships" ref="U223" r:id="rId203"/>
    <hyperlink xmlns:r="http://schemas.openxmlformats.org/officeDocument/2006/relationships" ref="U224" r:id="rId204"/>
    <hyperlink xmlns:r="http://schemas.openxmlformats.org/officeDocument/2006/relationships" ref="U225" r:id="rId205"/>
    <hyperlink xmlns:r="http://schemas.openxmlformats.org/officeDocument/2006/relationships" ref="U226" r:id="rId206"/>
    <hyperlink xmlns:r="http://schemas.openxmlformats.org/officeDocument/2006/relationships" ref="U227" r:id="rId207"/>
    <hyperlink xmlns:r="http://schemas.openxmlformats.org/officeDocument/2006/relationships" ref="U230" r:id="rId208"/>
    <hyperlink xmlns:r="http://schemas.openxmlformats.org/officeDocument/2006/relationships" ref="U231" r:id="rId209"/>
    <hyperlink xmlns:r="http://schemas.openxmlformats.org/officeDocument/2006/relationships" ref="U232" r:id="rId210"/>
    <hyperlink xmlns:r="http://schemas.openxmlformats.org/officeDocument/2006/relationships" ref="U233" r:id="rId211"/>
    <hyperlink xmlns:r="http://schemas.openxmlformats.org/officeDocument/2006/relationships" ref="U234" r:id="rId212"/>
    <hyperlink xmlns:r="http://schemas.openxmlformats.org/officeDocument/2006/relationships" ref="U235" r:id="rId213"/>
    <hyperlink xmlns:r="http://schemas.openxmlformats.org/officeDocument/2006/relationships" ref="U236" r:id="rId214"/>
    <hyperlink xmlns:r="http://schemas.openxmlformats.org/officeDocument/2006/relationships" ref="U237" r:id="rId215"/>
    <hyperlink xmlns:r="http://schemas.openxmlformats.org/officeDocument/2006/relationships" ref="U238" r:id="rId216"/>
    <hyperlink xmlns:r="http://schemas.openxmlformats.org/officeDocument/2006/relationships" ref="U239" r:id="rId217"/>
    <hyperlink xmlns:r="http://schemas.openxmlformats.org/officeDocument/2006/relationships" ref="U240" r:id="rId218"/>
    <hyperlink xmlns:r="http://schemas.openxmlformats.org/officeDocument/2006/relationships" ref="U241" r:id="rId219"/>
    <hyperlink xmlns:r="http://schemas.openxmlformats.org/officeDocument/2006/relationships" ref="U243" r:id="rId220"/>
    <hyperlink xmlns:r="http://schemas.openxmlformats.org/officeDocument/2006/relationships" ref="U247" r:id="rId221"/>
    <hyperlink xmlns:r="http://schemas.openxmlformats.org/officeDocument/2006/relationships" ref="U248" r:id="rId222"/>
    <hyperlink xmlns:r="http://schemas.openxmlformats.org/officeDocument/2006/relationships" ref="U249" r:id="rId223"/>
    <hyperlink xmlns:r="http://schemas.openxmlformats.org/officeDocument/2006/relationships" ref="U250" r:id="rId224"/>
    <hyperlink xmlns:r="http://schemas.openxmlformats.org/officeDocument/2006/relationships" ref="U251" r:id="rId225"/>
    <hyperlink xmlns:r="http://schemas.openxmlformats.org/officeDocument/2006/relationships" ref="U252" r:id="rId226"/>
    <hyperlink xmlns:r="http://schemas.openxmlformats.org/officeDocument/2006/relationships" ref="U253" r:id="rId227"/>
    <hyperlink xmlns:r="http://schemas.openxmlformats.org/officeDocument/2006/relationships" ref="U254" r:id="rId228"/>
    <hyperlink xmlns:r="http://schemas.openxmlformats.org/officeDocument/2006/relationships" ref="U255" r:id="rId229"/>
    <hyperlink xmlns:r="http://schemas.openxmlformats.org/officeDocument/2006/relationships" ref="U256" r:id="rId230"/>
    <hyperlink xmlns:r="http://schemas.openxmlformats.org/officeDocument/2006/relationships" ref="U257" r:id="rId231"/>
    <hyperlink xmlns:r="http://schemas.openxmlformats.org/officeDocument/2006/relationships" ref="U258" r:id="rId232"/>
    <hyperlink xmlns:r="http://schemas.openxmlformats.org/officeDocument/2006/relationships" ref="U259" r:id="rId233"/>
    <hyperlink xmlns:r="http://schemas.openxmlformats.org/officeDocument/2006/relationships" ref="U260" r:id="rId234"/>
    <hyperlink xmlns:r="http://schemas.openxmlformats.org/officeDocument/2006/relationships" ref="U261" r:id="rId235"/>
    <hyperlink xmlns:r="http://schemas.openxmlformats.org/officeDocument/2006/relationships" ref="U262" r:id="rId236"/>
    <hyperlink xmlns:r="http://schemas.openxmlformats.org/officeDocument/2006/relationships" ref="U264" r:id="rId237"/>
    <hyperlink xmlns:r="http://schemas.openxmlformats.org/officeDocument/2006/relationships" ref="U265" r:id="rId238"/>
    <hyperlink xmlns:r="http://schemas.openxmlformats.org/officeDocument/2006/relationships" ref="U266" r:id="rId239"/>
    <hyperlink xmlns:r="http://schemas.openxmlformats.org/officeDocument/2006/relationships" ref="U267" r:id="rId240"/>
    <hyperlink xmlns:r="http://schemas.openxmlformats.org/officeDocument/2006/relationships" ref="U268" r:id="rId241"/>
    <hyperlink xmlns:r="http://schemas.openxmlformats.org/officeDocument/2006/relationships" ref="U269" r:id="rId242"/>
    <hyperlink xmlns:r="http://schemas.openxmlformats.org/officeDocument/2006/relationships" ref="U270" r:id="rId243"/>
    <hyperlink xmlns:r="http://schemas.openxmlformats.org/officeDocument/2006/relationships" ref="U271" r:id="rId244"/>
    <hyperlink xmlns:r="http://schemas.openxmlformats.org/officeDocument/2006/relationships" ref="U272" r:id="rId245"/>
    <hyperlink xmlns:r="http://schemas.openxmlformats.org/officeDocument/2006/relationships" ref="U273" r:id="rId246"/>
    <hyperlink xmlns:r="http://schemas.openxmlformats.org/officeDocument/2006/relationships" ref="U274" r:id="rId247"/>
    <hyperlink xmlns:r="http://schemas.openxmlformats.org/officeDocument/2006/relationships" ref="U275" r:id="rId248"/>
    <hyperlink xmlns:r="http://schemas.openxmlformats.org/officeDocument/2006/relationships" ref="U276" r:id="rId249"/>
    <hyperlink xmlns:r="http://schemas.openxmlformats.org/officeDocument/2006/relationships" ref="U277" r:id="rId250"/>
    <hyperlink xmlns:r="http://schemas.openxmlformats.org/officeDocument/2006/relationships" ref="U278" r:id="rId251"/>
    <hyperlink xmlns:r="http://schemas.openxmlformats.org/officeDocument/2006/relationships" ref="U279" r:id="rId252"/>
    <hyperlink xmlns:r="http://schemas.openxmlformats.org/officeDocument/2006/relationships" ref="U280" r:id="rId253"/>
    <hyperlink xmlns:r="http://schemas.openxmlformats.org/officeDocument/2006/relationships" ref="U281" r:id="rId254"/>
    <hyperlink xmlns:r="http://schemas.openxmlformats.org/officeDocument/2006/relationships" ref="U282" r:id="rId255"/>
    <hyperlink xmlns:r="http://schemas.openxmlformats.org/officeDocument/2006/relationships" ref="U283" r:id="rId256"/>
    <hyperlink xmlns:r="http://schemas.openxmlformats.org/officeDocument/2006/relationships" ref="U284" r:id="rId257"/>
    <hyperlink xmlns:r="http://schemas.openxmlformats.org/officeDocument/2006/relationships" ref="U285" r:id="rId258"/>
    <hyperlink xmlns:r="http://schemas.openxmlformats.org/officeDocument/2006/relationships" ref="U286" r:id="rId259"/>
    <hyperlink xmlns:r="http://schemas.openxmlformats.org/officeDocument/2006/relationships" ref="U287" r:id="rId260"/>
    <hyperlink xmlns:r="http://schemas.openxmlformats.org/officeDocument/2006/relationships" ref="U288" r:id="rId261"/>
    <hyperlink xmlns:r="http://schemas.openxmlformats.org/officeDocument/2006/relationships" ref="U289" r:id="rId262"/>
    <hyperlink xmlns:r="http://schemas.openxmlformats.org/officeDocument/2006/relationships" ref="U290" r:id="rId263"/>
    <hyperlink xmlns:r="http://schemas.openxmlformats.org/officeDocument/2006/relationships" ref="U291" r:id="rId264"/>
    <hyperlink xmlns:r="http://schemas.openxmlformats.org/officeDocument/2006/relationships" ref="U292" r:id="rId265"/>
    <hyperlink xmlns:r="http://schemas.openxmlformats.org/officeDocument/2006/relationships" ref="U293" r:id="rId266"/>
    <hyperlink xmlns:r="http://schemas.openxmlformats.org/officeDocument/2006/relationships" ref="U294" r:id="rId267"/>
    <hyperlink xmlns:r="http://schemas.openxmlformats.org/officeDocument/2006/relationships" ref="U295" r:id="rId268"/>
    <hyperlink xmlns:r="http://schemas.openxmlformats.org/officeDocument/2006/relationships" ref="U296" r:id="rId269"/>
    <hyperlink xmlns:r="http://schemas.openxmlformats.org/officeDocument/2006/relationships" ref="U297" r:id="rId270"/>
    <hyperlink xmlns:r="http://schemas.openxmlformats.org/officeDocument/2006/relationships" ref="U298" r:id="rId271"/>
    <hyperlink xmlns:r="http://schemas.openxmlformats.org/officeDocument/2006/relationships" ref="U299" r:id="rId272"/>
    <hyperlink xmlns:r="http://schemas.openxmlformats.org/officeDocument/2006/relationships" ref="U300" r:id="rId273"/>
    <hyperlink xmlns:r="http://schemas.openxmlformats.org/officeDocument/2006/relationships" ref="U301" r:id="rId274"/>
    <hyperlink xmlns:r="http://schemas.openxmlformats.org/officeDocument/2006/relationships" ref="U302" r:id="rId275"/>
    <hyperlink xmlns:r="http://schemas.openxmlformats.org/officeDocument/2006/relationships" ref="U303" r:id="rId276"/>
    <hyperlink xmlns:r="http://schemas.openxmlformats.org/officeDocument/2006/relationships" ref="U304" r:id="rId277"/>
    <hyperlink xmlns:r="http://schemas.openxmlformats.org/officeDocument/2006/relationships" ref="U307" r:id="rId278"/>
    <hyperlink xmlns:r="http://schemas.openxmlformats.org/officeDocument/2006/relationships" ref="U308" r:id="rId279"/>
    <hyperlink xmlns:r="http://schemas.openxmlformats.org/officeDocument/2006/relationships" ref="U309" r:id="rId280"/>
    <hyperlink xmlns:r="http://schemas.openxmlformats.org/officeDocument/2006/relationships" ref="U310" r:id="rId281"/>
    <hyperlink xmlns:r="http://schemas.openxmlformats.org/officeDocument/2006/relationships" ref="U311" r:id="rId282"/>
    <hyperlink xmlns:r="http://schemas.openxmlformats.org/officeDocument/2006/relationships" ref="U312" r:id="rId283"/>
    <hyperlink xmlns:r="http://schemas.openxmlformats.org/officeDocument/2006/relationships" ref="U313" r:id="rId284"/>
    <hyperlink xmlns:r="http://schemas.openxmlformats.org/officeDocument/2006/relationships" ref="U314" r:id="rId285"/>
    <hyperlink xmlns:r="http://schemas.openxmlformats.org/officeDocument/2006/relationships" ref="U315" r:id="rId286"/>
    <hyperlink xmlns:r="http://schemas.openxmlformats.org/officeDocument/2006/relationships" ref="U316" r:id="rId287"/>
    <hyperlink xmlns:r="http://schemas.openxmlformats.org/officeDocument/2006/relationships" ref="U317" r:id="rId28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10" customWidth="1" min="3" max="3"/>
    <col width="10" customWidth="1" min="4" max="4"/>
    <col width="12" customWidth="1" min="5" max="5"/>
    <col width="22" customWidth="1" min="6" max="6"/>
  </cols>
  <sheetData>
    <row r="1" ht="48" customHeight="1">
      <c r="A1" s="3" t="inlineStr">
        <is>
          <t>Таблица</t>
        </is>
      </c>
      <c r="B1" s="3" t="inlineStr">
        <is>
          <t>Грузополучатель / статья</t>
        </is>
      </c>
      <c r="C1" s="3" t="inlineStr">
        <is>
          <t>Позиций</t>
        </is>
      </c>
      <c r="D1" s="3" t="inlineStr">
        <is>
          <t>Единиц</t>
        </is>
      </c>
      <c r="E1" s="3" t="inlineStr">
        <is>
          <t>Цен найдено</t>
        </is>
      </c>
      <c r="F1" s="3" t="inlineStr">
        <is>
          <t>Себестоимость найденных, ₽</t>
        </is>
      </c>
    </row>
    <row r="2" ht="34" customHeight="1">
      <c r="A2" s="5" t="inlineStr">
        <is>
          <t>1.1</t>
        </is>
      </c>
      <c r="B2" s="5" t="inlineStr">
        <is>
          <t>Спец. №1 · Возобновляемая энергетика · ремонт</t>
        </is>
      </c>
      <c r="C2" s="5">
        <f>COUNTIF(Позиции!A3:A317,"1.1")</f>
        <v/>
      </c>
      <c r="D2" s="5">
        <f>SUMIF(Позиции!A3:A317,"1.1",Позиции!E3:E317)</f>
        <v/>
      </c>
      <c r="E2" s="5">
        <f>COUNTIFS(Позиции!A3:A317,"1.1",Позиции!K3:K317,"&gt;0")</f>
        <v/>
      </c>
      <c r="F2" s="15">
        <f>SUMIF(Позиции!A3:A317,"1.1",Позиции!P3:P317)</f>
        <v/>
      </c>
    </row>
    <row r="3" ht="34" customHeight="1">
      <c r="A3" s="5" t="inlineStr">
        <is>
          <t>1.2</t>
        </is>
      </c>
      <c r="B3" s="5" t="inlineStr">
        <is>
          <t>Спец. №2 · КТЭЦ · ремонт арендованного</t>
        </is>
      </c>
      <c r="C3" s="5">
        <f>COUNTIF(Позиции!A3:A317,"1.2")</f>
        <v/>
      </c>
      <c r="D3" s="5">
        <f>SUMIF(Позиции!A3:A317,"1.2",Позиции!E3:E317)</f>
        <v/>
      </c>
      <c r="E3" s="5">
        <f>COUNTIFS(Позиции!A3:A317,"1.2",Позиции!K3:K317,"&gt;0")</f>
        <v/>
      </c>
      <c r="F3" s="15">
        <f>SUMIF(Позиции!A3:A317,"1.2",Позиции!P3:P317)</f>
        <v/>
      </c>
    </row>
    <row r="4" ht="34" customHeight="1">
      <c r="A4" s="5" t="inlineStr">
        <is>
          <t>1.3</t>
        </is>
      </c>
      <c r="B4" s="5" t="inlineStr">
        <is>
          <t>Спец. №2 · КТЭЦ · ремонт</t>
        </is>
      </c>
      <c r="C4" s="5">
        <f>COUNTIF(Позиции!A3:A317,"1.3")</f>
        <v/>
      </c>
      <c r="D4" s="5">
        <f>SUMIF(Позиции!A3:A317,"1.3",Позиции!E3:E317)</f>
        <v/>
      </c>
      <c r="E4" s="5">
        <f>COUNTIFS(Позиции!A3:A317,"1.3",Позиции!K3:K317,"&gt;0")</f>
        <v/>
      </c>
      <c r="F4" s="15">
        <f>SUMIF(Позиции!A3:A317,"1.3",Позиции!P3:P317)</f>
        <v/>
      </c>
    </row>
    <row r="5" ht="34" customHeight="1">
      <c r="A5" s="5" t="inlineStr">
        <is>
          <t>1.4</t>
        </is>
      </c>
      <c r="B5" s="5" t="inlineStr">
        <is>
          <t>Спец. №2 · КТЭЦ · эксплуатация</t>
        </is>
      </c>
      <c r="C5" s="5">
        <f>COUNTIF(Позиции!A3:A317,"1.4")</f>
        <v/>
      </c>
      <c r="D5" s="5">
        <f>SUMIF(Позиции!A3:A317,"1.4",Позиции!E3:E317)</f>
        <v/>
      </c>
      <c r="E5" s="5">
        <f>COUNTIFS(Позиции!A3:A317,"1.4",Позиции!K3:K317,"&gt;0")</f>
        <v/>
      </c>
      <c r="F5" s="15">
        <f>SUMIF(Позиции!A3:A317,"1.4",Позиции!P3:P317)</f>
        <v/>
      </c>
    </row>
    <row r="6" ht="34" customHeight="1">
      <c r="A6" s="5" t="inlineStr">
        <is>
          <t>1.5</t>
        </is>
      </c>
      <c r="B6" s="5" t="inlineStr">
        <is>
          <t>Спец. №2 · КТЭЦ · ТО</t>
        </is>
      </c>
      <c r="C6" s="5">
        <f>COUNTIF(Позиции!A3:A317,"1.5")</f>
        <v/>
      </c>
      <c r="D6" s="5">
        <f>SUMIF(Позиции!A3:A317,"1.5",Позиции!E3:E317)</f>
        <v/>
      </c>
      <c r="E6" s="5">
        <f>COUNTIFS(Позиции!A3:A317,"1.5",Позиции!K3:K317,"&gt;0")</f>
        <v/>
      </c>
      <c r="F6" s="15">
        <f>SUMIF(Позиции!A3:A317,"1.5",Позиции!P3:P317)</f>
        <v/>
      </c>
    </row>
    <row r="7" ht="34" customHeight="1">
      <c r="A7" s="5" t="inlineStr">
        <is>
          <t>1.6</t>
        </is>
      </c>
      <c r="B7" s="5" t="inlineStr">
        <is>
          <t>Спец. №3 · Коммунальная энергетика · ремонт</t>
        </is>
      </c>
      <c r="C7" s="5">
        <f>COUNTIF(Позиции!A3:A317,"1.6")</f>
        <v/>
      </c>
      <c r="D7" s="5">
        <f>SUMIF(Позиции!A3:A317,"1.6",Позиции!E3:E317)</f>
        <v/>
      </c>
      <c r="E7" s="5">
        <f>COUNTIFS(Позиции!A3:A317,"1.6",Позиции!K3:K317,"&gt;0")</f>
        <v/>
      </c>
      <c r="F7" s="15">
        <f>SUMIF(Позиции!A3:A317,"1.6",Позиции!P3:P317)</f>
        <v/>
      </c>
    </row>
    <row r="8" ht="34" customHeight="1">
      <c r="A8" s="5" t="inlineStr">
        <is>
          <t>1.7</t>
        </is>
      </c>
      <c r="B8" s="5" t="inlineStr">
        <is>
          <t>Спец. №3 · Коммунальная энергетика · ТО</t>
        </is>
      </c>
      <c r="C8" s="5">
        <f>COUNTIF(Позиции!A3:A317,"1.7")</f>
        <v/>
      </c>
      <c r="D8" s="5">
        <f>SUMIF(Позиции!A3:A317,"1.7",Позиции!E3:E317)</f>
        <v/>
      </c>
      <c r="E8" s="5">
        <f>COUNTIFS(Позиции!A3:A317,"1.7",Позиции!K3:K317,"&gt;0")</f>
        <v/>
      </c>
      <c r="F8" s="15">
        <f>SUMIF(Позиции!A3:A317,"1.7",Позиции!P3:P317)</f>
        <v/>
      </c>
    </row>
    <row r="9" ht="34" customHeight="1">
      <c r="A9" s="5" t="inlineStr">
        <is>
          <t>1.8</t>
        </is>
      </c>
      <c r="B9" s="5" t="inlineStr">
        <is>
          <t>Спец. №4 · ЦЭС · ремонт</t>
        </is>
      </c>
      <c r="C9" s="5">
        <f>COUNTIF(Позиции!A3:A317,"1.8")</f>
        <v/>
      </c>
      <c r="D9" s="5">
        <f>SUMIF(Позиции!A3:A317,"1.8",Позиции!E3:E317)</f>
        <v/>
      </c>
      <c r="E9" s="5">
        <f>COUNTIFS(Позиции!A3:A317,"1.8",Позиции!K3:K317,"&gt;0")</f>
        <v/>
      </c>
      <c r="F9" s="15">
        <f>SUMIF(Позиции!A3:A317,"1.8",Позиции!P3:P317)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7" customWidth="1" min="2" max="2"/>
    <col width="13" customWidth="1" min="3" max="3"/>
    <col width="28" customWidth="1" min="4" max="4"/>
    <col width="13" customWidth="1" min="5" max="5"/>
    <col width="20" customWidth="1" min="6" max="6"/>
    <col width="24" customWidth="1" min="7" max="7"/>
    <col width="18" customWidth="1" min="8" max="8"/>
    <col width="46" customWidth="1" min="9" max="9"/>
    <col width="22" customWidth="1" min="10" max="10"/>
    <col width="32" customWidth="1" min="11" max="11"/>
    <col width="32" customWidth="1" min="12" max="12"/>
  </cols>
  <sheetData>
    <row r="1" ht="18" customHeight="1">
      <c r="A1" s="20" t="inlineStr">
        <is>
          <t>Кому отправить запрос КП по группам. В запросе: номер записи в реестре Минпромторга (ПП 719) по каждой позиции, сертификаты ТР ТС 032/010, срок поставки до Петропавловска-Камчатского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8" customHeight="1">
      <c r="A2" s="18" t="inlineStr">
        <is>
          <t>Группа</t>
        </is>
      </c>
      <c r="B2" s="18" t="inlineStr">
        <is>
          <t>Позиций</t>
        </is>
      </c>
      <c r="C2" s="18" t="inlineStr">
        <is>
          <t>Сумма по рынку, ₽</t>
        </is>
      </c>
      <c r="D2" s="18" t="inlineStr">
        <is>
          <t>Поставщик</t>
        </is>
      </c>
      <c r="E2" s="18" t="inlineStr">
        <is>
          <t>Город</t>
        </is>
      </c>
      <c r="F2" s="18" t="inlineStr">
        <is>
          <t>Телефон</t>
        </is>
      </c>
      <c r="G2" s="18" t="inlineStr">
        <is>
          <t>E-mail</t>
        </is>
      </c>
      <c r="H2" s="18" t="inlineStr">
        <is>
          <t>Сайт</t>
        </is>
      </c>
      <c r="I2" s="18" t="inlineStr">
        <is>
          <t>Что закрывает</t>
        </is>
      </c>
      <c r="J2" s="18" t="inlineStr">
        <is>
          <t>Реестр МПТ</t>
        </is>
      </c>
      <c r="K2" s="18" t="inlineStr">
        <is>
          <t>Срок / склад</t>
        </is>
      </c>
      <c r="L2" s="18" t="inlineStr">
        <is>
          <t>Примечание</t>
        </is>
      </c>
    </row>
    <row r="3" ht="66" customHeight="1">
      <c r="A3" s="5" t="inlineStr">
        <is>
          <t>Краны шаровые стальные (11с67п, 11с22п, LD КШ, КЗШС, ЦУФ)</t>
        </is>
      </c>
      <c r="B3" s="6" t="n">
        <v>96</v>
      </c>
      <c r="C3" s="7" t="n">
        <v>15939278</v>
      </c>
      <c r="D3" s="5" t="inlineStr">
        <is>
          <t>ООО «ТД «ЛД» (завод LD, ООО «ЧелябинскСпецГражданСтрой»)</t>
        </is>
      </c>
      <c r="E3" s="5" t="inlineStr">
        <is>
          <t>Челябинск</t>
        </is>
      </c>
      <c r="F3" s="5" t="inlineStr">
        <is>
          <t>+7 (351) 730-47-47 (пн-пт 8:30-17:30)</t>
        </is>
      </c>
      <c r="G3" s="5" t="inlineStr">
        <is>
          <t>office@chsgs.ru; 166@ldtd.ru</t>
        </is>
      </c>
      <c r="H3" s="5" t="inlineStr">
        <is>
          <t>chsgs.ru (лд.рф)</t>
        </is>
      </c>
      <c r="I3" s="5" t="inlineStr">
        <is>
          <t>Все 11с67п цельносварные (п/п и фланц., КОФ), КШРФ/КШЦФ, ЦУФ.001 укороченные, разборные Ду250, 11с22п — фактич</t>
        </is>
      </c>
      <c r="J3" s="5" t="inlineStr">
        <is>
          <t xml:space="preserve">не проверено </t>
        </is>
      </c>
      <c r="K3" s="5" t="inlineStr">
        <is>
          <t>складские Ду15-150: 1-3 нед.; Ду200-250, КОФ, ЦУФ — 4-8 нед.; 12 филиалов с собственными с</t>
        </is>
      </c>
      <c r="L3" s="5" t="inlineStr">
        <is>
          <t>Звонить первым: может дать КП на всю группу заводскими ценами; спросить ближайший склад ДФ</t>
        </is>
      </c>
    </row>
    <row r="4" ht="66" customHeight="1">
      <c r="A4" s="5" t="inlineStr"/>
      <c r="B4" s="5" t="inlineStr"/>
      <c r="C4" s="5" t="inlineStr"/>
      <c r="D4" s="5" t="inlineStr">
        <is>
          <t>ЛЗТА «Маршал» (дистрибьютор ООО «Арматура М»)</t>
        </is>
      </c>
      <c r="E4" s="5" t="inlineStr">
        <is>
          <t>Москва (офис), склад г. Дзержинский МО</t>
        </is>
      </c>
      <c r="F4" s="5" t="inlineStr">
        <is>
          <t>+7 (495) 223-74-04</t>
        </is>
      </c>
      <c r="G4" s="5" t="inlineStr">
        <is>
          <t>info@lztamarshal.ru</t>
        </is>
      </c>
      <c r="H4" s="5" t="inlineStr">
        <is>
          <t>lztamarshal.ru</t>
        </is>
      </c>
      <c r="I4" s="5" t="inlineStr">
        <is>
          <t>11с67п цельносварные фланц./п/п, полнопроходные и стандартные Ду15-500, с КОФ; аналоги КШРФ/КШЦФ LD</t>
        </is>
      </c>
      <c r="J4" s="5" t="inlineStr">
        <is>
          <t xml:space="preserve">да </t>
        </is>
      </c>
      <c r="K4" s="5" t="inlineStr">
        <is>
          <t>склад — 1-2 нед.; под заказ 4-6 нед.; да, склад в Дзержинском МО</t>
        </is>
      </c>
      <c r="L4" s="5" t="inlineStr">
        <is>
          <t>Альтернатива LD с подтверждённым РПП; может дать КП на всю группу, кроме фирменных ЦУФ.001</t>
        </is>
      </c>
    </row>
    <row r="5" ht="66" customHeight="1">
      <c r="A5" s="5" t="inlineStr"/>
      <c r="B5" s="5" t="inlineStr"/>
      <c r="C5" s="5" t="inlineStr"/>
      <c r="D5" s="5" t="inlineStr">
        <is>
          <t>ООО «АЛСО» (завод стальных шаровых кранов)</t>
        </is>
      </c>
      <c r="E5" s="5" t="inlineStr">
        <is>
          <t>Челябинск</t>
        </is>
      </c>
      <c r="F5" s="5" t="inlineStr">
        <is>
          <t>8-800-444-74-74; +7 900 093-04-01</t>
        </is>
      </c>
      <c r="G5" s="5" t="inlineStr">
        <is>
          <t>info@alsoarm.ru</t>
        </is>
      </c>
      <c r="H5" s="5" t="inlineStr">
        <is>
          <t>alsoarm.ru (алсо.рф)</t>
        </is>
      </c>
      <c r="I5" s="5" t="inlineStr">
        <is>
          <t>11с67п цельносварные стальные краны Ду15-1000 (п/п, фланц.), отводы</t>
        </is>
      </c>
      <c r="J5" s="5" t="inlineStr">
        <is>
          <t xml:space="preserve">не проверено </t>
        </is>
      </c>
      <c r="K5" s="5" t="inlineStr">
        <is>
          <t>4-8 нед. (уточнить); склад в Челябинске (уточнить)</t>
        </is>
      </c>
      <c r="L5" s="5" t="inlineStr">
        <is>
          <t>Рос. производитель, удобен как ценовой конкурент LD по 11с67п</t>
        </is>
      </c>
    </row>
    <row r="6" ht="66" customHeight="1">
      <c r="A6" s="5" t="inlineStr"/>
      <c r="B6" s="5" t="inlineStr"/>
      <c r="C6" s="5" t="inlineStr"/>
      <c r="D6" s="5" t="inlineStr">
        <is>
          <t>ООО «Краны Балашихи»</t>
        </is>
      </c>
      <c r="E6" s="5" t="inlineStr">
        <is>
          <t>Балашиха (МО)</t>
        </is>
      </c>
      <c r="F6" s="5" t="inlineStr">
        <is>
          <t>+7 (749) 527-55-88 (как в каталоге productcenter — уточнить номер)</t>
        </is>
      </c>
      <c r="G6" s="5" t="inlineStr">
        <is>
          <t>sales@kb-arm.ru</t>
        </is>
      </c>
      <c r="H6" s="5" t="inlineStr">
        <is>
          <t>kb-arm.ru</t>
        </is>
      </c>
      <c r="I6" s="5" t="inlineStr">
        <is>
          <t>Стальные шаровые краны 11с67п промназначения (теплоснабжение, энергетика), фланц./п/п</t>
        </is>
      </c>
      <c r="J6" s="5" t="inlineStr">
        <is>
          <t xml:space="preserve">не проверено </t>
        </is>
      </c>
      <c r="K6" s="5" t="inlineStr">
        <is>
          <t>уточнить; самовывоз со склада предприятия (kb-arm.ru)</t>
        </is>
      </c>
      <c r="L6" s="5" t="inlineStr">
        <is>
          <t>Запасной вариант; уточнить наличие крупных Ду и КОФ</t>
        </is>
      </c>
    </row>
    <row r="7" ht="66" customHeight="1">
      <c r="A7" s="5" t="inlineStr">
        <is>
          <t>Задвижки стальные (30с41нж, 30с64нж, 30с964нж, 30с941нж, 30с576нж)</t>
        </is>
      </c>
      <c r="B7" s="6" t="n">
        <v>34</v>
      </c>
      <c r="C7" s="7" t="n">
        <v>10964667</v>
      </c>
      <c r="D7" s="5" t="inlineStr">
        <is>
          <t>СИБЗТА (Сибирский завод трубопроводной арматуры)</t>
        </is>
      </c>
      <c r="E7" s="5" t="inlineStr">
        <is>
          <t>Москва (офис), ул. Подъёмная 14</t>
        </is>
      </c>
      <c r="F7" s="5" t="inlineStr">
        <is>
          <t>8 800 350-91-13</t>
        </is>
      </c>
      <c r="G7" s="5" t="inlineStr">
        <is>
          <t>sales@sibzta.ru</t>
        </is>
      </c>
      <c r="H7" s="5" t="inlineStr">
        <is>
          <t>sibzta.ru</t>
        </is>
      </c>
      <c r="I7" s="5" t="inlineStr">
        <is>
          <t>30с41нж Ду50-300 (вкл. с КОФ), 30с564нж Ду400, 30с64нж/30с964нж — по каталогу; 30с941нж/964нж под электроприво</t>
        </is>
      </c>
      <c r="J7" s="5" t="inlineStr">
        <is>
          <t xml:space="preserve">не проверено </t>
        </is>
      </c>
      <c r="K7" s="5" t="inlineStr">
        <is>
          <t>склад 30с41нж — 1-2 нед.; Ду300+ и с ЭП — 6-10 нед.; уточнить (есть раздел дилерам/доставк</t>
        </is>
      </c>
      <c r="L7" s="5" t="inlineStr">
        <is>
          <t>Наши базовые цены по 30с41нж взяты отсюда — запросить КП на всю группу; выяснить, производ</t>
        </is>
      </c>
    </row>
    <row r="8" ht="66" customHeight="1">
      <c r="A8" s="5" t="inlineStr"/>
      <c r="B8" s="5" t="inlineStr"/>
      <c r="C8" s="5" t="inlineStr"/>
      <c r="D8" s="5" t="inlineStr">
        <is>
          <t>АО «Пензтяжпромарматура» (ПТПА)</t>
        </is>
      </c>
      <c r="E8" s="5" t="inlineStr">
        <is>
          <t>Пенза</t>
        </is>
      </c>
      <c r="F8" s="5" t="inlineStr">
        <is>
          <t>8 800 444-00-28 (служба продаж); приёмная 8 800 222-15-44</t>
        </is>
      </c>
      <c r="G8" s="5" t="inlineStr">
        <is>
          <t>sales@ptpa.ru</t>
        </is>
      </c>
      <c r="H8" s="5" t="inlineStr">
        <is>
          <t>ptpa.ru</t>
        </is>
      </c>
      <c r="I8" s="5" t="inlineStr">
        <is>
          <t>Крупные стальные клиновые задвижки Ду300-500 Ру16-63: 30с964нж Ду300/400, 30с941нж Ду500 с КОФ, 30с576нж Ду300</t>
        </is>
      </c>
      <c r="J8" s="5" t="inlineStr">
        <is>
          <t xml:space="preserve">не проверено </t>
        </is>
      </c>
      <c r="K8" s="5" t="inlineStr">
        <is>
          <t>8-14 нед.; нет (под заказ)</t>
        </is>
      </c>
      <c r="L8" s="5" t="inlineStr">
        <is>
          <t>Звонить для «тяжёлых» позиций (Ду≥300, Ру63, с ЭП); мелкие Ду50-150 у них дороже — не вклю</t>
        </is>
      </c>
    </row>
    <row r="9" ht="66" customHeight="1">
      <c r="A9" s="5" t="inlineStr"/>
      <c r="B9" s="5" t="inlineStr"/>
      <c r="C9" s="5" t="inlineStr"/>
      <c r="D9" s="5" t="inlineStr">
        <is>
          <t>АО НПО «Тяжпромарматура» (Алексинский завод ТПА)</t>
        </is>
      </c>
      <c r="E9" s="5" t="inlineStr">
        <is>
          <t>Алексин (Тульская обл.); сбыт — Москва</t>
        </is>
      </c>
      <c r="F9" s="5" t="inlineStr">
        <is>
          <t>+7 (495) 411-77-57 (Москва); Алексин +7 (48753) 2-70-25, 2-61-13 (по armtorg.ru)</t>
        </is>
      </c>
      <c r="G9" s="5" t="inlineStr">
        <is>
          <t>office@aztpa.ru; ngskr@aztpa.ru (клиновые задвижки)</t>
        </is>
      </c>
      <c r="H9" s="5" t="inlineStr">
        <is>
          <t>aztpa.ru</t>
        </is>
      </c>
      <c r="I9" s="5" t="inlineStr">
        <is>
          <t>Стальные клиновые задвижки 30с41нж, 30с64нж, 30с964нж/30с941нж (с ЭП), 30с927нж, 30с99нж, высокое давление</t>
        </is>
      </c>
      <c r="J9" s="5" t="inlineStr">
        <is>
          <t xml:space="preserve">не проверено </t>
        </is>
      </c>
      <c r="K9" s="5" t="inlineStr">
        <is>
          <t>6-12 нед.; частично (уточнить)</t>
        </is>
      </c>
      <c r="L9" s="5" t="inlineStr">
        <is>
          <t>Альтернатива ПТПА по всей группе; рос. завод</t>
        </is>
      </c>
    </row>
    <row r="10" ht="66" customHeight="1">
      <c r="A10" s="5" t="inlineStr"/>
      <c r="B10" s="5" t="inlineStr"/>
      <c r="C10" s="5" t="inlineStr"/>
      <c r="D10" s="5" t="inlineStr">
        <is>
          <t>АО «Благовещенский арматурный завод» (БАЗ)</t>
        </is>
      </c>
      <c r="E10" s="5" t="inlineStr">
        <is>
          <t>Благовещенск (Башкортостан)</t>
        </is>
      </c>
      <c r="F10" s="5" t="inlineStr">
        <is>
          <t>+7 (34766) 2-99-10; отдел продаж (34766) 2-11-74, 2-13-57 (по ibprom.ru)</t>
        </is>
      </c>
      <c r="G10" s="5" t="inlineStr">
        <is>
          <t>baz@bazrb.ru</t>
        </is>
      </c>
      <c r="H10" s="5" t="inlineStr">
        <is>
          <t>bazrb.ru</t>
        </is>
      </c>
      <c r="I10" s="5" t="inlineStr">
        <is>
          <t>Стальная арматура Ду25-800 Ру16-250: задвижки 30с41нж/30с64нж/30с76нж, клапаны 15с22нж, СППК</t>
        </is>
      </c>
      <c r="J10" s="5" t="inlineStr">
        <is>
          <t xml:space="preserve">не проверено </t>
        </is>
      </c>
      <c r="K10" s="5" t="inlineStr">
        <is>
          <t>6-10 нед.; уточнить</t>
        </is>
      </c>
      <c r="L10" s="5" t="inlineStr">
        <is>
          <t>Рос. завод; может закрыть и группы «Клапаны запорные» и «Предохранительные»</t>
        </is>
      </c>
    </row>
    <row r="11" ht="66" customHeight="1">
      <c r="A11" s="5" t="inlineStr">
        <is>
          <t>Затворы дисковые (межфланцевые, ПА954, Stensel, ЗПВС)</t>
        </is>
      </c>
      <c r="B11" s="6" t="n">
        <v>21</v>
      </c>
      <c r="C11" s="7" t="n">
        <v>6217407</v>
      </c>
      <c r="D11" s="5" t="inlineStr">
        <is>
          <t>ООО «Торговый Дом АДЛ» (бренд «Гранвэл»)</t>
        </is>
      </c>
      <c r="E11" s="5" t="inlineStr">
        <is>
          <t>Москва; офисы Хабаровск, Владивосток</t>
        </is>
      </c>
      <c r="F11" s="5" t="inlineStr">
        <is>
          <t>+7 (495) 937-89-68; Хабаровск +7 (4212) 72-97-83; Владивосток +7 (984) 159-21-64</t>
        </is>
      </c>
      <c r="G11" s="5" t="inlineStr">
        <is>
          <t>granvel@adl.ru; info@adl.ru</t>
        </is>
      </c>
      <c r="H11" s="5" t="inlineStr">
        <is>
          <t>adl.ru</t>
        </is>
      </c>
      <c r="I11" s="5" t="inlineStr">
        <is>
          <t>Гранвэл ЗП ТЛ Ду80-200, FL(w)-3-MR-E Ду80-200, ЗПВС Ду65 — 14 из 21 поз. (это их фирменные позиции); также NVD</t>
        </is>
      </c>
      <c r="J11" s="5" t="inlineStr">
        <is>
          <t xml:space="preserve">не проверено </t>
        </is>
      </c>
      <c r="K11" s="5" t="inlineStr">
        <is>
          <t>склад — 1-2 нед.; под заказ 4-8 нед.; да, склады в РФ, есть офис в ДФО</t>
        </is>
      </c>
      <c r="L11" s="5" t="inlineStr">
        <is>
          <t>Звонить первым: КП на все Гранвэл-позиции + спросить Ду450/Ду1000; ДФО-офис упростит доста</t>
        </is>
      </c>
    </row>
    <row r="12" ht="66" customHeight="1">
      <c r="A12" s="5" t="inlineStr"/>
      <c r="B12" s="5" t="inlineStr"/>
      <c r="C12" s="5" t="inlineStr"/>
      <c r="D12" s="5" t="inlineStr">
        <is>
          <t>ООО «ПромАрм»</t>
        </is>
      </c>
      <c r="E12" s="5" t="inlineStr">
        <is>
          <t>Пенза (офис также Москва)</t>
        </is>
      </c>
      <c r="F12" s="5" t="inlineStr">
        <is>
          <t>+7 (8412) 35-07-97; +7 (495) 668-10-92</t>
        </is>
      </c>
      <c r="G12" s="5" t="inlineStr">
        <is>
          <t>info@promarm.ru</t>
        </is>
      </c>
      <c r="H12" s="5" t="inlineStr">
        <is>
          <t>promarm.com (promarm.ru)</t>
        </is>
      </c>
      <c r="I12" s="5" t="inlineStr">
        <is>
          <t>Затвор ПА954.450.10-05 Ду450 (их серия ПА 900 — держатель КД), затворы с металлическим уплотнением (аналог Ste</t>
        </is>
      </c>
      <c r="J12" s="5" t="inlineStr">
        <is>
          <t xml:space="preserve">не проверено </t>
        </is>
      </c>
      <c r="K12" s="5" t="inlineStr">
        <is>
          <t>6-10 нед.; нет (под заказ)</t>
        </is>
      </c>
      <c r="L12" s="5" t="inlineStr">
        <is>
          <t>Звонить вторым: единственный источник оригинала ПА954; запросить также Ду1000 32нж910р с Э</t>
        </is>
      </c>
    </row>
    <row r="13" ht="66" customHeight="1">
      <c r="A13" s="5" t="inlineStr"/>
      <c r="B13" s="5" t="inlineStr"/>
      <c r="C13" s="5" t="inlineStr"/>
      <c r="D13" s="5" t="inlineStr">
        <is>
          <t>АО «Армагус»</t>
        </is>
      </c>
      <c r="E13" s="5" t="inlineStr">
        <is>
          <t>Гусь-Хрустальный (Владимирская обл.)</t>
        </is>
      </c>
      <c r="F13" s="5" t="inlineStr">
        <is>
          <t>(49241) 2-32-41, 2-42-26, 8-920-925-81-95 (отдел сбыта, по armtorg.ru)</t>
        </is>
      </c>
      <c r="G13" s="5" t="inlineStr">
        <is>
          <t>sales@armagus.ru</t>
        </is>
      </c>
      <c r="H13" s="5" t="inlineStr">
        <is>
          <t>armagus.ru</t>
        </is>
      </c>
      <c r="I13" s="5" t="inlineStr">
        <is>
          <t>Затворы дисковые поворотные (в т.ч. с металлическим уплотнением, двух-/трёхэксцентриковые), затвор Ду1000 с ЭП</t>
        </is>
      </c>
      <c r="J13" s="5" t="inlineStr">
        <is>
          <t xml:space="preserve">не проверено </t>
        </is>
      </c>
      <c r="K13" s="5" t="inlineStr">
        <is>
          <t>8-12 нед.; нет</t>
        </is>
      </c>
      <c r="L13" s="5" t="inlineStr">
        <is>
          <t>Альтернатива по Stensel-аналогу и 32нж910р Ду1000</t>
        </is>
      </c>
    </row>
    <row r="14" ht="66" customHeight="1">
      <c r="A14" s="5" t="inlineStr"/>
      <c r="B14" s="5" t="inlineStr"/>
      <c r="C14" s="5" t="inlineStr"/>
      <c r="D14" s="5" t="inlineStr">
        <is>
          <t>АО «УралТехКомплектация» (ТМ «MV»)</t>
        </is>
      </c>
      <c r="E14" s="5" t="inlineStr">
        <is>
          <t>Озёрск (Челябинская обл.)</t>
        </is>
      </c>
      <c r="F14" s="5" t="inlineStr">
        <is>
          <t>+7 (351) 307-71-09</t>
        </is>
      </c>
      <c r="G14" s="5" t="inlineStr">
        <is>
          <t>info@zaoutk.ru</t>
        </is>
      </c>
      <c r="H14" s="5" t="inlineStr">
        <is>
          <t>aoutk.ru</t>
        </is>
      </c>
      <c r="I14" s="5" t="inlineStr">
        <is>
          <t>Затворы дисковые поворотные межфланцевые ЗДП Ду50-150 Ру6,3-16 (замена ЗДП-…-М-А-УХЛ1)</t>
        </is>
      </c>
      <c r="J14" s="5" t="inlineStr">
        <is>
          <t xml:space="preserve">не проверено </t>
        </is>
      </c>
      <c r="K14" s="5" t="inlineStr">
        <is>
          <t>3-6 нед.; уточнить</t>
        </is>
      </c>
      <c r="L14" s="5" t="inlineStr">
        <is>
          <t>Для мелких ЗДП-позиций, если основные не закроют</t>
        </is>
      </c>
    </row>
    <row r="15" ht="66" customHeight="1">
      <c r="A15" s="5" t="inlineStr">
        <is>
          <t>Клапаны регулирующие и регуляторы (25ч945п, Ридан VFG/NVD, РД-НО, АРТ)</t>
        </is>
      </c>
      <c r="B15" s="6" t="n">
        <v>17</v>
      </c>
      <c r="C15" s="7" t="n">
        <v>4989616.680000002</v>
      </c>
      <c r="D15" s="5" t="inlineStr">
        <is>
          <t>ООО «Ридан»</t>
        </is>
      </c>
      <c r="E15" s="5" t="inlineStr">
        <is>
          <t>Истра (МО) / Москва</t>
        </is>
      </c>
      <c r="F15" s="5" t="inlineStr">
        <is>
          <t>+7 (495) 792-57-57; 8-800-700-88-85</t>
        </is>
      </c>
      <c r="G15" s="5" t="inlineStr">
        <is>
          <t>call@ridan.ru</t>
        </is>
      </c>
      <c r="H15" s="5" t="inlineStr">
        <is>
          <t>ridan.ru</t>
        </is>
      </c>
      <c r="I15" s="5" t="inlineStr">
        <is>
          <t xml:space="preserve">VFG-2R Ду32/80/100, блок AFD(-R), NVD-402R/802R/812R (обр.), регулирующие VFM-2R/VB-2 как замена 25ч945п — 9+ </t>
        </is>
      </c>
      <c r="J15" s="5" t="inlineStr">
        <is>
          <t xml:space="preserve">не проверено </t>
        </is>
      </c>
      <c r="K15" s="5" t="inlineStr">
        <is>
          <t>склад 1-3 нед.; под заказ 6-10 нед.; да, склады и дистрибьюторы по РФ (есть партнёры ДФО)</t>
        </is>
      </c>
      <c r="L15" s="5" t="inlineStr">
        <is>
          <t xml:space="preserve">Звонить первым: VFG/NVD/AFD — их оригинальные позиции; попросить КП и на 25ч945п-аналог с </t>
        </is>
      </c>
    </row>
    <row r="16" ht="66" customHeight="1">
      <c r="A16" s="5" t="inlineStr"/>
      <c r="B16" s="5" t="inlineStr"/>
      <c r="C16" s="5" t="inlineStr"/>
      <c r="D16" s="5" t="inlineStr">
        <is>
          <t>АО «Сафоновский завод «Теплоконтроль»</t>
        </is>
      </c>
      <c r="E16" s="5" t="inlineStr">
        <is>
          <t>Сафоново (Смоленская обл.)</t>
        </is>
      </c>
      <c r="F16" s="5" t="inlineStr">
        <is>
          <t>8-800-201-58-67; +7 (48142) 2-88-09, 2-83-67</t>
        </is>
      </c>
      <c r="G16" s="5" t="inlineStr">
        <is>
          <t>sbyt@tcontrol.ru; info@tcontrol.ru</t>
        </is>
      </c>
      <c r="H16" s="5" t="inlineStr">
        <is>
          <t>tcontrol.ru</t>
        </is>
      </c>
      <c r="I16" s="5" t="inlineStr">
        <is>
          <t>РД-НО Ду25-80 (их изделие), регуляторы РР/РДС/РПДС, регулятор «после себя» (замена АРТ-85/РДПС-25Л), регулирую</t>
        </is>
      </c>
      <c r="J16" s="5" t="inlineStr">
        <is>
          <t xml:space="preserve">не проверено </t>
        </is>
      </c>
      <c r="K16" s="5" t="inlineStr">
        <is>
          <t>4-8 нед.; частично</t>
        </is>
      </c>
      <c r="L16" s="5" t="inlineStr">
        <is>
          <t>Звонить вторым: оригинал РД-НО (7 поз.) + АРТ-аналог</t>
        </is>
      </c>
    </row>
    <row r="17" ht="66" customHeight="1">
      <c r="A17" s="5" t="inlineStr"/>
      <c r="B17" s="5" t="inlineStr"/>
      <c r="C17" s="5" t="inlineStr"/>
      <c r="D17" s="5" t="inlineStr">
        <is>
          <t>АО «Армагус»</t>
        </is>
      </c>
      <c r="E17" s="5" t="inlineStr">
        <is>
          <t>Гусь-Хрустальный</t>
        </is>
      </c>
      <c r="F17" s="5" t="inlineStr">
        <is>
          <t>(49241) 2-32-41, 2-42-26</t>
        </is>
      </c>
      <c r="G17" s="5" t="inlineStr">
        <is>
          <t>sales@armagus.ru</t>
        </is>
      </c>
      <c r="H17" s="5" t="inlineStr">
        <is>
          <t>armagus.ru</t>
        </is>
      </c>
      <c r="I17" s="5" t="inlineStr">
        <is>
          <t>Регулирующие клапаны 25с947нж Ду25/50 Ру25 с ЭИМ, 25ч945п-аналоги (сталь/чугун) с электроприводом</t>
        </is>
      </c>
      <c r="J17" s="5" t="inlineStr">
        <is>
          <t xml:space="preserve">не проверено </t>
        </is>
      </c>
      <c r="K17" s="5" t="inlineStr">
        <is>
          <t>8-12 нед.; нет</t>
        </is>
      </c>
      <c r="L17" s="5" t="inlineStr">
        <is>
          <t>Для позиций 25с947нж и 25ч945п с ЭИМ</t>
        </is>
      </c>
    </row>
    <row r="18" ht="66" customHeight="1">
      <c r="A18" s="5" t="inlineStr"/>
      <c r="B18" s="5" t="inlineStr"/>
      <c r="C18" s="5" t="inlineStr"/>
      <c r="D18" s="5" t="inlineStr">
        <is>
          <t>Теплосила (TSL; ООО «Теплосила», Беларусь/СПб)</t>
        </is>
      </c>
      <c r="E18" s="5" t="inlineStr">
        <is>
          <t>Минск / Санкт-Петербург</t>
        </is>
      </c>
      <c r="F18" s="5" t="inlineStr">
        <is>
          <t>уточнить на сайте</t>
        </is>
      </c>
      <c r="G18" s="5" t="inlineStr">
        <is>
          <t>уточнить на сайте</t>
        </is>
      </c>
      <c r="H18" s="5" t="inlineStr">
        <is>
          <t>teplo-sila.com (teplo-sila.by, teplo-sila.spb.ru)</t>
        </is>
      </c>
      <c r="I18" s="5" t="inlineStr">
        <is>
          <t>Клапаны 25ч945п с электроприводами TSL (наши расчётные цены)</t>
        </is>
      </c>
      <c r="J18" s="5" t="inlineStr">
        <is>
          <t>не проверено</t>
        </is>
      </c>
      <c r="K18" s="5" t="inlineStr">
        <is>
          <t>уточнить; через dn.ru и дилеров</t>
        </is>
      </c>
      <c r="L18" s="5" t="inlineStr">
        <is>
          <t>Внимание: DN.ru продаёт 25ч945п под своей маркой с приводами Теплосила — происхождение (ве</t>
        </is>
      </c>
    </row>
    <row r="19" ht="66" customHeight="1">
      <c r="A19" s="5" t="inlineStr">
        <is>
          <t>Задвижки нержавеющие (30нж41нж, 30нж947нж)</t>
        </is>
      </c>
      <c r="B19" s="6" t="n">
        <v>9</v>
      </c>
      <c r="C19" s="7" t="n">
        <v>3194013</v>
      </c>
      <c r="D19" s="5" t="inlineStr">
        <is>
          <t>СИБЗТА</t>
        </is>
      </c>
      <c r="E19" s="5" t="inlineStr">
        <is>
          <t>Москва</t>
        </is>
      </c>
      <c r="F19" s="5" t="inlineStr">
        <is>
          <t>8 800 350-91-13</t>
        </is>
      </c>
      <c r="G19" s="5" t="inlineStr">
        <is>
          <t>sales@sibzta.ru</t>
        </is>
      </c>
      <c r="H19" s="5" t="inlineStr">
        <is>
          <t>sibzta.ru</t>
        </is>
      </c>
      <c r="I19" s="5" t="inlineStr">
        <is>
          <t>30нж41нж Ду50-200 Ру16 (1 исп. САЗ) — 8 из 9 поз.</t>
        </is>
      </c>
      <c r="J19" s="5" t="inlineStr">
        <is>
          <t xml:space="preserve">не проверено </t>
        </is>
      </c>
      <c r="K19" s="5" t="inlineStr">
        <is>
          <t>склад/2-6 нед.; уточнить</t>
        </is>
      </c>
      <c r="L19" s="5" t="inlineStr">
        <is>
          <t>Наши базовые цены; запросить КП + страну происхождения и РПП</t>
        </is>
      </c>
    </row>
    <row r="20" ht="66" customHeight="1">
      <c r="A20" s="5" t="inlineStr"/>
      <c r="B20" s="5" t="inlineStr"/>
      <c r="C20" s="5" t="inlineStr"/>
      <c r="D20" s="5" t="inlineStr">
        <is>
          <t>АО «Пензтяжпромарматура» (ПТПА)</t>
        </is>
      </c>
      <c r="E20" s="5" t="inlineStr">
        <is>
          <t>Пенза</t>
        </is>
      </c>
      <c r="F20" s="5" t="inlineStr">
        <is>
          <t>8 800 444-00-28</t>
        </is>
      </c>
      <c r="G20" s="5" t="inlineStr">
        <is>
          <t>sales@ptpa.ru</t>
        </is>
      </c>
      <c r="H20" s="5" t="inlineStr">
        <is>
          <t>ptpa.ru</t>
        </is>
      </c>
      <c r="I20" s="5" t="inlineStr">
        <is>
          <t>30нж947нж Ду1000 Ру4 (с ЭП) — крупный Ду; нерж. задвижки под заказ</t>
        </is>
      </c>
      <c r="J20" s="5" t="inlineStr">
        <is>
          <t xml:space="preserve">не проверено </t>
        </is>
      </c>
      <c r="K20" s="5" t="inlineStr">
        <is>
          <t>12-16 нед. (критично для 120 дн.); нет</t>
        </is>
      </c>
      <c r="L20" s="5" t="inlineStr">
        <is>
          <t>Звонить по Ду1000 сразу — длинный срок; проверить укладывается ли в 120 дн. с доставкой на</t>
        </is>
      </c>
    </row>
    <row r="21" ht="66" customHeight="1">
      <c r="A21" s="5" t="inlineStr"/>
      <c r="B21" s="5" t="inlineStr"/>
      <c r="C21" s="5" t="inlineStr"/>
      <c r="D21" s="5" t="inlineStr">
        <is>
          <t>ООО «Победа-30»</t>
        </is>
      </c>
      <c r="E21" s="5" t="inlineStr">
        <is>
          <t>Санкт-Петербург (пр-во пос. Рахья, ЛО)</t>
        </is>
      </c>
      <c r="F21" s="5" t="inlineStr">
        <is>
          <t>+7 (812) 458-55-97; +7 (812) 334-92-39</t>
        </is>
      </c>
      <c r="G21" s="5" t="inlineStr">
        <is>
          <t>sales@pobeda30.ru</t>
        </is>
      </c>
      <c r="H21" s="5" t="inlineStr">
        <is>
          <t>pobeda30.ru</t>
        </is>
      </c>
      <c r="I21" s="5" t="inlineStr">
        <is>
          <t>Нерж. запорная арматура (задвижки/клапаны из нерж. и молибденсодержащих сталей), 30нж41нж</t>
        </is>
      </c>
      <c r="J21" s="5" t="inlineStr">
        <is>
          <t xml:space="preserve">не проверено </t>
        </is>
      </c>
      <c r="K21" s="5" t="inlineStr">
        <is>
          <t>4-8 нед.; частично</t>
        </is>
      </c>
      <c r="L21" s="5" t="inlineStr">
        <is>
          <t>Рос. производитель нерж. арматуры; может закрыть и нерж. обратные/запорные клапаны</t>
        </is>
      </c>
    </row>
    <row r="22" ht="66" customHeight="1">
      <c r="A22" s="5" t="inlineStr"/>
      <c r="B22" s="5" t="inlineStr"/>
      <c r="C22" s="5" t="inlineStr"/>
      <c r="D22" s="5" t="inlineStr">
        <is>
          <t>АО НПО «Тяжпромарматура» (Алексин)</t>
        </is>
      </c>
      <c r="E22" s="5" t="inlineStr">
        <is>
          <t>Алексин / Москва</t>
        </is>
      </c>
      <c r="F22" s="5" t="inlineStr">
        <is>
          <t>+7 (495) 411-77-57</t>
        </is>
      </c>
      <c r="G22" s="5" t="inlineStr">
        <is>
          <t>office@aztpa.ru</t>
        </is>
      </c>
      <c r="H22" s="5" t="inlineStr">
        <is>
          <t>aztpa.ru</t>
        </is>
      </c>
      <c r="I22" s="5" t="inlineStr">
        <is>
          <t>30нж41нж, нерж. задвижки большого Ду под ЭП</t>
        </is>
      </c>
      <c r="J22" s="5" t="inlineStr">
        <is>
          <t xml:space="preserve">не проверено </t>
        </is>
      </c>
      <c r="K22" s="5" t="inlineStr">
        <is>
          <t>8-14 нед.; нет</t>
        </is>
      </c>
      <c r="L22" s="5" t="inlineStr">
        <is>
          <t>Резерв по Ду1000</t>
        </is>
      </c>
    </row>
    <row r="23" ht="66" customHeight="1">
      <c r="A23" s="5" t="inlineStr">
        <is>
          <t>Клапаны запорные / вентили (15с22нж, 15нж65нж, 15кч, 15ч, 14нж)</t>
        </is>
      </c>
      <c r="B23" s="6" t="n">
        <v>58</v>
      </c>
      <c r="C23" s="7" t="n">
        <v>3124869.459999999</v>
      </c>
      <c r="D23" s="5" t="inlineStr">
        <is>
          <t>ООО ПК «ТехГидроМаш» (продажи через DN.ru)</t>
        </is>
      </c>
      <c r="E23" s="5" t="inlineStr">
        <is>
          <t>Москва</t>
        </is>
      </c>
      <c r="F23" s="5" t="inlineStr">
        <is>
          <t>+7 (495) 504-37-40; 8-800-777-95-16 (DN.ru)</t>
        </is>
      </c>
      <c r="G23" s="5" t="inlineStr">
        <is>
          <t>info@dn.ru</t>
        </is>
      </c>
      <c r="H23" s="5" t="inlineStr">
        <is>
          <t>dn.ru (каталог ТехГидроМаш)</t>
        </is>
      </c>
      <c r="I23" s="5" t="inlineStr">
        <is>
          <t>15нж65нж Ду32-200 (21 поз. — их собственное пр-во), 15с65нж, 15с22нж/15нж22нж Ду32-80</t>
        </is>
      </c>
      <c r="J23" s="5" t="inlineStr">
        <is>
          <t xml:space="preserve">не проверено </t>
        </is>
      </c>
      <c r="K23" s="5" t="inlineStr">
        <is>
          <t>склад DN.ru 1-2 нед.; под заказ 4-6 нед.; да (склад DN.ru Москва + филиалы)</t>
        </is>
      </c>
      <c r="L23" s="5" t="inlineStr">
        <is>
          <t xml:space="preserve">Звонить первым: через DN.ru можно получить КП на всю группу (вкл. 15кч, 15ч, 14нж), но по </t>
        </is>
      </c>
    </row>
    <row r="24" ht="66" customHeight="1">
      <c r="A24" s="5" t="inlineStr"/>
      <c r="B24" s="5" t="inlineStr"/>
      <c r="C24" s="5" t="inlineStr"/>
      <c r="D24" s="5" t="inlineStr">
        <is>
          <t>АО «Благовещенский арматурный завод» (БАЗ)</t>
        </is>
      </c>
      <c r="E24" s="5" t="inlineStr">
        <is>
          <t>Благовещенск (Башкортостан)</t>
        </is>
      </c>
      <c r="F24" s="5" t="inlineStr">
        <is>
          <t>+7 (34766) 2-99-10</t>
        </is>
      </c>
      <c r="G24" s="5" t="inlineStr">
        <is>
          <t>baz@bazrb.ru</t>
        </is>
      </c>
      <c r="H24" s="5" t="inlineStr">
        <is>
          <t>bazrb.ru</t>
        </is>
      </c>
      <c r="I24" s="5" t="inlineStr">
        <is>
          <t>15с22нж Ду32-80 Ру40, 15с52нж/15с18нж под приварку Ру25-63, латунные 15б1п (БАЗ выпускает 15Б1п — по vseinstru</t>
        </is>
      </c>
      <c r="J24" s="5" t="inlineStr">
        <is>
          <t xml:space="preserve">не проверено </t>
        </is>
      </c>
      <c r="K24" s="5" t="inlineStr">
        <is>
          <t>6-10 нед.; уточнить</t>
        </is>
      </c>
      <c r="L24" s="5" t="inlineStr">
        <is>
          <t>Звонить вторым: рос. завод для стальных и латунных клапанов</t>
        </is>
      </c>
    </row>
    <row r="25" ht="66" customHeight="1">
      <c r="A25" s="5" t="inlineStr"/>
      <c r="B25" s="5" t="inlineStr"/>
      <c r="C25" s="5" t="inlineStr"/>
      <c r="D25" s="5" t="inlineStr">
        <is>
          <t>ООО «Победа-30»</t>
        </is>
      </c>
      <c r="E25" s="5" t="inlineStr">
        <is>
          <t>Санкт-Петербург</t>
        </is>
      </c>
      <c r="F25" s="5" t="inlineStr">
        <is>
          <t>+7 (812) 458-55-97</t>
        </is>
      </c>
      <c r="G25" s="5" t="inlineStr">
        <is>
          <t>sales@pobeda30.ru</t>
        </is>
      </c>
      <c r="H25" s="5" t="inlineStr">
        <is>
          <t>pobeda30.ru</t>
        </is>
      </c>
      <c r="I25" s="5" t="inlineStr">
        <is>
          <t>Нерж. запорные клапаны 15нж65нж, 14нж17п цапковые, 15с/15нж под приварку</t>
        </is>
      </c>
      <c r="J25" s="5" t="inlineStr">
        <is>
          <t xml:space="preserve">не проверено </t>
        </is>
      </c>
      <c r="K25" s="5" t="inlineStr">
        <is>
          <t>4-8 нед.; частично</t>
        </is>
      </c>
      <c r="L25" s="5" t="inlineStr">
        <is>
          <t>Для нерж. позиций</t>
        </is>
      </c>
    </row>
    <row r="26" ht="66" customHeight="1">
      <c r="A26" s="5" t="inlineStr"/>
      <c r="B26" s="5" t="inlineStr"/>
      <c r="C26" s="5" t="inlineStr"/>
      <c r="D26" s="5" t="inlineStr">
        <is>
          <t>УП «Цветлит»</t>
        </is>
      </c>
      <c r="E26" s="5" t="inlineStr">
        <is>
          <t>Гродно (Беларусь)</t>
        </is>
      </c>
      <c r="F26" s="5" t="inlineStr">
        <is>
          <t>через дилеров</t>
        </is>
      </c>
      <c r="G26" s="5" t="inlineStr">
        <is>
          <t>через дилеров</t>
        </is>
      </c>
      <c r="H26" s="5" t="inlineStr">
        <is>
          <t>cvetlit (через дилеров: dn.ru, onliner.by)</t>
        </is>
      </c>
      <c r="I26" s="5" t="inlineStr">
        <is>
          <t>15б1п Ду15-50 муфтовые (126 шт.), 15кч, 11б18бк</t>
        </is>
      </c>
      <c r="J26" s="5" t="inlineStr">
        <is>
          <t>не проверено</t>
        </is>
      </c>
      <c r="K26" s="5" t="inlineStr">
        <is>
          <t>2-4 нед.; у дилеров</t>
        </is>
      </c>
      <c r="L26" s="5" t="inlineStr">
        <is>
          <t>Цветлит — НЕ российский (Беларусь). Использовать только при наличии записи в евразийском р</t>
        </is>
      </c>
    </row>
    <row r="27" ht="66" customHeight="1">
      <c r="A27" s="5" t="inlineStr">
        <is>
          <t>Клапаны обратные (16ч42р, 19с76нж, 19нж76нж, 16нж10нж)</t>
        </is>
      </c>
      <c r="B27" s="6" t="n">
        <v>25</v>
      </c>
      <c r="C27" s="7" t="n">
        <v>2543825.05</v>
      </c>
      <c r="D27" s="5" t="inlineStr">
        <is>
          <t>ООО «Ридан»</t>
        </is>
      </c>
      <c r="E27" s="5" t="inlineStr">
        <is>
          <t>Истра (МО)</t>
        </is>
      </c>
      <c r="F27" s="5" t="inlineStr">
        <is>
          <t>+7 (495) 792-57-57; 8-800-700-88-85</t>
        </is>
      </c>
      <c r="G27" s="5" t="inlineStr">
        <is>
          <t>call@ridan.ru</t>
        </is>
      </c>
      <c r="H27" s="5" t="inlineStr">
        <is>
          <t>ridan.ru</t>
        </is>
      </c>
      <c r="I27" s="5" t="inlineStr">
        <is>
          <t>NVD-802R Ду125/150, NVD-812R Ду150 Ру40 (13 шт.) — оригинал; межфланцевые обратные 19ч21бр-аналог</t>
        </is>
      </c>
      <c r="J27" s="5" t="inlineStr">
        <is>
          <t xml:space="preserve">не проверено </t>
        </is>
      </c>
      <c r="K27" s="5" t="inlineStr">
        <is>
          <t>1-6 нед.; да</t>
        </is>
      </c>
      <c r="L27" s="5" t="inlineStr">
        <is>
          <t>Звонить первым вместе с запросом по регулирующим (одно КП на 2 группы)</t>
        </is>
      </c>
    </row>
    <row r="28" ht="66" customHeight="1">
      <c r="A28" s="5" t="inlineStr"/>
      <c r="B28" s="5" t="inlineStr"/>
      <c r="C28" s="5" t="inlineStr"/>
      <c r="D28" s="5" t="inlineStr">
        <is>
          <t>ООО «Торговый Дом АДЛ» (бренд «Гранлок»)</t>
        </is>
      </c>
      <c r="E28" s="5" t="inlineStr">
        <is>
          <t>Москва; Хабаровск, Владивосток</t>
        </is>
      </c>
      <c r="F28" s="5" t="inlineStr">
        <is>
          <t>+7 (495) 937-89-68; Хабаровск +7 (4212) 72-97-83</t>
        </is>
      </c>
      <c r="G28" s="5" t="inlineStr">
        <is>
          <t>info@adl.ru</t>
        </is>
      </c>
      <c r="H28" s="5" t="inlineStr">
        <is>
          <t>adl.ru</t>
        </is>
      </c>
      <c r="I28" s="5" t="inlineStr">
        <is>
          <t>Гранлок CV16 Ду150, двухстворчатые межфланцевые Ду100-200 (замена DENDOR 010C), 19ч21бр-аналоги</t>
        </is>
      </c>
      <c r="J28" s="5" t="inlineStr">
        <is>
          <t xml:space="preserve">не проверено </t>
        </is>
      </c>
      <c r="K28" s="5" t="inlineStr">
        <is>
          <t>склад 1-2 нед.; да</t>
        </is>
      </c>
      <c r="L28" s="5" t="inlineStr">
        <is>
          <t>Звонить вторым; DENDOR 010C — не бренд АДЛ (вероятно импорт), предложить Гранлок как эквив</t>
        </is>
      </c>
    </row>
    <row r="29" ht="66" customHeight="1">
      <c r="A29" s="5" t="inlineStr"/>
      <c r="B29" s="5" t="inlineStr"/>
      <c r="C29" s="5" t="inlineStr"/>
      <c r="D29" s="5" t="inlineStr">
        <is>
          <t>ООО «Победа-30»</t>
        </is>
      </c>
      <c r="E29" s="5" t="inlineStr">
        <is>
          <t>Санкт-Петербург</t>
        </is>
      </c>
      <c r="F29" s="5" t="inlineStr">
        <is>
          <t>+7 (812) 458-55-97</t>
        </is>
      </c>
      <c r="G29" s="5" t="inlineStr">
        <is>
          <t>sales@pobeda30.ru</t>
        </is>
      </c>
      <c r="H29" s="5" t="inlineStr">
        <is>
          <t>pobeda30.ru</t>
        </is>
      </c>
      <c r="I29" s="5" t="inlineStr">
        <is>
          <t>16нж10нж Ду32/50, 19нж76нж Ду100 — оригинал (позиции по ДН.ру брендированы Победа-30)</t>
        </is>
      </c>
      <c r="J29" s="5" t="inlineStr">
        <is>
          <t xml:space="preserve">не проверено </t>
        </is>
      </c>
      <c r="K29" s="5" t="inlineStr">
        <is>
          <t>4-8 нед.; частично</t>
        </is>
      </c>
      <c r="L29" s="5" t="inlineStr">
        <is>
          <t>Для нерж. обратных</t>
        </is>
      </c>
    </row>
    <row r="30" ht="66" customHeight="1">
      <c r="A30" s="5" t="inlineStr"/>
      <c r="B30" s="5" t="inlineStr"/>
      <c r="C30" s="5" t="inlineStr"/>
      <c r="D30" s="5" t="inlineStr">
        <is>
          <t>АО «Армагус»</t>
        </is>
      </c>
      <c r="E30" s="5" t="inlineStr">
        <is>
          <t>Гусь-Хрустальный</t>
        </is>
      </c>
      <c r="F30" s="5" t="inlineStr">
        <is>
          <t>(49241) 2-32-41, 2-42-26</t>
        </is>
      </c>
      <c r="G30" s="5" t="inlineStr">
        <is>
          <t>sales@armagus.ru</t>
        </is>
      </c>
      <c r="H30" s="5" t="inlineStr">
        <is>
          <t>armagus.ru</t>
        </is>
      </c>
      <c r="I30" s="5" t="inlineStr">
        <is>
          <t>Обратные клапаны/затворы стальные 19с76нж Ду50-100, 19с53нж Ду80/150 Ру40, 16ч42р</t>
        </is>
      </c>
      <c r="J30" s="5" t="inlineStr">
        <is>
          <t xml:space="preserve">не проверено </t>
        </is>
      </c>
      <c r="K30" s="5" t="inlineStr">
        <is>
          <t>8-12 нед.; нет</t>
        </is>
      </c>
      <c r="L30" s="5" t="inlineStr">
        <is>
          <t>Для стальных 19с-позиций (бренд «МЗТА» на DN.ru не идентифицирован)</t>
        </is>
      </c>
    </row>
    <row r="31" ht="66" customHeight="1">
      <c r="A31" s="5" t="inlineStr">
        <is>
          <t>Задвижки чугунные (30ч6бр, 30ч906бр, 30ч39р)</t>
        </is>
      </c>
      <c r="B31" s="6" t="n">
        <v>10</v>
      </c>
      <c r="C31" s="7" t="n">
        <v>1747041</v>
      </c>
      <c r="D31" s="5" t="inlineStr">
        <is>
          <t>ООО ПК «ТехГидроМаш» (продажи через DN.ru)</t>
        </is>
      </c>
      <c r="E31" s="5" t="inlineStr">
        <is>
          <t>Москва</t>
        </is>
      </c>
      <c r="F31" s="5" t="inlineStr">
        <is>
          <t>+7 (495) 504-37-40; 8-800-777-95-16 (DN.ru)</t>
        </is>
      </c>
      <c r="G31" s="5" t="inlineStr">
        <is>
          <t>info@dn.ru</t>
        </is>
      </c>
      <c r="H31" s="5" t="inlineStr">
        <is>
          <t>dn.ru (каталог ТехГидроМаш)</t>
        </is>
      </c>
      <c r="I31" s="5" t="inlineStr">
        <is>
          <t>30ч39р (собственное пр-во ТехГидроМаш); 30ч6бр Ду50-300 через DN.ru</t>
        </is>
      </c>
      <c r="J31" s="5" t="inlineStr">
        <is>
          <t xml:space="preserve">не проверено </t>
        </is>
      </c>
      <c r="K31" s="5" t="inlineStr">
        <is>
          <t>склад 1-2 нед.; да</t>
        </is>
      </c>
      <c r="L31" s="5" t="inlineStr">
        <is>
          <t>КП на группу; требовать завод-изготовителя 30ч6бр</t>
        </is>
      </c>
    </row>
    <row r="32" ht="66" customHeight="1">
      <c r="A32" s="5" t="inlineStr"/>
      <c r="B32" s="5" t="inlineStr"/>
      <c r="C32" s="5" t="inlineStr"/>
      <c r="D32" s="5" t="inlineStr">
        <is>
          <t>ООО «Семёновский литейно-механический завод»</t>
        </is>
      </c>
      <c r="E32" s="5" t="inlineStr">
        <is>
          <t>Семёнов (Нижегородская обл.)</t>
        </is>
      </c>
      <c r="F32" s="5" t="inlineStr">
        <is>
          <t>уточнить на semlmz.ru</t>
        </is>
      </c>
      <c r="G32" s="5" t="inlineStr">
        <is>
          <t>уточнить на semlmz.ru</t>
        </is>
      </c>
      <c r="H32" s="5" t="inlineStr">
        <is>
          <t>semlmz.ru</t>
        </is>
      </c>
      <c r="I32" s="5" t="inlineStr">
        <is>
          <t>Чугунные задвижки 30ч6бр, 30ч39р (МЗВ), 30ч906бр под электропривод (дилер Тулаэлектропривод)</t>
        </is>
      </c>
      <c r="J32" s="5" t="inlineStr">
        <is>
          <t xml:space="preserve">не проверено </t>
        </is>
      </c>
      <c r="K32" s="5" t="inlineStr">
        <is>
          <t>3-6 нед.; уточнить</t>
        </is>
      </c>
      <c r="L32" s="5" t="inlineStr">
        <is>
          <t>Рос. литейный завод — профильный по чугунным задвижкам</t>
        </is>
      </c>
    </row>
    <row r="33" ht="66" customHeight="1">
      <c r="A33" s="5" t="inlineStr"/>
      <c r="B33" s="5" t="inlineStr"/>
      <c r="C33" s="5" t="inlineStr"/>
      <c r="D33" s="5" t="inlineStr">
        <is>
          <t>ООО «БАЗ» (Бологовский арматурный завод)</t>
        </is>
      </c>
      <c r="E33" s="5" t="inlineStr">
        <is>
          <t>Бологое (Тверская обл.)</t>
        </is>
      </c>
      <c r="F33" s="5" t="inlineStr">
        <is>
          <t>уточнить</t>
        </is>
      </c>
      <c r="G33" s="5" t="inlineStr">
        <is>
          <t>уточнить</t>
        </is>
      </c>
      <c r="H33" s="5" t="inlineStr">
        <is>
          <t>уточнить</t>
        </is>
      </c>
      <c r="I33" s="5" t="inlineStr">
        <is>
          <t>30ч6бр, 30ч39р, 30ч906бр</t>
        </is>
      </c>
      <c r="J33" s="5" t="inlineStr">
        <is>
          <t xml:space="preserve">не проверено </t>
        </is>
      </c>
      <c r="K33" s="5" t="inlineStr">
        <is>
          <t>3-6 нед.; уточнить</t>
        </is>
      </c>
      <c r="L33" s="5" t="inlineStr">
        <is>
          <t>Контакты не найдены (сайт недоступен) — найти через ЕГРЮЛ/ГИСП</t>
        </is>
      </c>
    </row>
    <row r="34" ht="66" customHeight="1">
      <c r="A34" s="5" t="inlineStr"/>
      <c r="B34" s="5" t="inlineStr"/>
      <c r="C34" s="5" t="inlineStr"/>
      <c r="D34" s="5" t="inlineStr">
        <is>
          <t>ООО «БК-Арматура» (дистрибьютор)</t>
        </is>
      </c>
      <c r="E34" s="5" t="inlineStr">
        <is>
          <t>Москва</t>
        </is>
      </c>
      <c r="F34" s="5" t="inlineStr">
        <is>
          <t>8 (495) 925-51-64</t>
        </is>
      </c>
      <c r="G34" s="5" t="inlineStr">
        <is>
          <t>info@bkarm.ru</t>
        </is>
      </c>
      <c r="H34" s="5" t="inlineStr">
        <is>
          <t>bkarm.ru</t>
        </is>
      </c>
      <c r="I34" s="5" t="inlineStr">
        <is>
          <t>Вся группа 30ч6бр Ду50-300 (наши базовые цены)</t>
        </is>
      </c>
      <c r="J34" s="5" t="inlineStr">
        <is>
          <t xml:space="preserve">не проверено </t>
        </is>
      </c>
      <c r="K34" s="5" t="inlineStr">
        <is>
          <t>склад; да</t>
        </is>
      </c>
      <c r="L34" s="5" t="inlineStr">
        <is>
          <t>Дистрибьютор — запросить завод-изготовителя и номер РПП</t>
        </is>
      </c>
    </row>
    <row r="35" ht="66" customHeight="1">
      <c r="A35" s="5" t="inlineStr">
        <is>
          <t>Клапаны предохранительные (17лс17нж, 17с28нж, ПСК, СППК)</t>
        </is>
      </c>
      <c r="B35" s="6" t="n">
        <v>9</v>
      </c>
      <c r="C35" s="7" t="n">
        <v>1245684.35</v>
      </c>
      <c r="D35" s="5" t="inlineStr">
        <is>
          <t>ООО «Торговый Дом АДЛ» (бренд «Прегран»)</t>
        </is>
      </c>
      <c r="E35" s="5" t="inlineStr">
        <is>
          <t>Москва</t>
        </is>
      </c>
      <c r="F35" s="5" t="inlineStr">
        <is>
          <t>+7 (495) 937-89-68</t>
        </is>
      </c>
      <c r="G35" s="5" t="inlineStr">
        <is>
          <t>pregran@adl.ru; info@adl.ru</t>
        </is>
      </c>
      <c r="H35" s="5" t="inlineStr">
        <is>
          <t>adl.ru</t>
        </is>
      </c>
      <c r="I35" s="5" t="inlineStr">
        <is>
          <t>Прегран КПП Ду25/40-50 Ру16 вместо ARI-SAFE 12.903 (6 шт.), 17с28нж-аналоги</t>
        </is>
      </c>
      <c r="J35" s="5" t="inlineStr">
        <is>
          <t xml:space="preserve">не проверено </t>
        </is>
      </c>
      <c r="K35" s="5" t="inlineStr">
        <is>
          <t>склад 1-3 нед.; да</t>
        </is>
      </c>
      <c r="L35" s="5" t="inlineStr">
        <is>
          <t>Звонить первым. ARI-SAFE — немецкий бренд ARI (импорт, не подходит по ПП 1875) — предлагат</t>
        </is>
      </c>
    </row>
    <row r="36" ht="66" customHeight="1">
      <c r="A36" s="5" t="inlineStr"/>
      <c r="B36" s="5" t="inlineStr"/>
      <c r="C36" s="5" t="inlineStr"/>
      <c r="D36" s="5" t="inlineStr">
        <is>
          <t>ООО «ПИК-Алгрупп»</t>
        </is>
      </c>
      <c r="E36" s="5" t="inlineStr">
        <is>
          <t>Старый Оскол (Белгородская обл.)</t>
        </is>
      </c>
      <c r="F36" s="5" t="inlineStr">
        <is>
          <t>+7 (991) 210-60-21</t>
        </is>
      </c>
      <c r="G36" s="5" t="inlineStr">
        <is>
          <t>reklama@pik-algrupp.ru (общий)</t>
        </is>
      </c>
      <c r="H36" s="5" t="inlineStr">
        <is>
          <t>pik-algrupp.ru</t>
        </is>
      </c>
      <c r="I36" s="5" t="inlineStr">
        <is>
          <t>17с28нж (СППК) Ду50, 17с6нж Ду50/80, 17с11нж Ду25</t>
        </is>
      </c>
      <c r="J36" s="5" t="inlineStr">
        <is>
          <t xml:space="preserve">не проверено </t>
        </is>
      </c>
      <c r="K36" s="5" t="inlineStr">
        <is>
          <t>4-6 нед.; уточнить</t>
        </is>
      </c>
      <c r="L36" s="5" t="inlineStr">
        <is>
          <t>Звонить вторым: производитель СППК 17с28нж (productcenter)</t>
        </is>
      </c>
    </row>
    <row r="37" ht="66" customHeight="1">
      <c r="A37" s="5" t="inlineStr"/>
      <c r="B37" s="5" t="inlineStr"/>
      <c r="C37" s="5" t="inlineStr"/>
      <c r="D37" s="5" t="inlineStr">
        <is>
          <t>АО «Благовещенский арматурный завод» (БАЗ)</t>
        </is>
      </c>
      <c r="E37" s="5" t="inlineStr">
        <is>
          <t>Благовещенск (Башкортостан)</t>
        </is>
      </c>
      <c r="F37" s="5" t="inlineStr">
        <is>
          <t>+7 (34766) 2-99-10</t>
        </is>
      </c>
      <c r="G37" s="5" t="inlineStr">
        <is>
          <t>baz@bazrb.ru</t>
        </is>
      </c>
      <c r="H37" s="5" t="inlineStr">
        <is>
          <t>bazrb.ru</t>
        </is>
      </c>
      <c r="I37" s="5" t="inlineStr">
        <is>
          <t>СППК 17с28нж, 17лс17нж Ду200-300 (полноподъёмный)</t>
        </is>
      </c>
      <c r="J37" s="5" t="inlineStr">
        <is>
          <t xml:space="preserve">не проверено </t>
        </is>
      </c>
      <c r="K37" s="5" t="inlineStr">
        <is>
          <t>6-10 нед.; нет</t>
        </is>
      </c>
      <c r="L37" s="5" t="inlineStr">
        <is>
          <t>Для крупного 17лс17нж</t>
        </is>
      </c>
    </row>
    <row r="38" ht="66" customHeight="1">
      <c r="A38" s="5" t="inlineStr"/>
      <c r="B38" s="5" t="inlineStr"/>
      <c r="C38" s="5" t="inlineStr"/>
      <c r="D38" s="5" t="inlineStr">
        <is>
          <t>ООО «Газовик» (Саратов)</t>
        </is>
      </c>
      <c r="E38" s="5" t="inlineStr">
        <is>
          <t>Саратов</t>
        </is>
      </c>
      <c r="F38" s="5" t="inlineStr">
        <is>
          <t>уточнить</t>
        </is>
      </c>
      <c r="G38" s="5" t="inlineStr">
        <is>
          <t>уточнить</t>
        </is>
      </c>
      <c r="H38" s="5" t="inlineStr">
        <is>
          <t>уточнить (gazovik)</t>
        </is>
      </c>
      <c r="I38" s="5" t="inlineStr">
        <is>
          <t>ПСК-50С/125 (газовый сбросной)</t>
        </is>
      </c>
      <c r="J38" s="5" t="inlineStr">
        <is>
          <t xml:space="preserve">не проверено </t>
        </is>
      </c>
      <c r="K38" s="5" t="inlineStr">
        <is>
          <t>1-3 нед.; да (по данным нашей оценки)</t>
        </is>
      </c>
      <c r="L38" s="5" t="inlineStr">
        <is>
          <t>Рос. производитель газового оборудования; контакты не проверены</t>
        </is>
      </c>
    </row>
    <row r="39" ht="66" customHeight="1">
      <c r="A39" s="5" t="inlineStr">
        <is>
          <t>Краны шаровые латунные (11б27п1, 11б27п, LD Pride)</t>
        </is>
      </c>
      <c r="B39" s="6" t="n">
        <v>22</v>
      </c>
      <c r="C39" s="7" t="n">
        <v>649986</v>
      </c>
      <c r="D39" s="5" t="inlineStr">
        <is>
          <t>ООО «ТД «ЛД» (LD Pride)</t>
        </is>
      </c>
      <c r="E39" s="5" t="inlineStr">
        <is>
          <t>Челябинск</t>
        </is>
      </c>
      <c r="F39" s="5" t="inlineStr">
        <is>
          <t>+7 (351) 730-47-47</t>
        </is>
      </c>
      <c r="G39" s="5" t="inlineStr">
        <is>
          <t>office@chsgs.ru</t>
        </is>
      </c>
      <c r="H39" s="5" t="inlineStr">
        <is>
          <t>chsgs.ru</t>
        </is>
      </c>
      <c r="I39" s="5" t="inlineStr">
        <is>
          <t>11б27п1 Ду15-50 — вся группа (22 поз., ~800 шт.)</t>
        </is>
      </c>
      <c r="J39" s="5" t="inlineStr">
        <is>
          <t xml:space="preserve">не проверено </t>
        </is>
      </c>
      <c r="K39" s="5" t="inlineStr">
        <is>
          <t>склад; да, 12 филиалов</t>
        </is>
      </c>
      <c r="L39" s="5" t="inlineStr">
        <is>
          <t>Звонить первым; объединить с запросом по стальным кранам (одно КП)</t>
        </is>
      </c>
    </row>
    <row r="40" ht="66" customHeight="1">
      <c r="A40" s="5" t="inlineStr"/>
      <c r="B40" s="5" t="inlineStr"/>
      <c r="C40" s="5" t="inlineStr"/>
      <c r="D40" s="5" t="inlineStr">
        <is>
          <t>ООО «Торговый Дом АДЛ» (бренд «Бивал»)</t>
        </is>
      </c>
      <c r="E40" s="5" t="inlineStr">
        <is>
          <t>Москва; ДФО</t>
        </is>
      </c>
      <c r="F40" s="5" t="inlineStr">
        <is>
          <t>+7 (495) 937-89-68</t>
        </is>
      </c>
      <c r="G40" s="5" t="inlineStr">
        <is>
          <t>beeval@adl.ru</t>
        </is>
      </c>
      <c r="H40" s="5" t="inlineStr">
        <is>
          <t>adl.ru</t>
        </is>
      </c>
      <c r="I40" s="5" t="inlineStr">
        <is>
          <t>Латунные шаровые краны Бивал Ду15-50 Ру16-40 (аналог 11б27п1)</t>
        </is>
      </c>
      <c r="J40" s="5" t="inlineStr">
        <is>
          <t xml:space="preserve">не проверено </t>
        </is>
      </c>
      <c r="K40" s="5" t="inlineStr">
        <is>
          <t>склад; да</t>
        </is>
      </c>
      <c r="L40" s="5" t="inlineStr">
        <is>
          <t>Звонить вторым</t>
        </is>
      </c>
    </row>
    <row r="41" ht="66" customHeight="1">
      <c r="A41" s="5" t="inlineStr"/>
      <c r="B41" s="5" t="inlineStr"/>
      <c r="C41" s="5" t="inlineStr"/>
      <c r="D41" s="5" t="inlineStr">
        <is>
          <t>ЛЗТА «Маршал» / ООО «Арматура М»</t>
        </is>
      </c>
      <c r="E41" s="5" t="inlineStr">
        <is>
          <t>Москва / Дзержинский</t>
        </is>
      </c>
      <c r="F41" s="5" t="inlineStr">
        <is>
          <t>+7 (495) 223-74-04</t>
        </is>
      </c>
      <c r="G41" s="5" t="inlineStr">
        <is>
          <t>info@lztamarshal.ru</t>
        </is>
      </c>
      <c r="H41" s="5" t="inlineStr">
        <is>
          <t>lztamarshal.ru</t>
        </is>
      </c>
      <c r="I41" s="5" t="inlineStr">
        <is>
          <t>Уточнить наличие латунных кранов в линейке</t>
        </is>
      </c>
      <c r="J41" s="5" t="inlineStr">
        <is>
          <t xml:space="preserve">да </t>
        </is>
      </c>
      <c r="K41" s="5" t="inlineStr">
        <is>
          <t>склад; да</t>
        </is>
      </c>
      <c r="L41" s="5" t="inlineStr">
        <is>
          <t>Резерв</t>
        </is>
      </c>
    </row>
    <row r="42" ht="66" customHeight="1">
      <c r="A42" s="5" t="inlineStr"/>
      <c r="B42" s="5" t="inlineStr"/>
      <c r="C42" s="5" t="inlineStr"/>
      <c r="D42" s="5" t="inlineStr">
        <is>
          <t>УП «Цветлит»</t>
        </is>
      </c>
      <c r="E42" s="5" t="inlineStr">
        <is>
          <t>Гродно (Беларусь)</t>
        </is>
      </c>
      <c r="F42" s="5" t="inlineStr">
        <is>
          <t>через дилеров</t>
        </is>
      </c>
      <c r="G42" s="5" t="inlineStr">
        <is>
          <t>через дилеров</t>
        </is>
      </c>
      <c r="H42" s="5" t="inlineStr">
        <is>
          <t>через дилеров</t>
        </is>
      </c>
      <c r="I42" s="5" t="inlineStr">
        <is>
          <t>11б27п1 латунные</t>
        </is>
      </c>
      <c r="J42" s="5" t="inlineStr">
        <is>
          <t xml:space="preserve">Беларусь </t>
        </is>
      </c>
      <c r="K42" s="5" t="inlineStr">
        <is>
          <t>2-4 нед.; у дилеров</t>
        </is>
      </c>
      <c r="L42" s="5" t="inlineStr">
        <is>
          <t>Не российский — только при подтверждении реестра</t>
        </is>
      </c>
    </row>
    <row r="43" ht="66" customHeight="1">
      <c r="A43" s="5" t="inlineStr">
        <is>
          <t>Краны шаровые нержавеющие (10нж45фт, КШХ, нерж.)</t>
        </is>
      </c>
      <c r="B43" s="6" t="n">
        <v>6</v>
      </c>
      <c r="C43" s="7" t="n">
        <v>488800</v>
      </c>
      <c r="D43" s="5" t="inlineStr">
        <is>
          <t>ООО «ТД «ЛД»</t>
        </is>
      </c>
      <c r="E43" s="5" t="inlineStr">
        <is>
          <t>Челябинск</t>
        </is>
      </c>
      <c r="F43" s="5" t="inlineStr">
        <is>
          <t>+7 (351) 730-47-47</t>
        </is>
      </c>
      <c r="G43" s="5" t="inlineStr">
        <is>
          <t>office@chsgs.ru</t>
        </is>
      </c>
      <c r="H43" s="5" t="inlineStr">
        <is>
          <t>chsgs.ru</t>
        </is>
      </c>
      <c r="I43" s="5" t="inlineStr">
        <is>
          <t>10нж45фт 2ЦФ Ду20-32, муфтовые нерж. Ду15 Ру63 (нерж. серия КШ.Ц.Ф)</t>
        </is>
      </c>
      <c r="J43" s="5" t="inlineStr">
        <is>
          <t xml:space="preserve">не проверено </t>
        </is>
      </c>
      <c r="K43" s="5" t="inlineStr">
        <is>
          <t>склад/4 нед.; да</t>
        </is>
      </c>
      <c r="L43" s="5" t="inlineStr">
        <is>
          <t>Звонить первым — в одном КП со стальными</t>
        </is>
      </c>
    </row>
    <row r="44" ht="66" customHeight="1">
      <c r="A44" s="5" t="inlineStr"/>
      <c r="B44" s="5" t="inlineStr"/>
      <c r="C44" s="5" t="inlineStr"/>
      <c r="D44" s="5" t="inlineStr">
        <is>
          <t>ООО «Победа-30»</t>
        </is>
      </c>
      <c r="E44" s="5" t="inlineStr">
        <is>
          <t>Санкт-Петербург</t>
        </is>
      </c>
      <c r="F44" s="5" t="inlineStr">
        <is>
          <t>+7 (812) 458-55-97</t>
        </is>
      </c>
      <c r="G44" s="5" t="inlineStr">
        <is>
          <t>sales@pobeda30.ru</t>
        </is>
      </c>
      <c r="H44" s="5" t="inlineStr">
        <is>
          <t>pobeda30.ru</t>
        </is>
      </c>
      <c r="I44" s="5" t="inlineStr">
        <is>
          <t>Нерж. шаровые краны; запросить КШХ химические Ду50/80</t>
        </is>
      </c>
      <c r="J44" s="5" t="inlineStr">
        <is>
          <t xml:space="preserve">не проверено </t>
        </is>
      </c>
      <c r="K44" s="5" t="inlineStr">
        <is>
          <t>4-8 нед.; частично</t>
        </is>
      </c>
      <c r="L44" s="5" t="inlineStr">
        <is>
          <t>Звонить вторым по КШХ</t>
        </is>
      </c>
    </row>
    <row r="45" ht="66" customHeight="1">
      <c r="A45" s="5" t="inlineStr"/>
      <c r="B45" s="5" t="inlineStr"/>
      <c r="C45" s="5" t="inlineStr"/>
      <c r="D45" s="5" t="inlineStr">
        <is>
          <t>АРМАТЭК (дистрибьютор)</t>
        </is>
      </c>
      <c r="E45" s="5" t="inlineStr">
        <is>
          <t>Санкт-Петербург</t>
        </is>
      </c>
      <c r="F45" s="5" t="inlineStr">
        <is>
          <t>+7 (812) 611-03-77; 8-800-775-74-84</t>
        </is>
      </c>
      <c r="G45" s="5" t="inlineStr">
        <is>
          <t>zakaz@armatek.ru</t>
        </is>
      </c>
      <c r="H45" s="5" t="inlineStr">
        <is>
          <t>armatek.ru</t>
        </is>
      </c>
      <c r="I45" s="5" t="inlineStr">
        <is>
          <t>КШХ футерованные Ду50/80, нерж. краны — подбор рос. производителя</t>
        </is>
      </c>
      <c r="J45" s="5" t="inlineStr">
        <is>
          <t xml:space="preserve">не проверено </t>
        </is>
      </c>
      <c r="K45" s="5" t="inlineStr">
        <is>
          <t>склад/под заказ; да</t>
        </is>
      </c>
      <c r="L45" s="5" t="inlineStr">
        <is>
          <t xml:space="preserve">Для КШХ: рос. производитель футерованных кранов в поиске не подтверждён — поручить подбор </t>
        </is>
      </c>
    </row>
    <row r="46" ht="66" customHeight="1">
      <c r="A46" s="5" t="inlineStr">
        <is>
          <t>Запчасти, уплотнения, рыбозащита, прочее</t>
        </is>
      </c>
      <c r="B46" s="6" t="n">
        <v>1</v>
      </c>
      <c r="C46" s="7" t="n">
        <v>450000</v>
      </c>
      <c r="D46" s="5" t="inlineStr">
        <is>
          <t>ООО «Регул»</t>
        </is>
      </c>
      <c r="E46" s="5" t="inlineStr">
        <is>
          <t>Чебоксары (юр. адрес Москва)</t>
        </is>
      </c>
      <c r="F46" s="5" t="inlineStr">
        <is>
          <t>+7 (499) 653-65-06</t>
        </is>
      </c>
      <c r="G46" s="5" t="inlineStr">
        <is>
          <t>info@regul21.ru</t>
        </is>
      </c>
      <c r="H46" s="5" t="inlineStr">
        <is>
          <t>regul21.ru</t>
        </is>
      </c>
      <c r="I46" s="5" t="inlineStr">
        <is>
          <t>Рыбозащитное устройство РЗУ/РОП самоомывающееся (по СП 101.13330.2023) — изготовление по ТЗ, уточнить исполнен</t>
        </is>
      </c>
      <c r="J46" s="5" t="inlineStr">
        <is>
          <t xml:space="preserve">не проверено </t>
        </is>
      </c>
      <c r="K46" s="5" t="inlineStr">
        <is>
          <t>8-12 нед. (изготовление); нет</t>
        </is>
      </c>
      <c r="L46" s="5" t="inlineStr">
        <is>
          <t>Звонить первым — есть серийное РЗУ (productcenter)</t>
        </is>
      </c>
    </row>
    <row r="47" ht="66" customHeight="1">
      <c r="A47" s="5" t="inlineStr"/>
      <c r="B47" s="5" t="inlineStr"/>
      <c r="C47" s="5" t="inlineStr"/>
      <c r="D47" s="5" t="inlineStr">
        <is>
          <t>ООО «Осанна»</t>
        </is>
      </c>
      <c r="E47" s="5" t="inlineStr">
        <is>
          <t>Энгельс (Саратовская обл.)</t>
        </is>
      </c>
      <c r="F47" s="5" t="inlineStr">
        <is>
          <t>(8453) 75-48-28, 75-48-82</t>
        </is>
      </c>
      <c r="G47" s="5" t="inlineStr">
        <is>
          <t>osannass@mail.ru; osannas@rambler.ru</t>
        </is>
      </c>
      <c r="H47" s="5" t="inlineStr">
        <is>
          <t>osannas.ru</t>
        </is>
      </c>
      <c r="I47" s="5" t="inlineStr">
        <is>
          <t>Разработка и изготовление РЗУ/РЗС для водозаборов (разработчики СП 101.13330)</t>
        </is>
      </c>
      <c r="J47" s="5" t="inlineStr">
        <is>
          <t xml:space="preserve">не проверено </t>
        </is>
      </c>
      <c r="K47" s="5" t="inlineStr">
        <is>
          <t>10-16 нед.; нет</t>
        </is>
      </c>
      <c r="L47" s="5" t="inlineStr">
        <is>
          <t>Звонить вторым: профильный разработчик РЗУ, может сделать по ТЗ с потокообразователем</t>
        </is>
      </c>
    </row>
    <row r="48" ht="66" customHeight="1">
      <c r="A48" s="5" t="inlineStr"/>
      <c r="B48" s="5" t="inlineStr"/>
      <c r="C48" s="5" t="inlineStr"/>
      <c r="D48" s="5" t="inlineStr">
        <is>
          <t>ФГБУ «Главрыбвод» (консультация)</t>
        </is>
      </c>
      <c r="E48" s="5" t="inlineStr">
        <is>
          <t>Москва / Камчатский филиал</t>
        </is>
      </c>
      <c r="F48" s="5" t="inlineStr">
        <is>
          <t>уточнить</t>
        </is>
      </c>
      <c r="G48" s="5" t="inlineStr">
        <is>
          <t>уточнить</t>
        </is>
      </c>
      <c r="H48" s="5" t="inlineStr">
        <is>
          <t>fish.gov.ru / glavrybvod.ru</t>
        </is>
      </c>
      <c r="I48" s="5" t="inlineStr">
        <is>
          <t>Согласование РЗУ, рекомендация изготовителей</t>
        </is>
      </c>
      <c r="J48" s="5" t="inlineStr">
        <is>
          <t>—</t>
        </is>
      </c>
      <c r="K48" s="5" t="inlineStr">
        <is>
          <t>—; —</t>
        </is>
      </c>
      <c r="L48" s="5" t="inlineStr">
        <is>
          <t>Не поставщик — источник списка изготовителей, согласованных для Камчатки</t>
        </is>
      </c>
    </row>
    <row r="49" ht="66" customHeight="1">
      <c r="A49" s="5" t="inlineStr">
        <is>
          <t>Электроприводы и редукторы (ГЗ, Тулаэлектропривод, Н-В, ЭП)</t>
        </is>
      </c>
      <c r="B49" s="6" t="n">
        <v>3</v>
      </c>
      <c r="C49" s="7" t="n">
        <v>442000</v>
      </c>
      <c r="D49" s="5" t="inlineStr">
        <is>
          <t>АО «Тулаэлектропривод»</t>
        </is>
      </c>
      <c r="E49" s="5" t="inlineStr">
        <is>
          <t>Тула (пр-во пос. Плеханово)</t>
        </is>
      </c>
      <c r="F49" s="5" t="inlineStr">
        <is>
          <t>+7 (4872) 72-47-16 (отдел реализации)</t>
        </is>
      </c>
      <c r="G49" s="5" t="inlineStr">
        <is>
          <t>td@tulaprivod.ru; market@tulaprivod.ru</t>
        </is>
      </c>
      <c r="H49" s="5" t="inlineStr">
        <is>
          <t>tulaprivod.ru</t>
        </is>
      </c>
      <c r="I49" s="5" t="inlineStr">
        <is>
          <t>Н-В-02 У2 (2 шт.) — оригинал; приводы для задвижек 30с941нж/30с964нж</t>
        </is>
      </c>
      <c r="J49" s="5" t="inlineStr">
        <is>
          <t xml:space="preserve">не проверено </t>
        </is>
      </c>
      <c r="K49" s="5" t="inlineStr">
        <is>
          <t>4-8 нед.; частично</t>
        </is>
      </c>
      <c r="L49" s="5" t="inlineStr">
        <is>
          <t>Звонить первым</t>
        </is>
      </c>
    </row>
    <row r="50" ht="66" customHeight="1">
      <c r="A50" s="5" t="inlineStr"/>
      <c r="B50" s="5" t="inlineStr"/>
      <c r="C50" s="5" t="inlineStr"/>
      <c r="D50" s="5" t="inlineStr">
        <is>
          <t>ООО «АБС ЗЭиМ Автоматизация»</t>
        </is>
      </c>
      <c r="E50" s="5" t="inlineStr">
        <is>
          <t>Чебоксары</t>
        </is>
      </c>
      <c r="F50" s="5" t="inlineStr">
        <is>
          <t>(8352) 305-148, 305-221</t>
        </is>
      </c>
      <c r="G50" s="5" t="inlineStr">
        <is>
          <t>sales@zeim.ru</t>
        </is>
      </c>
      <c r="H50" s="5" t="inlineStr">
        <is>
          <t>zeim.ru</t>
        </is>
      </c>
      <c r="I50" s="5" t="inlineStr">
        <is>
          <t>МЭП/МЭПК прямоходные — замена Regada ST0 490.0 (Словакия, импорт)</t>
        </is>
      </c>
      <c r="J50" s="5" t="inlineStr">
        <is>
          <t xml:space="preserve">не проверено </t>
        </is>
      </c>
      <c r="K50" s="5" t="inlineStr">
        <is>
          <t>4-8 нед.; частично</t>
        </is>
      </c>
      <c r="L50" s="5" t="inlineStr">
        <is>
          <t>Звонить вторым: Regada и Esbe 95 (Швеция) — импорт, не подходят по ПП 1875; предложить рос</t>
        </is>
      </c>
    </row>
    <row r="51" ht="66" customHeight="1">
      <c r="A51" s="5" t="inlineStr"/>
      <c r="B51" s="5" t="inlineStr"/>
      <c r="C51" s="5" t="inlineStr"/>
      <c r="D51" s="5" t="inlineStr">
        <is>
          <t>АО «Армагус» (электроприводы ГЗ)</t>
        </is>
      </c>
      <c r="E51" s="5" t="inlineStr">
        <is>
          <t>Гусь-Хрустальный</t>
        </is>
      </c>
      <c r="F51" s="5" t="inlineStr">
        <is>
          <t>(49241) 2-32-41</t>
        </is>
      </c>
      <c r="G51" s="5" t="inlineStr">
        <is>
          <t>sales@armagus.ru</t>
        </is>
      </c>
      <c r="H51" s="5" t="inlineStr">
        <is>
          <t>armagus.ru</t>
        </is>
      </c>
      <c r="I51" s="5" t="inlineStr">
        <is>
          <t>Электроприводы ГЗ для запорной арматуры</t>
        </is>
      </c>
      <c r="J51" s="5" t="inlineStr">
        <is>
          <t xml:space="preserve">не проверено </t>
        </is>
      </c>
      <c r="K51" s="5" t="inlineStr">
        <is>
          <t>6-10 нед.; нет</t>
        </is>
      </c>
      <c r="L51" s="5" t="inlineStr">
        <is>
          <t>Сайт gz-electroprivod.ru (8-800-511-99-50, zakaz@gz-electroprivod.ru) — это перепродавец О</t>
        </is>
      </c>
    </row>
    <row r="52" ht="66" customHeight="1">
      <c r="A52" s="5" t="inlineStr">
        <is>
          <t>Краны трёхходовые/манометровые (11б18бк, 11б27п 3-ход.)</t>
        </is>
      </c>
      <c r="B52" s="6" t="n">
        <v>4</v>
      </c>
      <c r="C52" s="7" t="n">
        <v>72240</v>
      </c>
      <c r="D52" s="5" t="inlineStr">
        <is>
          <t>ЗАО «РОСМА»</t>
        </is>
      </c>
      <c r="E52" s="5" t="inlineStr">
        <is>
          <t>Санкт-Петербург</t>
        </is>
      </c>
      <c r="F52" s="5" t="inlineStr">
        <is>
          <t>+7 (812) 325-90-51; +7 (495) 666-33-01</t>
        </is>
      </c>
      <c r="G52" s="5" t="inlineStr">
        <is>
          <t>info@rosma.spb.ru (уточнить)</t>
        </is>
      </c>
      <c r="H52" s="5" t="inlineStr">
        <is>
          <t>rosma.spb.ru</t>
        </is>
      </c>
      <c r="I52" s="5" t="inlineStr">
        <is>
          <t>Краны трёхходовые для манометров 11б18бк Ду15 Ру16 (170 шт.) + манометры</t>
        </is>
      </c>
      <c r="J52" s="5" t="inlineStr">
        <is>
          <t xml:space="preserve">не проверено </t>
        </is>
      </c>
      <c r="K52" s="5" t="inlineStr">
        <is>
          <t>склад; да</t>
        </is>
      </c>
      <c r="L52" s="5" t="inlineStr">
        <is>
          <t>Звонить первым</t>
        </is>
      </c>
    </row>
    <row r="53" ht="66" customHeight="1">
      <c r="A53" s="5" t="inlineStr"/>
      <c r="B53" s="5" t="inlineStr"/>
      <c r="C53" s="5" t="inlineStr"/>
      <c r="D53" s="5" t="inlineStr">
        <is>
          <t>АРМАТЭК (дистрибьютор)</t>
        </is>
      </c>
      <c r="E53" s="5" t="inlineStr">
        <is>
          <t>Санкт-Петербург</t>
        </is>
      </c>
      <c r="F53" s="5" t="inlineStr">
        <is>
          <t>+7 (812) 611-03-77</t>
        </is>
      </c>
      <c r="G53" s="5" t="inlineStr">
        <is>
          <t>zakaz@armatek.ru</t>
        </is>
      </c>
      <c r="H53" s="5" t="inlineStr">
        <is>
          <t>armatek.ru</t>
        </is>
      </c>
      <c r="I53" s="5" t="inlineStr">
        <is>
          <t>11б18бк, 11б27п 3-ход.</t>
        </is>
      </c>
      <c r="J53" s="5" t="inlineStr">
        <is>
          <t xml:space="preserve">не проверено </t>
        </is>
      </c>
      <c r="K53" s="5" t="inlineStr">
        <is>
          <t>склад; да</t>
        </is>
      </c>
      <c r="L53" s="5" t="inlineStr">
        <is>
          <t>Звонить вторым</t>
        </is>
      </c>
    </row>
    <row r="54" ht="66" customHeight="1">
      <c r="A54" s="5" t="inlineStr"/>
      <c r="B54" s="5" t="inlineStr"/>
      <c r="C54" s="5" t="inlineStr"/>
      <c r="D54" s="5" t="inlineStr">
        <is>
          <t>УП «Цветлит»</t>
        </is>
      </c>
      <c r="E54" s="5" t="inlineStr">
        <is>
          <t>Гродно (Беларусь)</t>
        </is>
      </c>
      <c r="F54" s="5" t="inlineStr">
        <is>
          <t>через дилеров</t>
        </is>
      </c>
      <c r="G54" s="5" t="inlineStr">
        <is>
          <t>через дилеров</t>
        </is>
      </c>
      <c r="H54" s="5" t="inlineStr">
        <is>
          <t>через дилеров</t>
        </is>
      </c>
      <c r="I54" s="5" t="inlineStr">
        <is>
          <t>11б18бк</t>
        </is>
      </c>
      <c r="J54" s="5" t="inlineStr">
        <is>
          <t xml:space="preserve">Беларусь </t>
        </is>
      </c>
      <c r="K54" s="5" t="inlineStr">
        <is>
          <t>склад дилеров; да</t>
        </is>
      </c>
      <c r="L54" s="5" t="inlineStr">
        <is>
          <t>Резерв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16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5" customWidth="1" min="3" max="3"/>
    <col width="70" customWidth="1" min="4" max="4"/>
    <col width="8" customWidth="1" min="5" max="5"/>
  </cols>
  <sheetData>
    <row r="1" ht="48" customHeight="1">
      <c r="A1" s="18" t="inlineStr">
        <is>
          <t>Группа</t>
        </is>
      </c>
      <c r="B1" s="18" t="inlineStr">
        <is>
          <t>Таблица</t>
        </is>
      </c>
      <c r="C1" s="18" t="inlineStr">
        <is>
          <t>№</t>
        </is>
      </c>
      <c r="D1" s="18" t="inlineStr">
        <is>
          <t>Позиция</t>
        </is>
      </c>
      <c r="E1" s="18" t="inlineStr">
        <is>
          <t>Кол-во</t>
        </is>
      </c>
    </row>
    <row r="2" ht="34" customHeight="1">
      <c r="A2" s="5" t="inlineStr">
        <is>
          <t>Краны шаровые стальные (11с67п, 11с22п, LD КШ, КЗШС, ЦУФ)</t>
        </is>
      </c>
      <c r="B2" s="5" t="inlineStr">
        <is>
          <t>1.1</t>
        </is>
      </c>
      <c r="C2" s="6" t="n">
        <v>20</v>
      </c>
      <c r="D2" s="5" t="inlineStr">
        <is>
          <t>Кран шаровой 11с67п Ду 150 Ру 25 цельносварной под приварку</t>
        </is>
      </c>
      <c r="E2" s="6" t="n">
        <v>2</v>
      </c>
    </row>
    <row r="3" ht="34" customHeight="1">
      <c r="A3" s="5" t="inlineStr">
        <is>
          <t>Краны шаровые стальные (11с67п, 11с22п, LD КШ, КЗШС, ЦУФ)</t>
        </is>
      </c>
      <c r="B3" s="5" t="inlineStr">
        <is>
          <t>1.1</t>
        </is>
      </c>
      <c r="C3" s="6" t="n">
        <v>21</v>
      </c>
      <c r="D3" s="5" t="inlineStr">
        <is>
          <t>Кран шаровой 11с67п Ду 200 Ру 16 ЦУФ.001 КШ укороченный полнопроходной фланцевый с рукояткой</t>
        </is>
      </c>
      <c r="E3" s="6" t="n">
        <v>2</v>
      </c>
    </row>
    <row r="4" ht="34" customHeight="1">
      <c r="A4" s="5" t="inlineStr">
        <is>
          <t>Краны шаровые стальные (11с67п, 11с22п, LD КШ, КЗШС, ЦУФ)</t>
        </is>
      </c>
      <c r="B4" s="5" t="inlineStr">
        <is>
          <t>1.2</t>
        </is>
      </c>
      <c r="C4" s="6" t="n">
        <v>1</v>
      </c>
      <c r="D4" s="5" t="inlineStr">
        <is>
          <t>Кран шаровой 11с67п Ду 32 Ру 25 цельносварной под приварку</t>
        </is>
      </c>
      <c r="E4" s="6" t="n">
        <v>2</v>
      </c>
    </row>
    <row r="5" ht="34" customHeight="1">
      <c r="A5" s="5" t="inlineStr">
        <is>
          <t>Краны шаровые стальные (11с67п, 11с22п, LD КШ, КЗШС, ЦУФ)</t>
        </is>
      </c>
      <c r="B5" s="5" t="inlineStr">
        <is>
          <t>1.2</t>
        </is>
      </c>
      <c r="C5" s="6" t="n">
        <v>2</v>
      </c>
      <c r="D5" s="5" t="inlineStr">
        <is>
          <t>Кран шаровой 11с67п Ду 100 Ру 25 цельносварной под приварку</t>
        </is>
      </c>
      <c r="E5" s="6" t="n">
        <v>4</v>
      </c>
    </row>
    <row r="6" ht="34" customHeight="1">
      <c r="A6" s="5" t="inlineStr">
        <is>
          <t>Краны шаровые стальные (11с67п, 11с22п, LD КШ, КЗШС, ЦУФ)</t>
        </is>
      </c>
      <c r="B6" s="5" t="inlineStr">
        <is>
          <t>1.2</t>
        </is>
      </c>
      <c r="C6" s="6" t="n">
        <v>3</v>
      </c>
      <c r="D6" s="5" t="inlineStr">
        <is>
          <t>Кран шаровой 11с67п Ду 50 Ру 25 полнопрох. с КОФ (КЗШС41нж)</t>
        </is>
      </c>
      <c r="E6" s="6" t="n">
        <v>18</v>
      </c>
    </row>
    <row r="7" ht="34" customHeight="1">
      <c r="A7" s="5" t="inlineStr">
        <is>
          <t>Краны шаровые стальные (11с67п, 11с22п, LD КШ, КЗШС, ЦУФ)</t>
        </is>
      </c>
      <c r="B7" s="5" t="inlineStr">
        <is>
          <t>1.2</t>
        </is>
      </c>
      <c r="C7" s="6" t="n">
        <v>4</v>
      </c>
      <c r="D7" s="5" t="inlineStr">
        <is>
          <t>Кран шаровой 11с67п Ду 80 Ру 25 полнопрох. с КОФ (КЗШС41нж)</t>
        </is>
      </c>
      <c r="E7" s="6" t="n">
        <v>4</v>
      </c>
    </row>
    <row r="8" ht="34" customHeight="1">
      <c r="A8" s="5" t="inlineStr">
        <is>
          <t>Краны шаровые стальные (11с67п, 11с22п, LD КШ, КЗШС, ЦУФ)</t>
        </is>
      </c>
      <c r="B8" s="5" t="inlineStr">
        <is>
          <t>1.2</t>
        </is>
      </c>
      <c r="C8" s="6" t="n">
        <v>5</v>
      </c>
      <c r="D8" s="5" t="inlineStr">
        <is>
          <t>Кран шаровой 11с67п Ду 100 Ру 16 ЦУФ.001 КШ укороченный полнопроходной фланцевый с рукояткой</t>
        </is>
      </c>
      <c r="E8" s="6" t="n">
        <v>2</v>
      </c>
    </row>
    <row r="9" ht="34" customHeight="1">
      <c r="A9" s="5" t="inlineStr">
        <is>
          <t>Краны шаровые стальные (11с67п, 11с22п, LD КШ, КЗШС, ЦУФ)</t>
        </is>
      </c>
      <c r="B9" s="5" t="inlineStr">
        <is>
          <t>1.3</t>
        </is>
      </c>
      <c r="C9" s="6" t="n">
        <v>106</v>
      </c>
      <c r="D9" s="5" t="inlineStr">
        <is>
          <t>Кран шаровой фланцевый 11с22п Ду 50 Ру 16</t>
        </is>
      </c>
      <c r="E9" s="6" t="n">
        <v>7</v>
      </c>
    </row>
    <row r="10" ht="34" customHeight="1">
      <c r="A10" s="5" t="inlineStr">
        <is>
          <t>Краны шаровые стальные (11с67п, 11с22п, LD КШ, КЗШС, ЦУФ)</t>
        </is>
      </c>
      <c r="B10" s="5" t="inlineStr">
        <is>
          <t>1.3</t>
        </is>
      </c>
      <c r="C10" s="6" t="n">
        <v>107</v>
      </c>
      <c r="D10" s="5" t="inlineStr">
        <is>
          <t>Кран шаровой фланцевый 11с22п Ду 80 Ру 16</t>
        </is>
      </c>
      <c r="E10" s="6" t="n">
        <v>8</v>
      </c>
    </row>
    <row r="11" ht="34" customHeight="1">
      <c r="A11" s="5" t="inlineStr">
        <is>
          <t>Краны шаровые стальные (11с67п, 11с22п, LD КШ, КЗШС, ЦУФ)</t>
        </is>
      </c>
      <c r="B11" s="5" t="inlineStr">
        <is>
          <t>1.3</t>
        </is>
      </c>
      <c r="C11" s="6" t="n">
        <v>108</v>
      </c>
      <c r="D11" s="5" t="inlineStr">
        <is>
          <t>Кран шаровой фланцевый 11с22п Ду 100 Ру 16</t>
        </is>
      </c>
      <c r="E11" s="6" t="n">
        <v>8</v>
      </c>
    </row>
    <row r="12" ht="34" customHeight="1">
      <c r="A12" s="5" t="inlineStr">
        <is>
          <t>Краны шаровые стальные (11с67п, 11с22п, LD КШ, КЗШС, ЦУФ)</t>
        </is>
      </c>
      <c r="B12" s="5" t="inlineStr">
        <is>
          <t>1.3</t>
        </is>
      </c>
      <c r="C12" s="6" t="n">
        <v>109</v>
      </c>
      <c r="D12" s="5" t="inlineStr">
        <is>
          <t>Кран шаровой 11С67П Ду 100 Ру 16</t>
        </is>
      </c>
      <c r="E12" s="6" t="n">
        <v>2</v>
      </c>
    </row>
    <row r="13" ht="34" customHeight="1">
      <c r="A13" s="5" t="inlineStr">
        <is>
          <t>Краны шаровые стальные (11с67п, 11с22п, LD КШ, КЗШС, ЦУФ)</t>
        </is>
      </c>
      <c r="B13" s="5" t="inlineStr">
        <is>
          <t>1.3</t>
        </is>
      </c>
      <c r="C13" s="6" t="n">
        <v>110</v>
      </c>
      <c r="D13" s="5" t="inlineStr">
        <is>
          <t>Кран шаровой 11С67П Ду 150 Ру 16</t>
        </is>
      </c>
      <c r="E13" s="6" t="n">
        <v>2</v>
      </c>
    </row>
    <row r="14" ht="34" customHeight="1">
      <c r="A14" s="5" t="inlineStr">
        <is>
          <t>Краны шаровые стальные (11с67п, 11с22п, LD КШ, КЗШС, ЦУФ)</t>
        </is>
      </c>
      <c r="B14" s="5" t="inlineStr">
        <is>
          <t>1.3</t>
        </is>
      </c>
      <c r="C14" s="6" t="n">
        <v>111</v>
      </c>
      <c r="D14" s="5" t="inlineStr">
        <is>
          <t>Кран шаровой 11С67П Ду 200 Ру 16</t>
        </is>
      </c>
      <c r="E14" s="6" t="n">
        <v>2</v>
      </c>
    </row>
    <row r="15" ht="34" customHeight="1">
      <c r="A15" s="5" t="inlineStr">
        <is>
          <t>Краны шаровые стальные (11с67п, 11с22п, LD КШ, КЗШС, ЦУФ)</t>
        </is>
      </c>
      <c r="B15" s="5" t="inlineStr">
        <is>
          <t>1.3</t>
        </is>
      </c>
      <c r="C15" s="6" t="n">
        <v>112</v>
      </c>
      <c r="D15" s="5" t="inlineStr">
        <is>
          <t>Кран шаровой 11С67П Ду 80 Ру 16</t>
        </is>
      </c>
      <c r="E15" s="6" t="n">
        <v>2</v>
      </c>
    </row>
    <row r="16" ht="34" customHeight="1">
      <c r="A16" s="5" t="inlineStr">
        <is>
          <t>Краны шаровые стальные (11с67п, 11с22п, LD КШ, КЗШС, ЦУФ)</t>
        </is>
      </c>
      <c r="B16" s="5" t="inlineStr">
        <is>
          <t>1.3</t>
        </is>
      </c>
      <c r="C16" s="6" t="n">
        <v>113</v>
      </c>
      <c r="D16" s="5" t="inlineStr">
        <is>
          <t>Кран шаровой 11с67п Ду 15 Ру 25 цельносварной под приварку</t>
        </is>
      </c>
      <c r="E16" s="6" t="n">
        <v>62</v>
      </c>
    </row>
    <row r="17" ht="34" customHeight="1">
      <c r="A17" s="5" t="inlineStr">
        <is>
          <t>Краны шаровые стальные (11с67п, 11с22п, LD КШ, КЗШС, ЦУФ)</t>
        </is>
      </c>
      <c r="B17" s="5" t="inlineStr">
        <is>
          <t>1.3</t>
        </is>
      </c>
      <c r="C17" s="6" t="n">
        <v>114</v>
      </c>
      <c r="D17" s="5" t="inlineStr">
        <is>
          <t>Кран шаровой 11с67п Ду 25 Ру 25 цельносварной под приварку</t>
        </is>
      </c>
      <c r="E17" s="6" t="n">
        <v>48</v>
      </c>
    </row>
    <row r="18" ht="34" customHeight="1">
      <c r="A18" s="5" t="inlineStr">
        <is>
          <t>Краны шаровые стальные (11с67п, 11с22п, LD КШ, КЗШС, ЦУФ)</t>
        </is>
      </c>
      <c r="B18" s="5" t="inlineStr">
        <is>
          <t>1.3</t>
        </is>
      </c>
      <c r="C18" s="6" t="n">
        <v>115</v>
      </c>
      <c r="D18" s="5" t="inlineStr">
        <is>
          <t>Кран шаровой 11с67п Ду 32 Ру 25 цельносварной под приварку</t>
        </is>
      </c>
      <c r="E18" s="6" t="n">
        <v>40</v>
      </c>
    </row>
    <row r="19" ht="34" customHeight="1">
      <c r="A19" s="5" t="inlineStr">
        <is>
          <t>Краны шаровые стальные (11с67п, 11с22п, LD КШ, КЗШС, ЦУФ)</t>
        </is>
      </c>
      <c r="B19" s="5" t="inlineStr">
        <is>
          <t>1.3</t>
        </is>
      </c>
      <c r="C19" s="6" t="n">
        <v>116</v>
      </c>
      <c r="D19" s="5" t="inlineStr">
        <is>
          <t>Кран шаровой 11с67п Ду 40 Ру 25 цельносварной под приварку</t>
        </is>
      </c>
      <c r="E19" s="6" t="n">
        <v>38</v>
      </c>
    </row>
    <row r="20" ht="34" customHeight="1">
      <c r="A20" s="5" t="inlineStr">
        <is>
          <t>Краны шаровые стальные (11с67п, 11с22п, LD КШ, КЗШС, ЦУФ)</t>
        </is>
      </c>
      <c r="B20" s="5" t="inlineStr">
        <is>
          <t>1.3</t>
        </is>
      </c>
      <c r="C20" s="6" t="n">
        <v>117</v>
      </c>
      <c r="D20" s="5" t="inlineStr">
        <is>
          <t>Кран шаровой 11с67п Ду 50 Ру 25 цельносварной под приварку</t>
        </is>
      </c>
      <c r="E20" s="6" t="n">
        <v>44</v>
      </c>
    </row>
    <row r="21" ht="34" customHeight="1">
      <c r="A21" s="5" t="inlineStr">
        <is>
          <t>Краны шаровые стальные (11с67п, 11с22п, LD КШ, КЗШС, ЦУФ)</t>
        </is>
      </c>
      <c r="B21" s="5" t="inlineStr">
        <is>
          <t>1.3</t>
        </is>
      </c>
      <c r="C21" s="6" t="n">
        <v>118</v>
      </c>
      <c r="D21" s="5" t="inlineStr">
        <is>
          <t>Кран шаровой 11с67п Ду 80 Ру 25 цельносварной под приварку</t>
        </is>
      </c>
      <c r="E21" s="6" t="n">
        <v>26</v>
      </c>
    </row>
    <row r="22" ht="34" customHeight="1">
      <c r="A22" s="5" t="inlineStr">
        <is>
          <t>Краны шаровые стальные (11с67п, 11с22п, LD КШ, КЗШС, ЦУФ)</t>
        </is>
      </c>
      <c r="B22" s="5" t="inlineStr">
        <is>
          <t>1.3</t>
        </is>
      </c>
      <c r="C22" s="6" t="n">
        <v>119</v>
      </c>
      <c r="D22" s="5" t="inlineStr">
        <is>
          <t>Кран шаровой 11с67п Ду 100 Ру 25 цельносварной под приварку</t>
        </is>
      </c>
      <c r="E22" s="6" t="n">
        <v>24</v>
      </c>
    </row>
    <row r="23" ht="34" customHeight="1">
      <c r="A23" s="5" t="inlineStr">
        <is>
          <t>Краны шаровые стальные (11с67п, 11с22п, LD КШ, КЗШС, ЦУФ)</t>
        </is>
      </c>
      <c r="B23" s="5" t="inlineStr">
        <is>
          <t>1.3</t>
        </is>
      </c>
      <c r="C23" s="6" t="n">
        <v>120</v>
      </c>
      <c r="D23" s="5" t="inlineStr">
        <is>
          <t>Кран шаровой 11с67п Ду 150 Ру 25 цельносварной под приварку</t>
        </is>
      </c>
      <c r="E23" s="6" t="n">
        <v>22</v>
      </c>
    </row>
    <row r="24" ht="34" customHeight="1">
      <c r="A24" s="5" t="inlineStr">
        <is>
          <t>Краны шаровые стальные (11с67п, 11с22п, LD КШ, КЗШС, ЦУФ)</t>
        </is>
      </c>
      <c r="B24" s="5" t="inlineStr">
        <is>
          <t>1.3</t>
        </is>
      </c>
      <c r="C24" s="6" t="n">
        <v>121</v>
      </c>
      <c r="D24" s="5" t="inlineStr">
        <is>
          <t>Кран шаровой 11с67п Ду 200 Ру 25 цельносварной под приварку</t>
        </is>
      </c>
      <c r="E24" s="6" t="n">
        <v>10</v>
      </c>
    </row>
    <row r="25" ht="34" customHeight="1">
      <c r="A25" s="5" t="inlineStr">
        <is>
          <t>Краны шаровые стальные (11с67п, 11с22п, LD КШ, КЗШС, ЦУФ)</t>
        </is>
      </c>
      <c r="B25" s="5" t="inlineStr">
        <is>
          <t>1.3</t>
        </is>
      </c>
      <c r="C25" s="6" t="n">
        <v>122</v>
      </c>
      <c r="D25" s="5" t="inlineStr">
        <is>
          <t>Кран шаровой 11с67п Ду 15 Ру 25 полнопрох. с КОФ (КЗШС41нж)</t>
        </is>
      </c>
      <c r="E25" s="6" t="n">
        <v>3</v>
      </c>
    </row>
    <row r="26" ht="34" customHeight="1">
      <c r="A26" s="5" t="inlineStr">
        <is>
          <t>Краны шаровые стальные (11с67п, 11с22п, LD КШ, КЗШС, ЦУФ)</t>
        </is>
      </c>
      <c r="B26" s="5" t="inlineStr">
        <is>
          <t>1.3</t>
        </is>
      </c>
      <c r="C26" s="6" t="n">
        <v>123</v>
      </c>
      <c r="D26" s="5" t="inlineStr">
        <is>
          <t>Кран шаровой 11с67п Ду 25 Ру 25 полнопрох. с КОФ (КЗШС41нж)</t>
        </is>
      </c>
      <c r="E26" s="6" t="n">
        <v>6</v>
      </c>
    </row>
    <row r="27" ht="34" customHeight="1">
      <c r="A27" s="5" t="inlineStr">
        <is>
          <t>Краны шаровые стальные (11с67п, 11с22п, LD КШ, КЗШС, ЦУФ)</t>
        </is>
      </c>
      <c r="B27" s="5" t="inlineStr">
        <is>
          <t>1.3</t>
        </is>
      </c>
      <c r="C27" s="6" t="n">
        <v>124</v>
      </c>
      <c r="D27" s="5" t="inlineStr">
        <is>
          <t>Кран шаровой 11с67п Ду 32 Ру 25 полнопрох. с КОФ (КЗШС41нж)</t>
        </is>
      </c>
      <c r="E27" s="6" t="n">
        <v>10</v>
      </c>
    </row>
    <row r="28" ht="34" customHeight="1">
      <c r="A28" s="5" t="inlineStr">
        <is>
          <t>Краны шаровые стальные (11с67п, 11с22п, LD КШ, КЗШС, ЦУФ)</t>
        </is>
      </c>
      <c r="B28" s="5" t="inlineStr">
        <is>
          <t>1.3</t>
        </is>
      </c>
      <c r="C28" s="6" t="n">
        <v>125</v>
      </c>
      <c r="D28" s="5" t="inlineStr">
        <is>
          <t>Кран шаровой 11с67п Ду 50 Ру 25 полнопрох. с КОФ (КЗШС41нж)</t>
        </is>
      </c>
      <c r="E28" s="6" t="n">
        <v>6</v>
      </c>
    </row>
    <row r="29" ht="34" customHeight="1">
      <c r="A29" s="5" t="inlineStr">
        <is>
          <t>Краны шаровые стальные (11с67п, 11с22п, LD КШ, КЗШС, ЦУФ)</t>
        </is>
      </c>
      <c r="B29" s="5" t="inlineStr">
        <is>
          <t>1.3</t>
        </is>
      </c>
      <c r="C29" s="6" t="n">
        <v>126</v>
      </c>
      <c r="D29" s="5" t="inlineStr">
        <is>
          <t>Кран шаровой 11с67п Ду 80 Ру 25 полнопрох. с КОФ (КЗШС41нж)</t>
        </is>
      </c>
      <c r="E29" s="6" t="n">
        <v>4</v>
      </c>
    </row>
    <row r="30" ht="34" customHeight="1">
      <c r="A30" s="5" t="inlineStr">
        <is>
          <t>Краны шаровые стальные (11с67п, 11с22п, LD КШ, КЗШС, ЦУФ)</t>
        </is>
      </c>
      <c r="B30" s="5" t="inlineStr">
        <is>
          <t>1.3</t>
        </is>
      </c>
      <c r="C30" s="6" t="n">
        <v>127</v>
      </c>
      <c r="D30" s="5" t="inlineStr">
        <is>
          <t>Кран шаровой 11с67п Ду 100 Ру 16 ЦУФ.001 КШ укороченный полнопроходной фланцевый с рукояткой</t>
        </is>
      </c>
      <c r="E30" s="6" t="n">
        <v>91</v>
      </c>
    </row>
    <row r="31" ht="34" customHeight="1">
      <c r="A31" s="5" t="inlineStr">
        <is>
          <t>Краны шаровые стальные (11с67п, 11с22п, LD КШ, КЗШС, ЦУФ)</t>
        </is>
      </c>
      <c r="B31" s="5" t="inlineStr">
        <is>
          <t>1.3</t>
        </is>
      </c>
      <c r="C31" s="6" t="n">
        <v>128</v>
      </c>
      <c r="D31" s="5" t="inlineStr">
        <is>
          <t>Кран шаровой 11с67п Ду 125 Ру 16 ЦУФ.001 КШ укороченный полнопроходной фланцевый с рукояткой</t>
        </is>
      </c>
      <c r="E31" s="6" t="n">
        <v>10</v>
      </c>
    </row>
    <row r="32" ht="34" customHeight="1">
      <c r="A32" s="5" t="inlineStr">
        <is>
          <t>Краны шаровые стальные (11с67п, 11с22п, LD КШ, КЗШС, ЦУФ)</t>
        </is>
      </c>
      <c r="B32" s="5" t="inlineStr">
        <is>
          <t>1.3</t>
        </is>
      </c>
      <c r="C32" s="6" t="n">
        <v>129</v>
      </c>
      <c r="D32" s="5" t="inlineStr">
        <is>
          <t>Кран шаровой 11с67п Ду 150 Ру 16 ЦУФ.001 КШ укороченный полнопроходной фланцевый с рукояткой</t>
        </is>
      </c>
      <c r="E32" s="6" t="n">
        <v>59</v>
      </c>
    </row>
    <row r="33" ht="34" customHeight="1">
      <c r="A33" s="5" t="inlineStr">
        <is>
          <t>Краны шаровые стальные (11с67п, 11с22п, LD КШ, КЗШС, ЦУФ)</t>
        </is>
      </c>
      <c r="B33" s="5" t="inlineStr">
        <is>
          <t>1.3</t>
        </is>
      </c>
      <c r="C33" s="6" t="n">
        <v>130</v>
      </c>
      <c r="D33" s="5" t="inlineStr">
        <is>
          <t>Кран шаровой 11с67п Ду 200 Ру 16 ЦУФ.001 КШ укороченный полнопроходной фланцевый с рукояткой</t>
        </is>
      </c>
      <c r="E33" s="6" t="n">
        <v>45</v>
      </c>
    </row>
    <row r="34" ht="34" customHeight="1">
      <c r="A34" s="5" t="inlineStr">
        <is>
          <t>Краны шаровые стальные (11с67п, 11с22п, LD КШ, КЗШС, ЦУФ)</t>
        </is>
      </c>
      <c r="B34" s="5" t="inlineStr">
        <is>
          <t>1.3</t>
        </is>
      </c>
      <c r="C34" s="6" t="n">
        <v>131</v>
      </c>
      <c r="D34" s="5" t="inlineStr">
        <is>
          <t>Кран шаровой 11с67п Ду 40 Ру 16 ЦУФ.001 КШ укороченный полнопроходной фланцевый с рукояткой</t>
        </is>
      </c>
      <c r="E34" s="6" t="n">
        <v>8</v>
      </c>
    </row>
    <row r="35" ht="34" customHeight="1">
      <c r="A35" s="5" t="inlineStr">
        <is>
          <t>Краны шаровые стальные (11с67п, 11с22п, LD КШ, КЗШС, ЦУФ)</t>
        </is>
      </c>
      <c r="B35" s="5" t="inlineStr">
        <is>
          <t>1.3</t>
        </is>
      </c>
      <c r="C35" s="6" t="n">
        <v>132</v>
      </c>
      <c r="D35" s="5" t="inlineStr">
        <is>
          <t>Кран шаровой 11с67п Ду 50 Ру 16 ЦУФ.001 КШ укороченный полнопроходной фланцевый с рукояткой</t>
        </is>
      </c>
      <c r="E35" s="6" t="n">
        <v>80</v>
      </c>
    </row>
    <row r="36" ht="34" customHeight="1">
      <c r="A36" s="5" t="inlineStr">
        <is>
          <t>Краны шаровые стальные (11с67п, 11с22п, LD КШ, КЗШС, ЦУФ)</t>
        </is>
      </c>
      <c r="B36" s="5" t="inlineStr">
        <is>
          <t>1.3</t>
        </is>
      </c>
      <c r="C36" s="6" t="n">
        <v>133</v>
      </c>
      <c r="D36" s="5" t="inlineStr">
        <is>
          <t>Кран шаровой 11с67п Ду 65 Ру 16 ЦУФ.001 КШ укороченный полнопроходной фланцевый с рукояткой</t>
        </is>
      </c>
      <c r="E36" s="6" t="n">
        <v>6</v>
      </c>
    </row>
    <row r="37" ht="34" customHeight="1">
      <c r="A37" s="5" t="inlineStr">
        <is>
          <t>Краны шаровые стальные (11с67п, 11с22п, LD КШ, КЗШС, ЦУФ)</t>
        </is>
      </c>
      <c r="B37" s="5" t="inlineStr">
        <is>
          <t>1.3</t>
        </is>
      </c>
      <c r="C37" s="6" t="n">
        <v>134</v>
      </c>
      <c r="D37" s="5" t="inlineStr">
        <is>
          <t>Кран шаровой 11с67п Ду 80 Ру 16 ЦУФ.001 КШ укороченный полнопроходной фланцевый с рукояткой</t>
        </is>
      </c>
      <c r="E37" s="6" t="n">
        <v>92</v>
      </c>
    </row>
    <row r="38" ht="34" customHeight="1">
      <c r="A38" s="5" t="inlineStr">
        <is>
          <t>Краны шаровые стальные (11с67п, 11с22п, LD КШ, КЗШС, ЦУФ)</t>
        </is>
      </c>
      <c r="B38" s="5" t="inlineStr">
        <is>
          <t>1.3</t>
        </is>
      </c>
      <c r="C38" s="6" t="n">
        <v>136</v>
      </c>
      <c r="D38" s="5" t="inlineStr">
        <is>
          <t>Кран шаровый LD неполнопроходной 11с67п КШЦФ Ду 200 Ру 16 с КОФ</t>
        </is>
      </c>
      <c r="E38" s="6" t="n">
        <v>14</v>
      </c>
    </row>
    <row r="39" ht="34" customHeight="1">
      <c r="A39" s="5" t="inlineStr">
        <is>
          <t>Краны шаровые стальные (11с67п, 11с22п, LD КШ, КЗШС, ЦУФ)</t>
        </is>
      </c>
      <c r="B39" s="5" t="inlineStr">
        <is>
          <t>1.3</t>
        </is>
      </c>
      <c r="C39" s="6" t="n">
        <v>137</v>
      </c>
      <c r="D39" s="5" t="inlineStr">
        <is>
          <t>Кран шаровый LD полнопроходной 11с67п КШРФ Ду 100 Ру 16 с КОФ</t>
        </is>
      </c>
      <c r="E39" s="6" t="n">
        <v>29</v>
      </c>
    </row>
    <row r="40" ht="34" customHeight="1">
      <c r="A40" s="5" t="inlineStr">
        <is>
          <t>Краны шаровые стальные (11с67п, 11с22п, LD КШ, КЗШС, ЦУФ)</t>
        </is>
      </c>
      <c r="B40" s="5" t="inlineStr">
        <is>
          <t>1.3</t>
        </is>
      </c>
      <c r="C40" s="6" t="n">
        <v>138</v>
      </c>
      <c r="D40" s="5" t="inlineStr">
        <is>
          <t>Кран шаровый LD полнопроходной 11с67п КШРФ Ду 125 Ру 16 с КОФ</t>
        </is>
      </c>
      <c r="E40" s="6" t="n">
        <v>6</v>
      </c>
    </row>
    <row r="41" ht="34" customHeight="1">
      <c r="A41" s="5" t="inlineStr">
        <is>
          <t>Краны шаровые стальные (11с67п, 11с22п, LD КШ, КЗШС, ЦУФ)</t>
        </is>
      </c>
      <c r="B41" s="5" t="inlineStr">
        <is>
          <t>1.3</t>
        </is>
      </c>
      <c r="C41" s="6" t="n">
        <v>139</v>
      </c>
      <c r="D41" s="5" t="inlineStr">
        <is>
          <t>Кран шаровый LD полнопроходной 11с67п КШРФ Ду 150 Ру 16 с КОФ</t>
        </is>
      </c>
      <c r="E41" s="6" t="n">
        <v>31</v>
      </c>
    </row>
    <row r="42" ht="34" customHeight="1">
      <c r="A42" s="5" t="inlineStr">
        <is>
          <t>Краны шаровые стальные (11с67п, 11с22п, LD КШ, КЗШС, ЦУФ)</t>
        </is>
      </c>
      <c r="B42" s="5" t="inlineStr">
        <is>
          <t>1.3</t>
        </is>
      </c>
      <c r="C42" s="6" t="n">
        <v>140</v>
      </c>
      <c r="D42" s="5" t="inlineStr">
        <is>
          <t>Кран шаровый LD полнопроходной 11с67п КШРФ Ду 25 Ру 16 с КОФ</t>
        </is>
      </c>
      <c r="E42" s="6" t="n">
        <v>8</v>
      </c>
    </row>
    <row r="43" ht="34" customHeight="1">
      <c r="A43" s="5" t="inlineStr">
        <is>
          <t>Краны шаровые стальные (11с67п, 11с22п, LD КШ, КЗШС, ЦУФ)</t>
        </is>
      </c>
      <c r="B43" s="5" t="inlineStr">
        <is>
          <t>1.3</t>
        </is>
      </c>
      <c r="C43" s="6" t="n">
        <v>141</v>
      </c>
      <c r="D43" s="5" t="inlineStr">
        <is>
          <t>Кран шаровый LD полнопроходной 11с67п КШРФ Ду 32 Ру 16 с КОФ</t>
        </is>
      </c>
      <c r="E43" s="6" t="n">
        <v>8</v>
      </c>
    </row>
    <row r="44" ht="34" customHeight="1">
      <c r="A44" s="5" t="inlineStr">
        <is>
          <t>Краны шаровые стальные (11с67п, 11с22п, LD КШ, КЗШС, ЦУФ)</t>
        </is>
      </c>
      <c r="B44" s="5" t="inlineStr">
        <is>
          <t>1.3</t>
        </is>
      </c>
      <c r="C44" s="6" t="n">
        <v>142</v>
      </c>
      <c r="D44" s="5" t="inlineStr">
        <is>
          <t>Кран шаровый LD полнопроходной 11с67п КШРФ Ду 40 Ру 16 с КОФ</t>
        </is>
      </c>
      <c r="E44" s="6" t="n">
        <v>8</v>
      </c>
    </row>
    <row r="45" ht="34" customHeight="1">
      <c r="A45" s="5" t="inlineStr">
        <is>
          <t>Краны шаровые стальные (11с67п, 11с22п, LD КШ, КЗШС, ЦУФ)</t>
        </is>
      </c>
      <c r="B45" s="5" t="inlineStr">
        <is>
          <t>1.3</t>
        </is>
      </c>
      <c r="C45" s="6" t="n">
        <v>143</v>
      </c>
      <c r="D45" s="5" t="inlineStr">
        <is>
          <t>Кран шаровый LD полнопроходной 11с67п КШРФ Ду 50 Ру 16 с КОФ</t>
        </is>
      </c>
      <c r="E45" s="6" t="n">
        <v>112</v>
      </c>
    </row>
    <row r="46" ht="34" customHeight="1">
      <c r="A46" s="5" t="inlineStr">
        <is>
          <t>Краны шаровые стальные (11с67п, 11с22п, LD КШ, КЗШС, ЦУФ)</t>
        </is>
      </c>
      <c r="B46" s="5" t="inlineStr">
        <is>
          <t>1.3</t>
        </is>
      </c>
      <c r="C46" s="6" t="n">
        <v>144</v>
      </c>
      <c r="D46" s="5" t="inlineStr">
        <is>
          <t>Кран шаровый LD полнопроходной 11с67п КШРФ Ду 65 Ру 16 с КОФ</t>
        </is>
      </c>
      <c r="E46" s="6" t="n">
        <v>6</v>
      </c>
    </row>
    <row r="47" ht="34" customHeight="1">
      <c r="A47" s="5" t="inlineStr">
        <is>
          <t>Краны шаровые стальные (11с67п, 11с22п, LD КШ, КЗШС, ЦУФ)</t>
        </is>
      </c>
      <c r="B47" s="5" t="inlineStr">
        <is>
          <t>1.3</t>
        </is>
      </c>
      <c r="C47" s="6" t="n">
        <v>145</v>
      </c>
      <c r="D47" s="5" t="inlineStr">
        <is>
          <t>Кран шаровый LD полнопроходной 11с67п КШРФ Ду 80 Ру 16 МПа с КОФ</t>
        </is>
      </c>
      <c r="E47" s="6" t="n">
        <v>58</v>
      </c>
    </row>
    <row r="48" ht="34" customHeight="1">
      <c r="A48" s="5" t="inlineStr">
        <is>
          <t>Краны шаровые стальные (11с67п, 11с22п, LD КШ, КЗШС, ЦУФ)</t>
        </is>
      </c>
      <c r="B48" s="5" t="inlineStr">
        <is>
          <t>1.3</t>
        </is>
      </c>
      <c r="C48" s="6" t="n">
        <v>148</v>
      </c>
      <c r="D48" s="5" t="inlineStr">
        <is>
          <t>Кран шаровый разборный полнопроходной 11с67п Ду 250 Ру 16 с КОФ</t>
        </is>
      </c>
      <c r="E48" s="6" t="n">
        <v>6</v>
      </c>
    </row>
    <row r="49" ht="34" customHeight="1">
      <c r="A49" s="5" t="inlineStr">
        <is>
          <t>Краны шаровые стальные (11с67п, 11с22п, LD КШ, КЗШС, ЦУФ)</t>
        </is>
      </c>
      <c r="B49" s="5" t="inlineStr">
        <is>
          <t>1.3</t>
        </is>
      </c>
      <c r="C49" s="6" t="n">
        <v>149</v>
      </c>
      <c r="D49" s="5" t="inlineStr">
        <is>
          <t>Кран шаровый цельносварной неполнопроходной 11с67п Ду 250/200 Ру 16 с КОФ</t>
        </is>
      </c>
      <c r="E49" s="6" t="n">
        <v>2</v>
      </c>
    </row>
    <row r="50" ht="34" customHeight="1">
      <c r="A50" s="5" t="inlineStr">
        <is>
          <t>Краны шаровые стальные (11с67п, 11с22п, LD КШ, КЗШС, ЦУФ)</t>
        </is>
      </c>
      <c r="B50" s="5" t="inlineStr">
        <is>
          <t>1.5</t>
        </is>
      </c>
      <c r="C50" s="6" t="n">
        <v>9</v>
      </c>
      <c r="D50" s="5" t="inlineStr">
        <is>
          <t>Кран шаровой 11с22п Ду 50 Ру 16</t>
        </is>
      </c>
      <c r="E50" s="6" t="n">
        <v>4</v>
      </c>
    </row>
    <row r="51" ht="34" customHeight="1">
      <c r="A51" s="5" t="inlineStr">
        <is>
          <t>Краны шаровые стальные (11с67п, 11с22п, LD КШ, КЗШС, ЦУФ)</t>
        </is>
      </c>
      <c r="B51" s="5" t="inlineStr">
        <is>
          <t>1.5</t>
        </is>
      </c>
      <c r="C51" s="6" t="n">
        <v>10</v>
      </c>
      <c r="D51" s="5" t="inlineStr">
        <is>
          <t>Кран шаровой 11с22п Ду 80 Ру 16</t>
        </is>
      </c>
      <c r="E51" s="6" t="n">
        <v>4</v>
      </c>
    </row>
    <row r="52" ht="34" customHeight="1">
      <c r="A52" s="5" t="inlineStr">
        <is>
          <t>Краны шаровые стальные (11с67п, 11с22п, LD КШ, КЗШС, ЦУФ)</t>
        </is>
      </c>
      <c r="B52" s="5" t="inlineStr">
        <is>
          <t>1.5</t>
        </is>
      </c>
      <c r="C52" s="6" t="n">
        <v>11</v>
      </c>
      <c r="D52" s="5" t="inlineStr">
        <is>
          <t>Кран шаровой 11с22п Ду 100 Ру 16</t>
        </is>
      </c>
      <c r="E52" s="6" t="n">
        <v>2</v>
      </c>
    </row>
    <row r="53" ht="34" customHeight="1">
      <c r="A53" s="5" t="inlineStr">
        <is>
          <t>Краны шаровые стальные (11с67п, 11с22п, LD КШ, КЗШС, ЦУФ)</t>
        </is>
      </c>
      <c r="B53" s="5" t="inlineStr">
        <is>
          <t>1.5</t>
        </is>
      </c>
      <c r="C53" s="6" t="n">
        <v>12</v>
      </c>
      <c r="D53" s="5" t="inlineStr">
        <is>
          <t>Кран шаровой 11с67п Ду 15 Ру 25 цельносварной под приварку</t>
        </is>
      </c>
      <c r="E53" s="6" t="n">
        <v>25</v>
      </c>
    </row>
    <row r="54" ht="34" customHeight="1">
      <c r="A54" s="5" t="inlineStr">
        <is>
          <t>Краны шаровые стальные (11с67п, 11с22п, LD КШ, КЗШС, ЦУФ)</t>
        </is>
      </c>
      <c r="B54" s="5" t="inlineStr">
        <is>
          <t>1.5</t>
        </is>
      </c>
      <c r="C54" s="6" t="n">
        <v>13</v>
      </c>
      <c r="D54" s="5" t="inlineStr">
        <is>
          <t>Кран шаровой 11с67п Ду 25 Ру 25 цельносварной под приварку</t>
        </is>
      </c>
      <c r="E54" s="6" t="n">
        <v>32</v>
      </c>
    </row>
    <row r="55" ht="34" customHeight="1">
      <c r="A55" s="5" t="inlineStr">
        <is>
          <t>Краны шаровые стальные (11с67п, 11с22п, LD КШ, КЗШС, ЦУФ)</t>
        </is>
      </c>
      <c r="B55" s="5" t="inlineStr">
        <is>
          <t>1.5</t>
        </is>
      </c>
      <c r="C55" s="6" t="n">
        <v>14</v>
      </c>
      <c r="D55" s="5" t="inlineStr">
        <is>
          <t>Кран шаровой 11с67п Ду 32 Ру 25 цельносварной под приварку</t>
        </is>
      </c>
      <c r="E55" s="6" t="n">
        <v>15</v>
      </c>
    </row>
    <row r="56" ht="34" customHeight="1">
      <c r="A56" s="5" t="inlineStr">
        <is>
          <t>Краны шаровые стальные (11с67п, 11с22п, LD КШ, КЗШС, ЦУФ)</t>
        </is>
      </c>
      <c r="B56" s="5" t="inlineStr">
        <is>
          <t>1.5</t>
        </is>
      </c>
      <c r="C56" s="6" t="n">
        <v>15</v>
      </c>
      <c r="D56" s="5" t="inlineStr">
        <is>
          <t>Кран шаровой 11с67п Ду 40 Ру 25 цельносварной под приварку</t>
        </is>
      </c>
      <c r="E56" s="6" t="n">
        <v>26</v>
      </c>
    </row>
    <row r="57" ht="34" customHeight="1">
      <c r="A57" s="5" t="inlineStr">
        <is>
          <t>Краны шаровые стальные (11с67п, 11с22п, LD КШ, КЗШС, ЦУФ)</t>
        </is>
      </c>
      <c r="B57" s="5" t="inlineStr">
        <is>
          <t>1.5</t>
        </is>
      </c>
      <c r="C57" s="6" t="n">
        <v>16</v>
      </c>
      <c r="D57" s="5" t="inlineStr">
        <is>
          <t>Кран шаровой 11с67п Ду 50 Ру 25 цельносварной под приварку</t>
        </is>
      </c>
      <c r="E57" s="6" t="n">
        <v>9</v>
      </c>
    </row>
    <row r="58" ht="34" customHeight="1">
      <c r="A58" s="5" t="inlineStr">
        <is>
          <t>Краны шаровые стальные (11с67п, 11с22п, LD КШ, КЗШС, ЦУФ)</t>
        </is>
      </c>
      <c r="B58" s="5" t="inlineStr">
        <is>
          <t>1.5</t>
        </is>
      </c>
      <c r="C58" s="6" t="n">
        <v>17</v>
      </c>
      <c r="D58" s="5" t="inlineStr">
        <is>
          <t>Кран шаровой 11с67п Ду 100 Ру 25 цельносварной под приварку</t>
        </is>
      </c>
      <c r="E58" s="6" t="n">
        <v>4</v>
      </c>
    </row>
    <row r="59" ht="34" customHeight="1">
      <c r="A59" s="5" t="inlineStr">
        <is>
          <t>Краны шаровые стальные (11с67п, 11с22п, LD КШ, КЗШС, ЦУФ)</t>
        </is>
      </c>
      <c r="B59" s="5" t="inlineStr">
        <is>
          <t>1.5</t>
        </is>
      </c>
      <c r="C59" s="6" t="n">
        <v>18</v>
      </c>
      <c r="D59" s="5" t="inlineStr">
        <is>
          <t>Кран шаровой 11с67п Ду 150 Ру 25 цельносварной под приварку</t>
        </is>
      </c>
      <c r="E59" s="6" t="n">
        <v>2</v>
      </c>
    </row>
    <row r="60" ht="34" customHeight="1">
      <c r="A60" s="5" t="inlineStr">
        <is>
          <t>Краны шаровые стальные (11с67п, 11с22п, LD КШ, КЗШС, ЦУФ)</t>
        </is>
      </c>
      <c r="B60" s="5" t="inlineStr">
        <is>
          <t>1.6</t>
        </is>
      </c>
      <c r="C60" s="6" t="n">
        <v>57</v>
      </c>
      <c r="D60" s="5" t="inlineStr">
        <is>
          <t>Кран шаровой 11с22п Ду 32 Ру 16</t>
        </is>
      </c>
      <c r="E60" s="6" t="n">
        <v>55</v>
      </c>
    </row>
    <row r="61" ht="34" customHeight="1">
      <c r="A61" s="5" t="inlineStr">
        <is>
          <t>Краны шаровые стальные (11с67п, 11с22п, LD КШ, КЗШС, ЦУФ)</t>
        </is>
      </c>
      <c r="B61" s="5" t="inlineStr">
        <is>
          <t>1.6</t>
        </is>
      </c>
      <c r="C61" s="6" t="n">
        <v>58</v>
      </c>
      <c r="D61" s="5" t="inlineStr">
        <is>
          <t>Кран шаровой 11с22п Ду 50 Ру 16</t>
        </is>
      </c>
      <c r="E61" s="6" t="n">
        <v>35</v>
      </c>
    </row>
    <row r="62" ht="34" customHeight="1">
      <c r="A62" s="5" t="inlineStr">
        <is>
          <t>Краны шаровые стальные (11с67п, 11с22п, LD КШ, КЗШС, ЦУФ)</t>
        </is>
      </c>
      <c r="B62" s="5" t="inlineStr">
        <is>
          <t>1.6</t>
        </is>
      </c>
      <c r="C62" s="6" t="n">
        <v>59</v>
      </c>
      <c r="D62" s="5" t="inlineStr">
        <is>
          <t>Кран шаровой 11с22п Ду 80 Ру 16</t>
        </is>
      </c>
      <c r="E62" s="6" t="n">
        <v>24</v>
      </c>
    </row>
    <row r="63" ht="34" customHeight="1">
      <c r="A63" s="5" t="inlineStr">
        <is>
          <t>Краны шаровые стальные (11с67п, 11с22п, LD КШ, КЗШС, ЦУФ)</t>
        </is>
      </c>
      <c r="B63" s="5" t="inlineStr">
        <is>
          <t>1.6</t>
        </is>
      </c>
      <c r="C63" s="6" t="n">
        <v>60</v>
      </c>
      <c r="D63" s="5" t="inlineStr">
        <is>
          <t>Кран шаровой 11с22п Ду 100 Ру 16</t>
        </is>
      </c>
      <c r="E63" s="6" t="n">
        <v>27</v>
      </c>
    </row>
    <row r="64" ht="34" customHeight="1">
      <c r="A64" s="5" t="inlineStr">
        <is>
          <t>Краны шаровые стальные (11с67п, 11с22п, LD КШ, КЗШС, ЦУФ)</t>
        </is>
      </c>
      <c r="B64" s="5" t="inlineStr">
        <is>
          <t>1.6</t>
        </is>
      </c>
      <c r="C64" s="6" t="n">
        <v>61</v>
      </c>
      <c r="D64" s="5" t="inlineStr">
        <is>
          <t>Кран шаровой 11с22п Ду 150 Ру 16</t>
        </is>
      </c>
      <c r="E64" s="6" t="n">
        <v>13</v>
      </c>
    </row>
    <row r="65" ht="34" customHeight="1">
      <c r="A65" s="5" t="inlineStr">
        <is>
          <t>Краны шаровые стальные (11с67п, 11с22п, LD КШ, КЗШС, ЦУФ)</t>
        </is>
      </c>
      <c r="B65" s="5" t="inlineStr">
        <is>
          <t>1.6</t>
        </is>
      </c>
      <c r="C65" s="6" t="n">
        <v>62</v>
      </c>
      <c r="D65" s="5" t="inlineStr">
        <is>
          <t>Кран шаровой 11с22п Ду 200 Ру 16</t>
        </is>
      </c>
      <c r="E65" s="6" t="n">
        <v>3</v>
      </c>
    </row>
    <row r="66" ht="34" customHeight="1">
      <c r="A66" s="5" t="inlineStr">
        <is>
          <t>Краны шаровые стальные (11с67п, 11с22п, LD КШ, КЗШС, ЦУФ)</t>
        </is>
      </c>
      <c r="B66" s="5" t="inlineStr">
        <is>
          <t>1.6</t>
        </is>
      </c>
      <c r="C66" s="6" t="n">
        <v>63</v>
      </c>
      <c r="D66" s="5" t="inlineStr">
        <is>
          <t>Кран запорный шаровой 11С67П Ду 100 Ру 16</t>
        </is>
      </c>
      <c r="E66" s="6" t="n">
        <v>25</v>
      </c>
    </row>
    <row r="67" ht="34" customHeight="1">
      <c r="A67" s="5" t="inlineStr">
        <is>
          <t>Краны шаровые стальные (11с67п, 11с22п, LD КШ, КЗШС, ЦУФ)</t>
        </is>
      </c>
      <c r="B67" s="5" t="inlineStr">
        <is>
          <t>1.6</t>
        </is>
      </c>
      <c r="C67" s="6" t="n">
        <v>64</v>
      </c>
      <c r="D67" s="5" t="inlineStr">
        <is>
          <t>Кран запорный шаровой 11С67П Ду 150 Ру 16</t>
        </is>
      </c>
      <c r="E67" s="6" t="n">
        <v>9</v>
      </c>
    </row>
    <row r="68" ht="34" customHeight="1">
      <c r="A68" s="5" t="inlineStr">
        <is>
          <t>Краны шаровые стальные (11с67п, 11с22п, LD КШ, КЗШС, ЦУФ)</t>
        </is>
      </c>
      <c r="B68" s="5" t="inlineStr">
        <is>
          <t>1.6</t>
        </is>
      </c>
      <c r="C68" s="6" t="n">
        <v>65</v>
      </c>
      <c r="D68" s="5" t="inlineStr">
        <is>
          <t>Кран запорный шаровой 11С67П Ду 200 Ру 16</t>
        </is>
      </c>
      <c r="E68" s="6" t="n">
        <v>2</v>
      </c>
    </row>
    <row r="69" ht="34" customHeight="1">
      <c r="A69" s="5" t="inlineStr">
        <is>
          <t>Краны шаровые стальные (11с67п, 11с22п, LD КШ, КЗШС, ЦУФ)</t>
        </is>
      </c>
      <c r="B69" s="5" t="inlineStr">
        <is>
          <t>1.6</t>
        </is>
      </c>
      <c r="C69" s="6" t="n">
        <v>66</v>
      </c>
      <c r="D69" s="5" t="inlineStr">
        <is>
          <t>Кран запорный шаровой 11С67П Ду 50 Ру 16</t>
        </is>
      </c>
      <c r="E69" s="6" t="n">
        <v>25</v>
      </c>
    </row>
    <row r="70" ht="34" customHeight="1">
      <c r="A70" s="5" t="inlineStr">
        <is>
          <t>Краны шаровые стальные (11с67п, 11с22п, LD КШ, КЗШС, ЦУФ)</t>
        </is>
      </c>
      <c r="B70" s="5" t="inlineStr">
        <is>
          <t>1.6</t>
        </is>
      </c>
      <c r="C70" s="6" t="n">
        <v>67</v>
      </c>
      <c r="D70" s="5" t="inlineStr">
        <is>
          <t>Кран запорный шаровой 11С67П Ду 80 Ру 16</t>
        </is>
      </c>
      <c r="E70" s="6" t="n">
        <v>22</v>
      </c>
    </row>
    <row r="71" ht="34" customHeight="1">
      <c r="A71" s="5" t="inlineStr">
        <is>
          <t>Краны шаровые стальные (11с67п, 11с22п, LD КШ, КЗШС, ЦУФ)</t>
        </is>
      </c>
      <c r="B71" s="5" t="inlineStr">
        <is>
          <t>1.6</t>
        </is>
      </c>
      <c r="C71" s="6" t="n">
        <v>68</v>
      </c>
      <c r="D71" s="5" t="inlineStr">
        <is>
          <t>Кран шаровой 11с67п Ду 25 Ру 25 цельносварной под приварку</t>
        </is>
      </c>
      <c r="E71" s="6" t="n">
        <v>36</v>
      </c>
    </row>
    <row r="72" ht="34" customHeight="1">
      <c r="A72" s="5" t="inlineStr">
        <is>
          <t>Краны шаровые стальные (11с67п, 11с22п, LD КШ, КЗШС, ЦУФ)</t>
        </is>
      </c>
      <c r="B72" s="5" t="inlineStr">
        <is>
          <t>1.6</t>
        </is>
      </c>
      <c r="C72" s="6" t="n">
        <v>69</v>
      </c>
      <c r="D72" s="5" t="inlineStr">
        <is>
          <t>Кран шаровой 11с67п Ду 32 Ру 25 цельносварной под приварку</t>
        </is>
      </c>
      <c r="E72" s="6" t="n">
        <v>6</v>
      </c>
    </row>
    <row r="73" ht="34" customHeight="1">
      <c r="A73" s="5" t="inlineStr">
        <is>
          <t>Краны шаровые стальные (11с67п, 11с22п, LD КШ, КЗШС, ЦУФ)</t>
        </is>
      </c>
      <c r="B73" s="5" t="inlineStr">
        <is>
          <t>1.6</t>
        </is>
      </c>
      <c r="C73" s="6" t="n">
        <v>70</v>
      </c>
      <c r="D73" s="5" t="inlineStr">
        <is>
          <t>Кран шаровой 11с67п Ду 40 Ру 25 цельносварной под приварку</t>
        </is>
      </c>
      <c r="E73" s="6" t="n">
        <v>10</v>
      </c>
    </row>
    <row r="74" ht="34" customHeight="1">
      <c r="A74" s="5" t="inlineStr">
        <is>
          <t>Краны шаровые стальные (11с67п, 11с22п, LD КШ, КЗШС, ЦУФ)</t>
        </is>
      </c>
      <c r="B74" s="5" t="inlineStr">
        <is>
          <t>1.6</t>
        </is>
      </c>
      <c r="C74" s="6" t="n">
        <v>71</v>
      </c>
      <c r="D74" s="5" t="inlineStr">
        <is>
          <t>Кран шаровой 11с67п Ду 20 Ру 25 полнопрох. с КОФ (КЗШС41нж)</t>
        </is>
      </c>
      <c r="E74" s="6" t="n">
        <v>2</v>
      </c>
    </row>
    <row r="75" ht="34" customHeight="1">
      <c r="A75" s="5" t="inlineStr">
        <is>
          <t>Краны шаровые стальные (11с67п, 11с22п, LD КШ, КЗШС, ЦУФ)</t>
        </is>
      </c>
      <c r="B75" s="5" t="inlineStr">
        <is>
          <t>1.6</t>
        </is>
      </c>
      <c r="C75" s="6" t="n">
        <v>72</v>
      </c>
      <c r="D75" s="5" t="inlineStr">
        <is>
          <t>Кран шаровой 11с67п Ду 25 Ру 25 полнопрох. с КОФ (КЗШС41нж)</t>
        </is>
      </c>
      <c r="E75" s="6" t="n">
        <v>9</v>
      </c>
    </row>
    <row r="76" ht="34" customHeight="1">
      <c r="A76" s="5" t="inlineStr">
        <is>
          <t>Краны шаровые стальные (11с67п, 11с22п, LD КШ, КЗШС, ЦУФ)</t>
        </is>
      </c>
      <c r="B76" s="5" t="inlineStr">
        <is>
          <t>1.6</t>
        </is>
      </c>
      <c r="C76" s="6" t="n">
        <v>73</v>
      </c>
      <c r="D76" s="5" t="inlineStr">
        <is>
          <t>Кран шаровой 11с67п Ду 32 Ру 25 полнопрох. с КОФ (КЗШС41нж)</t>
        </is>
      </c>
      <c r="E76" s="6" t="n">
        <v>10</v>
      </c>
    </row>
    <row r="77" ht="34" customHeight="1">
      <c r="A77" s="5" t="inlineStr">
        <is>
          <t>Краны шаровые стальные (11с67п, 11с22п, LD КШ, КЗШС, ЦУФ)</t>
        </is>
      </c>
      <c r="B77" s="5" t="inlineStr">
        <is>
          <t>1.6</t>
        </is>
      </c>
      <c r="C77" s="6" t="n">
        <v>74</v>
      </c>
      <c r="D77" s="5" t="inlineStr">
        <is>
          <t>Кран шаровой 11с67п Ду 40 Ру 25 полнопрох. с КОФ (КЗШС41нж)</t>
        </is>
      </c>
      <c r="E77" s="6" t="n">
        <v>2</v>
      </c>
    </row>
    <row r="78" ht="34" customHeight="1">
      <c r="A78" s="5" t="inlineStr">
        <is>
          <t>Краны шаровые стальные (11с67п, 11с22п, LD КШ, КЗШС, ЦУФ)</t>
        </is>
      </c>
      <c r="B78" s="5" t="inlineStr">
        <is>
          <t>1.6</t>
        </is>
      </c>
      <c r="C78" s="6" t="n">
        <v>75</v>
      </c>
      <c r="D78" s="5" t="inlineStr">
        <is>
          <t>Кран шаровой 11с67п Ду 50 Ру 25 полнопрох. с КОФ (КЗШС41нж)</t>
        </is>
      </c>
      <c r="E78" s="6" t="n">
        <v>9</v>
      </c>
    </row>
    <row r="79" ht="34" customHeight="1">
      <c r="A79" s="5" t="inlineStr">
        <is>
          <t>Краны шаровые стальные (11с67п, 11с22п, LD КШ, КЗШС, ЦУФ)</t>
        </is>
      </c>
      <c r="B79" s="5" t="inlineStr">
        <is>
          <t>1.6</t>
        </is>
      </c>
      <c r="C79" s="6" t="n">
        <v>76</v>
      </c>
      <c r="D79" s="5" t="inlineStr">
        <is>
          <t>Кран шаровой 11с67п Ду 80 Ру 25 полнопрох. с КОФ (КЗШС41нж)</t>
        </is>
      </c>
      <c r="E79" s="6" t="n">
        <v>9</v>
      </c>
    </row>
    <row r="80" ht="34" customHeight="1">
      <c r="A80" s="5" t="inlineStr">
        <is>
          <t>Краны шаровые стальные (11с67п, 11с22п, LD КШ, КЗШС, ЦУФ)</t>
        </is>
      </c>
      <c r="B80" s="5" t="inlineStr">
        <is>
          <t>1.6</t>
        </is>
      </c>
      <c r="C80" s="6" t="n">
        <v>77</v>
      </c>
      <c r="D80" s="5" t="inlineStr">
        <is>
          <t>Кран шаровой 11с67п Ду 100 Ру 16 ЦУФ.001 КШ укороченный полнопроходной фланцевый с рукояткой</t>
        </is>
      </c>
      <c r="E80" s="6" t="n">
        <v>4</v>
      </c>
    </row>
    <row r="81" ht="34" customHeight="1">
      <c r="A81" s="5" t="inlineStr">
        <is>
          <t>Краны шаровые стальные (11с67п, 11с22п, LD КШ, КЗШС, ЦУФ)</t>
        </is>
      </c>
      <c r="B81" s="5" t="inlineStr">
        <is>
          <t>1.6</t>
        </is>
      </c>
      <c r="C81" s="6" t="n">
        <v>78</v>
      </c>
      <c r="D81" s="5" t="inlineStr">
        <is>
          <t>Кран шаровой 11с67п Ду 32 Ру 16 ЦУФ.001 КШ укороченный полнопроходной фланцевый с рукояткой</t>
        </is>
      </c>
      <c r="E81" s="6" t="n">
        <v>1</v>
      </c>
    </row>
    <row r="82" ht="34" customHeight="1">
      <c r="A82" s="5" t="inlineStr">
        <is>
          <t>Краны шаровые стальные (11с67п, 11с22п, LD КШ, КЗШС, ЦУФ)</t>
        </is>
      </c>
      <c r="B82" s="5" t="inlineStr">
        <is>
          <t>1.6</t>
        </is>
      </c>
      <c r="C82" s="6" t="n">
        <v>79</v>
      </c>
      <c r="D82" s="5" t="inlineStr">
        <is>
          <t>Кран шаровой 11с67п Ду 40 Ру 16 ЦУФ.001 КШ укороченный полнопроходной фланцевый с рукояткой</t>
        </is>
      </c>
      <c r="E82" s="6" t="n">
        <v>1</v>
      </c>
    </row>
    <row r="83" ht="34" customHeight="1">
      <c r="A83" s="5" t="inlineStr">
        <is>
          <t>Краны шаровые стальные (11с67п, 11с22п, LD КШ, КЗШС, ЦУФ)</t>
        </is>
      </c>
      <c r="B83" s="5" t="inlineStr">
        <is>
          <t>1.6</t>
        </is>
      </c>
      <c r="C83" s="6" t="n">
        <v>80</v>
      </c>
      <c r="D83" s="5" t="inlineStr">
        <is>
          <t>Кран шаровой 11с67п Ду 50 Ру 16 ЦУФ.001 КШ укороченный полнопроходной фланцевый с рукояткой</t>
        </is>
      </c>
      <c r="E83" s="6" t="n">
        <v>3</v>
      </c>
    </row>
    <row r="84" ht="34" customHeight="1">
      <c r="A84" s="5" t="inlineStr">
        <is>
          <t>Краны шаровые стальные (11с67п, 11с22п, LD КШ, КЗШС, ЦУФ)</t>
        </is>
      </c>
      <c r="B84" s="5" t="inlineStr">
        <is>
          <t>1.6</t>
        </is>
      </c>
      <c r="C84" s="6" t="n">
        <v>81</v>
      </c>
      <c r="D84" s="5" t="inlineStr">
        <is>
          <t>Кран шаровой 11с67п Ду 80 Ру 16 ЦУФ.001 КШ укороченный полнопроходной фланцевый с рукояткой</t>
        </is>
      </c>
      <c r="E84" s="6" t="n">
        <v>6</v>
      </c>
    </row>
    <row r="85" ht="34" customHeight="1">
      <c r="A85" s="5" t="inlineStr">
        <is>
          <t>Краны шаровые стальные (11с67п, 11с22п, LD КШ, КЗШС, ЦУФ)</t>
        </is>
      </c>
      <c r="B85" s="5" t="inlineStr">
        <is>
          <t>1.6</t>
        </is>
      </c>
      <c r="C85" s="6" t="n">
        <v>82</v>
      </c>
      <c r="D85" s="5" t="inlineStr">
        <is>
          <t>Кран шаровой TEMPER 28020025 муфтовый, Ду 25, Ру 40</t>
        </is>
      </c>
      <c r="E85" s="6" t="n">
        <v>2</v>
      </c>
    </row>
    <row r="86" ht="34" customHeight="1">
      <c r="A86" s="5" t="inlineStr">
        <is>
          <t>Краны шаровые стальные (11с67п, 11с22п, LD КШ, КЗШС, ЦУФ)</t>
        </is>
      </c>
      <c r="B86" s="5" t="inlineStr">
        <is>
          <t>1.6</t>
        </is>
      </c>
      <c r="C86" s="6" t="n">
        <v>83</v>
      </c>
      <c r="D86" s="5" t="inlineStr">
        <is>
          <t>Кран шаровый LD полнопроходной 11с67п КШРФ Ду 100 Ру 16 с КОФ</t>
        </is>
      </c>
      <c r="E86" s="6" t="n">
        <v>3</v>
      </c>
    </row>
    <row r="87" ht="34" customHeight="1">
      <c r="A87" s="5" t="inlineStr">
        <is>
          <t>Краны шаровые стальные (11с67п, 11с22п, LD КШ, КЗШС, ЦУФ)</t>
        </is>
      </c>
      <c r="B87" s="5" t="inlineStr">
        <is>
          <t>1.6</t>
        </is>
      </c>
      <c r="C87" s="6" t="n">
        <v>84</v>
      </c>
      <c r="D87" s="5" t="inlineStr">
        <is>
          <t>Кран шаровый LD полнопроходной 11с67п КШРФ Ду 150 Ру 16 с КОФ</t>
        </is>
      </c>
      <c r="E87" s="6" t="n">
        <v>1</v>
      </c>
    </row>
    <row r="88" ht="34" customHeight="1">
      <c r="A88" s="5" t="inlineStr">
        <is>
          <t>Краны шаровые стальные (11с67п, 11с22п, LD КШ, КЗШС, ЦУФ)</t>
        </is>
      </c>
      <c r="B88" s="5" t="inlineStr">
        <is>
          <t>1.6</t>
        </is>
      </c>
      <c r="C88" s="6" t="n">
        <v>85</v>
      </c>
      <c r="D88" s="5" t="inlineStr">
        <is>
          <t>Кран шаровый LD полнопроходной 11с67п КШРФ Ду 25 Ру 16 с КОФ</t>
        </is>
      </c>
      <c r="E88" s="6" t="n">
        <v>2</v>
      </c>
    </row>
    <row r="89" ht="34" customHeight="1">
      <c r="A89" s="5" t="inlineStr">
        <is>
          <t>Краны шаровые стальные (11с67п, 11с22п, LD КШ, КЗШС, ЦУФ)</t>
        </is>
      </c>
      <c r="B89" s="5" t="inlineStr">
        <is>
          <t>1.6</t>
        </is>
      </c>
      <c r="C89" s="6" t="n">
        <v>86</v>
      </c>
      <c r="D89" s="5" t="inlineStr">
        <is>
          <t>Кран шаровый LD полнопроходной 11с67п КШРФ Ду 40 Ру 16 с КОФ</t>
        </is>
      </c>
      <c r="E89" s="6" t="n">
        <v>6</v>
      </c>
    </row>
    <row r="90" ht="34" customHeight="1">
      <c r="A90" s="5" t="inlineStr">
        <is>
          <t>Краны шаровые стальные (11с67п, 11с22п, LD КШ, КЗШС, ЦУФ)</t>
        </is>
      </c>
      <c r="B90" s="5" t="inlineStr">
        <is>
          <t>1.6</t>
        </is>
      </c>
      <c r="C90" s="6" t="n">
        <v>87</v>
      </c>
      <c r="D90" s="5" t="inlineStr">
        <is>
          <t>Кран шаровый LD полнопроходной 11с67п КШРФ Ду 50 Ру 16 с КОФ</t>
        </is>
      </c>
      <c r="E90" s="6" t="n">
        <v>5</v>
      </c>
    </row>
    <row r="91" ht="34" customHeight="1">
      <c r="A91" s="5" t="inlineStr">
        <is>
          <t>Краны шаровые стальные (11с67п, 11с22п, LD КШ, КЗШС, ЦУФ)</t>
        </is>
      </c>
      <c r="B91" s="5" t="inlineStr">
        <is>
          <t>1.6</t>
        </is>
      </c>
      <c r="C91" s="6" t="n">
        <v>88</v>
      </c>
      <c r="D91" s="5" t="inlineStr">
        <is>
          <t>Кран шаровый LD полнопроходной 11с67п КШРФ Ду 80 Ру 16 с КОФ</t>
        </is>
      </c>
      <c r="E91" s="6" t="n">
        <v>6</v>
      </c>
    </row>
    <row r="92" ht="34" customHeight="1">
      <c r="A92" s="5" t="inlineStr">
        <is>
          <t>Краны шаровые стальные (11с67п, 11с22п, LD КШ, КЗШС, ЦУФ)</t>
        </is>
      </c>
      <c r="B92" s="5" t="inlineStr">
        <is>
          <t>1.7</t>
        </is>
      </c>
      <c r="C92" s="6" t="n">
        <v>2</v>
      </c>
      <c r="D92" s="5" t="inlineStr">
        <is>
          <t>Кран шаровой 11с67п Ду 25 Ру 25 цельносварной под приварку</t>
        </is>
      </c>
      <c r="E92" s="6" t="n">
        <v>12</v>
      </c>
    </row>
    <row r="93" ht="34" customHeight="1">
      <c r="A93" s="5" t="inlineStr">
        <is>
          <t>Краны шаровые стальные (11с67п, 11с22п, LD КШ, КЗШС, ЦУФ)</t>
        </is>
      </c>
      <c r="B93" s="5" t="inlineStr">
        <is>
          <t>1.7</t>
        </is>
      </c>
      <c r="C93" s="6" t="n">
        <v>3</v>
      </c>
      <c r="D93" s="5" t="inlineStr">
        <is>
          <t>Кран шаровой 11с67п Ду 32 Ру 25 цельносварной под приварку</t>
        </is>
      </c>
      <c r="E93" s="6" t="n">
        <v>12</v>
      </c>
    </row>
    <row r="94" ht="34" customHeight="1">
      <c r="A94" s="5" t="inlineStr">
        <is>
          <t>Краны шаровые стальные (11с67п, 11с22п, LD КШ, КЗШС, ЦУФ)</t>
        </is>
      </c>
      <c r="B94" s="5" t="inlineStr">
        <is>
          <t>1.7</t>
        </is>
      </c>
      <c r="C94" s="6" t="n">
        <v>4</v>
      </c>
      <c r="D94" s="5" t="inlineStr">
        <is>
          <t>Кран шаровой 11с67п Ду 40 Ру 25 цельносварной под приварку</t>
        </is>
      </c>
      <c r="E94" s="6" t="n">
        <v>10</v>
      </c>
    </row>
    <row r="95" ht="34" customHeight="1">
      <c r="A95" s="5" t="inlineStr">
        <is>
          <t>Краны шаровые стальные (11с67п, 11с22п, LD КШ, КЗШС, ЦУФ)</t>
        </is>
      </c>
      <c r="B95" s="5" t="inlineStr">
        <is>
          <t>1.8</t>
        </is>
      </c>
      <c r="C95" s="6" t="n">
        <v>5</v>
      </c>
      <c r="D95" s="5" t="inlineStr">
        <is>
          <t>Кран шаровой 11с22п Ду 80 Ру 16</t>
        </is>
      </c>
      <c r="E95" s="6" t="n">
        <v>2</v>
      </c>
    </row>
    <row r="96" ht="34" customHeight="1">
      <c r="A96" s="5" t="inlineStr">
        <is>
          <t>Краны шаровые стальные (11с67п, 11с22п, LD КШ, КЗШС, ЦУФ)</t>
        </is>
      </c>
      <c r="B96" s="5" t="inlineStr">
        <is>
          <t>1.8</t>
        </is>
      </c>
      <c r="C96" s="6" t="n">
        <v>6</v>
      </c>
      <c r="D96" s="5" t="inlineStr">
        <is>
          <t>Кран шаровой 11с22п Ду 100 Ру 16</t>
        </is>
      </c>
      <c r="E96" s="6" t="n">
        <v>1</v>
      </c>
    </row>
    <row r="97" ht="34" customHeight="1">
      <c r="A97" s="5" t="inlineStr">
        <is>
          <t>Краны шаровые стальные (11с67п, 11с22п, LD КШ, КЗШС, ЦУФ)</t>
        </is>
      </c>
      <c r="B97" s="5" t="inlineStr">
        <is>
          <t>1.8</t>
        </is>
      </c>
      <c r="C97" s="6" t="n">
        <v>7</v>
      </c>
      <c r="D97" s="5" t="inlineStr">
        <is>
          <t>Кран шаровой 11с67п Ду 50 Ру 25 полнопрох. с КОФ (КЗШС41нж)</t>
        </is>
      </c>
      <c r="E97" s="6" t="n">
        <v>4</v>
      </c>
    </row>
    <row r="98" ht="34" customHeight="1">
      <c r="A98" s="5" t="inlineStr">
        <is>
          <t>Задвижки стальные (30с41нж, 30с64нж, 30с964нж, 30с941нж, 30с576нж)</t>
        </is>
      </c>
      <c r="B98" s="5" t="inlineStr">
        <is>
          <t>1.1</t>
        </is>
      </c>
      <c r="C98" s="6" t="n">
        <v>7</v>
      </c>
      <c r="D98" s="5" t="inlineStr">
        <is>
          <t>Задвижка 30с41нж Ду 50 Ру 16</t>
        </is>
      </c>
      <c r="E98" s="6" t="n">
        <v>10</v>
      </c>
    </row>
    <row r="99" ht="34" customHeight="1">
      <c r="A99" s="5" t="inlineStr">
        <is>
          <t>Задвижки стальные (30с41нж, 30с64нж, 30с964нж, 30с941нж, 30с576нж)</t>
        </is>
      </c>
      <c r="B99" s="5" t="inlineStr">
        <is>
          <t>1.1</t>
        </is>
      </c>
      <c r="C99" s="6" t="n">
        <v>8</v>
      </c>
      <c r="D99" s="5" t="inlineStr">
        <is>
          <t>Задвижка 30с41нж Ду 100 Ру 16</t>
        </is>
      </c>
      <c r="E99" s="6" t="n">
        <v>7</v>
      </c>
    </row>
    <row r="100" ht="34" customHeight="1">
      <c r="A100" s="5" t="inlineStr">
        <is>
          <t>Задвижки стальные (30с41нж, 30с64нж, 30с964нж, 30с941нж, 30с576нж)</t>
        </is>
      </c>
      <c r="B100" s="5" t="inlineStr">
        <is>
          <t>1.1</t>
        </is>
      </c>
      <c r="C100" s="6" t="n">
        <v>9</v>
      </c>
      <c r="D100" s="5" t="inlineStr">
        <is>
          <t>Задвижка 30с41нж Ду 150 Ру 16</t>
        </is>
      </c>
      <c r="E100" s="6" t="n">
        <v>10</v>
      </c>
    </row>
    <row r="101" ht="34" customHeight="1">
      <c r="A101" s="5" t="inlineStr">
        <is>
          <t>Задвижки стальные (30с41нж, 30с64нж, 30с964нж, 30с941нж, 30с576нж)</t>
        </is>
      </c>
      <c r="B101" s="5" t="inlineStr">
        <is>
          <t>1.1</t>
        </is>
      </c>
      <c r="C101" s="6" t="n">
        <v>10</v>
      </c>
      <c r="D101" s="5" t="inlineStr">
        <is>
          <t>Задвижка клиновая фланцевая 30с41нж Ду 300 Ру 16 с КОФ</t>
        </is>
      </c>
      <c r="E101" s="6" t="n">
        <v>2</v>
      </c>
    </row>
    <row r="102" ht="34" customHeight="1">
      <c r="A102" s="5" t="inlineStr">
        <is>
          <t>Задвижки стальные (30с41нж, 30с64нж, 30с964нж, 30с941нж, 30с576нж)</t>
        </is>
      </c>
      <c r="B102" s="5" t="inlineStr">
        <is>
          <t>1.1</t>
        </is>
      </c>
      <c r="C102" s="6" t="n">
        <v>11</v>
      </c>
      <c r="D102" s="5" t="inlineStr">
        <is>
          <t>Задвижка 30С576НЖ Ду 300 Ру 63 с редуктором РК-Г-1М, в комплекте с крепежом и ответными фланцами.</t>
        </is>
      </c>
      <c r="E102" s="6" t="n">
        <v>2</v>
      </c>
    </row>
    <row r="103" ht="34" customHeight="1">
      <c r="A103" s="5" t="inlineStr">
        <is>
          <t>Задвижки стальные (30с41нж, 30с64нж, 30с964нж, 30с941нж, 30с576нж)</t>
        </is>
      </c>
      <c r="B103" s="5" t="inlineStr">
        <is>
          <t>1.1</t>
        </is>
      </c>
      <c r="C103" s="6" t="n">
        <v>12</v>
      </c>
      <c r="D103" s="5" t="inlineStr">
        <is>
          <t>Задвижка клиновая фланцевая 30с941нж Ду 500 Ру 16 с КОФ под электропривод Bernard ST-30</t>
        </is>
      </c>
      <c r="E103" s="6" t="n">
        <v>1</v>
      </c>
    </row>
    <row r="104" ht="34" customHeight="1">
      <c r="A104" s="5" t="inlineStr">
        <is>
          <t>Задвижки стальные (30с41нж, 30с64нж, 30с964нж, 30с941нж, 30с576нж)</t>
        </is>
      </c>
      <c r="B104" s="5" t="inlineStr">
        <is>
          <t>1.1</t>
        </is>
      </c>
      <c r="C104" s="6" t="n">
        <v>13</v>
      </c>
      <c r="D104" s="5" t="inlineStr">
        <is>
          <t>Задвижка 30с964нж Ду 300 Ру 25</t>
        </is>
      </c>
      <c r="E104" s="6" t="n">
        <v>1</v>
      </c>
    </row>
    <row r="105" ht="34" customHeight="1">
      <c r="A105" s="5" t="inlineStr">
        <is>
          <t>Задвижки стальные (30с41нж, 30с64нж, 30с964нж, 30с941нж, 30с576нж)</t>
        </is>
      </c>
      <c r="B105" s="5" t="inlineStr">
        <is>
          <t>1.3</t>
        </is>
      </c>
      <c r="C105" s="6" t="n">
        <v>73</v>
      </c>
      <c r="D105" s="5" t="inlineStr">
        <is>
          <t>Задвижка 30с41нж Ду 50 Ру 16</t>
        </is>
      </c>
      <c r="E105" s="6" t="n">
        <v>6</v>
      </c>
    </row>
    <row r="106" ht="34" customHeight="1">
      <c r="A106" s="5" t="inlineStr">
        <is>
          <t>Задвижки стальные (30с41нж, 30с64нж, 30с964нж, 30с941нж, 30с576нж)</t>
        </is>
      </c>
      <c r="B106" s="5" t="inlineStr">
        <is>
          <t>1.3</t>
        </is>
      </c>
      <c r="C106" s="6" t="n">
        <v>74</v>
      </c>
      <c r="D106" s="5" t="inlineStr">
        <is>
          <t>Задвижка 30с41нж Ду 80 Ру 16</t>
        </is>
      </c>
      <c r="E106" s="6" t="n">
        <v>12</v>
      </c>
    </row>
    <row r="107" ht="34" customHeight="1">
      <c r="A107" s="5" t="inlineStr">
        <is>
          <t>Задвижки стальные (30с41нж, 30с64нж, 30с964нж, 30с941нж, 30с576нж)</t>
        </is>
      </c>
      <c r="B107" s="5" t="inlineStr">
        <is>
          <t>1.3</t>
        </is>
      </c>
      <c r="C107" s="6" t="n">
        <v>75</v>
      </c>
      <c r="D107" s="5" t="inlineStr">
        <is>
          <t>Задвижка 30с41нж Ду 100 Ру 16</t>
        </is>
      </c>
      <c r="E107" s="6" t="n">
        <v>2</v>
      </c>
    </row>
    <row r="108" ht="34" customHeight="1">
      <c r="A108" s="5" t="inlineStr">
        <is>
          <t>Задвижки стальные (30с41нж, 30с64нж, 30с964нж, 30с941нж, 30с576нж)</t>
        </is>
      </c>
      <c r="B108" s="5" t="inlineStr">
        <is>
          <t>1.3</t>
        </is>
      </c>
      <c r="C108" s="6" t="n">
        <v>76</v>
      </c>
      <c r="D108" s="5" t="inlineStr">
        <is>
          <t>Задвижка 30с41нж Ду 150 Ру 16</t>
        </is>
      </c>
      <c r="E108" s="6" t="n">
        <v>5</v>
      </c>
    </row>
    <row r="109" ht="34" customHeight="1">
      <c r="A109" s="5" t="inlineStr">
        <is>
          <t>Задвижки стальные (30с41нж, 30с64нж, 30с964нж, 30с941нж, 30с576нж)</t>
        </is>
      </c>
      <c r="B109" s="5" t="inlineStr">
        <is>
          <t>1.3</t>
        </is>
      </c>
      <c r="C109" s="6" t="n">
        <v>77</v>
      </c>
      <c r="D109" s="5" t="inlineStr">
        <is>
          <t>Задвижка 30с564нж Ду 400 Ру 25</t>
        </is>
      </c>
      <c r="E109" s="6" t="n">
        <v>3</v>
      </c>
    </row>
    <row r="110" ht="34" customHeight="1">
      <c r="A110" s="5" t="inlineStr">
        <is>
          <t>Задвижки стальные (30с41нж, 30с64нж, 30с964нж, 30с941нж, 30с576нж)</t>
        </is>
      </c>
      <c r="B110" s="5" t="inlineStr">
        <is>
          <t>1.3</t>
        </is>
      </c>
      <c r="C110" s="6" t="n">
        <v>78</v>
      </c>
      <c r="D110" s="5" t="inlineStr">
        <is>
          <t>Задвижка 30с64нж Ду 50 Ру 25</t>
        </is>
      </c>
      <c r="E110" s="6" t="n">
        <v>5</v>
      </c>
    </row>
    <row r="111" ht="34" customHeight="1">
      <c r="A111" s="5" t="inlineStr">
        <is>
          <t>Задвижки стальные (30с41нж, 30с64нж, 30с964нж, 30с941нж, 30с576нж)</t>
        </is>
      </c>
      <c r="B111" s="5" t="inlineStr">
        <is>
          <t>1.3</t>
        </is>
      </c>
      <c r="C111" s="6" t="n">
        <v>79</v>
      </c>
      <c r="D111" s="5" t="inlineStr">
        <is>
          <t>Задвижка 30с64нж Ду 80 Ру 25</t>
        </is>
      </c>
      <c r="E111" s="6" t="n">
        <v>3</v>
      </c>
    </row>
    <row r="112" ht="34" customHeight="1">
      <c r="A112" s="5" t="inlineStr">
        <is>
          <t>Задвижки стальные (30с41нж, 30с64нж, 30с964нж, 30с941нж, 30с576нж)</t>
        </is>
      </c>
      <c r="B112" s="5" t="inlineStr">
        <is>
          <t>1.3</t>
        </is>
      </c>
      <c r="C112" s="6" t="n">
        <v>80</v>
      </c>
      <c r="D112" s="5" t="inlineStr">
        <is>
          <t>Задвижка 30с64нж Ду 100 Ру 25</t>
        </is>
      </c>
      <c r="E112" s="6" t="n">
        <v>20</v>
      </c>
    </row>
    <row r="113" ht="34" customHeight="1">
      <c r="A113" s="5" t="inlineStr">
        <is>
          <t>Задвижки стальные (30с41нж, 30с64нж, 30с964нж, 30с941нж, 30с576нж)</t>
        </is>
      </c>
      <c r="B113" s="5" t="inlineStr">
        <is>
          <t>1.3</t>
        </is>
      </c>
      <c r="C113" s="6" t="n">
        <v>81</v>
      </c>
      <c r="D113" s="5" t="inlineStr">
        <is>
          <t>Задвижка 30с64нж Ду 150 Ру 25</t>
        </is>
      </c>
      <c r="E113" s="6" t="n">
        <v>18</v>
      </c>
    </row>
    <row r="114" ht="34" customHeight="1">
      <c r="A114" s="5" t="inlineStr">
        <is>
          <t>Задвижки стальные (30с41нж, 30с64нж, 30с964нж, 30с941нж, 30с576нж)</t>
        </is>
      </c>
      <c r="B114" s="5" t="inlineStr">
        <is>
          <t>1.3</t>
        </is>
      </c>
      <c r="C114" s="6" t="n">
        <v>82</v>
      </c>
      <c r="D114" s="5" t="inlineStr">
        <is>
          <t>Задвижка 30с64нж Ду 200 Ру 25</t>
        </is>
      </c>
      <c r="E114" s="6" t="n">
        <v>9</v>
      </c>
    </row>
    <row r="115" ht="34" customHeight="1">
      <c r="A115" s="5" t="inlineStr">
        <is>
          <t>Задвижки стальные (30с41нж, 30с64нж, 30с964нж, 30с941нж, 30с576нж)</t>
        </is>
      </c>
      <c r="B115" s="5" t="inlineStr">
        <is>
          <t>1.3</t>
        </is>
      </c>
      <c r="C115" s="6" t="n">
        <v>83</v>
      </c>
      <c r="D115" s="5" t="inlineStr">
        <is>
          <t>Задвижка 30с64нж Ду 250 Ру 25</t>
        </is>
      </c>
      <c r="E115" s="6" t="n">
        <v>2</v>
      </c>
    </row>
    <row r="116" ht="34" customHeight="1">
      <c r="A116" s="5" t="inlineStr">
        <is>
          <t>Задвижки стальные (30с41нж, 30с64нж, 30с964нж, 30с941нж, 30с576нж)</t>
        </is>
      </c>
      <c r="B116" s="5" t="inlineStr">
        <is>
          <t>1.3</t>
        </is>
      </c>
      <c r="C116" s="6" t="n">
        <v>84</v>
      </c>
      <c r="D116" s="5" t="inlineStr">
        <is>
          <t>Задвижка 30с64нж Ду 300 Ру 25</t>
        </is>
      </c>
      <c r="E116" s="6" t="n">
        <v>3</v>
      </c>
    </row>
    <row r="117" ht="34" customHeight="1">
      <c r="A117" s="5" t="inlineStr">
        <is>
          <t>Задвижки стальные (30с41нж, 30с64нж, 30с964нж, 30с941нж, 30с576нж)</t>
        </is>
      </c>
      <c r="B117" s="5" t="inlineStr">
        <is>
          <t>1.3</t>
        </is>
      </c>
      <c r="C117" s="6" t="n">
        <v>85</v>
      </c>
      <c r="D117" s="5" t="inlineStr">
        <is>
          <t>Задвижка 30с76нж Ду 200 Ру 63</t>
        </is>
      </c>
      <c r="E117" s="6" t="n">
        <v>1</v>
      </c>
    </row>
    <row r="118" ht="34" customHeight="1">
      <c r="A118" s="5" t="inlineStr">
        <is>
          <t>Задвижки стальные (30с41нж, 30с64нж, 30с964нж, 30с941нж, 30с576нж)</t>
        </is>
      </c>
      <c r="B118" s="5" t="inlineStr">
        <is>
          <t>1.3</t>
        </is>
      </c>
      <c r="C118" s="6" t="n">
        <v>86</v>
      </c>
      <c r="D118" s="5" t="inlineStr">
        <is>
          <t>Задвижка 30с927нж Ду 250 Ру 25 с электроприводом</t>
        </is>
      </c>
      <c r="E118" s="6" t="n">
        <v>2</v>
      </c>
    </row>
    <row r="119" ht="34" customHeight="1">
      <c r="A119" s="5" t="inlineStr">
        <is>
          <t>Задвижки стальные (30с41нж, 30с64нж, 30с964нж, 30с941нж, 30с576нж)</t>
        </is>
      </c>
      <c r="B119" s="5" t="inlineStr">
        <is>
          <t>1.3</t>
        </is>
      </c>
      <c r="C119" s="6" t="n">
        <v>87</v>
      </c>
      <c r="D119" s="5" t="inlineStr">
        <is>
          <t>Задвижка 30с941нж Ду 150 Ру 16 с электроприводом</t>
        </is>
      </c>
      <c r="E119" s="6" t="n">
        <v>6</v>
      </c>
    </row>
    <row r="120" ht="34" customHeight="1">
      <c r="A120" s="5" t="inlineStr">
        <is>
          <t>Задвижки стальные (30с41нж, 30с64нж, 30с964нж, 30с941нж, 30с576нж)</t>
        </is>
      </c>
      <c r="B120" s="5" t="inlineStr">
        <is>
          <t>1.3</t>
        </is>
      </c>
      <c r="C120" s="6" t="n">
        <v>88</v>
      </c>
      <c r="D120" s="5" t="inlineStr">
        <is>
          <t>Задвижка 30с964нж Ду 150 Ру 25 с электроприводом</t>
        </is>
      </c>
      <c r="E120" s="6" t="n">
        <v>1</v>
      </c>
    </row>
    <row r="121" ht="34" customHeight="1">
      <c r="A121" s="5" t="inlineStr">
        <is>
          <t>Задвижки стальные (30с41нж, 30с64нж, 30с964нж, 30с941нж, 30с576нж)</t>
        </is>
      </c>
      <c r="B121" s="5" t="inlineStr">
        <is>
          <t>1.3</t>
        </is>
      </c>
      <c r="C121" s="6" t="n">
        <v>89</v>
      </c>
      <c r="D121" s="5" t="inlineStr">
        <is>
          <t>Задвижка 30с964нж Ду 400 Ру 25</t>
        </is>
      </c>
      <c r="E121" s="6" t="n">
        <v>4</v>
      </c>
    </row>
    <row r="122" ht="34" customHeight="1">
      <c r="A122" s="5" t="inlineStr">
        <is>
          <t>Задвижки стальные (30с41нж, 30с64нж, 30с964нж, 30с941нж, 30с576нж)</t>
        </is>
      </c>
      <c r="B122" s="5" t="inlineStr">
        <is>
          <t>1.3</t>
        </is>
      </c>
      <c r="C122" s="6" t="n">
        <v>90</v>
      </c>
      <c r="D122" s="5" t="inlineStr">
        <is>
          <t>Задвижка стальная 30с964нж Ду 100 Ру 25 с электроприводом МТ-100-220, 220В</t>
        </is>
      </c>
      <c r="E122" s="6" t="n">
        <v>3</v>
      </c>
    </row>
    <row r="123" ht="34" customHeight="1">
      <c r="A123" s="5" t="inlineStr">
        <is>
          <t>Задвижки стальные (30с41нж, 30с64нж, 30с964нж, 30с941нж, 30с576нж)</t>
        </is>
      </c>
      <c r="B123" s="5" t="inlineStr">
        <is>
          <t>1.3</t>
        </is>
      </c>
      <c r="C123" s="6" t="n">
        <v>91</v>
      </c>
      <c r="D123" s="5" t="inlineStr">
        <is>
          <t>Задвижка 30с99нж Ду 50 Ру 25</t>
        </is>
      </c>
      <c r="E123" s="6" t="n">
        <v>1</v>
      </c>
    </row>
    <row r="124" ht="34" customHeight="1">
      <c r="A124" s="5" t="inlineStr">
        <is>
          <t>Задвижки стальные (30с41нж, 30с64нж, 30с964нж, 30с941нж, 30с576нж)</t>
        </is>
      </c>
      <c r="B124" s="5" t="inlineStr">
        <is>
          <t>1.3</t>
        </is>
      </c>
      <c r="C124" s="6" t="n">
        <v>92</v>
      </c>
      <c r="D124" s="5" t="inlineStr">
        <is>
          <t>Задвижка 30с99нж Ду 80 Ру 25</t>
        </is>
      </c>
      <c r="E124" s="6" t="n">
        <v>1</v>
      </c>
    </row>
    <row r="125" ht="34" customHeight="1">
      <c r="A125" s="5" t="inlineStr">
        <is>
          <t>Задвижки стальные (30с41нж, 30с64нж, 30с964нж, 30с941нж, 30с576нж)</t>
        </is>
      </c>
      <c r="B125" s="5" t="inlineStr">
        <is>
          <t>1.5</t>
        </is>
      </c>
      <c r="C125" s="6" t="n">
        <v>2</v>
      </c>
      <c r="D125" s="5" t="inlineStr">
        <is>
          <t>Задвижка 30с64нж Ду 50 Ру 25</t>
        </is>
      </c>
      <c r="E125" s="6" t="n">
        <v>2</v>
      </c>
    </row>
    <row r="126" ht="34" customHeight="1">
      <c r="A126" s="5" t="inlineStr">
        <is>
          <t>Задвижки стальные (30с41нж, 30с64нж, 30с964нж, 30с941нж, 30с576нж)</t>
        </is>
      </c>
      <c r="B126" s="5" t="inlineStr">
        <is>
          <t>1.5</t>
        </is>
      </c>
      <c r="C126" s="6" t="n">
        <v>3</v>
      </c>
      <c r="D126" s="5" t="inlineStr">
        <is>
          <t>Задвижка 30с64нж Ду 80 Ру 25</t>
        </is>
      </c>
      <c r="E126" s="6" t="n">
        <v>2</v>
      </c>
    </row>
    <row r="127" ht="34" customHeight="1">
      <c r="A127" s="5" t="inlineStr">
        <is>
          <t>Задвижки стальные (30с41нж, 30с64нж, 30с964нж, 30с941нж, 30с576нж)</t>
        </is>
      </c>
      <c r="B127" s="5" t="inlineStr">
        <is>
          <t>1.6</t>
        </is>
      </c>
      <c r="C127" s="6" t="n">
        <v>42</v>
      </c>
      <c r="D127" s="5" t="inlineStr">
        <is>
          <t>Задвижка 30с41нж Ду 50 Ру 16</t>
        </is>
      </c>
      <c r="E127" s="6" t="n">
        <v>14</v>
      </c>
    </row>
    <row r="128" ht="34" customHeight="1">
      <c r="A128" s="5" t="inlineStr">
        <is>
          <t>Задвижки стальные (30с41нж, 30с64нж, 30с964нж, 30с941нж, 30с576нж)</t>
        </is>
      </c>
      <c r="B128" s="5" t="inlineStr">
        <is>
          <t>1.6</t>
        </is>
      </c>
      <c r="C128" s="6" t="n">
        <v>43</v>
      </c>
      <c r="D128" s="5" t="inlineStr">
        <is>
          <t>Задвижка 30с41нж Ду 80 Ру 16</t>
        </is>
      </c>
      <c r="E128" s="6" t="n">
        <v>11</v>
      </c>
    </row>
    <row r="129" ht="34" customHeight="1">
      <c r="A129" s="5" t="inlineStr">
        <is>
          <t>Задвижки стальные (30с41нж, 30с64нж, 30с964нж, 30с941нж, 30с576нж)</t>
        </is>
      </c>
      <c r="B129" s="5" t="inlineStr">
        <is>
          <t>1.6</t>
        </is>
      </c>
      <c r="C129" s="6" t="n">
        <v>44</v>
      </c>
      <c r="D129" s="5" t="inlineStr">
        <is>
          <t>Задвижка 30с41нж Ду 100 Ру 16</t>
        </is>
      </c>
      <c r="E129" s="6" t="n">
        <v>10</v>
      </c>
    </row>
    <row r="130" ht="34" customHeight="1">
      <c r="A130" s="5" t="inlineStr">
        <is>
          <t>Задвижки стальные (30с41нж, 30с64нж, 30с964нж, 30с941нж, 30с576нж)</t>
        </is>
      </c>
      <c r="B130" s="5" t="inlineStr">
        <is>
          <t>1.6</t>
        </is>
      </c>
      <c r="C130" s="6" t="n">
        <v>45</v>
      </c>
      <c r="D130" s="5" t="inlineStr">
        <is>
          <t>Задвижка 30с41нж Ду 150 Ру 16</t>
        </is>
      </c>
      <c r="E130" s="6" t="n">
        <v>7</v>
      </c>
    </row>
    <row r="131" ht="34" customHeight="1">
      <c r="A131" s="5" t="inlineStr">
        <is>
          <t>Задвижки стальные (30с41нж, 30с64нж, 30с964нж, 30с941нж, 30с576нж)</t>
        </is>
      </c>
      <c r="B131" s="5" t="inlineStr">
        <is>
          <t>1.6</t>
        </is>
      </c>
      <c r="C131" s="6" t="n">
        <v>46</v>
      </c>
      <c r="D131" s="5" t="inlineStr">
        <is>
          <t>Задвижка 30с41нж Ду 200 Ру 16</t>
        </is>
      </c>
      <c r="E131" s="6" t="n">
        <v>2</v>
      </c>
    </row>
    <row r="132" ht="34" customHeight="1">
      <c r="A132" s="5" t="inlineStr">
        <is>
          <t>Затворы дисковые (межфланцевые, ПА954, Stensel, ЗПВС)</t>
        </is>
      </c>
      <c r="B132" s="5" t="inlineStr">
        <is>
          <t>1.1</t>
        </is>
      </c>
      <c r="C132" s="6" t="n">
        <v>22</v>
      </c>
      <c r="D132" s="5" t="inlineStr">
        <is>
          <t>Затвор дисковый поворотный межфланцевый Stensel 31070-01 Ду 200 Ру 25</t>
        </is>
      </c>
      <c r="E132" s="6" t="n">
        <v>3</v>
      </c>
    </row>
    <row r="133" ht="34" customHeight="1">
      <c r="A133" s="5" t="inlineStr">
        <is>
          <t>Затворы дисковые (межфланцевые, ПА954, Stensel, ЗПВС)</t>
        </is>
      </c>
      <c r="B133" s="5" t="inlineStr">
        <is>
          <t>1.1</t>
        </is>
      </c>
      <c r="C133" s="6" t="n">
        <v>23</v>
      </c>
      <c r="D133" s="5" t="inlineStr">
        <is>
          <t>Затвор дисковый поворотный межфланцевый ПА954.450.10-05 Ду 450 Ру 10</t>
        </is>
      </c>
      <c r="E133" s="6" t="n">
        <v>1</v>
      </c>
    </row>
    <row r="134" ht="34" customHeight="1">
      <c r="A134" s="5" t="inlineStr">
        <is>
          <t>Затворы дисковые (межфланцевые, ПА954, Stensel, ЗПВС)</t>
        </is>
      </c>
      <c r="B134" s="5" t="inlineStr">
        <is>
          <t>1.3</t>
        </is>
      </c>
      <c r="C134" s="6" t="n">
        <v>32</v>
      </c>
      <c r="D134" s="5" t="inlineStr">
        <is>
          <t>Клапан обратный фланцевый пружинный с аксиальным затвором NVD-402R Ду 100 Ру 16</t>
        </is>
      </c>
      <c r="E134" s="6" t="n">
        <v>2</v>
      </c>
    </row>
    <row r="135" ht="34" customHeight="1">
      <c r="A135" s="5" t="inlineStr">
        <is>
          <t>Затворы дисковые (межфланцевые, ПА954, Stensel, ЗПВС)</t>
        </is>
      </c>
      <c r="B135" s="5" t="inlineStr">
        <is>
          <t>1.3</t>
        </is>
      </c>
      <c r="C135" s="6" t="n">
        <v>33</v>
      </c>
      <c r="D135" s="5" t="inlineStr">
        <is>
          <t>Клапан обратный фланцевый пружинный с аксиальным затвором NVD-402R Ду 150 Ру 16</t>
        </is>
      </c>
      <c r="E135" s="6" t="n">
        <v>5</v>
      </c>
    </row>
    <row r="136" ht="34" customHeight="1">
      <c r="A136" s="5" t="inlineStr">
        <is>
          <t>Затворы дисковые (межфланцевые, ПА954, Stensel, ЗПВС)</t>
        </is>
      </c>
      <c r="B136" s="5" t="inlineStr">
        <is>
          <t>1.3</t>
        </is>
      </c>
      <c r="C136" s="6" t="n">
        <v>34</v>
      </c>
      <c r="D136" s="5" t="inlineStr">
        <is>
          <t>Клапан обратный фланцевый пружинный с аксиальным затвором NVD-402R Ду 200 Ру 16</t>
        </is>
      </c>
      <c r="E136" s="6" t="n">
        <v>4</v>
      </c>
    </row>
    <row r="137" ht="34" customHeight="1">
      <c r="A137" s="5" t="inlineStr">
        <is>
          <t>Затворы дисковые (межфланцевые, ПА954, Stensel, ЗПВС)</t>
        </is>
      </c>
      <c r="B137" s="5" t="inlineStr">
        <is>
          <t>1.3</t>
        </is>
      </c>
      <c r="C137" s="6" t="n">
        <v>150</v>
      </c>
      <c r="D137" s="5" t="inlineStr">
        <is>
          <t>Затвор 32нж910р Ду 1000 Ру 10 с эл.приводом</t>
        </is>
      </c>
      <c r="E137" s="6" t="n">
        <v>1</v>
      </c>
    </row>
    <row r="138" ht="34" customHeight="1">
      <c r="A138" s="5" t="inlineStr">
        <is>
          <t>Затворы дисковые (межфланцевые, ПА954, Stensel, ЗПВС)</t>
        </is>
      </c>
      <c r="B138" s="5" t="inlineStr">
        <is>
          <t>1.3</t>
        </is>
      </c>
      <c r="C138" s="6" t="n">
        <v>151</v>
      </c>
      <c r="D138" s="5" t="inlineStr">
        <is>
          <t>Затвор дисковый поворотный ЗДП-150-6,3-1-М-А-УХЛ1 (не под электропривод) Ду 150 Ру 6,3</t>
        </is>
      </c>
      <c r="E138" s="6" t="n">
        <v>3</v>
      </c>
    </row>
    <row r="139" ht="34" customHeight="1">
      <c r="A139" s="5" t="inlineStr">
        <is>
          <t>Затворы дисковые (межфланцевые, ПА954, Stensel, ЗПВС)</t>
        </is>
      </c>
      <c r="B139" s="5" t="inlineStr">
        <is>
          <t>1.3</t>
        </is>
      </c>
      <c r="C139" s="6" t="n">
        <v>152</v>
      </c>
      <c r="D139" s="5" t="inlineStr">
        <is>
          <t>Затвор дисковый поворотный ЗДП-50-6,3-1-М-А-УХЛ1 Ду 50 Ру 6,3</t>
        </is>
      </c>
      <c r="E139" s="6" t="n">
        <v>10</v>
      </c>
    </row>
    <row r="140" ht="34" customHeight="1">
      <c r="A140" s="5" t="inlineStr">
        <is>
          <t>Затворы дисковые (межфланцевые, ПА954, Stensel, ЗПВС)</t>
        </is>
      </c>
      <c r="B140" s="5" t="inlineStr">
        <is>
          <t>1.3</t>
        </is>
      </c>
      <c r="C140" s="6" t="n">
        <v>153</v>
      </c>
      <c r="D140" s="5" t="inlineStr">
        <is>
          <t>Затвор дисковый поворотный ЗДП-80-УХЛ1 Ду 80 Ру 6,3</t>
        </is>
      </c>
      <c r="E140" s="6" t="n">
        <v>3</v>
      </c>
    </row>
    <row r="141" ht="34" customHeight="1">
      <c r="A141" s="5" t="inlineStr">
        <is>
          <t>Затворы дисковые (межфланцевые, ПА954, Stensel, ЗПВС)</t>
        </is>
      </c>
      <c r="B141" s="5" t="inlineStr">
        <is>
          <t>1.3</t>
        </is>
      </c>
      <c r="C141" s="6" t="n">
        <v>154</v>
      </c>
      <c r="D141" s="5" t="inlineStr">
        <is>
          <t>Затвор дисковый поворотный(ГРЭНВЭЛ) Тип /серия FL(w)-3-MR-E Ду 100 Ру 16</t>
        </is>
      </c>
      <c r="E141" s="6" t="n">
        <v>4</v>
      </c>
    </row>
    <row r="142" ht="34" customHeight="1">
      <c r="A142" s="5" t="inlineStr">
        <is>
          <t>Затворы дисковые (межфланцевые, ПА954, Stensel, ЗПВС)</t>
        </is>
      </c>
      <c r="B142" s="5" t="inlineStr">
        <is>
          <t>1.3</t>
        </is>
      </c>
      <c r="C142" s="6" t="n">
        <v>155</v>
      </c>
      <c r="D142" s="5" t="inlineStr">
        <is>
          <t>Затвор дисковый поворотный(ГРЭНВЭЛ) ЗП ТЛ Ду 100 Ру 16</t>
        </is>
      </c>
      <c r="E142" s="6" t="n">
        <v>16</v>
      </c>
    </row>
    <row r="143" ht="34" customHeight="1">
      <c r="A143" s="5" t="inlineStr">
        <is>
          <t>Затворы дисковые (межфланцевые, ПА954, Stensel, ЗПВС)</t>
        </is>
      </c>
      <c r="B143" s="5" t="inlineStr">
        <is>
          <t>1.3</t>
        </is>
      </c>
      <c r="C143" s="6" t="n">
        <v>156</v>
      </c>
      <c r="D143" s="5" t="inlineStr">
        <is>
          <t>Затвор дисковый поворотный(ГРЭНВЭЛ) ЗП ТЛ Ду 150 Ру 16</t>
        </is>
      </c>
      <c r="E143" s="6" t="n">
        <v>20</v>
      </c>
    </row>
    <row r="144" ht="34" customHeight="1">
      <c r="A144" s="5" t="inlineStr">
        <is>
          <t>Затворы дисковые (межфланцевые, ПА954, Stensel, ЗПВС)</t>
        </is>
      </c>
      <c r="B144" s="5" t="inlineStr">
        <is>
          <t>1.3</t>
        </is>
      </c>
      <c r="C144" s="6" t="n">
        <v>157</v>
      </c>
      <c r="D144" s="5" t="inlineStr">
        <is>
          <t>Затвор дисковый поворотный(ГРЭНВЭЛ) ЗП ТЛ Ду 200 Ру 16</t>
        </is>
      </c>
      <c r="E144" s="6" t="n">
        <v>16</v>
      </c>
    </row>
    <row r="145" ht="34" customHeight="1">
      <c r="A145" s="5" t="inlineStr">
        <is>
          <t>Затворы дисковые (межфланцевые, ПА954, Stensel, ЗПВС)</t>
        </is>
      </c>
      <c r="B145" s="5" t="inlineStr">
        <is>
          <t>1.3</t>
        </is>
      </c>
      <c r="C145" s="6" t="n">
        <v>158</v>
      </c>
      <c r="D145" s="5" t="inlineStr">
        <is>
          <t>Затвор дисковый поворотный(ГРЭНВЭЛ) ЗП ТЛ Ду 80 Ру 16</t>
        </is>
      </c>
      <c r="E145" s="6" t="n">
        <v>9</v>
      </c>
    </row>
    <row r="146" ht="34" customHeight="1">
      <c r="A146" s="5" t="inlineStr">
        <is>
          <t>Затворы дисковые (межфланцевые, ПА954, Stensel, ЗПВС)</t>
        </is>
      </c>
      <c r="B146" s="5" t="inlineStr">
        <is>
          <t>1.3</t>
        </is>
      </c>
      <c r="C146" s="6" t="n">
        <v>159</v>
      </c>
      <c r="D146" s="5" t="inlineStr">
        <is>
          <t>Затвор дисковый поворотный(ГРЭНВЭЛ) Тип /серия FL(w)-3-MR-E Ду 150 Ру 16</t>
        </is>
      </c>
      <c r="E146" s="6" t="n">
        <v>25</v>
      </c>
    </row>
    <row r="147" ht="34" customHeight="1">
      <c r="A147" s="5" t="inlineStr">
        <is>
          <t>Затворы дисковые (межфланцевые, ПА954, Stensel, ЗПВС)</t>
        </is>
      </c>
      <c r="B147" s="5" t="inlineStr">
        <is>
          <t>1.3</t>
        </is>
      </c>
      <c r="C147" s="6" t="n">
        <v>160</v>
      </c>
      <c r="D147" s="5" t="inlineStr">
        <is>
          <t>Затвор дисковый поворотный(ГРЭНВЭЛ) Тип /серия FL(w)-3-MR-E Ду 200 Ру 16</t>
        </is>
      </c>
      <c r="E147" s="6" t="n">
        <v>6</v>
      </c>
    </row>
    <row r="148" ht="34" customHeight="1">
      <c r="A148" s="5" t="inlineStr">
        <is>
          <t>Затворы дисковые (межфланцевые, ПА954, Stensel, ЗПВС)</t>
        </is>
      </c>
      <c r="B148" s="5" t="inlineStr">
        <is>
          <t>1.3</t>
        </is>
      </c>
      <c r="C148" s="6" t="n">
        <v>161</v>
      </c>
      <c r="D148" s="5" t="inlineStr">
        <is>
          <t>Затвор дисковый поворотный(ГРЭНВЭЛ) Тип /серия FL(w)-3-MR-E Ду 80 Ру 16</t>
        </is>
      </c>
      <c r="E148" s="6" t="n">
        <v>2</v>
      </c>
    </row>
    <row r="149" ht="34" customHeight="1">
      <c r="A149" s="5" t="inlineStr">
        <is>
          <t>Затворы дисковые (межфланцевые, ПА954, Stensel, ЗПВС)</t>
        </is>
      </c>
      <c r="B149" s="5" t="inlineStr">
        <is>
          <t>1.3</t>
        </is>
      </c>
      <c r="C149" s="6" t="n">
        <v>162</v>
      </c>
      <c r="D149" s="5" t="inlineStr">
        <is>
          <t>Затвор поворотный дисковый Ду 65 Ру 16 ГРАНВЭЛ тип ЗПВС</t>
        </is>
      </c>
      <c r="E149" s="6" t="n">
        <v>2</v>
      </c>
    </row>
    <row r="150" ht="34" customHeight="1">
      <c r="A150" s="5" t="inlineStr">
        <is>
          <t>Затворы дисковые (межфланцевые, ПА954, Stensel, ЗПВС)</t>
        </is>
      </c>
      <c r="B150" s="5" t="inlineStr">
        <is>
          <t>1.6</t>
        </is>
      </c>
      <c r="C150" s="6" t="n">
        <v>89</v>
      </c>
      <c r="D150" s="5" t="inlineStr">
        <is>
          <t>Затвор дисковый поворотный(ГРЭНВЭЛ) ЗП ТЛ Ду 100 Ру 16</t>
        </is>
      </c>
      <c r="E150" s="6" t="n">
        <v>2</v>
      </c>
    </row>
    <row r="151" ht="34" customHeight="1">
      <c r="A151" s="5" t="inlineStr">
        <is>
          <t>Затворы дисковые (межфланцевые, ПА954, Stensel, ЗПВС)</t>
        </is>
      </c>
      <c r="B151" s="5" t="inlineStr">
        <is>
          <t>1.6</t>
        </is>
      </c>
      <c r="C151" s="6" t="n">
        <v>90</v>
      </c>
      <c r="D151" s="5" t="inlineStr">
        <is>
          <t>Затвор дисковый поворотный(ГРЭНВЭЛ) ЗП ТЛ Ду 80 Ру 16</t>
        </is>
      </c>
      <c r="E151" s="6" t="n">
        <v>1</v>
      </c>
    </row>
    <row r="152" ht="34" customHeight="1">
      <c r="A152" s="5" t="inlineStr">
        <is>
          <t>Затворы дисковые (межфланцевые, ПА954, Stensel, ЗПВС)</t>
        </is>
      </c>
      <c r="B152" s="5" t="inlineStr">
        <is>
          <t>1.6</t>
        </is>
      </c>
      <c r="C152" s="6" t="n">
        <v>91</v>
      </c>
      <c r="D152" s="5" t="inlineStr">
        <is>
          <t>Затвор дисковый поворотный(ГРЭНВЭЛ) Тип /серия FL(w)-3-MR-E Ду 80 Ру 16</t>
        </is>
      </c>
      <c r="E152" s="6" t="n">
        <v>1</v>
      </c>
    </row>
    <row r="153" ht="34" customHeight="1">
      <c r="A153" s="5" t="inlineStr">
        <is>
          <t>Клапаны регулирующие и регуляторы (25ч945п, Ридан VFG/NVD, РД-НО, АРТ)</t>
        </is>
      </c>
      <c r="B153" s="5" t="inlineStr">
        <is>
          <t>1.3</t>
        </is>
      </c>
      <c r="C153" s="6" t="n">
        <v>1</v>
      </c>
      <c r="D153" s="5" t="inlineStr">
        <is>
          <t>Клапан регулирующий 25с947нж Ду 50 Ру 25 с ЭИМ</t>
        </is>
      </c>
      <c r="E153" s="6" t="n">
        <v>1</v>
      </c>
    </row>
    <row r="154" ht="34" customHeight="1">
      <c r="A154" s="5" t="inlineStr">
        <is>
          <t>Клапаны регулирующие и регуляторы (25ч945п, Ридан VFG/NVD, РД-НО, АРТ)</t>
        </is>
      </c>
      <c r="B154" s="5" t="inlineStr">
        <is>
          <t>1.3</t>
        </is>
      </c>
      <c r="C154" s="6" t="n">
        <v>2</v>
      </c>
      <c r="D154" s="5" t="inlineStr">
        <is>
          <t>Клапан регулирующий 25ч945п Ду 15 Ру 16 с ЭИМ</t>
        </is>
      </c>
      <c r="E154" s="6" t="n">
        <v>2</v>
      </c>
    </row>
    <row r="155" ht="34" customHeight="1">
      <c r="A155" s="5" t="inlineStr">
        <is>
          <t>Клапаны регулирующие и регуляторы (25ч945п, Ридан VFG/NVD, РД-НО, АРТ)</t>
        </is>
      </c>
      <c r="B155" s="5" t="inlineStr">
        <is>
          <t>1.3</t>
        </is>
      </c>
      <c r="C155" s="6" t="n">
        <v>3</v>
      </c>
      <c r="D155" s="5" t="inlineStr">
        <is>
          <t>Клапан регулирующий 25ч945п Ду 25 Ру 16 с ЭИМ</t>
        </is>
      </c>
      <c r="E155" s="6" t="n">
        <v>1</v>
      </c>
    </row>
    <row r="156" ht="34" customHeight="1">
      <c r="A156" s="5" t="inlineStr">
        <is>
          <t>Клапаны регулирующие и регуляторы (25ч945п, Ридан VFG/NVD, РД-НО, АРТ)</t>
        </is>
      </c>
      <c r="B156" s="5" t="inlineStr">
        <is>
          <t>1.3</t>
        </is>
      </c>
      <c r="C156" s="6" t="n">
        <v>4</v>
      </c>
      <c r="D156" s="5" t="inlineStr">
        <is>
          <t>Клапан регулирующий 25ч945п Ду 50 Ру 16 KV100 с ЭИМ</t>
        </is>
      </c>
      <c r="E156" s="6" t="n">
        <v>2</v>
      </c>
    </row>
    <row r="157" ht="34" customHeight="1">
      <c r="A157" s="5" t="inlineStr">
        <is>
          <t>Клапаны регулирующие и регуляторы (25ч945п, Ридан VFG/NVD, РД-НО, АРТ)</t>
        </is>
      </c>
      <c r="B157" s="5" t="inlineStr">
        <is>
          <t>1.3</t>
        </is>
      </c>
      <c r="C157" s="6" t="n">
        <v>5</v>
      </c>
      <c r="D157" s="5" t="inlineStr">
        <is>
          <t>Клапан регулирующий 25ч945п Ду 80 Ру 16 с ЭИМ</t>
        </is>
      </c>
      <c r="E157" s="6" t="n">
        <v>8</v>
      </c>
    </row>
    <row r="158" ht="34" customHeight="1">
      <c r="A158" s="5" t="inlineStr">
        <is>
          <t>Клапаны регулирующие и регуляторы (25ч945п, Ридан VFG/NVD, РД-НО, АРТ)</t>
        </is>
      </c>
      <c r="B158" s="5" t="inlineStr">
        <is>
          <t>1.3</t>
        </is>
      </c>
      <c r="C158" s="6" t="n">
        <v>6</v>
      </c>
      <c r="D158" s="5" t="inlineStr">
        <is>
          <t>Регулирующий клапан Ридан VFG-2R Ду 100, Kvs 125, Ру 16</t>
        </is>
      </c>
      <c r="E158" s="6" t="n">
        <v>2</v>
      </c>
    </row>
    <row r="159" ht="34" customHeight="1">
      <c r="A159" s="5" t="inlineStr">
        <is>
          <t>Клапаны регулирующие и регуляторы (25ч945п, Ридан VFG/NVD, РД-НО, АРТ)</t>
        </is>
      </c>
      <c r="B159" s="5" t="inlineStr">
        <is>
          <t>1.3</t>
        </is>
      </c>
      <c r="C159" s="6" t="n">
        <v>7</v>
      </c>
      <c r="D159" s="5" t="inlineStr">
        <is>
          <t>Регулирующий клапан Ридан VFG-2R Ду 32, Kvs 16,  Ру 16</t>
        </is>
      </c>
      <c r="E159" s="6" t="n">
        <v>4</v>
      </c>
    </row>
    <row r="160" ht="34" customHeight="1">
      <c r="A160" s="5" t="inlineStr">
        <is>
          <t>Клапаны регулирующие и регуляторы (25ч945п, Ридан VFG/NVD, РД-НО, АРТ)</t>
        </is>
      </c>
      <c r="B160" s="5" t="inlineStr">
        <is>
          <t>1.3</t>
        </is>
      </c>
      <c r="C160" s="6" t="n">
        <v>8</v>
      </c>
      <c r="D160" s="5" t="inlineStr">
        <is>
          <t>регулирующий клапан Ридан VFG-2R Ду 80, Kvs 80,  Ру 16</t>
        </is>
      </c>
      <c r="E160" s="6" t="n">
        <v>2</v>
      </c>
    </row>
    <row r="161" ht="34" customHeight="1">
      <c r="A161" s="5" t="inlineStr">
        <is>
          <t>Клапаны регулирующие и регуляторы (25ч945п, Ридан VFG/NVD, РД-НО, АРТ)</t>
        </is>
      </c>
      <c r="B161" s="5" t="inlineStr">
        <is>
          <t>1.3</t>
        </is>
      </c>
      <c r="C161" s="6" t="n">
        <v>9</v>
      </c>
      <c r="D161" s="5" t="inlineStr">
        <is>
          <t>Регулятор давления РД-НО (Нормально открытый) Ду 25 Ру 16</t>
        </is>
      </c>
      <c r="E161" s="6" t="n">
        <v>2</v>
      </c>
    </row>
    <row r="162" ht="34" customHeight="1">
      <c r="A162" s="5" t="inlineStr">
        <is>
          <t>Клапаны регулирующие и регуляторы (25ч945п, Ридан VFG/NVD, РД-НО, АРТ)</t>
        </is>
      </c>
      <c r="B162" s="5" t="inlineStr">
        <is>
          <t>1.3</t>
        </is>
      </c>
      <c r="C162" s="6" t="n">
        <v>10</v>
      </c>
      <c r="D162" s="5" t="inlineStr">
        <is>
          <t>Регулятор давления РД-НО (Нормально открытый) Ду 32 Ру 16</t>
        </is>
      </c>
      <c r="E162" s="6" t="n">
        <v>1</v>
      </c>
    </row>
    <row r="163" ht="34" customHeight="1">
      <c r="A163" s="5" t="inlineStr">
        <is>
          <t>Клапаны регулирующие и регуляторы (25ч945п, Ридан VFG/NVD, РД-НО, АРТ)</t>
        </is>
      </c>
      <c r="B163" s="5" t="inlineStr">
        <is>
          <t>1.3</t>
        </is>
      </c>
      <c r="C163" s="6" t="n">
        <v>11</v>
      </c>
      <c r="D163" s="5" t="inlineStr">
        <is>
          <t>Регулятор давления РД-НО (Нормально открытый) Ду 50 Ру 16</t>
        </is>
      </c>
      <c r="E163" s="6" t="n">
        <v>3</v>
      </c>
    </row>
    <row r="164" ht="34" customHeight="1">
      <c r="A164" s="5" t="inlineStr">
        <is>
          <t>Клапаны регулирующие и регуляторы (25ч945п, Ридан VFG/NVD, РД-НО, АРТ)</t>
        </is>
      </c>
      <c r="B164" s="5" t="inlineStr">
        <is>
          <t>1.3</t>
        </is>
      </c>
      <c r="C164" s="6" t="n">
        <v>12</v>
      </c>
      <c r="D164" s="5" t="inlineStr">
        <is>
          <t>Регулятор давления РД-НО (Нормально открытый) Ду 80 Ру 16</t>
        </is>
      </c>
      <c r="E164" s="6" t="n">
        <v>3</v>
      </c>
    </row>
    <row r="165" ht="34" customHeight="1">
      <c r="A165" s="5" t="inlineStr">
        <is>
          <t>Клапаны регулирующие и регуляторы (25ч945п, Ридан VFG/NVD, РД-НО, АРТ)</t>
        </is>
      </c>
      <c r="B165" s="5" t="inlineStr">
        <is>
          <t>1.3</t>
        </is>
      </c>
      <c r="C165" s="6" t="n">
        <v>13</v>
      </c>
      <c r="D165" s="5" t="inlineStr">
        <is>
          <t>Регулирующий блок после себя AFD Ду 15-250 с диапазоном настройки Ру 25</t>
        </is>
      </c>
      <c r="E165" s="6" t="n">
        <v>2</v>
      </c>
    </row>
    <row r="166" ht="34" customHeight="1">
      <c r="A166" s="5" t="inlineStr">
        <is>
          <t>Клапаны регулирующие и регуляторы (25ч945п, Ридан VFG/NVD, РД-НО, АРТ)</t>
        </is>
      </c>
      <c r="B166" s="5" t="inlineStr">
        <is>
          <t>1.6</t>
        </is>
      </c>
      <c r="C166" s="6" t="n">
        <v>1</v>
      </c>
      <c r="D166" s="5" t="inlineStr">
        <is>
          <t>Клапан регулирующий 25с947нж Ду 25 Ру 25 с ЭИМ</t>
        </is>
      </c>
      <c r="E166" s="6" t="n">
        <v>1</v>
      </c>
    </row>
    <row r="167" ht="34" customHeight="1">
      <c r="A167" s="5" t="inlineStr">
        <is>
          <t>Клапаны регулирующие и регуляторы (25ч945п, Ридан VFG/NVD, РД-НО, АРТ)</t>
        </is>
      </c>
      <c r="B167" s="5" t="inlineStr">
        <is>
          <t>1.6</t>
        </is>
      </c>
      <c r="C167" s="6" t="n">
        <v>2</v>
      </c>
      <c r="D167" s="5" t="inlineStr">
        <is>
          <t>Клапан регулирующий 25с947нж Ду 50 Ру 25 с ЭИМ</t>
        </is>
      </c>
      <c r="E167" s="6" t="n">
        <v>1</v>
      </c>
    </row>
    <row r="168" ht="34" customHeight="1">
      <c r="A168" s="5" t="inlineStr">
        <is>
          <t>Клапаны регулирующие и регуляторы (25ч945п, Ридан VFG/NVD, РД-НО, АРТ)</t>
        </is>
      </c>
      <c r="B168" s="5" t="inlineStr">
        <is>
          <t>1.6</t>
        </is>
      </c>
      <c r="C168" s="6" t="n">
        <v>3</v>
      </c>
      <c r="D168" s="5" t="inlineStr">
        <is>
          <t>Регулирующий клапан Ридан VFG-2R Ду 80, Kvs 80, Ру 16</t>
        </is>
      </c>
      <c r="E168" s="6" t="n">
        <v>1</v>
      </c>
    </row>
    <row r="169" ht="34" customHeight="1">
      <c r="A169" s="5" t="inlineStr">
        <is>
          <t>Клапаны регулирующие и регуляторы (25ч945п, Ридан VFG/NVD, РД-НО, АРТ)</t>
        </is>
      </c>
      <c r="B169" s="5" t="inlineStr">
        <is>
          <t>1.7</t>
        </is>
      </c>
      <c r="C169" s="6" t="n">
        <v>1</v>
      </c>
      <c r="D169" s="5" t="inlineStr">
        <is>
          <t>АРТ-85 Ду 50 Ру 16 "после себя"</t>
        </is>
      </c>
      <c r="E169" s="6" t="n">
        <v>1</v>
      </c>
    </row>
    <row r="170" ht="34" customHeight="1">
      <c r="A170" s="5" t="inlineStr">
        <is>
          <t>Задвижки нержавеющие (30нж41нж, 30нж947нж)</t>
        </is>
      </c>
      <c r="B170" s="5" t="inlineStr">
        <is>
          <t>1.1</t>
        </is>
      </c>
      <c r="C170" s="6" t="n">
        <v>5</v>
      </c>
      <c r="D170" s="5" t="inlineStr">
        <is>
          <t>Задвижка 30нж41нж Ду 150 Ру 16 1исп. САЗ</t>
        </is>
      </c>
      <c r="E170" s="6" t="n">
        <v>1</v>
      </c>
    </row>
    <row r="171" ht="34" customHeight="1">
      <c r="A171" s="5" t="inlineStr">
        <is>
          <t>Задвижки нержавеющие (30нж41нж, 30нж947нж)</t>
        </is>
      </c>
      <c r="B171" s="5" t="inlineStr">
        <is>
          <t>1.1</t>
        </is>
      </c>
      <c r="C171" s="6" t="n">
        <v>6</v>
      </c>
      <c r="D171" s="5" t="inlineStr">
        <is>
          <t>Задвижка 30нж947нж Ду 1000 Ру 4</t>
        </is>
      </c>
      <c r="E171" s="6" t="n">
        <v>1</v>
      </c>
    </row>
    <row r="172" ht="34" customHeight="1">
      <c r="A172" s="5" t="inlineStr">
        <is>
          <t>Задвижки нержавеющие (30нж41нж, 30нж947нж)</t>
        </is>
      </c>
      <c r="B172" s="5" t="inlineStr">
        <is>
          <t>1.3</t>
        </is>
      </c>
      <c r="C172" s="6" t="n">
        <v>68</v>
      </c>
      <c r="D172" s="5" t="inlineStr">
        <is>
          <t>Задвижка 30нж41нж DN 100 PN 16 1исп. САЗ</t>
        </is>
      </c>
      <c r="E172" s="6" t="n">
        <v>2</v>
      </c>
    </row>
    <row r="173" ht="34" customHeight="1">
      <c r="A173" s="5" t="inlineStr">
        <is>
          <t>Задвижки нержавеющие (30нж41нж, 30нж947нж)</t>
        </is>
      </c>
      <c r="B173" s="5" t="inlineStr">
        <is>
          <t>1.3</t>
        </is>
      </c>
      <c r="C173" s="6" t="n">
        <v>69</v>
      </c>
      <c r="D173" s="5" t="inlineStr">
        <is>
          <t>Задвижка 30нж41нж DN 150 PN 16 1исп. САЗ</t>
        </is>
      </c>
      <c r="E173" s="6" t="n">
        <v>2</v>
      </c>
    </row>
    <row r="174" ht="34" customHeight="1">
      <c r="A174" s="5" t="inlineStr">
        <is>
          <t>Задвижки нержавеющие (30нж41нж, 30нж947нж)</t>
        </is>
      </c>
      <c r="B174" s="5" t="inlineStr">
        <is>
          <t>1.3</t>
        </is>
      </c>
      <c r="C174" s="6" t="n">
        <v>70</v>
      </c>
      <c r="D174" s="5" t="inlineStr">
        <is>
          <t>Задвижка 30нж41нж DN 200 PN 16 1исп. САЗ</t>
        </is>
      </c>
      <c r="E174" s="6" t="n">
        <v>2</v>
      </c>
    </row>
    <row r="175" ht="34" customHeight="1">
      <c r="A175" s="5" t="inlineStr">
        <is>
          <t>Задвижки нержавеющие (30нж41нж, 30нж947нж)</t>
        </is>
      </c>
      <c r="B175" s="5" t="inlineStr">
        <is>
          <t>1.3</t>
        </is>
      </c>
      <c r="C175" s="6" t="n">
        <v>71</v>
      </c>
      <c r="D175" s="5" t="inlineStr">
        <is>
          <t>Задвижка 30нж41нж DN 50 PN 16 1исп. САЗ</t>
        </is>
      </c>
      <c r="E175" s="6" t="n">
        <v>2</v>
      </c>
    </row>
    <row r="176" ht="34" customHeight="1">
      <c r="A176" s="5" t="inlineStr">
        <is>
          <t>Задвижки нержавеющие (30нж41нж, 30нж947нж)</t>
        </is>
      </c>
      <c r="B176" s="5" t="inlineStr">
        <is>
          <t>1.3</t>
        </is>
      </c>
      <c r="C176" s="6" t="n">
        <v>72</v>
      </c>
      <c r="D176" s="5" t="inlineStr">
        <is>
          <t>Задвижка 30нж41нж DN 80 PN 16 1исп. САЗ</t>
        </is>
      </c>
      <c r="E176" s="6" t="n">
        <v>2</v>
      </c>
    </row>
    <row r="177" ht="34" customHeight="1">
      <c r="A177" s="5" t="inlineStr">
        <is>
          <t>Задвижки нержавеющие (30нж41нж, 30нж947нж)</t>
        </is>
      </c>
      <c r="B177" s="5" t="inlineStr">
        <is>
          <t>1.6</t>
        </is>
      </c>
      <c r="C177" s="6" t="n">
        <v>41</v>
      </c>
      <c r="D177" s="5" t="inlineStr">
        <is>
          <t>Задвижка 30нж41нж Ду 80 Ру 16 1исп. САЗ</t>
        </is>
      </c>
      <c r="E177" s="6" t="n">
        <v>1</v>
      </c>
    </row>
    <row r="178" ht="34" customHeight="1">
      <c r="A178" s="5" t="inlineStr">
        <is>
          <t>Задвижки нержавеющие (30нж41нж, 30нж947нж)</t>
        </is>
      </c>
      <c r="B178" s="5" t="inlineStr">
        <is>
          <t>1.8</t>
        </is>
      </c>
      <c r="C178" s="6" t="n">
        <v>1</v>
      </c>
      <c r="D178" s="5" t="inlineStr">
        <is>
          <t>Задвижка 30нж41нж Ду 80 Ру 16 1исп. САЗ</t>
        </is>
      </c>
      <c r="E178" s="6" t="n">
        <v>1</v>
      </c>
    </row>
    <row r="179" ht="34" customHeight="1">
      <c r="A179" s="5" t="inlineStr">
        <is>
          <t>Клапаны запорные / вентили (15с22нж, 15нж65нж, 15кч, 15ч, 14нж)</t>
        </is>
      </c>
      <c r="B179" s="5" t="inlineStr">
        <is>
          <t>1.1</t>
        </is>
      </c>
      <c r="C179" s="6" t="n">
        <v>2</v>
      </c>
      <c r="D179" s="5" t="inlineStr">
        <is>
          <t>Клапан запорный 15нж65нж Ду 200 Ру 16</t>
        </is>
      </c>
      <c r="E179" s="6" t="n">
        <v>4</v>
      </c>
    </row>
    <row r="180" ht="34" customHeight="1">
      <c r="A180" s="5" t="inlineStr">
        <is>
          <t>Клапаны запорные / вентили (15с22нж, 15нж65нж, 15кч, 15ч, 14нж)</t>
        </is>
      </c>
      <c r="B180" s="5" t="inlineStr">
        <is>
          <t>1.1</t>
        </is>
      </c>
      <c r="C180" s="6" t="n">
        <v>3</v>
      </c>
      <c r="D180" s="5" t="inlineStr">
        <is>
          <t>Клапан запорный15нж65нж Ду 50 Ру 16</t>
        </is>
      </c>
      <c r="E180" s="6" t="n">
        <v>3</v>
      </c>
    </row>
    <row r="181" ht="34" customHeight="1">
      <c r="A181" s="5" t="inlineStr">
        <is>
          <t>Клапаны запорные / вентили (15с22нж, 15нж65нж, 15кч, 15ч, 14нж)</t>
        </is>
      </c>
      <c r="B181" s="5" t="inlineStr">
        <is>
          <t>1.1</t>
        </is>
      </c>
      <c r="C181" s="6" t="n">
        <v>4</v>
      </c>
      <c r="D181" s="5" t="inlineStr">
        <is>
          <t>Клапан запорный15с52нж11 Ду 32 Ру 63 под приварку</t>
        </is>
      </c>
      <c r="E181" s="6" t="n">
        <v>12</v>
      </c>
    </row>
    <row r="182" ht="34" customHeight="1">
      <c r="A182" s="5" t="inlineStr">
        <is>
          <t>Клапаны запорные / вентили (15с22нж, 15нж65нж, 15кч, 15ч, 14нж)</t>
        </is>
      </c>
      <c r="B182" s="5" t="inlineStr">
        <is>
          <t>1.3</t>
        </is>
      </c>
      <c r="C182" s="6" t="n">
        <v>40</v>
      </c>
      <c r="D182" s="5" t="inlineStr">
        <is>
          <t>Клапан 22б16п (15б34бк1) запорный вакуумный сильфонный Ду6 Ру16</t>
        </is>
      </c>
      <c r="E182" s="6" t="n">
        <v>2</v>
      </c>
    </row>
    <row r="183" ht="34" customHeight="1">
      <c r="A183" s="5" t="inlineStr">
        <is>
          <t>Клапаны запорные / вентили (15с22нж, 15нж65нж, 15кч, 15ч, 14нж)</t>
        </is>
      </c>
      <c r="B183" s="5" t="inlineStr">
        <is>
          <t>1.3</t>
        </is>
      </c>
      <c r="C183" s="6" t="n">
        <v>41</v>
      </c>
      <c r="D183" s="5" t="inlineStr">
        <is>
          <t>Клапан ВДХ Ду 80 Ру 10</t>
        </is>
      </c>
      <c r="E183" s="6" t="n">
        <v>2</v>
      </c>
    </row>
    <row r="184" ht="34" customHeight="1">
      <c r="A184" s="5" t="inlineStr">
        <is>
          <t>Клапаны запорные / вентили (15с22нж, 15нж65нж, 15кч, 15ч, 14нж)</t>
        </is>
      </c>
      <c r="B184" s="5" t="inlineStr">
        <is>
          <t>1.3</t>
        </is>
      </c>
      <c r="C184" s="6" t="n">
        <v>42</v>
      </c>
      <c r="D184" s="5" t="inlineStr">
        <is>
          <t>Клапан диафрагменный химический ВДХ Ду 150 Ру 16</t>
        </is>
      </c>
      <c r="E184" s="6" t="n">
        <v>1</v>
      </c>
    </row>
    <row r="185" ht="34" customHeight="1">
      <c r="A185" s="5" t="inlineStr">
        <is>
          <t>Клапаны запорные / вентили (15с22нж, 15нж65нж, 15кч, 15ч, 14нж)</t>
        </is>
      </c>
      <c r="B185" s="5" t="inlineStr">
        <is>
          <t>1.3</t>
        </is>
      </c>
      <c r="C185" s="6" t="n">
        <v>43</v>
      </c>
      <c r="D185" s="5" t="inlineStr">
        <is>
          <t>Клапан диафрагменный химический ВДХ Ду 50, Ру 16</t>
        </is>
      </c>
      <c r="E185" s="6" t="n">
        <v>1</v>
      </c>
    </row>
    <row r="186" ht="34" customHeight="1">
      <c r="A186" s="5" t="inlineStr">
        <is>
          <t>Клапаны запорные / вентили (15с22нж, 15нж65нж, 15кч, 15ч, 14нж)</t>
        </is>
      </c>
      <c r="B186" s="5" t="inlineStr">
        <is>
          <t>1.3</t>
        </is>
      </c>
      <c r="C186" s="6" t="n">
        <v>44</v>
      </c>
      <c r="D186" s="5" t="inlineStr">
        <is>
          <t>Клапан диафрагменный химический ВДХ Ду 80 Ру 16</t>
        </is>
      </c>
      <c r="E186" s="6" t="n">
        <v>3</v>
      </c>
    </row>
    <row r="187" ht="34" customHeight="1">
      <c r="A187" s="5" t="inlineStr">
        <is>
          <t>Клапаны запорные / вентили (15с22нж, 15нж65нж, 15кч, 15ч, 14нж)</t>
        </is>
      </c>
      <c r="B187" s="5" t="inlineStr">
        <is>
          <t>1.3</t>
        </is>
      </c>
      <c r="C187" s="6" t="n">
        <v>45</v>
      </c>
      <c r="D187" s="5" t="inlineStr">
        <is>
          <t>Клапан запорный 14нж17п Ду 15 Ру 10 цапковый</t>
        </is>
      </c>
      <c r="E187" s="6" t="n">
        <v>2</v>
      </c>
    </row>
    <row r="188" ht="34" customHeight="1">
      <c r="A188" s="5" t="inlineStr">
        <is>
          <t>Клапаны запорные / вентили (15с22нж, 15нж65нж, 15кч, 15ч, 14нж)</t>
        </is>
      </c>
      <c r="B188" s="5" t="inlineStr">
        <is>
          <t>1.3</t>
        </is>
      </c>
      <c r="C188" s="6" t="n">
        <v>46</v>
      </c>
      <c r="D188" s="5" t="inlineStr">
        <is>
          <t>Клапан запорный 14нж17п Ду 25 Ру 10 цапковый</t>
        </is>
      </c>
      <c r="E188" s="6" t="n">
        <v>2</v>
      </c>
    </row>
    <row r="189" ht="34" customHeight="1">
      <c r="A189" s="5" t="inlineStr">
        <is>
          <t>Клапаны запорные / вентили (15с22нж, 15нж65нж, 15кч, 15ч, 14нж)</t>
        </is>
      </c>
      <c r="B189" s="5" t="inlineStr">
        <is>
          <t>1.3</t>
        </is>
      </c>
      <c r="C189" s="6" t="n">
        <v>47</v>
      </c>
      <c r="D189" s="5" t="inlineStr">
        <is>
          <t>Клапан запорный 14нж17п Ду 32 Ру 10 цапковый</t>
        </is>
      </c>
      <c r="E189" s="6" t="n">
        <v>1</v>
      </c>
    </row>
    <row r="190" ht="34" customHeight="1">
      <c r="A190" s="5" t="inlineStr">
        <is>
          <t>Клапаны запорные / вентили (15с22нж, 15нж65нж, 15кч, 15ч, 14нж)</t>
        </is>
      </c>
      <c r="B190" s="5" t="inlineStr">
        <is>
          <t>1.3</t>
        </is>
      </c>
      <c r="C190" s="6" t="n">
        <v>48</v>
      </c>
      <c r="D190" s="5" t="inlineStr">
        <is>
          <t>Клапан запорный 15б1п Ду 15 Ру16</t>
        </is>
      </c>
      <c r="E190" s="6" t="n">
        <v>45</v>
      </c>
    </row>
    <row r="191" ht="34" customHeight="1">
      <c r="A191" s="5" t="inlineStr">
        <is>
          <t>Клапаны запорные / вентили (15с22нж, 15нж65нж, 15кч, 15ч, 14нж)</t>
        </is>
      </c>
      <c r="B191" s="5" t="inlineStr">
        <is>
          <t>1.3</t>
        </is>
      </c>
      <c r="C191" s="6" t="n">
        <v>49</v>
      </c>
      <c r="D191" s="5" t="inlineStr">
        <is>
          <t>Клапан запорный 15б1п Ду 20 Ру16</t>
        </is>
      </c>
      <c r="E191" s="6" t="n">
        <v>15</v>
      </c>
    </row>
    <row r="192" ht="34" customHeight="1">
      <c r="A192" s="5" t="inlineStr">
        <is>
          <t>Клапаны запорные / вентили (15с22нж, 15нж65нж, 15кч, 15ч, 14нж)</t>
        </is>
      </c>
      <c r="B192" s="5" t="inlineStr">
        <is>
          <t>1.3</t>
        </is>
      </c>
      <c r="C192" s="6" t="n">
        <v>50</v>
      </c>
      <c r="D192" s="5" t="inlineStr">
        <is>
          <t>Клапан запорный 15б1п Ду 25 Ру16</t>
        </is>
      </c>
      <c r="E192" s="6" t="n">
        <v>10</v>
      </c>
    </row>
    <row r="193" ht="34" customHeight="1">
      <c r="A193" s="5" t="inlineStr">
        <is>
          <t>Клапаны запорные / вентили (15с22нж, 15нж65нж, 15кч, 15ч, 14нж)</t>
        </is>
      </c>
      <c r="B193" s="5" t="inlineStr">
        <is>
          <t>1.3</t>
        </is>
      </c>
      <c r="C193" s="6" t="n">
        <v>51</v>
      </c>
      <c r="D193" s="5" t="inlineStr">
        <is>
          <t>Клапан запорный 15б1п Ду 32 Ру16</t>
        </is>
      </c>
      <c r="E193" s="6" t="n">
        <v>10</v>
      </c>
    </row>
    <row r="194" ht="34" customHeight="1">
      <c r="A194" s="5" t="inlineStr">
        <is>
          <t>Клапаны запорные / вентили (15с22нж, 15нж65нж, 15кч, 15ч, 14нж)</t>
        </is>
      </c>
      <c r="B194" s="5" t="inlineStr">
        <is>
          <t>1.3</t>
        </is>
      </c>
      <c r="C194" s="6" t="n">
        <v>52</v>
      </c>
      <c r="D194" s="5" t="inlineStr">
        <is>
          <t>Клапан запорный 15б1п Ду 40 Ру16</t>
        </is>
      </c>
      <c r="E194" s="6" t="n">
        <v>5</v>
      </c>
    </row>
    <row r="195" ht="34" customHeight="1">
      <c r="A195" s="5" t="inlineStr">
        <is>
          <t>Клапаны запорные / вентили (15с22нж, 15нж65нж, 15кч, 15ч, 14нж)</t>
        </is>
      </c>
      <c r="B195" s="5" t="inlineStr">
        <is>
          <t>1.3</t>
        </is>
      </c>
      <c r="C195" s="6" t="n">
        <v>53</v>
      </c>
      <c r="D195" s="5" t="inlineStr">
        <is>
          <t>Клапан запорный 15б1п Ду 50 Ру16</t>
        </is>
      </c>
      <c r="E195" s="6" t="n">
        <v>7</v>
      </c>
    </row>
    <row r="196" ht="34" customHeight="1">
      <c r="A196" s="5" t="inlineStr">
        <is>
          <t>Клапаны запорные / вентили (15с22нж, 15нж65нж, 15кч, 15ч, 14нж)</t>
        </is>
      </c>
      <c r="B196" s="5" t="inlineStr">
        <is>
          <t>1.3</t>
        </is>
      </c>
      <c r="C196" s="6" t="n">
        <v>54</v>
      </c>
      <c r="D196" s="5" t="inlineStr">
        <is>
          <t>Клапан запорны 15нж65нж Ду 80 Ру 16 фланцевый</t>
        </is>
      </c>
      <c r="E196" s="6" t="n">
        <v>2</v>
      </c>
    </row>
    <row r="197" ht="34" customHeight="1">
      <c r="A197" s="5" t="inlineStr">
        <is>
          <t>Клапаны запорные / вентили (15с22нж, 15нж65нж, 15кч, 15ч, 14нж)</t>
        </is>
      </c>
      <c r="B197" s="5" t="inlineStr">
        <is>
          <t>1.3</t>
        </is>
      </c>
      <c r="C197" s="6" t="n">
        <v>55</v>
      </c>
      <c r="D197" s="5" t="inlineStr">
        <is>
          <t>Клапан запорны 15нж65нж Ду 100 Ру 16 фланцевый</t>
        </is>
      </c>
      <c r="E197" s="6" t="n">
        <v>9</v>
      </c>
    </row>
    <row r="198" ht="34" customHeight="1">
      <c r="A198" s="5" t="inlineStr">
        <is>
          <t>Клапаны запорные / вентили (15с22нж, 15нж65нж, 15кч, 15ч, 14нж)</t>
        </is>
      </c>
      <c r="B198" s="5" t="inlineStr">
        <is>
          <t>1.3</t>
        </is>
      </c>
      <c r="C198" s="6" t="n">
        <v>56</v>
      </c>
      <c r="D198" s="5" t="inlineStr">
        <is>
          <t>Клапан запорны 15нж65нж Ду 125 Ру 16 фланцевый</t>
        </is>
      </c>
      <c r="E198" s="6" t="n">
        <v>1</v>
      </c>
    </row>
    <row r="199" ht="34" customHeight="1">
      <c r="A199" s="5" t="inlineStr">
        <is>
          <t>Клапаны запорные / вентили (15с22нж, 15нж65нж, 15кч, 15ч, 14нж)</t>
        </is>
      </c>
      <c r="B199" s="5" t="inlineStr">
        <is>
          <t>1.3</t>
        </is>
      </c>
      <c r="C199" s="6" t="n">
        <v>57</v>
      </c>
      <c r="D199" s="5" t="inlineStr">
        <is>
          <t>Клапан запорны 15нж65нж Ду 150 Ру 16 фланцевый</t>
        </is>
      </c>
      <c r="E199" s="6" t="n">
        <v>3</v>
      </c>
    </row>
    <row r="200" ht="34" customHeight="1">
      <c r="A200" s="5" t="inlineStr">
        <is>
          <t>Клапаны запорные / вентили (15с22нж, 15нж65нж, 15кч, 15ч, 14нж)</t>
        </is>
      </c>
      <c r="B200" s="5" t="inlineStr">
        <is>
          <t>1.3</t>
        </is>
      </c>
      <c r="C200" s="6" t="n">
        <v>58</v>
      </c>
      <c r="D200" s="5" t="inlineStr">
        <is>
          <t>Клапан запорны 15нж65нж Ду 32 Ру 16 фланцевый</t>
        </is>
      </c>
      <c r="E200" s="6" t="n">
        <v>4</v>
      </c>
    </row>
    <row r="201" ht="34" customHeight="1">
      <c r="A201" s="5" t="inlineStr">
        <is>
          <t>Клапаны запорные / вентили (15с22нж, 15нж65нж, 15кч, 15ч, 14нж)</t>
        </is>
      </c>
      <c r="B201" s="5" t="inlineStr">
        <is>
          <t>1.3</t>
        </is>
      </c>
      <c r="C201" s="6" t="n">
        <v>59</v>
      </c>
      <c r="D201" s="5" t="inlineStr">
        <is>
          <t>Клапан запорны 15нж65нж Ду 50 Ру 16 фланцевый</t>
        </is>
      </c>
      <c r="E201" s="6" t="n">
        <v>4</v>
      </c>
    </row>
    <row r="202" ht="34" customHeight="1">
      <c r="A202" s="5" t="inlineStr">
        <is>
          <t>Клапаны запорные / вентили (15с22нж, 15нж65нж, 15кч, 15ч, 14нж)</t>
        </is>
      </c>
      <c r="B202" s="5" t="inlineStr">
        <is>
          <t>1.3</t>
        </is>
      </c>
      <c r="C202" s="6" t="n">
        <v>60</v>
      </c>
      <c r="D202" s="5" t="inlineStr">
        <is>
          <t>Клапан запорный 15с22нж Ду 32 Ру 40</t>
        </is>
      </c>
      <c r="E202" s="6" t="n">
        <v>2</v>
      </c>
    </row>
    <row r="203" ht="34" customHeight="1">
      <c r="A203" s="5" t="inlineStr">
        <is>
          <t>Клапаны запорные / вентили (15с22нж, 15нж65нж, 15кч, 15ч, 14нж)</t>
        </is>
      </c>
      <c r="B203" s="5" t="inlineStr">
        <is>
          <t>1.3</t>
        </is>
      </c>
      <c r="C203" s="6" t="n">
        <v>61</v>
      </c>
      <c r="D203" s="5" t="inlineStr">
        <is>
          <t>Клапан запорный 15с22нж Ду 50 Ру 40</t>
        </is>
      </c>
      <c r="E203" s="6" t="n">
        <v>9</v>
      </c>
    </row>
    <row r="204" ht="34" customHeight="1">
      <c r="A204" s="5" t="inlineStr">
        <is>
          <t>Клапаны запорные / вентили (15с22нж, 15нж65нж, 15кч, 15ч, 14нж)</t>
        </is>
      </c>
      <c r="B204" s="5" t="inlineStr">
        <is>
          <t>1.3</t>
        </is>
      </c>
      <c r="C204" s="6" t="n">
        <v>62</v>
      </c>
      <c r="D204" s="5" t="inlineStr">
        <is>
          <t>Клапан запорный 15с22нж Ду 80 Ру 40</t>
        </is>
      </c>
      <c r="E204" s="6" t="n">
        <v>6</v>
      </c>
    </row>
    <row r="205" ht="34" customHeight="1">
      <c r="A205" s="5" t="inlineStr">
        <is>
          <t>Клапаны запорные / вентили (15с22нж, 15нж65нж, 15кч, 15ч, 14нж)</t>
        </is>
      </c>
      <c r="B205" s="5" t="inlineStr">
        <is>
          <t>1.3</t>
        </is>
      </c>
      <c r="C205" s="6" t="n">
        <v>63</v>
      </c>
      <c r="D205" s="5" t="inlineStr">
        <is>
          <t>Клапан запорный 15с52нж11 Ду 20 Ру 63 под приварку</t>
        </is>
      </c>
      <c r="E205" s="6" t="n">
        <v>6</v>
      </c>
    </row>
    <row r="206" ht="34" customHeight="1">
      <c r="A206" s="5" t="inlineStr">
        <is>
          <t>Клапаны запорные / вентили (15с22нж, 15нж65нж, 15кч, 15ч, 14нж)</t>
        </is>
      </c>
      <c r="B206" s="5" t="inlineStr">
        <is>
          <t>1.3</t>
        </is>
      </c>
      <c r="C206" s="6" t="n">
        <v>64</v>
      </c>
      <c r="D206" s="5" t="inlineStr">
        <is>
          <t>Клапан запорный 15ч75п2 Ду 25 Ру10</t>
        </is>
      </c>
      <c r="E206" s="6" t="n">
        <v>3</v>
      </c>
    </row>
    <row r="207" ht="34" customHeight="1">
      <c r="A207" s="5" t="inlineStr">
        <is>
          <t>Клапаны запорные / вентили (15с22нж, 15нж65нж, 15кч, 15ч, 14нж)</t>
        </is>
      </c>
      <c r="B207" s="5" t="inlineStr">
        <is>
          <t>1.3</t>
        </is>
      </c>
      <c r="C207" s="6" t="n">
        <v>65</v>
      </c>
      <c r="D207" s="5" t="inlineStr">
        <is>
          <t>Клапан запорный 15ч75п2 Ду 50 Ру10</t>
        </is>
      </c>
      <c r="E207" s="6" t="n">
        <v>9</v>
      </c>
    </row>
    <row r="208" ht="34" customHeight="1">
      <c r="A208" s="5" t="inlineStr">
        <is>
          <t>Клапаны запорные / вентили (15с22нж, 15нж65нж, 15кч, 15ч, 14нж)</t>
        </is>
      </c>
      <c r="B208" s="5" t="inlineStr">
        <is>
          <t>1.3</t>
        </is>
      </c>
      <c r="C208" s="6" t="n">
        <v>66</v>
      </c>
      <c r="D208" s="5" t="inlineStr">
        <is>
          <t>Клапан запорный 15ч76п2 Ду 80 Ру 6,3</t>
        </is>
      </c>
      <c r="E208" s="6" t="n">
        <v>3</v>
      </c>
    </row>
    <row r="209" ht="34" customHeight="1">
      <c r="A209" s="5" t="inlineStr">
        <is>
          <t>Клапаны запорные / вентили (15с22нж, 15нж65нж, 15кч, 15ч, 14нж)</t>
        </is>
      </c>
      <c r="B209" s="5" t="inlineStr">
        <is>
          <t>1.3</t>
        </is>
      </c>
      <c r="C209" s="6" t="n">
        <v>67</v>
      </c>
      <c r="D209" s="5" t="inlineStr">
        <is>
          <t>Клапан запорный 15ч93эм Ду 20 Ру 16</t>
        </is>
      </c>
      <c r="E209" s="6" t="n">
        <v>2</v>
      </c>
    </row>
    <row r="210" ht="34" customHeight="1">
      <c r="A210" s="5" t="inlineStr">
        <is>
          <t>Клапаны запорные / вентили (15с22нж, 15нж65нж, 15кч, 15ч, 14нж)</t>
        </is>
      </c>
      <c r="B210" s="5" t="inlineStr">
        <is>
          <t>1.5</t>
        </is>
      </c>
      <c r="C210" s="6" t="n">
        <v>1</v>
      </c>
      <c r="D210" s="5" t="inlineStr">
        <is>
          <t>Клапан запорный 15кч18п Ду 25 Ру 16</t>
        </is>
      </c>
      <c r="E210" s="6" t="n">
        <v>11</v>
      </c>
    </row>
    <row r="211" ht="34" customHeight="1">
      <c r="A211" s="5" t="inlineStr">
        <is>
          <t>Клапаны запорные / вентили (15с22нж, 15нж65нж, 15кч, 15ч, 14нж)</t>
        </is>
      </c>
      <c r="B211" s="5" t="inlineStr">
        <is>
          <t>1.6</t>
        </is>
      </c>
      <c r="C211" s="6" t="n">
        <v>15</v>
      </c>
      <c r="D211" s="5" t="inlineStr">
        <is>
          <t>Клапан 15с18нж Ду 32, Ру 25</t>
        </is>
      </c>
      <c r="E211" s="6" t="n">
        <v>1</v>
      </c>
    </row>
    <row r="212" ht="34" customHeight="1">
      <c r="A212" s="5" t="inlineStr">
        <is>
          <t>Клапаны запорные / вентили (15с22нж, 15нж65нж, 15кч, 15ч, 14нж)</t>
        </is>
      </c>
      <c r="B212" s="5" t="inlineStr">
        <is>
          <t>1.6</t>
        </is>
      </c>
      <c r="C212" s="6" t="n">
        <v>17</v>
      </c>
      <c r="D212" s="5" t="inlineStr">
        <is>
          <t>Клапан запорный муфтовый 15б1п Ду 15 Ру 16</t>
        </is>
      </c>
      <c r="E212" s="6" t="n">
        <v>8</v>
      </c>
    </row>
    <row r="213" ht="34" customHeight="1">
      <c r="A213" s="5" t="inlineStr">
        <is>
          <t>Клапаны запорные / вентили (15с22нж, 15нж65нж, 15кч, 15ч, 14нж)</t>
        </is>
      </c>
      <c r="B213" s="5" t="inlineStr">
        <is>
          <t>1.6</t>
        </is>
      </c>
      <c r="C213" s="6" t="n">
        <v>18</v>
      </c>
      <c r="D213" s="5" t="inlineStr">
        <is>
          <t>Клапан запорный муфтовый 15б1п Ду 20 Ру 16</t>
        </is>
      </c>
      <c r="E213" s="6" t="n">
        <v>14</v>
      </c>
    </row>
    <row r="214" ht="34" customHeight="1">
      <c r="A214" s="5" t="inlineStr">
        <is>
          <t>Клапаны запорные / вентили (15с22нж, 15нж65нж, 15кч, 15ч, 14нж)</t>
        </is>
      </c>
      <c r="B214" s="5" t="inlineStr">
        <is>
          <t>1.6</t>
        </is>
      </c>
      <c r="C214" s="6" t="n">
        <v>19</v>
      </c>
      <c r="D214" s="5" t="inlineStr">
        <is>
          <t>Клапан запорный муфтовый 15б1п Ду 25 Ру 16</t>
        </is>
      </c>
      <c r="E214" s="6" t="n">
        <v>12</v>
      </c>
    </row>
    <row r="215" ht="34" customHeight="1">
      <c r="A215" s="5" t="inlineStr">
        <is>
          <t>Клапаны запорные / вентили (15с22нж, 15нж65нж, 15кч, 15ч, 14нж)</t>
        </is>
      </c>
      <c r="B215" s="5" t="inlineStr">
        <is>
          <t>1.6</t>
        </is>
      </c>
      <c r="C215" s="6" t="n">
        <v>20</v>
      </c>
      <c r="D215" s="5" t="inlineStr">
        <is>
          <t>Клапан запорный 15кч12пМ Ду 25 Ру 25</t>
        </is>
      </c>
      <c r="E215" s="6" t="n">
        <v>1</v>
      </c>
    </row>
    <row r="216" ht="34" customHeight="1">
      <c r="A216" s="5" t="inlineStr">
        <is>
          <t>Клапаны запорные / вентили (15с22нж, 15нж65нж, 15кч, 15ч, 14нж)</t>
        </is>
      </c>
      <c r="B216" s="5" t="inlineStr">
        <is>
          <t>1.6</t>
        </is>
      </c>
      <c r="C216" s="6" t="n">
        <v>21</v>
      </c>
      <c r="D216" s="5" t="inlineStr">
        <is>
          <t>Клапан запорный 15кч16п1 Ду 32 Ру 25</t>
        </is>
      </c>
      <c r="E216" s="6" t="n">
        <v>7</v>
      </c>
    </row>
    <row r="217" ht="34" customHeight="1">
      <c r="A217" s="5" t="inlineStr">
        <is>
          <t>Клапаны запорные / вентили (15с22нж, 15нж65нж, 15кч, 15ч, 14нж)</t>
        </is>
      </c>
      <c r="B217" s="5" t="inlineStr">
        <is>
          <t>1.6</t>
        </is>
      </c>
      <c r="C217" s="6" t="n">
        <v>22</v>
      </c>
      <c r="D217" s="5" t="inlineStr">
        <is>
          <t>Клапан запорный 15кч16п1 Ду 40 Ру 25</t>
        </is>
      </c>
      <c r="E217" s="6" t="n">
        <v>4</v>
      </c>
    </row>
    <row r="218" ht="34" customHeight="1">
      <c r="A218" s="5" t="inlineStr">
        <is>
          <t>Клапаны запорные / вентили (15с22нж, 15нж65нж, 15кч, 15ч, 14нж)</t>
        </is>
      </c>
      <c r="B218" s="5" t="inlineStr">
        <is>
          <t>1.6</t>
        </is>
      </c>
      <c r="C218" s="6" t="n">
        <v>23</v>
      </c>
      <c r="D218" s="5" t="inlineStr">
        <is>
          <t>Клапан запорный 15кч16п1 Ду 50 Ру 25</t>
        </is>
      </c>
      <c r="E218" s="6" t="n">
        <v>5</v>
      </c>
    </row>
    <row r="219" ht="34" customHeight="1">
      <c r="A219" s="5" t="inlineStr">
        <is>
          <t>Клапаны запорные / вентили (15с22нж, 15нж65нж, 15кч, 15ч, 14нж)</t>
        </is>
      </c>
      <c r="B219" s="5" t="inlineStr">
        <is>
          <t>1.6</t>
        </is>
      </c>
      <c r="C219" s="6" t="n">
        <v>24</v>
      </c>
      <c r="D219" s="5" t="inlineStr">
        <is>
          <t>Клапан запорный 15кч19п Ду 25 Ру 16</t>
        </is>
      </c>
      <c r="E219" s="6" t="n">
        <v>2</v>
      </c>
    </row>
    <row r="220" ht="34" customHeight="1">
      <c r="A220" s="5" t="inlineStr">
        <is>
          <t>Клапаны запорные / вентили (15с22нж, 15нж65нж, 15кч, 15ч, 14нж)</t>
        </is>
      </c>
      <c r="B220" s="5" t="inlineStr">
        <is>
          <t>1.6</t>
        </is>
      </c>
      <c r="C220" s="6" t="n">
        <v>25</v>
      </c>
      <c r="D220" s="5" t="inlineStr">
        <is>
          <t>Клапан запорный 15кч19п Ду 50 Ру 16</t>
        </is>
      </c>
      <c r="E220" s="6" t="n">
        <v>5</v>
      </c>
    </row>
    <row r="221" ht="34" customHeight="1">
      <c r="A221" s="5" t="inlineStr">
        <is>
          <t>Клапаны запорные / вентили (15с22нж, 15нж65нж, 15кч, 15ч, 14нж)</t>
        </is>
      </c>
      <c r="B221" s="5" t="inlineStr">
        <is>
          <t>1.6</t>
        </is>
      </c>
      <c r="C221" s="6" t="n">
        <v>26</v>
      </c>
      <c r="D221" s="5" t="inlineStr">
        <is>
          <t>Клапан запорный 15нж65нж Ду 80 Ру 16</t>
        </is>
      </c>
      <c r="E221" s="6" t="n">
        <v>1</v>
      </c>
    </row>
    <row r="222" ht="34" customHeight="1">
      <c r="A222" s="5" t="inlineStr">
        <is>
          <t>Клапаны запорные / вентили (15с22нж, 15нж65нж, 15кч, 15ч, 14нж)</t>
        </is>
      </c>
      <c r="B222" s="5" t="inlineStr">
        <is>
          <t>1.6</t>
        </is>
      </c>
      <c r="C222" s="6" t="n">
        <v>27</v>
      </c>
      <c r="D222" s="5" t="inlineStr">
        <is>
          <t>Клапан запорный 15нж65нж Ду 100 Ру 16</t>
        </is>
      </c>
      <c r="E222" s="6" t="n">
        <v>1</v>
      </c>
    </row>
    <row r="223" ht="34" customHeight="1">
      <c r="A223" s="5" t="inlineStr">
        <is>
          <t>Клапаны запорные / вентили (15с22нж, 15нж65нж, 15кч, 15ч, 14нж)</t>
        </is>
      </c>
      <c r="B223" s="5" t="inlineStr">
        <is>
          <t>1.6</t>
        </is>
      </c>
      <c r="C223" s="6" t="n">
        <v>28</v>
      </c>
      <c r="D223" s="5" t="inlineStr">
        <is>
          <t>Клапан запорный 15нж65нж Ду 32 Ру 16</t>
        </is>
      </c>
      <c r="E223" s="6" t="n">
        <v>1</v>
      </c>
    </row>
    <row r="224" ht="34" customHeight="1">
      <c r="A224" s="5" t="inlineStr">
        <is>
          <t>Клапаны запорные / вентили (15с22нж, 15нж65нж, 15кч, 15ч, 14нж)</t>
        </is>
      </c>
      <c r="B224" s="5" t="inlineStr">
        <is>
          <t>1.6</t>
        </is>
      </c>
      <c r="C224" s="6" t="n">
        <v>29</v>
      </c>
      <c r="D224" s="5" t="inlineStr">
        <is>
          <t>Клапан стальной запорный фланцевый 15с18нж Ду 32 Ру 16</t>
        </is>
      </c>
      <c r="E224" s="6" t="n">
        <v>2</v>
      </c>
    </row>
    <row r="225" ht="34" customHeight="1">
      <c r="A225" s="5" t="inlineStr">
        <is>
          <t>Клапаны запорные / вентили (15с22нж, 15нж65нж, 15кч, 15ч, 14нж)</t>
        </is>
      </c>
      <c r="B225" s="5" t="inlineStr">
        <is>
          <t>1.6</t>
        </is>
      </c>
      <c r="C225" s="6" t="n">
        <v>30</v>
      </c>
      <c r="D225" s="5" t="inlineStr">
        <is>
          <t>Клапан запорный 15с18п Ду 80 Ру 25</t>
        </is>
      </c>
      <c r="E225" s="6" t="n">
        <v>1</v>
      </c>
    </row>
    <row r="226" ht="34" customHeight="1">
      <c r="A226" s="5" t="inlineStr">
        <is>
          <t>Клапаны запорные / вентили (15с22нж, 15нж65нж, 15кч, 15ч, 14нж)</t>
        </is>
      </c>
      <c r="B226" s="5" t="inlineStr">
        <is>
          <t>1.6</t>
        </is>
      </c>
      <c r="C226" s="6" t="n">
        <v>31</v>
      </c>
      <c r="D226" s="5" t="inlineStr">
        <is>
          <t>Клапан запорный 15с18п Ду 100 Ру 25</t>
        </is>
      </c>
      <c r="E226" s="6" t="n">
        <v>1</v>
      </c>
    </row>
    <row r="227" ht="34" customHeight="1">
      <c r="A227" s="5" t="inlineStr">
        <is>
          <t>Клапаны запорные / вентили (15с22нж, 15нж65нж, 15кч, 15ч, 14нж)</t>
        </is>
      </c>
      <c r="B227" s="5" t="inlineStr">
        <is>
          <t>1.6</t>
        </is>
      </c>
      <c r="C227" s="6" t="n">
        <v>32</v>
      </c>
      <c r="D227" s="5" t="inlineStr">
        <is>
          <t>Клапан запорный 15с22нж Ду 25 Ру 40</t>
        </is>
      </c>
      <c r="E227" s="6" t="n">
        <v>1</v>
      </c>
    </row>
    <row r="228" ht="34" customHeight="1">
      <c r="A228" s="5" t="inlineStr">
        <is>
          <t>Клапаны запорные / вентили (15с22нж, 15нж65нж, 15кч, 15ч, 14нж)</t>
        </is>
      </c>
      <c r="B228" s="5" t="inlineStr">
        <is>
          <t>1.6</t>
        </is>
      </c>
      <c r="C228" s="6" t="n">
        <v>33</v>
      </c>
      <c r="D228" s="5" t="inlineStr">
        <is>
          <t>Клапан запорный 15с22нж Ду 32 Ру 40</t>
        </is>
      </c>
      <c r="E228" s="6" t="n">
        <v>5</v>
      </c>
    </row>
    <row r="229" ht="34" customHeight="1">
      <c r="A229" s="5" t="inlineStr">
        <is>
          <t>Клапаны запорные / вентили (15с22нж, 15нж65нж, 15кч, 15ч, 14нж)</t>
        </is>
      </c>
      <c r="B229" s="5" t="inlineStr">
        <is>
          <t>1.6</t>
        </is>
      </c>
      <c r="C229" s="6" t="n">
        <v>34</v>
      </c>
      <c r="D229" s="5" t="inlineStr">
        <is>
          <t>Клапан запорный 15с22нж Ду 40 Ру 40</t>
        </is>
      </c>
      <c r="E229" s="6" t="n">
        <v>2</v>
      </c>
    </row>
    <row r="230" ht="34" customHeight="1">
      <c r="A230" s="5" t="inlineStr">
        <is>
          <t>Клапаны запорные / вентили (15с22нж, 15нж65нж, 15кч, 15ч, 14нж)</t>
        </is>
      </c>
      <c r="B230" s="5" t="inlineStr">
        <is>
          <t>1.6</t>
        </is>
      </c>
      <c r="C230" s="6" t="n">
        <v>35</v>
      </c>
      <c r="D230" s="5" t="inlineStr">
        <is>
          <t>Клапан запорный 15с22нж Ду 50 Ру 40</t>
        </is>
      </c>
      <c r="E230" s="6" t="n">
        <v>4</v>
      </c>
    </row>
    <row r="231" ht="34" customHeight="1">
      <c r="A231" s="5" t="inlineStr">
        <is>
          <t>Клапаны запорные / вентили (15с22нж, 15нж65нж, 15кч, 15ч, 14нж)</t>
        </is>
      </c>
      <c r="B231" s="5" t="inlineStr">
        <is>
          <t>1.6</t>
        </is>
      </c>
      <c r="C231" s="6" t="n">
        <v>36</v>
      </c>
      <c r="D231" s="5" t="inlineStr">
        <is>
          <t>Клапан запорный 15с22нж Ду 80 Ру 40</t>
        </is>
      </c>
      <c r="E231" s="6" t="n">
        <v>2</v>
      </c>
    </row>
    <row r="232" ht="34" customHeight="1">
      <c r="A232" s="5" t="inlineStr">
        <is>
          <t>Клапаны запорные / вентили (15с22нж, 15нж65нж, 15кч, 15ч, 14нж)</t>
        </is>
      </c>
      <c r="B232" s="5" t="inlineStr">
        <is>
          <t>1.6</t>
        </is>
      </c>
      <c r="C232" s="6" t="n">
        <v>37</v>
      </c>
      <c r="D232" s="5" t="inlineStr">
        <is>
          <t>Клапан запорный 15с65нж Ду 100 Ру 16 с КОФ</t>
        </is>
      </c>
      <c r="E232" s="6" t="n">
        <v>1</v>
      </c>
    </row>
    <row r="233" ht="34" customHeight="1">
      <c r="A233" s="5" t="inlineStr">
        <is>
          <t>Клапаны запорные / вентили (15с22нж, 15нж65нж, 15кч, 15ч, 14нж)</t>
        </is>
      </c>
      <c r="B233" s="5" t="inlineStr">
        <is>
          <t>1.6</t>
        </is>
      </c>
      <c r="C233" s="6" t="n">
        <v>38</v>
      </c>
      <c r="D233" s="5" t="inlineStr">
        <is>
          <t>Клапан запорный 15с65нж Ду 25 Ру 16 с КОФ</t>
        </is>
      </c>
      <c r="E233" s="6" t="n">
        <v>1</v>
      </c>
    </row>
    <row r="234" ht="34" customHeight="1">
      <c r="A234" s="5" t="inlineStr">
        <is>
          <t>Клапаны запорные / вентили (15с22нж, 15нж65нж, 15кч, 15ч, 14нж)</t>
        </is>
      </c>
      <c r="B234" s="5" t="inlineStr">
        <is>
          <t>1.6</t>
        </is>
      </c>
      <c r="C234" s="6" t="n">
        <v>39</v>
      </c>
      <c r="D234" s="5" t="inlineStr">
        <is>
          <t>Клапан запорный 15с65нж Ду 40 Ру 16 с КОФ</t>
        </is>
      </c>
      <c r="E234" s="6" t="n">
        <v>1</v>
      </c>
    </row>
    <row r="235" ht="34" customHeight="1">
      <c r="A235" s="5" t="inlineStr">
        <is>
          <t>Клапаны запорные / вентили (15с22нж, 15нж65нж, 15кч, 15ч, 14нж)</t>
        </is>
      </c>
      <c r="B235" s="5" t="inlineStr">
        <is>
          <t>1.6</t>
        </is>
      </c>
      <c r="C235" s="6" t="n">
        <v>40</v>
      </c>
      <c r="D235" s="5" t="inlineStr">
        <is>
          <t>Клапан запорный 15с65нж Ду 50 Ру 16 с КОФ</t>
        </is>
      </c>
      <c r="E235" s="6" t="n">
        <v>2</v>
      </c>
    </row>
    <row r="236" ht="34" customHeight="1">
      <c r="A236" s="5" t="inlineStr">
        <is>
          <t>Клапаны запорные / вентили (15с22нж, 15нж65нж, 15кч, 15ч, 14нж)</t>
        </is>
      </c>
      <c r="B236" s="5" t="inlineStr">
        <is>
          <t>1.6</t>
        </is>
      </c>
      <c r="C236" s="6" t="n">
        <v>92</v>
      </c>
      <c r="D236" s="5" t="inlineStr">
        <is>
          <t>Газовый клапан Dungs LGV 507/5 230 V, 119271</t>
        </is>
      </c>
      <c r="E236" s="6" t="n">
        <v>2</v>
      </c>
    </row>
    <row r="237" ht="34" customHeight="1">
      <c r="A237" s="5" t="inlineStr">
        <is>
          <t>Клапаны обратные (16ч42р, 19с76нж, 19нж76нж, 16нж10нж)</t>
        </is>
      </c>
      <c r="B237" s="5" t="inlineStr">
        <is>
          <t>1.3</t>
        </is>
      </c>
      <c r="C237" s="6" t="n">
        <v>14</v>
      </c>
      <c r="D237" s="5" t="inlineStr">
        <is>
          <t>Клапан обратный 19с53нж Ду 80 Ру 40</t>
        </is>
      </c>
      <c r="E237" s="6" t="n">
        <v>2</v>
      </c>
    </row>
    <row r="238" ht="34" customHeight="1">
      <c r="A238" s="5" t="inlineStr">
        <is>
          <t>Клапаны обратные (16ч42р, 19с76нж, 19нж76нж, 16нж10нж)</t>
        </is>
      </c>
      <c r="B238" s="5" t="inlineStr">
        <is>
          <t>1.3</t>
        </is>
      </c>
      <c r="C238" s="6" t="n">
        <v>15</v>
      </c>
      <c r="D238" s="5" t="inlineStr">
        <is>
          <t>Клапан обратный 19с53нж Ду 150 Ру 40</t>
        </is>
      </c>
      <c r="E238" s="6" t="n">
        <v>2</v>
      </c>
    </row>
    <row r="239" ht="34" customHeight="1">
      <c r="A239" s="5" t="inlineStr">
        <is>
          <t>Клапаны обратные (16ч42р, 19с76нж, 19нж76нж, 16нж10нж)</t>
        </is>
      </c>
      <c r="B239" s="5" t="inlineStr">
        <is>
          <t>1.3</t>
        </is>
      </c>
      <c r="C239" s="6" t="n">
        <v>16</v>
      </c>
      <c r="D239" s="5" t="inlineStr">
        <is>
          <t>Клапан обратный межфланцевый 19ч21бр Ду 100 Ру 16</t>
        </is>
      </c>
      <c r="E239" s="6" t="n">
        <v>4</v>
      </c>
    </row>
    <row r="240" ht="34" customHeight="1">
      <c r="A240" s="5" t="inlineStr">
        <is>
          <t>Клапаны обратные (16ч42р, 19с76нж, 19нж76нж, 16нж10нж)</t>
        </is>
      </c>
      <c r="B240" s="5" t="inlineStr">
        <is>
          <t>1.3</t>
        </is>
      </c>
      <c r="C240" s="6" t="n">
        <v>17</v>
      </c>
      <c r="D240" s="5" t="inlineStr">
        <is>
          <t>Клапан обратный межфланцевый 19ч21бр Ду 50 Ру 16</t>
        </is>
      </c>
      <c r="E240" s="6" t="n">
        <v>6</v>
      </c>
    </row>
    <row r="241" ht="34" customHeight="1">
      <c r="A241" s="5" t="inlineStr">
        <is>
          <t>Клапаны обратные (16ч42р, 19с76нж, 19нж76нж, 16нж10нж)</t>
        </is>
      </c>
      <c r="B241" s="5" t="inlineStr">
        <is>
          <t>1.3</t>
        </is>
      </c>
      <c r="C241" s="6" t="n">
        <v>18</v>
      </c>
      <c r="D241" s="5" t="inlineStr">
        <is>
          <t>Клапан обратный межфланцевый 19ч21бр Ду 80 Ру 16</t>
        </is>
      </c>
      <c r="E241" s="6" t="n">
        <v>7</v>
      </c>
    </row>
    <row r="242" ht="34" customHeight="1">
      <c r="A242" s="5" t="inlineStr">
        <is>
          <t>Клапаны обратные (16ч42р, 19с76нж, 19нж76нж, 16нж10нж)</t>
        </is>
      </c>
      <c r="B242" s="5" t="inlineStr">
        <is>
          <t>1.3</t>
        </is>
      </c>
      <c r="C242" s="6" t="n">
        <v>19</v>
      </c>
      <c r="D242" s="5" t="inlineStr">
        <is>
          <t>Клапан обратный двухстворчатый DENDOR 010C Ду 100 Ру 16</t>
        </is>
      </c>
      <c r="E242" s="6" t="n">
        <v>5</v>
      </c>
    </row>
    <row r="243" ht="34" customHeight="1">
      <c r="A243" s="5" t="inlineStr">
        <is>
          <t>Клапаны обратные (16ч42р, 19с76нж, 19нж76нж, 16нж10нж)</t>
        </is>
      </c>
      <c r="B243" s="5" t="inlineStr">
        <is>
          <t>1.3</t>
        </is>
      </c>
      <c r="C243" s="6" t="n">
        <v>20</v>
      </c>
      <c r="D243" s="5" t="inlineStr">
        <is>
          <t>Клапан обратный двухстворчатый DENDOR 010C Ду 200 Ру 16</t>
        </is>
      </c>
      <c r="E243" s="6" t="n">
        <v>5</v>
      </c>
    </row>
    <row r="244" ht="34" customHeight="1">
      <c r="A244" s="5" t="inlineStr">
        <is>
          <t>Клапаны обратные (16ч42р, 19с76нж, 19нж76нж, 16нж10нж)</t>
        </is>
      </c>
      <c r="B244" s="5" t="inlineStr">
        <is>
          <t>1.3</t>
        </is>
      </c>
      <c r="C244" s="6" t="n">
        <v>21</v>
      </c>
      <c r="D244" s="5" t="inlineStr">
        <is>
          <t>Клапан обратный фланцевый Ду 50 Ру 40</t>
        </is>
      </c>
      <c r="E244" s="6" t="n">
        <v>1</v>
      </c>
    </row>
    <row r="245" ht="34" customHeight="1">
      <c r="A245" s="5" t="inlineStr">
        <is>
          <t>Клапаны обратные (16ч42р, 19с76нж, 19нж76нж, 16нж10нж)</t>
        </is>
      </c>
      <c r="B245" s="5" t="inlineStr">
        <is>
          <t>1.3</t>
        </is>
      </c>
      <c r="C245" s="6" t="n">
        <v>22</v>
      </c>
      <c r="D245" s="5" t="inlineStr">
        <is>
          <t>Обратный клапан «Гранлок» серии CV16 Ду 150 Ру 16</t>
        </is>
      </c>
      <c r="E245" s="6" t="n">
        <v>4</v>
      </c>
    </row>
    <row r="246" ht="34" customHeight="1">
      <c r="A246" s="5" t="inlineStr">
        <is>
          <t>Клапаны обратные (16ч42р, 19с76нж, 19нж76нж, 16нж10нж)</t>
        </is>
      </c>
      <c r="B246" s="5" t="inlineStr">
        <is>
          <t>1.3</t>
        </is>
      </c>
      <c r="C246" s="6" t="n">
        <v>23</v>
      </c>
      <c r="D246" s="5" t="inlineStr">
        <is>
          <t>Клапан обратный 16нж10нж Ду 50 Ру 16</t>
        </is>
      </c>
      <c r="E246" s="6" t="n">
        <v>2</v>
      </c>
    </row>
    <row r="247" ht="34" customHeight="1">
      <c r="A247" s="5" t="inlineStr">
        <is>
          <t>Клапаны обратные (16ч42р, 19с76нж, 19нж76нж, 16нж10нж)</t>
        </is>
      </c>
      <c r="B247" s="5" t="inlineStr">
        <is>
          <t>1.3</t>
        </is>
      </c>
      <c r="C247" s="6" t="n">
        <v>24</v>
      </c>
      <c r="D247" s="5" t="inlineStr">
        <is>
          <t>Клапан обратный 16нж10нж Ду 32 Ру16</t>
        </is>
      </c>
      <c r="E247" s="6" t="n">
        <v>5</v>
      </c>
    </row>
    <row r="248" ht="34" customHeight="1">
      <c r="A248" s="5" t="inlineStr">
        <is>
          <t>Клапаны обратные (16ч42р, 19с76нж, 19нж76нж, 16нж10нж)</t>
        </is>
      </c>
      <c r="B248" s="5" t="inlineStr">
        <is>
          <t>1.3</t>
        </is>
      </c>
      <c r="C248" s="6" t="n">
        <v>25</v>
      </c>
      <c r="D248" s="5" t="inlineStr">
        <is>
          <t>Клапан обратный 16ч42р Ду 100 Ру 2,5</t>
        </is>
      </c>
      <c r="E248" s="6" t="n">
        <v>3</v>
      </c>
    </row>
    <row r="249" ht="34" customHeight="1">
      <c r="A249" s="5" t="inlineStr">
        <is>
          <t>Клапаны обратные (16ч42р, 19с76нж, 19нж76нж, 16нж10нж)</t>
        </is>
      </c>
      <c r="B249" s="5" t="inlineStr">
        <is>
          <t>1.3</t>
        </is>
      </c>
      <c r="C249" s="6" t="n">
        <v>26</v>
      </c>
      <c r="D249" s="5" t="inlineStr">
        <is>
          <t>Клапан обратный 19нж76нж Ду 100 Ру 16</t>
        </is>
      </c>
      <c r="E249" s="6" t="n">
        <v>2</v>
      </c>
    </row>
    <row r="250" ht="34" customHeight="1">
      <c r="A250" s="5" t="inlineStr">
        <is>
          <t>Клапаны обратные (16ч42р, 19с76нж, 19нж76нж, 16нж10нж)</t>
        </is>
      </c>
      <c r="B250" s="5" t="inlineStr">
        <is>
          <t>1.3</t>
        </is>
      </c>
      <c r="C250" s="6" t="n">
        <v>27</v>
      </c>
      <c r="D250" s="5" t="inlineStr">
        <is>
          <t>Клапан обратный 19с76нж Ду 80 Ру 16</t>
        </is>
      </c>
      <c r="E250" s="6" t="n">
        <v>1</v>
      </c>
    </row>
    <row r="251" ht="34" customHeight="1">
      <c r="A251" s="5" t="inlineStr">
        <is>
          <t>Клапаны обратные (16ч42р, 19с76нж, 19нж76нж, 16нж10нж)</t>
        </is>
      </c>
      <c r="B251" s="5" t="inlineStr">
        <is>
          <t>1.3</t>
        </is>
      </c>
      <c r="C251" s="6" t="n">
        <v>28</v>
      </c>
      <c r="D251" s="5" t="inlineStr">
        <is>
          <t>Клапан обратный 19с76нж Ду 100 Ру 16</t>
        </is>
      </c>
      <c r="E251" s="6" t="n">
        <v>2</v>
      </c>
    </row>
    <row r="252" ht="34" customHeight="1">
      <c r="A252" s="5" t="inlineStr">
        <is>
          <t>Клапаны обратные (16ч42р, 19с76нж, 19нж76нж, 16нж10нж)</t>
        </is>
      </c>
      <c r="B252" s="5" t="inlineStr">
        <is>
          <t>1.3</t>
        </is>
      </c>
      <c r="C252" s="6" t="n">
        <v>29</v>
      </c>
      <c r="D252" s="5" t="inlineStr">
        <is>
          <t>Клапан обратный 19с76нж Ду 50 Ру 16</t>
        </is>
      </c>
      <c r="E252" s="6" t="n">
        <v>2</v>
      </c>
    </row>
    <row r="253" ht="34" customHeight="1">
      <c r="A253" s="5" t="inlineStr">
        <is>
          <t>Клапаны обратные (16ч42р, 19с76нж, 19нж76нж, 16нж10нж)</t>
        </is>
      </c>
      <c r="B253" s="5" t="inlineStr">
        <is>
          <t>1.3</t>
        </is>
      </c>
      <c r="C253" s="6" t="n">
        <v>30</v>
      </c>
      <c r="D253" s="5" t="inlineStr">
        <is>
          <t>Клапан обратный межфланцевый пружинный тарельчатый NVD-802R Ду 125 Ру 16</t>
        </is>
      </c>
      <c r="E253" s="6" t="n">
        <v>2</v>
      </c>
    </row>
    <row r="254" ht="34" customHeight="1">
      <c r="A254" s="5" t="inlineStr">
        <is>
          <t>Клапаны обратные (16ч42р, 19с76нж, 19нж76нж, 16нж10нж)</t>
        </is>
      </c>
      <c r="B254" s="5" t="inlineStr">
        <is>
          <t>1.3</t>
        </is>
      </c>
      <c r="C254" s="6" t="n">
        <v>31</v>
      </c>
      <c r="D254" s="5" t="inlineStr">
        <is>
          <t>Клапан обратный межфланцевый пружинный тарельчатый NVD-802R Ду 150 Ру 16</t>
        </is>
      </c>
      <c r="E254" s="6" t="n">
        <v>10</v>
      </c>
    </row>
    <row r="255" ht="34" customHeight="1">
      <c r="A255" s="5" t="inlineStr">
        <is>
          <t>Клапаны обратные (16ч42р, 19с76нж, 19нж76нж, 16нж10нж)</t>
        </is>
      </c>
      <c r="B255" s="5" t="inlineStr">
        <is>
          <t>1.3</t>
        </is>
      </c>
      <c r="C255" s="6" t="n">
        <v>35</v>
      </c>
      <c r="D255" s="5" t="inlineStr">
        <is>
          <t>Обратный клапан пружинный NVD-812R Ду 150 Ру 40</t>
        </is>
      </c>
      <c r="E255" s="6" t="n">
        <v>1</v>
      </c>
    </row>
    <row r="256" ht="34" customHeight="1">
      <c r="A256" s="5" t="inlineStr">
        <is>
          <t>Клапаны обратные (16ч42р, 19с76нж, 19нж76нж, 16нж10нж)</t>
        </is>
      </c>
      <c r="B256" s="5" t="inlineStr">
        <is>
          <t>1.6</t>
        </is>
      </c>
      <c r="C256" s="6" t="n">
        <v>4</v>
      </c>
      <c r="D256" s="5" t="inlineStr">
        <is>
          <t>Клапан обратный межфланцевый 19ч21бр Ду 100 Ру 16</t>
        </is>
      </c>
      <c r="E256" s="6" t="n">
        <v>1</v>
      </c>
    </row>
    <row r="257" ht="34" customHeight="1">
      <c r="A257" s="5" t="inlineStr">
        <is>
          <t>Клапаны обратные (16ч42р, 19с76нж, 19нж76нж, 16нж10нж)</t>
        </is>
      </c>
      <c r="B257" s="5" t="inlineStr">
        <is>
          <t>1.6</t>
        </is>
      </c>
      <c r="C257" s="6" t="n">
        <v>5</v>
      </c>
      <c r="D257" s="5" t="inlineStr">
        <is>
          <t>Клапан обратный межфланцевый 19ч21бр Ду 50 Ру 16</t>
        </is>
      </c>
      <c r="E257" s="6" t="n">
        <v>1</v>
      </c>
    </row>
    <row r="258" ht="34" customHeight="1">
      <c r="A258" s="5" t="inlineStr">
        <is>
          <t>Клапаны обратные (16ч42р, 19с76нж, 19нж76нж, 16нж10нж)</t>
        </is>
      </c>
      <c r="B258" s="5" t="inlineStr">
        <is>
          <t>1.6</t>
        </is>
      </c>
      <c r="C258" s="6" t="n">
        <v>6</v>
      </c>
      <c r="D258" s="5" t="inlineStr">
        <is>
          <t>Клапан обратный межфланцевый 19ч21бр Ду 80 Ру 16</t>
        </is>
      </c>
      <c r="E258" s="6" t="n">
        <v>2</v>
      </c>
    </row>
    <row r="259" ht="34" customHeight="1">
      <c r="A259" s="5" t="inlineStr">
        <is>
          <t>Клапаны обратные (16ч42р, 19с76нж, 19нж76нж, 16нж10нж)</t>
        </is>
      </c>
      <c r="B259" s="5" t="inlineStr">
        <is>
          <t>1.6</t>
        </is>
      </c>
      <c r="C259" s="6" t="n">
        <v>7</v>
      </c>
      <c r="D259" s="5" t="inlineStr">
        <is>
          <t>Клапан обратный двухстворчатый DENDOR 010C Ду 100 Ру 16 межфланцевый</t>
        </is>
      </c>
      <c r="E259" s="6" t="n">
        <v>1</v>
      </c>
    </row>
    <row r="260" ht="34" customHeight="1">
      <c r="A260" s="5" t="inlineStr">
        <is>
          <t>Клапаны обратные (16ч42р, 19с76нж, 19нж76нж, 16нж10нж)</t>
        </is>
      </c>
      <c r="B260" s="5" t="inlineStr">
        <is>
          <t>1.6</t>
        </is>
      </c>
      <c r="C260" s="6" t="n">
        <v>8</v>
      </c>
      <c r="D260" s="5" t="inlineStr">
        <is>
          <t>Клапан обратный двухстворчатый DENDOR 010C Ду 150 Ру 16 межфланцевый</t>
        </is>
      </c>
      <c r="E260" s="6" t="n">
        <v>1</v>
      </c>
    </row>
    <row r="261" ht="34" customHeight="1">
      <c r="A261" s="5" t="inlineStr">
        <is>
          <t>Клапаны обратные (16ч42р, 19с76нж, 19нж76нж, 16нж10нж)</t>
        </is>
      </c>
      <c r="B261" s="5" t="inlineStr">
        <is>
          <t>1.6</t>
        </is>
      </c>
      <c r="C261" s="6" t="n">
        <v>9</v>
      </c>
      <c r="D261" s="5" t="inlineStr">
        <is>
          <t>Клапан обратный двухстворчатый DENDOR 010C Ду 200 Ру 16 межфланцевый</t>
        </is>
      </c>
      <c r="E261" s="6" t="n">
        <v>1</v>
      </c>
    </row>
    <row r="262" ht="34" customHeight="1">
      <c r="A262" s="5" t="inlineStr">
        <is>
          <t>Задвижки чугунные (30ч6бр, 30ч906бр, 30ч39р)</t>
        </is>
      </c>
      <c r="B262" s="5" t="inlineStr">
        <is>
          <t>1.3</t>
        </is>
      </c>
      <c r="C262" s="6" t="n">
        <v>93</v>
      </c>
      <c r="D262" s="5" t="inlineStr">
        <is>
          <t>Задвижка 30ч6бр Ду 50 Ру 10</t>
        </is>
      </c>
      <c r="E262" s="6" t="n">
        <v>8</v>
      </c>
    </row>
    <row r="263" ht="34" customHeight="1">
      <c r="A263" s="5" t="inlineStr">
        <is>
          <t>Задвижки чугунные (30ч6бр, 30ч906бр, 30ч39р)</t>
        </is>
      </c>
      <c r="B263" s="5" t="inlineStr">
        <is>
          <t>1.3</t>
        </is>
      </c>
      <c r="C263" s="6" t="n">
        <v>94</v>
      </c>
      <c r="D263" s="5" t="inlineStr">
        <is>
          <t>Задвижка 30ч6бр Ду 80 Ру 10</t>
        </is>
      </c>
      <c r="E263" s="6" t="n">
        <v>14</v>
      </c>
    </row>
    <row r="264" ht="34" customHeight="1">
      <c r="A264" s="5" t="inlineStr">
        <is>
          <t>Задвижки чугунные (30ч6бр, 30ч906бр, 30ч39р)</t>
        </is>
      </c>
      <c r="B264" s="5" t="inlineStr">
        <is>
          <t>1.3</t>
        </is>
      </c>
      <c r="C264" s="6" t="n">
        <v>95</v>
      </c>
      <c r="D264" s="5" t="inlineStr">
        <is>
          <t>Задвижка 30ч6бр Ду 100 Ру 10</t>
        </is>
      </c>
      <c r="E264" s="6" t="n">
        <v>19</v>
      </c>
    </row>
    <row r="265" ht="34" customHeight="1">
      <c r="A265" s="5" t="inlineStr">
        <is>
          <t>Задвижки чугунные (30ч6бр, 30ч906бр, 30ч39р)</t>
        </is>
      </c>
      <c r="B265" s="5" t="inlineStr">
        <is>
          <t>1.3</t>
        </is>
      </c>
      <c r="C265" s="6" t="n">
        <v>96</v>
      </c>
      <c r="D265" s="5" t="inlineStr">
        <is>
          <t>Задвижка 30ч6бр Ду 150 Ру 10</t>
        </is>
      </c>
      <c r="E265" s="6" t="n">
        <v>19</v>
      </c>
    </row>
    <row r="266" ht="34" customHeight="1">
      <c r="A266" s="5" t="inlineStr">
        <is>
          <t>Задвижки чугунные (30ч6бр, 30ч906бр, 30ч39р)</t>
        </is>
      </c>
      <c r="B266" s="5" t="inlineStr">
        <is>
          <t>1.3</t>
        </is>
      </c>
      <c r="C266" s="6" t="n">
        <v>97</v>
      </c>
      <c r="D266" s="5" t="inlineStr">
        <is>
          <t>Задвижка 30ч6бр Ду 200 Ру 10</t>
        </is>
      </c>
      <c r="E266" s="6" t="n">
        <v>13</v>
      </c>
    </row>
    <row r="267" ht="34" customHeight="1">
      <c r="A267" s="5" t="inlineStr">
        <is>
          <t>Задвижки чугунные (30ч6бр, 30ч906бр, 30ч39р)</t>
        </is>
      </c>
      <c r="B267" s="5" t="inlineStr">
        <is>
          <t>1.3</t>
        </is>
      </c>
      <c r="C267" s="6" t="n">
        <v>98</v>
      </c>
      <c r="D267" s="5" t="inlineStr">
        <is>
          <t>Задвижка 30ч6бр Ду 250 Ру 10</t>
        </is>
      </c>
      <c r="E267" s="6" t="n">
        <v>4</v>
      </c>
    </row>
    <row r="268" ht="34" customHeight="1">
      <c r="A268" s="5" t="inlineStr">
        <is>
          <t>Задвижки чугунные (30ч6бр, 30ч906бр, 30ч39р)</t>
        </is>
      </c>
      <c r="B268" s="5" t="inlineStr">
        <is>
          <t>1.3</t>
        </is>
      </c>
      <c r="C268" s="6" t="n">
        <v>99</v>
      </c>
      <c r="D268" s="5" t="inlineStr">
        <is>
          <t>Задвижка 30ч6бр Ду 300 Ру 10</t>
        </is>
      </c>
      <c r="E268" s="6" t="n">
        <v>4</v>
      </c>
    </row>
    <row r="269" ht="34" customHeight="1">
      <c r="A269" s="5" t="inlineStr">
        <is>
          <t>Задвижки чугунные (30ч6бр, 30ч906бр, 30ч39р)</t>
        </is>
      </c>
      <c r="B269" s="5" t="inlineStr">
        <is>
          <t>1.6</t>
        </is>
      </c>
      <c r="C269" s="6" t="n">
        <v>47</v>
      </c>
      <c r="D269" s="5" t="inlineStr">
        <is>
          <t>Задвижка 30ч6бр Ду 50 Ру 10</t>
        </is>
      </c>
      <c r="E269" s="6" t="n">
        <v>9</v>
      </c>
    </row>
    <row r="270" ht="34" customHeight="1">
      <c r="A270" s="5" t="inlineStr">
        <is>
          <t>Задвижки чугунные (30ч6бр, 30ч906бр, 30ч39р)</t>
        </is>
      </c>
      <c r="B270" s="5" t="inlineStr">
        <is>
          <t>1.6</t>
        </is>
      </c>
      <c r="C270" s="6" t="n">
        <v>48</v>
      </c>
      <c r="D270" s="5" t="inlineStr">
        <is>
          <t>Задвижка 30ч6бр Ду 80 Ру 10</t>
        </is>
      </c>
      <c r="E270" s="6" t="n">
        <v>3</v>
      </c>
    </row>
    <row r="271" ht="34" customHeight="1">
      <c r="A271" s="5" t="inlineStr">
        <is>
          <t>Задвижки чугунные (30ч6бр, 30ч906бр, 30ч39р)</t>
        </is>
      </c>
      <c r="B271" s="5" t="inlineStr">
        <is>
          <t>1.6</t>
        </is>
      </c>
      <c r="C271" s="6" t="n">
        <v>49</v>
      </c>
      <c r="D271" s="5" t="inlineStr">
        <is>
          <t>Задвижка 30ч6бр Ду 100 Ру 10</t>
        </is>
      </c>
      <c r="E271" s="6" t="n">
        <v>3</v>
      </c>
    </row>
    <row r="272" ht="34" customHeight="1">
      <c r="A272" s="5" t="inlineStr">
        <is>
          <t>Клапаны предохранительные (17лс17нж, 17с28нж, ПСК, СППК)</t>
        </is>
      </c>
      <c r="B272" s="5" t="inlineStr">
        <is>
          <t>1.1</t>
        </is>
      </c>
      <c r="C272" s="6" t="n">
        <v>1</v>
      </c>
      <c r="D272" s="5" t="inlineStr">
        <is>
          <t>Клапан предохранительный 17лс17нж Ду 200-300  Ру 16-6 полноподъемный пружинный фланцевый</t>
        </is>
      </c>
      <c r="E272" s="6" t="n">
        <v>1</v>
      </c>
    </row>
    <row r="273" ht="34" customHeight="1">
      <c r="A273" s="5" t="inlineStr">
        <is>
          <t>Клапаны предохранительные (17лс17нж, 17с28нж, ПСК, СППК)</t>
        </is>
      </c>
      <c r="B273" s="5" t="inlineStr">
        <is>
          <t>1.3</t>
        </is>
      </c>
      <c r="C273" s="6" t="n">
        <v>36</v>
      </c>
      <c r="D273" s="5" t="inlineStr">
        <is>
          <t>Предохранительный клапан ARI-SAFE 12.903 Ду 32/50 Ру 16</t>
        </is>
      </c>
      <c r="E273" s="6" t="n">
        <v>2</v>
      </c>
    </row>
    <row r="274" ht="34" customHeight="1">
      <c r="A274" s="5" t="inlineStr">
        <is>
          <t>Клапаны предохранительные (17лс17нж, 17с28нж, ПСК, СППК)</t>
        </is>
      </c>
      <c r="B274" s="5" t="inlineStr">
        <is>
          <t>1.3</t>
        </is>
      </c>
      <c r="C274" s="6" t="n">
        <v>37</v>
      </c>
      <c r="D274" s="5" t="inlineStr">
        <is>
          <t>Предохранительный клапан ARI-SAFE 12.903 Ду 25/40 Ру 16</t>
        </is>
      </c>
      <c r="E274" s="6" t="n">
        <v>2</v>
      </c>
    </row>
    <row r="275" ht="34" customHeight="1">
      <c r="A275" s="5" t="inlineStr">
        <is>
          <t>Клапаны предохранительные (17лс17нж, 17с28нж, ПСК, СППК)</t>
        </is>
      </c>
      <c r="B275" s="5" t="inlineStr">
        <is>
          <t>1.3</t>
        </is>
      </c>
      <c r="C275" s="6" t="n">
        <v>38</v>
      </c>
      <c r="D275" s="5" t="inlineStr">
        <is>
          <t>Предохранительный клапан ARI-SAFE 12.903 Ду 25/40 Ру 16</t>
        </is>
      </c>
      <c r="E275" s="6" t="n">
        <v>2</v>
      </c>
    </row>
    <row r="276" ht="34" customHeight="1">
      <c r="A276" s="5" t="inlineStr">
        <is>
          <t>Клапаны предохранительные (17лс17нж, 17с28нж, ПСК, СППК)</t>
        </is>
      </c>
      <c r="B276" s="5" t="inlineStr">
        <is>
          <t>1.6</t>
        </is>
      </c>
      <c r="C276" s="6" t="n">
        <v>10</v>
      </c>
      <c r="D276" s="5" t="inlineStr">
        <is>
          <t>Клапан предохранительный сбросный ПСК 50C/125 Ду 50</t>
        </is>
      </c>
      <c r="E276" s="6" t="n">
        <v>1</v>
      </c>
    </row>
    <row r="277" ht="34" customHeight="1">
      <c r="A277" s="5" t="inlineStr">
        <is>
          <t>Клапаны предохранительные (17лс17нж, 17с28нж, ПСК, СППК)</t>
        </is>
      </c>
      <c r="B277" s="5" t="inlineStr">
        <is>
          <t>1.6</t>
        </is>
      </c>
      <c r="C277" s="6" t="n">
        <v>11</v>
      </c>
      <c r="D277" s="5" t="inlineStr">
        <is>
          <t>Клапан предохранительный 17с11нж Ду 25 Ру 16</t>
        </is>
      </c>
      <c r="E277" s="6" t="n">
        <v>2</v>
      </c>
    </row>
    <row r="278" ht="34" customHeight="1">
      <c r="A278" s="5" t="inlineStr">
        <is>
          <t>Клапаны предохранительные (17лс17нж, 17с28нж, ПСК, СППК)</t>
        </is>
      </c>
      <c r="B278" s="5" t="inlineStr">
        <is>
          <t>1.6</t>
        </is>
      </c>
      <c r="C278" s="6" t="n">
        <v>12</v>
      </c>
      <c r="D278" s="5" t="inlineStr">
        <is>
          <t>Клапан предохранительный 17с28нж Ду 50 Ру16 (Рн 10-16)</t>
        </is>
      </c>
      <c r="E278" s="6" t="n">
        <v>3</v>
      </c>
    </row>
    <row r="279" ht="34" customHeight="1">
      <c r="A279" s="5" t="inlineStr">
        <is>
          <t>Клапаны предохранительные (17лс17нж, 17с28нж, ПСК, СППК)</t>
        </is>
      </c>
      <c r="B279" s="5" t="inlineStr">
        <is>
          <t>1.6</t>
        </is>
      </c>
      <c r="C279" s="6" t="n">
        <v>13</v>
      </c>
      <c r="D279" s="5" t="inlineStr">
        <is>
          <t>Клапан предохранительный 17с6нж Ду 50 Ру 16</t>
        </is>
      </c>
      <c r="E279" s="6" t="n">
        <v>2</v>
      </c>
    </row>
    <row r="280" ht="34" customHeight="1">
      <c r="A280" s="5" t="inlineStr">
        <is>
          <t>Клапаны предохранительные (17лс17нж, 17с28нж, ПСК, СППК)</t>
        </is>
      </c>
      <c r="B280" s="5" t="inlineStr">
        <is>
          <t>1.6</t>
        </is>
      </c>
      <c r="C280" s="6" t="n">
        <v>14</v>
      </c>
      <c r="D280" s="5" t="inlineStr">
        <is>
          <t>Клапан предохранительный 17с6нж Ду 80 Ру 16</t>
        </is>
      </c>
      <c r="E280" s="6" t="n">
        <v>1</v>
      </c>
    </row>
    <row r="281" ht="34" customHeight="1">
      <c r="A281" s="5" t="inlineStr">
        <is>
          <t>Краны шаровые латунные (11б27п1, 11б27п, LD Pride)</t>
        </is>
      </c>
      <c r="B281" s="5" t="inlineStr">
        <is>
          <t>1.1</t>
        </is>
      </c>
      <c r="C281" s="6" t="n">
        <v>14</v>
      </c>
      <c r="D281" s="5" t="inlineStr">
        <is>
          <t>Кран шаровой 11б27п1 Ду 15 Ру 16</t>
        </is>
      </c>
      <c r="E281" s="6" t="n">
        <v>35</v>
      </c>
    </row>
    <row r="282" ht="34" customHeight="1">
      <c r="A282" s="5" t="inlineStr">
        <is>
          <t>Краны шаровые латунные (11б27п1, 11б27п, LD Pride)</t>
        </is>
      </c>
      <c r="B282" s="5" t="inlineStr">
        <is>
          <t>1.1</t>
        </is>
      </c>
      <c r="C282" s="6" t="n">
        <v>15</v>
      </c>
      <c r="D282" s="5" t="inlineStr">
        <is>
          <t>Кран шаровой 11б27п1 Ду 20 Ру 16</t>
        </is>
      </c>
      <c r="E282" s="6" t="n">
        <v>35</v>
      </c>
    </row>
    <row r="283" ht="34" customHeight="1">
      <c r="A283" s="5" t="inlineStr">
        <is>
          <t>Краны шаровые латунные (11б27п1, 11б27п, LD Pride)</t>
        </is>
      </c>
      <c r="B283" s="5" t="inlineStr">
        <is>
          <t>1.1</t>
        </is>
      </c>
      <c r="C283" s="6" t="n">
        <v>16</v>
      </c>
      <c r="D283" s="5" t="inlineStr">
        <is>
          <t>Кран шаровой 11б27п1 Ду 25 Ру 16</t>
        </is>
      </c>
      <c r="E283" s="6" t="n">
        <v>20</v>
      </c>
    </row>
    <row r="284" ht="34" customHeight="1">
      <c r="A284" s="5" t="inlineStr">
        <is>
          <t>Краны шаровые латунные (11б27п1, 11б27п, LD Pride)</t>
        </is>
      </c>
      <c r="B284" s="5" t="inlineStr">
        <is>
          <t>1.1</t>
        </is>
      </c>
      <c r="C284" s="6" t="n">
        <v>17</v>
      </c>
      <c r="D284" s="5" t="inlineStr">
        <is>
          <t>Кран шаровой 11б27п1 Ду 32 Ру 16</t>
        </is>
      </c>
      <c r="E284" s="6" t="n">
        <v>25</v>
      </c>
    </row>
    <row r="285" ht="34" customHeight="1">
      <c r="A285" s="5" t="inlineStr">
        <is>
          <t>Краны шаровые латунные (11б27п1, 11б27п, LD Pride)</t>
        </is>
      </c>
      <c r="B285" s="5" t="inlineStr">
        <is>
          <t>1.1</t>
        </is>
      </c>
      <c r="C285" s="6" t="n">
        <v>18</v>
      </c>
      <c r="D285" s="5" t="inlineStr">
        <is>
          <t>Кран шаровой 11б27п1 Ду 40 Ру 16</t>
        </is>
      </c>
      <c r="E285" s="6" t="n">
        <v>8</v>
      </c>
    </row>
    <row r="286" ht="34" customHeight="1">
      <c r="A286" s="5" t="inlineStr">
        <is>
          <t>Краны шаровые латунные (11б27п1, 11б27п, LD Pride)</t>
        </is>
      </c>
      <c r="B286" s="5" t="inlineStr">
        <is>
          <t>1.1</t>
        </is>
      </c>
      <c r="C286" s="6" t="n">
        <v>19</v>
      </c>
      <c r="D286" s="5" t="inlineStr">
        <is>
          <t>Кран шаровой 11б27п1 Ду 50 Ру 16</t>
        </is>
      </c>
      <c r="E286" s="6" t="n">
        <v>8</v>
      </c>
    </row>
    <row r="287" ht="34" customHeight="1">
      <c r="A287" s="5" t="inlineStr">
        <is>
          <t>Краны шаровые латунные (11б27п1, 11б27п, LD Pride)</t>
        </is>
      </c>
      <c r="B287" s="5" t="inlineStr">
        <is>
          <t>1.3</t>
        </is>
      </c>
      <c r="C287" s="6" t="n">
        <v>101</v>
      </c>
      <c r="D287" s="5" t="inlineStr">
        <is>
          <t>Кран шаровой 11б27п1 Ду 15 Ру 16</t>
        </is>
      </c>
      <c r="E287" s="6" t="n">
        <v>110</v>
      </c>
    </row>
    <row r="288" ht="34" customHeight="1">
      <c r="A288" s="5" t="inlineStr">
        <is>
          <t>Краны шаровые латунные (11б27п1, 11б27п, LD Pride)</t>
        </is>
      </c>
      <c r="B288" s="5" t="inlineStr">
        <is>
          <t>1.3</t>
        </is>
      </c>
      <c r="C288" s="6" t="n">
        <v>102</v>
      </c>
      <c r="D288" s="5" t="inlineStr">
        <is>
          <t>Кран шаровой 11б27п1 Ду 20 Ру 16</t>
        </is>
      </c>
      <c r="E288" s="6" t="n">
        <v>57</v>
      </c>
    </row>
    <row r="289" ht="34" customHeight="1">
      <c r="A289" s="5" t="inlineStr">
        <is>
          <t>Краны шаровые латунные (11б27п1, 11б27п, LD Pride)</t>
        </is>
      </c>
      <c r="B289" s="5" t="inlineStr">
        <is>
          <t>1.3</t>
        </is>
      </c>
      <c r="C289" s="6" t="n">
        <v>103</v>
      </c>
      <c r="D289" s="5" t="inlineStr">
        <is>
          <t>Кран шаровой 11б27п1 Ду 25 Ру 16</t>
        </is>
      </c>
      <c r="E289" s="6" t="n">
        <v>29</v>
      </c>
    </row>
    <row r="290" ht="34" customHeight="1">
      <c r="A290" s="5" t="inlineStr">
        <is>
          <t>Краны шаровые латунные (11б27п1, 11б27п, LD Pride)</t>
        </is>
      </c>
      <c r="B290" s="5" t="inlineStr">
        <is>
          <t>1.3</t>
        </is>
      </c>
      <c r="C290" s="6" t="n">
        <v>104</v>
      </c>
      <c r="D290" s="5" t="inlineStr">
        <is>
          <t>Кран шаровой 11б27п1 Ду 32 Ру 16</t>
        </is>
      </c>
      <c r="E290" s="6" t="n">
        <v>47</v>
      </c>
    </row>
    <row r="291" ht="34" customHeight="1">
      <c r="A291" s="5" t="inlineStr">
        <is>
          <t>Краны шаровые латунные (11б27п1, 11б27п, LD Pride)</t>
        </is>
      </c>
      <c r="B291" s="5" t="inlineStr">
        <is>
          <t>1.3</t>
        </is>
      </c>
      <c r="C291" s="6" t="n">
        <v>105</v>
      </c>
      <c r="D291" s="5" t="inlineStr">
        <is>
          <t>Кран шаровой 11б27п1 Ду 50 Ру 16</t>
        </is>
      </c>
      <c r="E291" s="6" t="n">
        <v>24</v>
      </c>
    </row>
    <row r="292" ht="34" customHeight="1">
      <c r="A292" s="5" t="inlineStr">
        <is>
          <t>Краны шаровые латунные (11б27п1, 11б27п, LD Pride)</t>
        </is>
      </c>
      <c r="B292" s="5" t="inlineStr">
        <is>
          <t>1.5</t>
        </is>
      </c>
      <c r="C292" s="6" t="n">
        <v>4</v>
      </c>
      <c r="D292" s="5" t="inlineStr">
        <is>
          <t>Кран шаровой 11б27п1 Ду 15 Ру 16</t>
        </is>
      </c>
      <c r="E292" s="6" t="n">
        <v>28</v>
      </c>
    </row>
    <row r="293" ht="34" customHeight="1">
      <c r="A293" s="5" t="inlineStr">
        <is>
          <t>Краны шаровые латунные (11б27п1, 11б27п, LD Pride)</t>
        </is>
      </c>
      <c r="B293" s="5" t="inlineStr">
        <is>
          <t>1.5</t>
        </is>
      </c>
      <c r="C293" s="6" t="n">
        <v>5</v>
      </c>
      <c r="D293" s="5" t="inlineStr">
        <is>
          <t>Кран шаровой 11б27п1 Ду 20 Ру 16</t>
        </is>
      </c>
      <c r="E293" s="6" t="n">
        <v>16</v>
      </c>
    </row>
    <row r="294" ht="34" customHeight="1">
      <c r="A294" s="5" t="inlineStr">
        <is>
          <t>Краны шаровые латунные (11б27п1, 11б27п, LD Pride)</t>
        </is>
      </c>
      <c r="B294" s="5" t="inlineStr">
        <is>
          <t>1.5</t>
        </is>
      </c>
      <c r="C294" s="6" t="n">
        <v>6</v>
      </c>
      <c r="D294" s="5" t="inlineStr">
        <is>
          <t>Кран шаровой 11б27п1 Ду 25 Ру 16</t>
        </is>
      </c>
      <c r="E294" s="6" t="n">
        <v>16</v>
      </c>
    </row>
    <row r="295" ht="34" customHeight="1">
      <c r="A295" s="5" t="inlineStr">
        <is>
          <t>Краны шаровые латунные (11б27п1, 11б27п, LD Pride)</t>
        </is>
      </c>
      <c r="B295" s="5" t="inlineStr">
        <is>
          <t>1.5</t>
        </is>
      </c>
      <c r="C295" s="6" t="n">
        <v>7</v>
      </c>
      <c r="D295" s="5" t="inlineStr">
        <is>
          <t>Кран шаровой 11б27п1 Ду 32 Ру 16</t>
        </is>
      </c>
      <c r="E295" s="6" t="n">
        <v>6</v>
      </c>
    </row>
    <row r="296" ht="34" customHeight="1">
      <c r="A296" s="5" t="inlineStr">
        <is>
          <t>Краны шаровые латунные (11б27п1, 11б27п, LD Pride)</t>
        </is>
      </c>
      <c r="B296" s="5" t="inlineStr">
        <is>
          <t>1.5</t>
        </is>
      </c>
      <c r="C296" s="6" t="n">
        <v>8</v>
      </c>
      <c r="D296" s="5" t="inlineStr">
        <is>
          <t>Кран шаровой 11б27п1 Ду 50 Ру 16</t>
        </is>
      </c>
      <c r="E296" s="6" t="n">
        <v>6</v>
      </c>
    </row>
    <row r="297" ht="34" customHeight="1">
      <c r="A297" s="5" t="inlineStr">
        <is>
          <t>Краны шаровые латунные (11б27п1, 11б27п, LD Pride)</t>
        </is>
      </c>
      <c r="B297" s="5" t="inlineStr">
        <is>
          <t>1.6</t>
        </is>
      </c>
      <c r="C297" s="6" t="n">
        <v>51</v>
      </c>
      <c r="D297" s="5" t="inlineStr">
        <is>
          <t>Кран шаровой 11б27п1 Ду 15 Ру 16</t>
        </is>
      </c>
      <c r="E297" s="6" t="n">
        <v>47</v>
      </c>
    </row>
    <row r="298" ht="34" customHeight="1">
      <c r="A298" s="5" t="inlineStr">
        <is>
          <t>Краны шаровые латунные (11б27п1, 11б27п, LD Pride)</t>
        </is>
      </c>
      <c r="B298" s="5" t="inlineStr">
        <is>
          <t>1.6</t>
        </is>
      </c>
      <c r="C298" s="6" t="n">
        <v>52</v>
      </c>
      <c r="D298" s="5" t="inlineStr">
        <is>
          <t>Кран шаровой 11б27п1 Ду 20 Ру 16</t>
        </is>
      </c>
      <c r="E298" s="6" t="n">
        <v>63</v>
      </c>
    </row>
    <row r="299" ht="34" customHeight="1">
      <c r="A299" s="5" t="inlineStr">
        <is>
          <t>Краны шаровые латунные (11б27п1, 11б27п, LD Pride)</t>
        </is>
      </c>
      <c r="B299" s="5" t="inlineStr">
        <is>
          <t>1.6</t>
        </is>
      </c>
      <c r="C299" s="6" t="n">
        <v>53</v>
      </c>
      <c r="D299" s="5" t="inlineStr">
        <is>
          <t>Кран шаровой 11б27п1 Ду 25 Ру 16</t>
        </is>
      </c>
      <c r="E299" s="6" t="n">
        <v>40</v>
      </c>
    </row>
    <row r="300" ht="34" customHeight="1">
      <c r="A300" s="5" t="inlineStr">
        <is>
          <t>Краны шаровые латунные (11б27п1, 11б27п, LD Pride)</t>
        </is>
      </c>
      <c r="B300" s="5" t="inlineStr">
        <is>
          <t>1.6</t>
        </is>
      </c>
      <c r="C300" s="6" t="n">
        <v>54</v>
      </c>
      <c r="D300" s="5" t="inlineStr">
        <is>
          <t>Кран шаровой 11б27п1 Ду 32 Ру 16</t>
        </is>
      </c>
      <c r="E300" s="6" t="n">
        <v>77</v>
      </c>
    </row>
    <row r="301" ht="34" customHeight="1">
      <c r="A301" s="5" t="inlineStr">
        <is>
          <t>Краны шаровые латунные (11б27п1, 11б27п, LD Pride)</t>
        </is>
      </c>
      <c r="B301" s="5" t="inlineStr">
        <is>
          <t>1.6</t>
        </is>
      </c>
      <c r="C301" s="6" t="n">
        <v>55</v>
      </c>
      <c r="D301" s="5" t="inlineStr">
        <is>
          <t>Кран шаровой 11б27п1 Ду 40 Ру 16</t>
        </is>
      </c>
      <c r="E301" s="6" t="n">
        <v>2</v>
      </c>
    </row>
    <row r="302" ht="34" customHeight="1">
      <c r="A302" s="5" t="inlineStr">
        <is>
          <t>Краны шаровые латунные (11б27п1, 11б27п, LD Pride)</t>
        </is>
      </c>
      <c r="B302" s="5" t="inlineStr">
        <is>
          <t>1.6</t>
        </is>
      </c>
      <c r="C302" s="6" t="n">
        <v>56</v>
      </c>
      <c r="D302" s="5" t="inlineStr">
        <is>
          <t>Кран шаровой 11б27п1 Ду 50 Ру 16</t>
        </is>
      </c>
      <c r="E302" s="6" t="n">
        <v>6</v>
      </c>
    </row>
    <row r="303" ht="34" customHeight="1">
      <c r="A303" s="5" t="inlineStr">
        <is>
          <t>Краны шаровые нержавеющие (10нж45фт, КШХ, нерж.)</t>
        </is>
      </c>
      <c r="B303" s="5" t="inlineStr">
        <is>
          <t>1.3</t>
        </is>
      </c>
      <c r="C303" s="6" t="n">
        <v>135</v>
      </c>
      <c r="D303" s="5" t="inlineStr">
        <is>
          <t>Кран шаровой нержавеющий G1/2" муфтовый, полнопроходной, Ду 15 Ру 63</t>
        </is>
      </c>
      <c r="E303" s="6" t="n">
        <v>19</v>
      </c>
    </row>
    <row r="304" ht="34" customHeight="1">
      <c r="A304" s="5" t="inlineStr">
        <is>
          <t>Краны шаровые нержавеющие (10нж45фт, КШХ, нерж.)</t>
        </is>
      </c>
      <c r="B304" s="5" t="inlineStr">
        <is>
          <t>1.3</t>
        </is>
      </c>
      <c r="C304" s="6" t="n">
        <v>146</v>
      </c>
      <c r="D304" s="5" t="inlineStr">
        <is>
          <t>Кран шаровый химический КШХ Ду 50 Ру 16</t>
        </is>
      </c>
      <c r="E304" s="6" t="n">
        <v>2</v>
      </c>
    </row>
    <row r="305" ht="34" customHeight="1">
      <c r="A305" s="5" t="inlineStr">
        <is>
          <t>Краны шаровые нержавеющие (10нж45фт, КШХ, нерж.)</t>
        </is>
      </c>
      <c r="B305" s="5" t="inlineStr">
        <is>
          <t>1.3</t>
        </is>
      </c>
      <c r="C305" s="6" t="n">
        <v>147</v>
      </c>
      <c r="D305" s="5" t="inlineStr">
        <is>
          <t>Кран шаровый химический КШХ Ду 80 Ру 16</t>
        </is>
      </c>
      <c r="E305" s="6" t="n">
        <v>4</v>
      </c>
    </row>
    <row r="306" ht="34" customHeight="1">
      <c r="A306" s="5" t="inlineStr">
        <is>
          <t>Краны шаровые нержавеющие (10нж45фт, КШХ, нерж.)</t>
        </is>
      </c>
      <c r="B306" s="5" t="inlineStr">
        <is>
          <t>1.8</t>
        </is>
      </c>
      <c r="C306" s="6" t="n">
        <v>2</v>
      </c>
      <c r="D306" s="5" t="inlineStr">
        <is>
          <t>Кран шаровой 10нж45фт 2ЦФ Ду 20 Ру 16</t>
        </is>
      </c>
      <c r="E306" s="6" t="n">
        <v>2</v>
      </c>
    </row>
    <row r="307" ht="34" customHeight="1">
      <c r="A307" s="5" t="inlineStr">
        <is>
          <t>Краны шаровые нержавеющие (10нж45фт, КШХ, нерж.)</t>
        </is>
      </c>
      <c r="B307" s="5" t="inlineStr">
        <is>
          <t>1.8</t>
        </is>
      </c>
      <c r="C307" s="6" t="n">
        <v>3</v>
      </c>
      <c r="D307" s="5" t="inlineStr">
        <is>
          <t>Кран шаровой 10нж45фт 2ЦФ Ду 25 Ру 16</t>
        </is>
      </c>
      <c r="E307" s="6" t="n">
        <v>2</v>
      </c>
    </row>
    <row r="308" ht="34" customHeight="1">
      <c r="A308" s="5" t="inlineStr">
        <is>
          <t>Краны шаровые нержавеющие (10нж45фт, КШХ, нерж.)</t>
        </is>
      </c>
      <c r="B308" s="5" t="inlineStr">
        <is>
          <t>1.8</t>
        </is>
      </c>
      <c r="C308" s="6" t="n">
        <v>4</v>
      </c>
      <c r="D308" s="5" t="inlineStr">
        <is>
          <t>Кран шаровой 10нж45фт 2ЦФ Ду 32 Ру 16</t>
        </is>
      </c>
      <c r="E308" s="6" t="n">
        <v>2</v>
      </c>
    </row>
    <row r="309" ht="34" customHeight="1">
      <c r="A309" s="5" t="inlineStr">
        <is>
          <t>Запчасти, уплотнения, рыбозащита, прочее</t>
        </is>
      </c>
      <c r="B309" s="5" t="inlineStr">
        <is>
          <t>1.4</t>
        </is>
      </c>
      <c r="C309" s="6" t="n">
        <v>1</v>
      </c>
      <c r="D309" s="5" t="inlineStr">
        <is>
          <t>Рыбозащитное устройство с потокообразователем</t>
        </is>
      </c>
      <c r="E309" s="6" t="n">
        <v>1</v>
      </c>
    </row>
    <row r="310" ht="34" customHeight="1">
      <c r="A310" s="5" t="inlineStr">
        <is>
          <t>Электроприводы и редукторы (ГЗ, Тулаэлектропривод, Н-В, ЭП)</t>
        </is>
      </c>
      <c r="B310" s="5" t="inlineStr">
        <is>
          <t>1.1</t>
        </is>
      </c>
      <c r="C310" s="6" t="n">
        <v>24</v>
      </c>
      <c r="D310" s="5" t="inlineStr">
        <is>
          <t>Электропривод общепромышленный Н-В-02 У2</t>
        </is>
      </c>
      <c r="E310" s="6" t="n">
        <v>2</v>
      </c>
    </row>
    <row r="311" ht="34" customHeight="1">
      <c r="A311" s="5" t="inlineStr">
        <is>
          <t>Электроприводы и редукторы (ГЗ, Тулаэлектропривод, Н-В, ЭП)</t>
        </is>
      </c>
      <c r="B311" s="5" t="inlineStr">
        <is>
          <t>1.3</t>
        </is>
      </c>
      <c r="C311" s="6" t="n">
        <v>163</v>
      </c>
      <c r="D311" s="5" t="inlineStr">
        <is>
          <t>Электропривод прямоходный Regada SТ0 490.0-00TQV/00</t>
        </is>
      </c>
      <c r="E311" s="6" t="n">
        <v>1</v>
      </c>
    </row>
    <row r="312" ht="34" customHeight="1">
      <c r="A312" s="5" t="inlineStr">
        <is>
          <t>Электроприводы и редукторы (ГЗ, Тулаэлектропривод, Н-В, ЭП)</t>
        </is>
      </c>
      <c r="B312" s="5" t="inlineStr">
        <is>
          <t>1.6</t>
        </is>
      </c>
      <c r="C312" s="6" t="n">
        <v>93</v>
      </c>
      <c r="D312" s="5" t="inlineStr">
        <is>
          <t>Электропривод Esbe 95 - 12051900</t>
        </is>
      </c>
      <c r="E312" s="6" t="n">
        <v>1</v>
      </c>
    </row>
    <row r="313" ht="34" customHeight="1">
      <c r="A313" s="5" t="inlineStr">
        <is>
          <t>Краны трёхходовые/манометровые (11б18бк, 11б27п 3-ход.)</t>
        </is>
      </c>
      <c r="B313" s="5" t="inlineStr">
        <is>
          <t>1.3</t>
        </is>
      </c>
      <c r="C313" s="6" t="n">
        <v>39</v>
      </c>
      <c r="D313" s="5" t="inlineStr">
        <is>
          <t>Кран для манометра трехходовой Ду 15 Ру 16</t>
        </is>
      </c>
      <c r="E313" s="6" t="n">
        <v>34</v>
      </c>
    </row>
    <row r="314" ht="34" customHeight="1">
      <c r="A314" s="5" t="inlineStr">
        <is>
          <t>Краны трёхходовые/манометровые (11б18бк, 11б27п 3-ход.)</t>
        </is>
      </c>
      <c r="B314" s="5" t="inlineStr">
        <is>
          <t>1.3</t>
        </is>
      </c>
      <c r="C314" s="6" t="n">
        <v>100</v>
      </c>
      <c r="D314" s="5" t="inlineStr">
        <is>
          <t>Кран 11б27п(м) Ду 15 Ру 16 3-х ходовой для манометров</t>
        </is>
      </c>
      <c r="E314" s="6" t="n">
        <v>4</v>
      </c>
    </row>
    <row r="315" ht="34" customHeight="1">
      <c r="A315" s="5" t="inlineStr">
        <is>
          <t>Краны трёхходовые/манометровые (11б18бк, 11б27п 3-ход.)</t>
        </is>
      </c>
      <c r="B315" s="5" t="inlineStr">
        <is>
          <t>1.6</t>
        </is>
      </c>
      <c r="C315" s="6" t="n">
        <v>16</v>
      </c>
      <c r="D315" s="5" t="inlineStr">
        <is>
          <t>Кран для манометра трехходовой Ду 15 Ру 16</t>
        </is>
      </c>
      <c r="E315" s="6" t="n">
        <v>2</v>
      </c>
    </row>
    <row r="316" ht="34" customHeight="1">
      <c r="A316" s="5" t="inlineStr">
        <is>
          <t>Краны трёхходовые/манометровые (11б18бк, 11б27п 3-ход.)</t>
        </is>
      </c>
      <c r="B316" s="5" t="inlineStr">
        <is>
          <t>1.6</t>
        </is>
      </c>
      <c r="C316" s="6" t="n">
        <v>50</v>
      </c>
      <c r="D316" s="5" t="inlineStr">
        <is>
          <t>Кран шаровой 11б27п(м) Ду 015 Ру16 3-х ходовой для манометров</t>
        </is>
      </c>
      <c r="E316" s="6" t="n">
        <v>132</v>
      </c>
    </row>
  </sheetData>
  <autoFilter ref="A1:E316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2026-10-20T22:51:58Z</dcterms:created>
  <dcterms:modified xmlns:dcterms="http://purl.org/dc/terms/" xmlns:xsi="http://www.w3.org/2001/XMLSchema-instance" xsi:type="dcterms:W3CDTF">2026-10-20T22:51:59Z</dcterms:modified>
</cp:coreProperties>
</file>