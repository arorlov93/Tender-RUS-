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тог" sheetId="1" state="visible" r:id="rId1"/>
    <sheet xmlns:r="http://schemas.openxmlformats.org/officeDocument/2006/relationships" name="Позиции" sheetId="2" state="visible" r:id="rId2"/>
    <sheet xmlns:r="http://schemas.openxmlformats.org/officeDocument/2006/relationships" name="По таблицам" sheetId="3" state="visible" r:id="rId3"/>
  </sheets>
  <definedNames>
    <definedName name="_xlnm._FilterDatabase" localSheetId="1" hidden="1">'Позиции'!$A$2:$S$317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&quot; ₽&quot;"/>
    <numFmt numFmtId="165" formatCode="0.0%"/>
  </numFmts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2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164" fontId="0" fillId="3" borderId="1" applyAlignment="1" pivotButton="0" quotePrefix="0" xfId="0">
      <alignment vertical="center"/>
    </xf>
    <xf numFmtId="0" fontId="3" fillId="0" borderId="1" applyAlignment="1" pivotButton="0" quotePrefix="0" xfId="0">
      <alignment vertical="center" wrapText="1"/>
    </xf>
    <xf numFmtId="164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7"/>
  <sheetViews>
    <sheetView workbookViewId="0">
      <selection activeCell="A1" sqref="A1"/>
    </sheetView>
  </sheetViews>
  <sheetFormatPr baseColWidth="8" defaultRowHeight="15"/>
  <cols>
    <col width="52" customWidth="1" min="1" max="1"/>
    <col width="70" customWidth="1" min="2" max="2"/>
    <col width="70" customWidth="1" min="3" max="3"/>
  </cols>
  <sheetData>
    <row r="1" ht="18" customHeight="1">
      <c r="A1" s="1" t="inlineStr">
        <is>
          <t>Камчатскэнерго 32616346943 — арматура среднего и низкого давления (Лот 0200-РЕМ ПРОД-2027-КамчЭн)</t>
        </is>
      </c>
      <c r="B1" s="2" t="n"/>
      <c r="C1" s="2" t="n"/>
    </row>
    <row r="2" ht="18" customHeight="1">
      <c r="A2" s="2" t="inlineStr">
        <is>
          <t>Конкурс в эл. форме, 223-ФЗ, Росэлторг (секция РусГидро). Подача до 29.10.2026. НМЦК с НДС. Наша цена = цена договора (УСН).</t>
        </is>
      </c>
      <c r="B2" s="2" t="n"/>
      <c r="C2" s="2" t="n"/>
    </row>
    <row r="3" ht="48" customHeight="1">
      <c r="A3" s="3" t="inlineStr">
        <is>
          <t>Показатель</t>
        </is>
      </c>
      <c r="B3" s="3" t="inlineStr">
        <is>
          <t>Значение</t>
        </is>
      </c>
      <c r="C3" s="3" t="inlineStr">
        <is>
          <t>Комментарий</t>
        </is>
      </c>
    </row>
    <row r="4" ht="30" customHeight="1">
      <c r="A4" s="4" t="inlineStr">
        <is>
          <t>НМЦК, ₽</t>
        </is>
      </c>
      <c r="B4" s="5" t="n">
        <v>101102908</v>
      </c>
      <c r="C4" s="4" t="inlineStr">
        <is>
          <t>весь лот, 315 позиций, 3 383 ед., 4 грузополучателя</t>
        </is>
      </c>
    </row>
    <row r="5" ht="30" customHeight="1">
      <c r="A5" s="4" t="inlineStr">
        <is>
          <t>Позиций с ценой</t>
        </is>
      </c>
      <c r="B5" s="4">
        <f>COUNT(Позиции!J3:J317)</f>
        <v/>
      </c>
      <c r="C5" s="4" t="inlineStr">
        <is>
          <t>из 315; пустые — ищем, можно вписать вручную на листе «Позиции»</t>
        </is>
      </c>
    </row>
    <row r="6" ht="30" customHeight="1">
      <c r="A6" s="4" t="inlineStr">
        <is>
          <t>Себестоимость по найденным позициям (после торга −10%, с доставкой), ₽</t>
        </is>
      </c>
      <c r="B6" s="6">
        <f>Позиции!O318</f>
        <v/>
      </c>
      <c r="C6" s="4" t="inlineStr">
        <is>
          <t>сумма столбца O листа «Позиции»</t>
        </is>
      </c>
    </row>
    <row r="7" ht="30" customHeight="1">
      <c r="A7" s="4" t="inlineStr">
        <is>
          <t>Оценка себестоимости всего лота, ₽</t>
        </is>
      </c>
      <c r="B7" s="6">
        <f>IF(COUNT(Позиции!J3:J317)=0,65661745.0,B6/MAX(B5,1)*315)</f>
        <v/>
      </c>
      <c r="C7" s="4" t="inlineStr">
        <is>
          <t>пока цен нет — оценка по истории лотов (60% НМЦК + 5 млн доставка); по мере заполнения — экстраполяция по найденным</t>
        </is>
      </c>
    </row>
    <row r="8" ht="30" customHeight="1">
      <c r="A8" s="4" t="inlineStr">
        <is>
          <t>Маржа при НМЦК</t>
        </is>
      </c>
      <c r="B8" s="7">
        <f>1-B7/B4</f>
        <v/>
      </c>
      <c r="C8" s="4" t="inlineStr"/>
    </row>
    <row r="9" ht="30" customHeight="1">
      <c r="A9" s="4" t="inlineStr">
        <is>
          <t>Ожидаемое снижение на конкурсе</t>
        </is>
      </c>
      <c r="B9" s="8" t="n">
        <v>0.15</v>
      </c>
      <c r="C9" s="4" t="inlineStr">
        <is>
          <t>история: −7% … −23% (2025–2026), большинство заявок отклоняют</t>
        </is>
      </c>
    </row>
    <row r="10" ht="30" customHeight="1">
      <c r="A10" s="4" t="inlineStr">
        <is>
          <t>Цена заявки, ₽</t>
        </is>
      </c>
      <c r="B10" s="6">
        <f>B4*(1-B9)</f>
        <v/>
      </c>
      <c r="C10" s="4" t="inlineStr"/>
    </row>
    <row r="11" ht="30" customHeight="1">
      <c r="A11" s="4" t="inlineStr">
        <is>
          <t>Прибыль до налога, ₽</t>
        </is>
      </c>
      <c r="B11" s="6">
        <f>B10-B7-0.008*B10-B7*0.2*120/365</f>
        <v/>
      </c>
      <c r="C11" s="4" t="inlineStr">
        <is>
          <t>0,8% ЭП/банк, деньги 20% годовых на 120 дней</t>
        </is>
      </c>
    </row>
    <row r="12" ht="30" customHeight="1">
      <c r="A12" s="4" t="inlineStr">
        <is>
          <t>Прибыль после УСН 15%, ₽</t>
        </is>
      </c>
      <c r="B12" s="6">
        <f>B11-0.15*MAX(B11,0)</f>
        <v/>
      </c>
      <c r="C12" s="4" t="inlineStr"/>
    </row>
    <row r="13" ht="30" customHeight="1">
      <c r="A13" s="4" t="inlineStr">
        <is>
          <t>Маржа к цене заявки</t>
        </is>
      </c>
      <c r="B13" s="7">
        <f>B12/B10</f>
        <v/>
      </c>
      <c r="C13" s="4" t="inlineStr"/>
    </row>
    <row r="14" ht="34" customHeight="1">
      <c r="A14" s="9" t="n"/>
      <c r="B14" s="9" t="n"/>
      <c r="C14" s="9" t="n"/>
    </row>
    <row r="15" ht="34" customHeight="1">
      <c r="A15" s="10" t="inlineStr">
        <is>
          <t>Сценарии снижения</t>
        </is>
      </c>
      <c r="B15" s="10" t="inlineStr">
        <is>
          <t>Прибыль после УСН, ₽</t>
        </is>
      </c>
      <c r="C15" s="10" t="inlineStr"/>
    </row>
    <row r="16" ht="34" customHeight="1">
      <c r="A16" s="4" t="inlineStr">
        <is>
          <t>−0%</t>
        </is>
      </c>
      <c r="B16" s="6">
        <f>(B4*(1-0)-B7-0.008*B4*(1-0)-B7*0.2*120/365)*IF(B4*(1-0)-B7-0.008*B4*(1-0)-B7*0.2*120/365&gt;0,0.85,1)</f>
        <v/>
      </c>
      <c r="C16" s="4" t="inlineStr"/>
    </row>
    <row r="17" ht="34" customHeight="1">
      <c r="A17" s="4" t="inlineStr">
        <is>
          <t>−7%</t>
        </is>
      </c>
      <c r="B17" s="6">
        <f>(B4*(1-0.07)-B7-0.008*B4*(1-0.07)-B7*0.2*120/365)*IF(B4*(1-0.07)-B7-0.008*B4*(1-0.07)-B7*0.2*120/365&gt;0,0.85,1)</f>
        <v/>
      </c>
      <c r="C17" s="4" t="inlineStr"/>
    </row>
    <row r="18" ht="34" customHeight="1">
      <c r="A18" s="4" t="inlineStr">
        <is>
          <t>−15%</t>
        </is>
      </c>
      <c r="B18" s="6">
        <f>(B4*(1-0.15)-B7-0.008*B4*(1-0.15)-B7*0.2*120/365)*IF(B4*(1-0.15)-B7-0.008*B4*(1-0.15)-B7*0.2*120/365&gt;0,0.85,1)</f>
        <v/>
      </c>
      <c r="C18" s="4" t="inlineStr"/>
    </row>
    <row r="19" ht="34" customHeight="1">
      <c r="A19" s="4" t="inlineStr">
        <is>
          <t>−23%</t>
        </is>
      </c>
      <c r="B19" s="6">
        <f>(B4*(1-0.23)-B7-0.008*B4*(1-0.23)-B7*0.2*120/365)*IF(B4*(1-0.23)-B7-0.008*B4*(1-0.23)-B7*0.2*120/365&gt;0,0.85,1)</f>
        <v/>
      </c>
      <c r="C19" s="4" t="inlineStr"/>
    </row>
    <row r="20" ht="34" customHeight="1">
      <c r="A20" s="4" t="inlineStr">
        <is>
          <t>−30%</t>
        </is>
      </c>
      <c r="B20" s="6">
        <f>(B4*(1-0.3)-B7-0.008*B4*(1-0.3)-B7*0.2*120/365)*IF(B4*(1-0.3)-B7-0.008*B4*(1-0.3)-B7*0.2*120/365&gt;0,0.85,1)</f>
        <v/>
      </c>
      <c r="C20" s="4" t="inlineStr"/>
    </row>
    <row r="21" ht="34" customHeight="1">
      <c r="A21" s="9" t="n"/>
      <c r="B21" s="9" t="n"/>
      <c r="C21" s="9" t="n"/>
    </row>
    <row r="22" ht="34" customHeight="1">
      <c r="A22" s="10" t="inlineStr">
        <is>
          <t>Условия</t>
        </is>
      </c>
      <c r="B22" s="10" t="inlineStr"/>
      <c r="C22" s="10" t="inlineStr"/>
    </row>
    <row r="23" ht="34" customHeight="1">
      <c r="A23" s="4" t="inlineStr">
        <is>
          <t>Поставка</t>
        </is>
      </c>
      <c r="B23" s="4" t="inlineStr">
        <is>
          <t>в течение 120 календарных дней с подписания договора; Петропавловск-Камчатский (ул. Пограничная 75А, ул. Степная 50, пр. Победы 24) и Елизовский р-н, пос. Светлый</t>
        </is>
      </c>
      <c r="C23" s="4" t="inlineStr"/>
    </row>
    <row r="24" ht="34" customHeight="1">
      <c r="A24" s="4" t="inlineStr">
        <is>
          <t>Обеспечение заявки</t>
        </is>
      </c>
      <c r="B24" s="4" t="inlineStr">
        <is>
          <t>1 005 499,42 ₽ (БГ или деньги)</t>
        </is>
      </c>
      <c r="C24" s="4" t="inlineStr"/>
    </row>
    <row r="25" ht="34" customHeight="1">
      <c r="A25" s="4" t="inlineStr">
        <is>
          <t>Аванс</t>
        </is>
      </c>
      <c r="B25" s="4" t="inlineStr">
        <is>
          <t>предусмотрен; обеспечение возврата аванса — 100% суммы аванса (БГ); размер — в проекте договора</t>
        </is>
      </c>
      <c r="C25" s="4" t="inlineStr"/>
    </row>
    <row r="26" ht="34" customHeight="1">
      <c r="A26" s="4" t="inlineStr">
        <is>
          <t>Гарантия</t>
        </is>
      </c>
      <c r="B26" s="4" t="inlineStr">
        <is>
          <t>по заводу, не менее 12 мес.; изготовление — год поставки или предыдущий</t>
        </is>
      </c>
      <c r="C26" s="4" t="inlineStr"/>
    </row>
    <row r="27" ht="34" customHeight="1">
      <c r="A27" s="4" t="inlineStr">
        <is>
          <t>Нацрежим</t>
        </is>
      </c>
      <c r="B27" s="4" t="inlineStr">
        <is>
          <t>ПП 1875 — ограничение + преимущество: по каждой позиции номер записи в реестре Минпромторга/ЕАЭС</t>
        </is>
      </c>
      <c r="C27" s="4" t="inlineStr"/>
    </row>
    <row r="28" ht="34" customHeight="1">
      <c r="A28" s="4" t="inlineStr">
        <is>
          <t>Документы</t>
        </is>
      </c>
      <c r="B28" s="4" t="inlineStr">
        <is>
          <t>сертификаты/декларации ТР ТС 032/2013 и 010/2011 со схемами 1с/5Д и протоколами испытаний; техпредложение по Прил. 1</t>
        </is>
      </c>
      <c r="C28" s="4" t="inlineStr"/>
    </row>
    <row r="29" ht="34" customHeight="1">
      <c r="A29" s="4" t="inlineStr">
        <is>
          <t>Аккредитация</t>
        </is>
      </c>
      <c r="B29" s="4" t="inlineStr">
        <is>
          <t>аккредитация в РусГидро (Прил. 10)</t>
        </is>
      </c>
      <c r="C29" s="4" t="inlineStr"/>
    </row>
    <row r="30" ht="34" customHeight="1">
      <c r="A30" s="4" t="inlineStr">
        <is>
          <t>Подача на часть лота</t>
        </is>
      </c>
      <c r="B30" s="4" t="inlineStr">
        <is>
          <t>нельзя — лот неделимый</t>
        </is>
      </c>
      <c r="C30" s="4" t="inlineStr"/>
    </row>
    <row r="31" ht="34" customHeight="1">
      <c r="A31" s="4" t="inlineStr">
        <is>
          <t>Эквиваленты</t>
        </is>
      </c>
      <c r="B31" s="4" t="inlineStr">
        <is>
          <t>допускаются, марка носит описательный характер; нужно обоснование эквивалентности</t>
        </is>
      </c>
      <c r="C31" s="4" t="inlineStr"/>
    </row>
    <row r="32" ht="34" customHeight="1">
      <c r="A32" s="9" t="n"/>
      <c r="B32" s="9" t="n"/>
      <c r="C32" s="9" t="n"/>
    </row>
    <row r="33" ht="34" customHeight="1">
      <c r="A33" s="10" t="inlineStr">
        <is>
          <t>История лотов Камчатскэнерго</t>
        </is>
      </c>
      <c r="B33" s="10" t="inlineStr"/>
      <c r="C33" s="10" t="inlineStr"/>
    </row>
    <row r="34" ht="34" customHeight="1">
      <c r="A34" s="4" t="inlineStr">
        <is>
          <t>13000-РЕМ ПРОД-2026-КамчЭн</t>
        </is>
      </c>
      <c r="B34" s="4" t="inlineStr">
        <is>
          <t>НМЦК 119 527 144 ₽ → победитель 92043800; снижение 0.23</t>
        </is>
      </c>
      <c r="C34" s="4" t="inlineStr">
        <is>
          <t>4 из 6 (п.4.9.6 а — состав/оформление заявки), включая 47.8 и 89.999 млн</t>
        </is>
      </c>
    </row>
    <row r="35" ht="34" customHeight="1">
      <c r="A35" s="4" t="inlineStr">
        <is>
          <t>25900-РЕМ ПРОД-2025-КамчЭн</t>
        </is>
      </c>
      <c r="B35" s="4" t="inlineStr">
        <is>
          <t>НМЦК 85 866 140 ₽ → победитель 79900000; снижение 0.07</t>
        </is>
      </c>
      <c r="C35" s="4" t="inlineStr">
        <is>
          <t>0 из 3</t>
        </is>
      </c>
    </row>
    <row r="36" ht="34" customHeight="1">
      <c r="A36" s="4" t="inlineStr">
        <is>
          <t>1000-РЕМ ПРОД-2026-КамчЭн (арматура среднего давления)</t>
        </is>
      </c>
      <c r="B36" s="4" t="inlineStr">
        <is>
          <t>НМЦК 52 886 220 ₽ → победитель 52100110; снижение 0.015</t>
        </is>
      </c>
      <c r="C36" s="4" t="inlineStr">
        <is>
          <t>9 из 10 — допущена только заявка 52.1 млн</t>
        </is>
      </c>
    </row>
    <row r="37" ht="34" customHeight="1">
      <c r="A37" s="4" t="inlineStr">
        <is>
          <t>0100-РЕМ ПРОД-2027-КамчЭн (арматура высокого давления)</t>
        </is>
      </c>
      <c r="B37" s="4" t="inlineStr">
        <is>
          <t>НМЦК 180 965 509 ₽ → победитель 157097600; снижение 0.132</t>
        </is>
      </c>
      <c r="C37" s="4" t="inlineStr">
        <is>
          <t>0 из 2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S318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5" customWidth="1" min="2" max="2"/>
    <col width="46" customWidth="1" min="3" max="3"/>
    <col width="7" customWidth="1" min="4" max="4"/>
    <col width="5" customWidth="1" min="5" max="5"/>
    <col width="6" customWidth="1" min="6" max="6"/>
    <col width="7" customWidth="1" min="7" max="7"/>
    <col width="18" customWidth="1" min="8" max="8"/>
    <col width="16" customWidth="1" min="9" max="9"/>
    <col width="13" customWidth="1" min="10" max="10"/>
    <col width="13" customWidth="1" min="11" max="11"/>
    <col width="8" customWidth="1" min="12" max="12"/>
    <col width="14" customWidth="1" min="13" max="13"/>
    <col width="12" customWidth="1" min="14" max="14"/>
    <col width="14" customWidth="1" min="15" max="15"/>
    <col width="22" customWidth="1" min="16" max="16"/>
    <col width="26" customWidth="1" min="17" max="17"/>
    <col width="26" customWidth="1" min="18" max="18"/>
    <col width="30" customWidth="1" min="19" max="19"/>
  </cols>
  <sheetData>
    <row r="1" ht="18" customHeight="1">
      <c r="A1" s="11" t="inlineStr">
        <is>
          <t>Камчатскэнерго 32616346943 — позиции, количества, себестоимость (заполненные цены — рынок 2026 с НДС; пустые — ещё ищем, можно вписать вручную)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</row>
    <row r="2" ht="48" customHeight="1">
      <c r="A2" s="12" t="inlineStr">
        <is>
          <t>Таблица</t>
        </is>
      </c>
      <c r="B2" s="12" t="inlineStr">
        <is>
          <t>№</t>
        </is>
      </c>
      <c r="C2" s="12" t="inlineStr">
        <is>
          <t>Позиция</t>
        </is>
      </c>
      <c r="D2" s="12" t="inlineStr">
        <is>
          <t>Кол-во</t>
        </is>
      </c>
      <c r="E2" s="12" t="inlineStr">
        <is>
          <t>Ед.</t>
        </is>
      </c>
      <c r="F2" s="12" t="inlineStr">
        <is>
          <t>DN</t>
        </is>
      </c>
      <c r="G2" s="12" t="inlineStr">
        <is>
          <t>PN, МПа</t>
        </is>
      </c>
      <c r="H2" s="12" t="inlineStr">
        <is>
          <t>Материал корпуса</t>
        </is>
      </c>
      <c r="I2" s="12" t="inlineStr">
        <is>
          <t>Привод</t>
        </is>
      </c>
      <c r="J2" s="12" t="inlineStr">
        <is>
          <t>Цена за ед. (рынок), ₽</t>
        </is>
      </c>
      <c r="K2" s="12" t="inlineStr">
        <is>
          <t>Цена после торга −10%, ₽</t>
        </is>
      </c>
      <c r="L2" s="12" t="inlineStr">
        <is>
          <t>Вес ед., кг</t>
        </is>
      </c>
      <c r="M2" s="12" t="inlineStr">
        <is>
          <t>Сумма закупки, ₽</t>
        </is>
      </c>
      <c r="N2" s="12" t="inlineStr">
        <is>
          <t>Доставка, ₽</t>
        </is>
      </c>
      <c r="O2" s="12" t="inlineStr">
        <is>
          <t>Себестоимость позиции, ₽</t>
        </is>
      </c>
      <c r="P2" s="12" t="inlineStr">
        <is>
          <t>Поставщик</t>
        </is>
      </c>
      <c r="Q2" s="12" t="inlineStr">
        <is>
          <t>Тип цены / подтверждение 2026</t>
        </is>
      </c>
      <c r="R2" s="12" t="inlineStr">
        <is>
          <t>Аналог / реестр МПТ</t>
        </is>
      </c>
      <c r="S2" s="12" t="inlineStr">
        <is>
          <t>Ссылка</t>
        </is>
      </c>
    </row>
    <row r="3" ht="34" customHeight="1">
      <c r="A3" s="4" t="inlineStr">
        <is>
          <t>1.1</t>
        </is>
      </c>
      <c r="B3" s="9" t="n">
        <v>1</v>
      </c>
      <c r="C3" s="4" t="inlineStr">
        <is>
          <t>Клапан предохранительный 17лс17нж Ду 200-300  Ру 16-6 полноподъемный пружинный фланцевый</t>
        </is>
      </c>
      <c r="D3" s="9" t="n">
        <v>1</v>
      </c>
      <c r="E3" s="4" t="inlineStr">
        <is>
          <t>шт</t>
        </is>
      </c>
      <c r="F3" s="9" t="n">
        <v>200</v>
      </c>
      <c r="G3" s="9" t="n">
        <v>1.6</v>
      </c>
      <c r="H3" s="4" t="inlineStr">
        <is>
          <t>Корпус — сталь 20ГЛ ГОСТ 977-88;  Крышка</t>
        </is>
      </c>
      <c r="I3" s="4" t="inlineStr">
        <is>
          <t>автоматическое/ручное</t>
        </is>
      </c>
      <c r="J3" s="13" t="n"/>
      <c r="K3" s="6">
        <f>IF(J3="","",J3*(1-0.1))</f>
        <v/>
      </c>
      <c r="L3" s="9" t="n"/>
      <c r="M3" s="6">
        <f>IF(J3="","",K3*D3)</f>
        <v/>
      </c>
      <c r="N3" s="6">
        <f>IF(L3="","",L3*D3*55)</f>
        <v/>
      </c>
      <c r="O3" s="6">
        <f>IF(M3="","",M3+N(N3))</f>
        <v/>
      </c>
      <c r="P3" s="9" t="n"/>
      <c r="Q3" s="4" t="inlineStr"/>
      <c r="R3" s="4" t="inlineStr"/>
      <c r="S3" s="9" t="n"/>
    </row>
    <row r="4" ht="34" customHeight="1">
      <c r="A4" s="4" t="inlineStr">
        <is>
          <t>1.1</t>
        </is>
      </c>
      <c r="B4" s="9" t="n">
        <v>2</v>
      </c>
      <c r="C4" s="4" t="inlineStr">
        <is>
          <t>Клапан запорный 15нж65нж Ду 200 Ру 16</t>
        </is>
      </c>
      <c r="D4" s="9" t="n">
        <v>4</v>
      </c>
      <c r="E4" s="4" t="inlineStr">
        <is>
          <t>шт</t>
        </is>
      </c>
      <c r="F4" s="9" t="n">
        <v>200</v>
      </c>
      <c r="G4" s="9" t="n">
        <v>1.6</v>
      </c>
      <c r="H4" s="4" t="inlineStr">
        <is>
          <t>12Х18Н10Т</t>
        </is>
      </c>
      <c r="I4" s="4" t="inlineStr">
        <is>
          <t xml:space="preserve">Ручное </t>
        </is>
      </c>
      <c r="J4" s="13" t="n"/>
      <c r="K4" s="6">
        <f>IF(J4="","",J4*(1-0.1))</f>
        <v/>
      </c>
      <c r="L4" s="9" t="n"/>
      <c r="M4" s="6">
        <f>IF(J4="","",K4*D4)</f>
        <v/>
      </c>
      <c r="N4" s="6">
        <f>IF(L4="","",L4*D4*55)</f>
        <v/>
      </c>
      <c r="O4" s="6">
        <f>IF(M4="","",M4+N(N4))</f>
        <v/>
      </c>
      <c r="P4" s="9" t="n"/>
      <c r="Q4" s="4" t="inlineStr"/>
      <c r="R4" s="4" t="inlineStr"/>
      <c r="S4" s="9" t="n"/>
    </row>
    <row r="5" ht="34" customHeight="1">
      <c r="A5" s="4" t="inlineStr">
        <is>
          <t>1.1</t>
        </is>
      </c>
      <c r="B5" s="9" t="n">
        <v>3</v>
      </c>
      <c r="C5" s="4" t="inlineStr">
        <is>
          <t>Клапан запорный15нж65нж Ду 50 Ру 16</t>
        </is>
      </c>
      <c r="D5" s="9" t="n">
        <v>3</v>
      </c>
      <c r="E5" s="4" t="inlineStr">
        <is>
          <t>шт</t>
        </is>
      </c>
      <c r="F5" s="9" t="n">
        <v>50</v>
      </c>
      <c r="G5" s="9" t="n">
        <v>1.6</v>
      </c>
      <c r="H5" s="4" t="inlineStr">
        <is>
          <t>12Х18Н10Т</t>
        </is>
      </c>
      <c r="I5" s="4" t="inlineStr">
        <is>
          <t xml:space="preserve">Ручное </t>
        </is>
      </c>
      <c r="J5" s="13" t="n"/>
      <c r="K5" s="6">
        <f>IF(J5="","",J5*(1-0.1))</f>
        <v/>
      </c>
      <c r="L5" s="9" t="n"/>
      <c r="M5" s="6">
        <f>IF(J5="","",K5*D5)</f>
        <v/>
      </c>
      <c r="N5" s="6">
        <f>IF(L5="","",L5*D5*55)</f>
        <v/>
      </c>
      <c r="O5" s="6">
        <f>IF(M5="","",M5+N(N5))</f>
        <v/>
      </c>
      <c r="P5" s="9" t="n"/>
      <c r="Q5" s="4" t="inlineStr"/>
      <c r="R5" s="4" t="inlineStr"/>
      <c r="S5" s="9" t="n"/>
    </row>
    <row r="6" ht="34" customHeight="1">
      <c r="A6" s="4" t="inlineStr">
        <is>
          <t>1.1</t>
        </is>
      </c>
      <c r="B6" s="9" t="n">
        <v>4</v>
      </c>
      <c r="C6" s="4" t="inlineStr">
        <is>
          <t>Клапан запорный15с52нж11 Ду 32 Ру 63 под приварку</t>
        </is>
      </c>
      <c r="D6" s="9" t="n">
        <v>12</v>
      </c>
      <c r="E6" s="4" t="inlineStr">
        <is>
          <t>шт</t>
        </is>
      </c>
      <c r="F6" s="9" t="n">
        <v>32</v>
      </c>
      <c r="G6" s="9" t="n">
        <v>6.3</v>
      </c>
      <c r="H6" s="4" t="inlineStr">
        <is>
          <t>Сталь 20</t>
        </is>
      </c>
      <c r="I6" s="4" t="inlineStr">
        <is>
          <t xml:space="preserve">ручное </t>
        </is>
      </c>
      <c r="J6" s="13" t="n"/>
      <c r="K6" s="6">
        <f>IF(J6="","",J6*(1-0.1))</f>
        <v/>
      </c>
      <c r="L6" s="9" t="n"/>
      <c r="M6" s="6">
        <f>IF(J6="","",K6*D6)</f>
        <v/>
      </c>
      <c r="N6" s="6">
        <f>IF(L6="","",L6*D6*55)</f>
        <v/>
      </c>
      <c r="O6" s="6">
        <f>IF(M6="","",M6+N(N6))</f>
        <v/>
      </c>
      <c r="P6" s="9" t="n"/>
      <c r="Q6" s="4" t="inlineStr"/>
      <c r="R6" s="4" t="inlineStr"/>
      <c r="S6" s="9" t="n"/>
    </row>
    <row r="7" ht="34" customHeight="1">
      <c r="A7" s="4" t="inlineStr">
        <is>
          <t>1.1</t>
        </is>
      </c>
      <c r="B7" s="9" t="n">
        <v>5</v>
      </c>
      <c r="C7" s="4" t="inlineStr">
        <is>
          <t>Задвижка 30нж41нж Ду 150 Ру 16 1исп. САЗ</t>
        </is>
      </c>
      <c r="D7" s="9" t="n">
        <v>1</v>
      </c>
      <c r="E7" s="4" t="inlineStr">
        <is>
          <t>шт</t>
        </is>
      </c>
      <c r="F7" s="9" t="n">
        <v>150</v>
      </c>
      <c r="G7" s="9" t="n">
        <v>1.6</v>
      </c>
      <c r="H7" s="4" t="inlineStr">
        <is>
          <t>сталь 12Х18Н9ТЛ</t>
        </is>
      </c>
      <c r="I7" s="4" t="inlineStr">
        <is>
          <t>ручной (маховик)</t>
        </is>
      </c>
      <c r="J7" s="13" t="n"/>
      <c r="K7" s="6">
        <f>IF(J7="","",J7*(1-0.1))</f>
        <v/>
      </c>
      <c r="L7" s="9" t="n"/>
      <c r="M7" s="6">
        <f>IF(J7="","",K7*D7)</f>
        <v/>
      </c>
      <c r="N7" s="6">
        <f>IF(L7="","",L7*D7*55)</f>
        <v/>
      </c>
      <c r="O7" s="6">
        <f>IF(M7="","",M7+N(N7))</f>
        <v/>
      </c>
      <c r="P7" s="9" t="n"/>
      <c r="Q7" s="4" t="inlineStr"/>
      <c r="R7" s="4" t="inlineStr"/>
      <c r="S7" s="9" t="n"/>
    </row>
    <row r="8" ht="34" customHeight="1">
      <c r="A8" s="4" t="inlineStr">
        <is>
          <t>1.1</t>
        </is>
      </c>
      <c r="B8" s="9" t="n">
        <v>6</v>
      </c>
      <c r="C8" s="4" t="inlineStr">
        <is>
          <t>Задвижка 30нж947нж Ду 1000 Ру 4</t>
        </is>
      </c>
      <c r="D8" s="9" t="n">
        <v>1</v>
      </c>
      <c r="E8" s="4" t="inlineStr">
        <is>
          <t>шт</t>
        </is>
      </c>
      <c r="F8" s="9" t="n">
        <v>1000</v>
      </c>
      <c r="G8" s="9" t="n">
        <v>0.4</v>
      </c>
      <c r="H8" s="4" t="inlineStr">
        <is>
          <t>Ст.12Х18Н10Т</t>
        </is>
      </c>
      <c r="I8" s="4" t="inlineStr">
        <is>
          <t>Под привод , тип присоединения</t>
        </is>
      </c>
      <c r="J8" s="13" t="n"/>
      <c r="K8" s="6">
        <f>IF(J8="","",J8*(1-0.1))</f>
        <v/>
      </c>
      <c r="L8" s="9" t="n"/>
      <c r="M8" s="6">
        <f>IF(J8="","",K8*D8)</f>
        <v/>
      </c>
      <c r="N8" s="6">
        <f>IF(L8="","",L8*D8*55)</f>
        <v/>
      </c>
      <c r="O8" s="6">
        <f>IF(M8="","",M8+N(N8))</f>
        <v/>
      </c>
      <c r="P8" s="9" t="n"/>
      <c r="Q8" s="4" t="inlineStr"/>
      <c r="R8" s="4" t="inlineStr"/>
      <c r="S8" s="9" t="n"/>
    </row>
    <row r="9" ht="34" customHeight="1">
      <c r="A9" s="4" t="inlineStr">
        <is>
          <t>1.1</t>
        </is>
      </c>
      <c r="B9" s="9" t="n">
        <v>7</v>
      </c>
      <c r="C9" s="4" t="inlineStr">
        <is>
          <t>Задвижка 30с41нж Ду 50 Ру 16</t>
        </is>
      </c>
      <c r="D9" s="9" t="n">
        <v>10</v>
      </c>
      <c r="E9" s="4" t="inlineStr">
        <is>
          <t>шт</t>
        </is>
      </c>
      <c r="F9" s="9" t="n">
        <v>50</v>
      </c>
      <c r="G9" s="9" t="n">
        <v>1.6</v>
      </c>
      <c r="H9" s="4" t="inlineStr">
        <is>
          <t>Сталь 25 Л</t>
        </is>
      </c>
      <c r="I9" s="4" t="inlineStr">
        <is>
          <t xml:space="preserve">Ручное  </t>
        </is>
      </c>
      <c r="J9" s="13" t="n"/>
      <c r="K9" s="6">
        <f>IF(J9="","",J9*(1-0.1))</f>
        <v/>
      </c>
      <c r="L9" s="9" t="n"/>
      <c r="M9" s="6">
        <f>IF(J9="","",K9*D9)</f>
        <v/>
      </c>
      <c r="N9" s="6">
        <f>IF(L9="","",L9*D9*55)</f>
        <v/>
      </c>
      <c r="O9" s="6">
        <f>IF(M9="","",M9+N(N9))</f>
        <v/>
      </c>
      <c r="P9" s="9" t="n"/>
      <c r="Q9" s="4" t="inlineStr"/>
      <c r="R9" s="4" t="inlineStr"/>
      <c r="S9" s="9" t="n"/>
    </row>
    <row r="10" ht="34" customHeight="1">
      <c r="A10" s="4" t="inlineStr">
        <is>
          <t>1.1</t>
        </is>
      </c>
      <c r="B10" s="9" t="n">
        <v>8</v>
      </c>
      <c r="C10" s="4" t="inlineStr">
        <is>
          <t>Задвижка 30с41нж Ду 100 Ру 16</t>
        </is>
      </c>
      <c r="D10" s="9" t="n">
        <v>7</v>
      </c>
      <c r="E10" s="4" t="inlineStr">
        <is>
          <t>шт</t>
        </is>
      </c>
      <c r="F10" s="9" t="n">
        <v>100</v>
      </c>
      <c r="G10" s="9" t="n">
        <v>1.6</v>
      </c>
      <c r="H10" s="4" t="inlineStr">
        <is>
          <t>сталь 25Л</t>
        </is>
      </c>
      <c r="I10" s="4" t="inlineStr">
        <is>
          <t>ручной (маховик)</t>
        </is>
      </c>
      <c r="J10" s="13" t="n"/>
      <c r="K10" s="6">
        <f>IF(J10="","",J10*(1-0.1))</f>
        <v/>
      </c>
      <c r="L10" s="9" t="n"/>
      <c r="M10" s="6">
        <f>IF(J10="","",K10*D10)</f>
        <v/>
      </c>
      <c r="N10" s="6">
        <f>IF(L10="","",L10*D10*55)</f>
        <v/>
      </c>
      <c r="O10" s="6">
        <f>IF(M10="","",M10+N(N10))</f>
        <v/>
      </c>
      <c r="P10" s="9" t="n"/>
      <c r="Q10" s="4" t="inlineStr"/>
      <c r="R10" s="4" t="inlineStr"/>
      <c r="S10" s="9" t="n"/>
    </row>
    <row r="11" ht="34" customHeight="1">
      <c r="A11" s="4" t="inlineStr">
        <is>
          <t>1.1</t>
        </is>
      </c>
      <c r="B11" s="9" t="n">
        <v>9</v>
      </c>
      <c r="C11" s="4" t="inlineStr">
        <is>
          <t>Задвижка 30с41нж Ду 150 Ру 16</t>
        </is>
      </c>
      <c r="D11" s="9" t="n">
        <v>10</v>
      </c>
      <c r="E11" s="4" t="inlineStr">
        <is>
          <t>шт</t>
        </is>
      </c>
      <c r="F11" s="9" t="n">
        <v>150</v>
      </c>
      <c r="G11" s="9" t="n">
        <v>1.6</v>
      </c>
      <c r="H11" s="4" t="inlineStr">
        <is>
          <t>сталь 25Л</t>
        </is>
      </c>
      <c r="I11" s="4" t="inlineStr">
        <is>
          <t>ручной (маховик)</t>
        </is>
      </c>
      <c r="J11" s="13" t="n"/>
      <c r="K11" s="6">
        <f>IF(J11="","",J11*(1-0.1))</f>
        <v/>
      </c>
      <c r="L11" s="9" t="n"/>
      <c r="M11" s="6">
        <f>IF(J11="","",K11*D11)</f>
        <v/>
      </c>
      <c r="N11" s="6">
        <f>IF(L11="","",L11*D11*55)</f>
        <v/>
      </c>
      <c r="O11" s="6">
        <f>IF(M11="","",M11+N(N11))</f>
        <v/>
      </c>
      <c r="P11" s="9" t="n"/>
      <c r="Q11" s="4" t="inlineStr"/>
      <c r="R11" s="4" t="inlineStr"/>
      <c r="S11" s="9" t="n"/>
    </row>
    <row r="12" ht="34" customHeight="1">
      <c r="A12" s="4" t="inlineStr">
        <is>
          <t>1.1</t>
        </is>
      </c>
      <c r="B12" s="9" t="n">
        <v>10</v>
      </c>
      <c r="C12" s="4" t="inlineStr">
        <is>
          <t>Задвижка клиновая фланцевая 30с41нж Ду 300 Ру 16 с КОФ</t>
        </is>
      </c>
      <c r="D12" s="9" t="n">
        <v>2</v>
      </c>
      <c r="E12" s="4" t="inlineStr">
        <is>
          <t>шт</t>
        </is>
      </c>
      <c r="F12" s="9" t="n">
        <v>300</v>
      </c>
      <c r="G12" s="9" t="n">
        <v>1.6</v>
      </c>
      <c r="H12" s="4" t="inlineStr">
        <is>
          <t>сталь 25Л</t>
        </is>
      </c>
      <c r="I12" s="4" t="inlineStr">
        <is>
          <t xml:space="preserve">Ручное  </t>
        </is>
      </c>
      <c r="J12" s="13" t="n"/>
      <c r="K12" s="6">
        <f>IF(J12="","",J12*(1-0.1))</f>
        <v/>
      </c>
      <c r="L12" s="9" t="n"/>
      <c r="M12" s="6">
        <f>IF(J12="","",K12*D12)</f>
        <v/>
      </c>
      <c r="N12" s="6">
        <f>IF(L12="","",L12*D12*55)</f>
        <v/>
      </c>
      <c r="O12" s="6">
        <f>IF(M12="","",M12+N(N12))</f>
        <v/>
      </c>
      <c r="P12" s="9" t="n"/>
      <c r="Q12" s="4" t="inlineStr"/>
      <c r="R12" s="4" t="inlineStr"/>
      <c r="S12" s="9" t="n"/>
    </row>
    <row r="13" ht="34" customHeight="1">
      <c r="A13" s="4" t="inlineStr">
        <is>
          <t>1.1</t>
        </is>
      </c>
      <c r="B13" s="9" t="n">
        <v>11</v>
      </c>
      <c r="C13" s="4" t="inlineStr">
        <is>
          <t>Задвижка 30С576НЖ Ду 300 Ру 63 с редуктором РК-Г-1М, в комплекте с крепежом и ответными фланцами.</t>
        </is>
      </c>
      <c r="D13" s="9" t="n">
        <v>2</v>
      </c>
      <c r="E13" s="4" t="inlineStr">
        <is>
          <t>шт</t>
        </is>
      </c>
      <c r="F13" s="9" t="n">
        <v>300</v>
      </c>
      <c r="G13" s="9" t="n">
        <v>6.3</v>
      </c>
      <c r="H13" s="4" t="inlineStr">
        <is>
          <t>Сталь 25Л</t>
        </is>
      </c>
      <c r="I13" s="4" t="inlineStr">
        <is>
          <t>редуктор РК-Г1</t>
        </is>
      </c>
      <c r="J13" s="13" t="n"/>
      <c r="K13" s="6">
        <f>IF(J13="","",J13*(1-0.1))</f>
        <v/>
      </c>
      <c r="L13" s="9" t="n"/>
      <c r="M13" s="6">
        <f>IF(J13="","",K13*D13)</f>
        <v/>
      </c>
      <c r="N13" s="6">
        <f>IF(L13="","",L13*D13*55)</f>
        <v/>
      </c>
      <c r="O13" s="6">
        <f>IF(M13="","",M13+N(N13))</f>
        <v/>
      </c>
      <c r="P13" s="9" t="n"/>
      <c r="Q13" s="4" t="inlineStr"/>
      <c r="R13" s="4" t="inlineStr"/>
      <c r="S13" s="9" t="n"/>
    </row>
    <row r="14" ht="34" customHeight="1">
      <c r="A14" s="4" t="inlineStr">
        <is>
          <t>1.1</t>
        </is>
      </c>
      <c r="B14" s="9" t="n">
        <v>12</v>
      </c>
      <c r="C14" s="4" t="inlineStr">
        <is>
          <t>Задвижка клиновая фланцевая 30с941нж Ду 500 Ру 16 с КОФ под электропривод Bernard ST-30</t>
        </is>
      </c>
      <c r="D14" s="9" t="n">
        <v>1</v>
      </c>
      <c r="E14" s="4" t="inlineStr">
        <is>
          <t>шт</t>
        </is>
      </c>
      <c r="F14" s="9" t="n">
        <v>500</v>
      </c>
      <c r="G14" s="4" t="inlineStr">
        <is>
          <t>1,6 МПа</t>
        </is>
      </c>
      <c r="H14" s="4" t="inlineStr">
        <is>
          <t>сталь 25Л</t>
        </is>
      </c>
      <c r="I14" s="4" t="inlineStr">
        <is>
          <t>под электропривод</t>
        </is>
      </c>
      <c r="J14" s="13" t="n"/>
      <c r="K14" s="6">
        <f>IF(J14="","",J14*(1-0.1))</f>
        <v/>
      </c>
      <c r="L14" s="9" t="n"/>
      <c r="M14" s="6">
        <f>IF(J14="","",K14*D14)</f>
        <v/>
      </c>
      <c r="N14" s="6">
        <f>IF(L14="","",L14*D14*55)</f>
        <v/>
      </c>
      <c r="O14" s="6">
        <f>IF(M14="","",M14+N(N14))</f>
        <v/>
      </c>
      <c r="P14" s="9" t="n"/>
      <c r="Q14" s="4" t="inlineStr"/>
      <c r="R14" s="4" t="inlineStr"/>
      <c r="S14" s="9" t="n"/>
    </row>
    <row r="15" ht="34" customHeight="1">
      <c r="A15" s="4" t="inlineStr">
        <is>
          <t>1.1</t>
        </is>
      </c>
      <c r="B15" s="9" t="n">
        <v>13</v>
      </c>
      <c r="C15" s="4" t="inlineStr">
        <is>
          <t>Задвижка 30с964нж Ду 300 Ру 25</t>
        </is>
      </c>
      <c r="D15" s="9" t="n">
        <v>1</v>
      </c>
      <c r="E15" s="4" t="inlineStr">
        <is>
          <t>шт</t>
        </is>
      </c>
      <c r="F15" s="9" t="n">
        <v>300</v>
      </c>
      <c r="G15" s="9" t="n">
        <v>2.5</v>
      </c>
      <c r="H15" s="4" t="inlineStr">
        <is>
          <t>Сталь 25Л</t>
        </is>
      </c>
      <c r="I15" s="4" t="inlineStr">
        <is>
          <t>Под привод, ручное</t>
        </is>
      </c>
      <c r="J15" s="13" t="n"/>
      <c r="K15" s="6">
        <f>IF(J15="","",J15*(1-0.1))</f>
        <v/>
      </c>
      <c r="L15" s="9" t="n"/>
      <c r="M15" s="6">
        <f>IF(J15="","",K15*D15)</f>
        <v/>
      </c>
      <c r="N15" s="6">
        <f>IF(L15="","",L15*D15*55)</f>
        <v/>
      </c>
      <c r="O15" s="6">
        <f>IF(M15="","",M15+N(N15))</f>
        <v/>
      </c>
      <c r="P15" s="9" t="n"/>
      <c r="Q15" s="4" t="inlineStr"/>
      <c r="R15" s="4" t="inlineStr"/>
      <c r="S15" s="9" t="n"/>
    </row>
    <row r="16" ht="34" customHeight="1">
      <c r="A16" s="4" t="inlineStr">
        <is>
          <t>1.1</t>
        </is>
      </c>
      <c r="B16" s="9" t="n">
        <v>14</v>
      </c>
      <c r="C16" s="4" t="inlineStr">
        <is>
          <t>Кран шаровой 11б27п1 Ду 15 Ру 16</t>
        </is>
      </c>
      <c r="D16" s="9" t="n">
        <v>35</v>
      </c>
      <c r="E16" s="4" t="inlineStr">
        <is>
          <t>шт</t>
        </is>
      </c>
      <c r="F16" s="9" t="n">
        <v>15</v>
      </c>
      <c r="G16" s="9" t="n">
        <v>1.6</v>
      </c>
      <c r="H16" s="4" t="inlineStr">
        <is>
          <t>латунь HPb58-2A</t>
        </is>
      </c>
      <c r="I16" s="4" t="inlineStr">
        <is>
          <t xml:space="preserve">Ручное </t>
        </is>
      </c>
      <c r="J16" s="13" t="n"/>
      <c r="K16" s="6">
        <f>IF(J16="","",J16*(1-0.1))</f>
        <v/>
      </c>
      <c r="L16" s="9" t="n"/>
      <c r="M16" s="6">
        <f>IF(J16="","",K16*D16)</f>
        <v/>
      </c>
      <c r="N16" s="6">
        <f>IF(L16="","",L16*D16*55)</f>
        <v/>
      </c>
      <c r="O16" s="6">
        <f>IF(M16="","",M16+N(N16))</f>
        <v/>
      </c>
      <c r="P16" s="9" t="n"/>
      <c r="Q16" s="4" t="inlineStr"/>
      <c r="R16" s="4" t="inlineStr"/>
      <c r="S16" s="9" t="n"/>
    </row>
    <row r="17" ht="34" customHeight="1">
      <c r="A17" s="4" t="inlineStr">
        <is>
          <t>1.1</t>
        </is>
      </c>
      <c r="B17" s="9" t="n">
        <v>15</v>
      </c>
      <c r="C17" s="4" t="inlineStr">
        <is>
          <t>Кран шаровой 11б27п1 Ду 20 Ру 16</t>
        </is>
      </c>
      <c r="D17" s="9" t="n">
        <v>35</v>
      </c>
      <c r="E17" s="4" t="inlineStr">
        <is>
          <t>шт</t>
        </is>
      </c>
      <c r="F17" s="9" t="n">
        <v>20</v>
      </c>
      <c r="G17" s="9" t="n">
        <v>1.6</v>
      </c>
      <c r="H17" s="4" t="inlineStr">
        <is>
          <t>латунь HPb58-2A</t>
        </is>
      </c>
      <c r="I17" s="4" t="inlineStr">
        <is>
          <t xml:space="preserve">Ручное </t>
        </is>
      </c>
      <c r="J17" s="13" t="n"/>
      <c r="K17" s="6">
        <f>IF(J17="","",J17*(1-0.1))</f>
        <v/>
      </c>
      <c r="L17" s="9" t="n"/>
      <c r="M17" s="6">
        <f>IF(J17="","",K17*D17)</f>
        <v/>
      </c>
      <c r="N17" s="6">
        <f>IF(L17="","",L17*D17*55)</f>
        <v/>
      </c>
      <c r="O17" s="6">
        <f>IF(M17="","",M17+N(N17))</f>
        <v/>
      </c>
      <c r="P17" s="9" t="n"/>
      <c r="Q17" s="4" t="inlineStr"/>
      <c r="R17" s="4" t="inlineStr"/>
      <c r="S17" s="9" t="n"/>
    </row>
    <row r="18" ht="34" customHeight="1">
      <c r="A18" s="4" t="inlineStr">
        <is>
          <t>1.1</t>
        </is>
      </c>
      <c r="B18" s="9" t="n">
        <v>16</v>
      </c>
      <c r="C18" s="4" t="inlineStr">
        <is>
          <t>Кран шаровой 11б27п1 Ду 25 Ру 16</t>
        </is>
      </c>
      <c r="D18" s="9" t="n">
        <v>20</v>
      </c>
      <c r="E18" s="4" t="inlineStr">
        <is>
          <t>шт</t>
        </is>
      </c>
      <c r="F18" s="9" t="n">
        <v>25</v>
      </c>
      <c r="G18" s="9" t="n">
        <v>1.6</v>
      </c>
      <c r="H18" s="4" t="inlineStr">
        <is>
          <t>латунь HPb58-2A</t>
        </is>
      </c>
      <c r="I18" s="4" t="inlineStr">
        <is>
          <t xml:space="preserve">Ручное </t>
        </is>
      </c>
      <c r="J18" s="13" t="n"/>
      <c r="K18" s="6">
        <f>IF(J18="","",J18*(1-0.1))</f>
        <v/>
      </c>
      <c r="L18" s="9" t="n"/>
      <c r="M18" s="6">
        <f>IF(J18="","",K18*D18)</f>
        <v/>
      </c>
      <c r="N18" s="6">
        <f>IF(L18="","",L18*D18*55)</f>
        <v/>
      </c>
      <c r="O18" s="6">
        <f>IF(M18="","",M18+N(N18))</f>
        <v/>
      </c>
      <c r="P18" s="9" t="n"/>
      <c r="Q18" s="4" t="inlineStr"/>
      <c r="R18" s="4" t="inlineStr"/>
      <c r="S18" s="9" t="n"/>
    </row>
    <row r="19" ht="34" customHeight="1">
      <c r="A19" s="4" t="inlineStr">
        <is>
          <t>1.1</t>
        </is>
      </c>
      <c r="B19" s="9" t="n">
        <v>17</v>
      </c>
      <c r="C19" s="4" t="inlineStr">
        <is>
          <t>Кран шаровой 11б27п1 Ду 32 Ру 16</t>
        </is>
      </c>
      <c r="D19" s="9" t="n">
        <v>25</v>
      </c>
      <c r="E19" s="4" t="inlineStr">
        <is>
          <t>шт</t>
        </is>
      </c>
      <c r="F19" s="9" t="n">
        <v>32</v>
      </c>
      <c r="G19" s="9" t="n">
        <v>1.6</v>
      </c>
      <c r="H19" s="4" t="inlineStr">
        <is>
          <t>латунь HPb58-2A</t>
        </is>
      </c>
      <c r="I19" s="4" t="inlineStr">
        <is>
          <t xml:space="preserve">Ручное </t>
        </is>
      </c>
      <c r="J19" s="13" t="n"/>
      <c r="K19" s="6">
        <f>IF(J19="","",J19*(1-0.1))</f>
        <v/>
      </c>
      <c r="L19" s="9" t="n"/>
      <c r="M19" s="6">
        <f>IF(J19="","",K19*D19)</f>
        <v/>
      </c>
      <c r="N19" s="6">
        <f>IF(L19="","",L19*D19*55)</f>
        <v/>
      </c>
      <c r="O19" s="6">
        <f>IF(M19="","",M19+N(N19))</f>
        <v/>
      </c>
      <c r="P19" s="9" t="n"/>
      <c r="Q19" s="4" t="inlineStr"/>
      <c r="R19" s="4" t="inlineStr"/>
      <c r="S19" s="9" t="n"/>
    </row>
    <row r="20" ht="34" customHeight="1">
      <c r="A20" s="4" t="inlineStr">
        <is>
          <t>1.1</t>
        </is>
      </c>
      <c r="B20" s="9" t="n">
        <v>18</v>
      </c>
      <c r="C20" s="4" t="inlineStr">
        <is>
          <t>Кран шаровой 11б27п1 Ду 40 Ру 16</t>
        </is>
      </c>
      <c r="D20" s="9" t="n">
        <v>8</v>
      </c>
      <c r="E20" s="4" t="inlineStr">
        <is>
          <t>шт</t>
        </is>
      </c>
      <c r="F20" s="9" t="n">
        <v>40</v>
      </c>
      <c r="G20" s="9" t="n">
        <v>1.6</v>
      </c>
      <c r="H20" s="4" t="inlineStr">
        <is>
          <t>латунь HPb58-2A</t>
        </is>
      </c>
      <c r="I20" s="4" t="inlineStr">
        <is>
          <t xml:space="preserve">Ручное </t>
        </is>
      </c>
      <c r="J20" s="13" t="n"/>
      <c r="K20" s="6">
        <f>IF(J20="","",J20*(1-0.1))</f>
        <v/>
      </c>
      <c r="L20" s="9" t="n"/>
      <c r="M20" s="6">
        <f>IF(J20="","",K20*D20)</f>
        <v/>
      </c>
      <c r="N20" s="6">
        <f>IF(L20="","",L20*D20*55)</f>
        <v/>
      </c>
      <c r="O20" s="6">
        <f>IF(M20="","",M20+N(N20))</f>
        <v/>
      </c>
      <c r="P20" s="9" t="n"/>
      <c r="Q20" s="4" t="inlineStr"/>
      <c r="R20" s="4" t="inlineStr"/>
      <c r="S20" s="9" t="n"/>
    </row>
    <row r="21" ht="34" customHeight="1">
      <c r="A21" s="4" t="inlineStr">
        <is>
          <t>1.1</t>
        </is>
      </c>
      <c r="B21" s="9" t="n">
        <v>19</v>
      </c>
      <c r="C21" s="4" t="inlineStr">
        <is>
          <t>Кран шаровой 11б27п1 Ду 50 Ру 16</t>
        </is>
      </c>
      <c r="D21" s="9" t="n">
        <v>8</v>
      </c>
      <c r="E21" s="4" t="inlineStr">
        <is>
          <t>шт</t>
        </is>
      </c>
      <c r="F21" s="9" t="n">
        <v>50</v>
      </c>
      <c r="G21" s="9" t="n">
        <v>1.6</v>
      </c>
      <c r="H21" s="4" t="inlineStr">
        <is>
          <t>латунь HPb58-2A</t>
        </is>
      </c>
      <c r="I21" s="4" t="inlineStr">
        <is>
          <t xml:space="preserve">Ручное </t>
        </is>
      </c>
      <c r="J21" s="13" t="n"/>
      <c r="K21" s="6">
        <f>IF(J21="","",J21*(1-0.1))</f>
        <v/>
      </c>
      <c r="L21" s="9" t="n"/>
      <c r="M21" s="6">
        <f>IF(J21="","",K21*D21)</f>
        <v/>
      </c>
      <c r="N21" s="6">
        <f>IF(L21="","",L21*D21*55)</f>
        <v/>
      </c>
      <c r="O21" s="6">
        <f>IF(M21="","",M21+N(N21))</f>
        <v/>
      </c>
      <c r="P21" s="9" t="n"/>
      <c r="Q21" s="4" t="inlineStr"/>
      <c r="R21" s="4" t="inlineStr"/>
      <c r="S21" s="9" t="n"/>
    </row>
    <row r="22" ht="34" customHeight="1">
      <c r="A22" s="4" t="inlineStr">
        <is>
          <t>1.1</t>
        </is>
      </c>
      <c r="B22" s="9" t="n">
        <v>20</v>
      </c>
      <c r="C22" s="4" t="inlineStr">
        <is>
          <t>Кран шаровой 11с67п Ду 150 Ру 25 цельносварной под приварку</t>
        </is>
      </c>
      <c r="D22" s="9" t="n">
        <v>2</v>
      </c>
      <c r="E22" s="4" t="inlineStr">
        <is>
          <t>шт</t>
        </is>
      </c>
      <c r="F22" s="9" t="n">
        <v>150</v>
      </c>
      <c r="G22" s="9" t="n">
        <v>2.5</v>
      </c>
      <c r="H22" s="4" t="inlineStr">
        <is>
          <t>Сталь 20</t>
        </is>
      </c>
      <c r="I22" s="4" t="inlineStr">
        <is>
          <t xml:space="preserve">Ручное </t>
        </is>
      </c>
      <c r="J22" s="13" t="n"/>
      <c r="K22" s="6">
        <f>IF(J22="","",J22*(1-0.1))</f>
        <v/>
      </c>
      <c r="L22" s="9" t="n"/>
      <c r="M22" s="6">
        <f>IF(J22="","",K22*D22)</f>
        <v/>
      </c>
      <c r="N22" s="6">
        <f>IF(L22="","",L22*D22*55)</f>
        <v/>
      </c>
      <c r="O22" s="6">
        <f>IF(M22="","",M22+N(N22))</f>
        <v/>
      </c>
      <c r="P22" s="9" t="n"/>
      <c r="Q22" s="4" t="inlineStr"/>
      <c r="R22" s="4" t="inlineStr"/>
      <c r="S22" s="9" t="n"/>
    </row>
    <row r="23" ht="34" customHeight="1">
      <c r="A23" s="4" t="inlineStr">
        <is>
          <t>1.1</t>
        </is>
      </c>
      <c r="B23" s="9" t="n">
        <v>21</v>
      </c>
      <c r="C23" s="4" t="inlineStr">
        <is>
          <t>Кран шаровой 11с67п Ду 200 Ру 16 ЦУФ.001 КШ укороченный полнопроходной фланцевый с рукояткой</t>
        </is>
      </c>
      <c r="D23" s="9" t="n">
        <v>2</v>
      </c>
      <c r="E23" s="4" t="inlineStr">
        <is>
          <t>шт</t>
        </is>
      </c>
      <c r="F23" s="9" t="n">
        <v>200</v>
      </c>
      <c r="G23" s="9" t="n">
        <v>1.6</v>
      </c>
      <c r="H23" s="4" t="inlineStr">
        <is>
          <t>Сталь 20</t>
        </is>
      </c>
      <c r="I23" s="4" t="inlineStr">
        <is>
          <t xml:space="preserve">Ручное </t>
        </is>
      </c>
      <c r="J23" s="13" t="n"/>
      <c r="K23" s="6">
        <f>IF(J23="","",J23*(1-0.1))</f>
        <v/>
      </c>
      <c r="L23" s="9" t="n"/>
      <c r="M23" s="6">
        <f>IF(J23="","",K23*D23)</f>
        <v/>
      </c>
      <c r="N23" s="6">
        <f>IF(L23="","",L23*D23*55)</f>
        <v/>
      </c>
      <c r="O23" s="6">
        <f>IF(M23="","",M23+N(N23))</f>
        <v/>
      </c>
      <c r="P23" s="9" t="n"/>
      <c r="Q23" s="4" t="inlineStr"/>
      <c r="R23" s="4" t="inlineStr"/>
      <c r="S23" s="9" t="n"/>
    </row>
    <row r="24" ht="34" customHeight="1">
      <c r="A24" s="4" t="inlineStr">
        <is>
          <t>1.1</t>
        </is>
      </c>
      <c r="B24" s="9" t="n">
        <v>22</v>
      </c>
      <c r="C24" s="4" t="inlineStr">
        <is>
          <t>Затвор дисковый поворотный межфланцевый Stensel 31070-01 Ду 200 Ру 25</t>
        </is>
      </c>
      <c r="D24" s="9" t="n">
        <v>3</v>
      </c>
      <c r="E24" s="4" t="inlineStr">
        <is>
          <t>шт</t>
        </is>
      </c>
      <c r="F24" s="9" t="n">
        <v>200</v>
      </c>
      <c r="G24" s="9" t="n">
        <v>2.5</v>
      </c>
      <c r="H24" s="4" t="inlineStr">
        <is>
          <t>Корпус - нержавеющая сталь</t>
        </is>
      </c>
      <c r="I24" s="4" t="inlineStr">
        <is>
          <t>Верхний фланец выполнен по ста</t>
        </is>
      </c>
      <c r="J24" s="13" t="n"/>
      <c r="K24" s="6">
        <f>IF(J24="","",J24*(1-0.1))</f>
        <v/>
      </c>
      <c r="L24" s="9" t="n"/>
      <c r="M24" s="6">
        <f>IF(J24="","",K24*D24)</f>
        <v/>
      </c>
      <c r="N24" s="6">
        <f>IF(L24="","",L24*D24*55)</f>
        <v/>
      </c>
      <c r="O24" s="6">
        <f>IF(M24="","",M24+N(N24))</f>
        <v/>
      </c>
      <c r="P24" s="9" t="n"/>
      <c r="Q24" s="4" t="inlineStr"/>
      <c r="R24" s="4" t="inlineStr"/>
      <c r="S24" s="9" t="n"/>
    </row>
    <row r="25" ht="34" customHeight="1">
      <c r="A25" s="4" t="inlineStr">
        <is>
          <t>1.1</t>
        </is>
      </c>
      <c r="B25" s="9" t="n">
        <v>23</v>
      </c>
      <c r="C25" s="4" t="inlineStr">
        <is>
          <t>Затвор дисковый поворотный межфланцевый ПА954.450.10-05 Ду 450 Ру 10</t>
        </is>
      </c>
      <c r="D25" s="9" t="n">
        <v>1</v>
      </c>
      <c r="E25" s="4" t="inlineStr">
        <is>
          <t>шт</t>
        </is>
      </c>
      <c r="F25" s="9" t="n">
        <v>450</v>
      </c>
      <c r="G25" s="9" t="n">
        <v>1</v>
      </c>
      <c r="H25" s="4" t="inlineStr">
        <is>
          <t>Корпус - коррозионностойкая молибденосод</t>
        </is>
      </c>
      <c r="I25" s="4" t="inlineStr">
        <is>
          <t>Редуктор DN 450</t>
        </is>
      </c>
      <c r="J25" s="13" t="n"/>
      <c r="K25" s="6">
        <f>IF(J25="","",J25*(1-0.1))</f>
        <v/>
      </c>
      <c r="L25" s="9" t="n"/>
      <c r="M25" s="6">
        <f>IF(J25="","",K25*D25)</f>
        <v/>
      </c>
      <c r="N25" s="6">
        <f>IF(L25="","",L25*D25*55)</f>
        <v/>
      </c>
      <c r="O25" s="6">
        <f>IF(M25="","",M25+N(N25))</f>
        <v/>
      </c>
      <c r="P25" s="9" t="n"/>
      <c r="Q25" s="4" t="inlineStr"/>
      <c r="R25" s="4" t="inlineStr"/>
      <c r="S25" s="9" t="n"/>
    </row>
    <row r="26" ht="34" customHeight="1">
      <c r="A26" s="4" t="inlineStr">
        <is>
          <t>1.1</t>
        </is>
      </c>
      <c r="B26" s="9" t="n">
        <v>24</v>
      </c>
      <c r="C26" s="4" t="inlineStr">
        <is>
          <t>Электропривод общепромышленный Н-В-02 У2</t>
        </is>
      </c>
      <c r="D26" s="9" t="n">
        <v>2</v>
      </c>
      <c r="E26" s="4" t="inlineStr">
        <is>
          <t>шт</t>
        </is>
      </c>
      <c r="F26" s="4" t="inlineStr">
        <is>
          <t>Под задвижку 30с964нж Ду 300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Электропривод Н-В-02 У2</t>
        </is>
      </c>
      <c r="J26" s="13" t="n"/>
      <c r="K26" s="6">
        <f>IF(J26="","",J26*(1-0.1))</f>
        <v/>
      </c>
      <c r="L26" s="9" t="n"/>
      <c r="M26" s="6">
        <f>IF(J26="","",K26*D26)</f>
        <v/>
      </c>
      <c r="N26" s="6">
        <f>IF(L26="","",L26*D26*55)</f>
        <v/>
      </c>
      <c r="O26" s="6">
        <f>IF(M26="","",M26+N(N26))</f>
        <v/>
      </c>
      <c r="P26" s="9" t="n"/>
      <c r="Q26" s="4" t="inlineStr"/>
      <c r="R26" s="4" t="inlineStr"/>
      <c r="S26" s="9" t="n"/>
    </row>
    <row r="27" ht="34" customHeight="1">
      <c r="A27" s="4" t="inlineStr">
        <is>
          <t>1.2</t>
        </is>
      </c>
      <c r="B27" s="9" t="n">
        <v>1</v>
      </c>
      <c r="C27" s="4" t="inlineStr">
        <is>
          <t>Кран шаровой 11с67п Ду 32 Ру 25 цельносварной под приварку</t>
        </is>
      </c>
      <c r="D27" s="9" t="n">
        <v>2</v>
      </c>
      <c r="E27" s="4" t="inlineStr">
        <is>
          <t>шт</t>
        </is>
      </c>
      <c r="F27" s="9" t="n">
        <v>32</v>
      </c>
      <c r="G27" s="9" t="n">
        <v>2.5</v>
      </c>
      <c r="H27" s="4" t="inlineStr">
        <is>
          <t>сталь 20</t>
        </is>
      </c>
      <c r="I27" s="4" t="inlineStr">
        <is>
          <t>ручной (рукоятка)</t>
        </is>
      </c>
      <c r="J27" s="13" t="n"/>
      <c r="K27" s="6">
        <f>IF(J27="","",J27*(1-0.1))</f>
        <v/>
      </c>
      <c r="L27" s="9" t="n"/>
      <c r="M27" s="6">
        <f>IF(J27="","",K27*D27)</f>
        <v/>
      </c>
      <c r="N27" s="6">
        <f>IF(L27="","",L27*D27*55)</f>
        <v/>
      </c>
      <c r="O27" s="6">
        <f>IF(M27="","",M27+N(N27))</f>
        <v/>
      </c>
      <c r="P27" s="9" t="n"/>
      <c r="Q27" s="4" t="inlineStr"/>
      <c r="R27" s="4" t="inlineStr"/>
      <c r="S27" s="9" t="n"/>
    </row>
    <row r="28" ht="34" customHeight="1">
      <c r="A28" s="4" t="inlineStr">
        <is>
          <t>1.2</t>
        </is>
      </c>
      <c r="B28" s="9" t="n">
        <v>2</v>
      </c>
      <c r="C28" s="4" t="inlineStr">
        <is>
          <t>Кран шаровой 11с67п Ду 100 Ру 25 цельносварной под приварку</t>
        </is>
      </c>
      <c r="D28" s="9" t="n">
        <v>4</v>
      </c>
      <c r="E28" s="4" t="inlineStr">
        <is>
          <t>шт</t>
        </is>
      </c>
      <c r="F28" s="9" t="n">
        <v>100</v>
      </c>
      <c r="G28" s="9" t="n">
        <v>2.5</v>
      </c>
      <c r="H28" s="4" t="inlineStr">
        <is>
          <t>сталь 20</t>
        </is>
      </c>
      <c r="I28" s="4" t="inlineStr">
        <is>
          <t>ручное</t>
        </is>
      </c>
      <c r="J28" s="13" t="n"/>
      <c r="K28" s="6">
        <f>IF(J28="","",J28*(1-0.1))</f>
        <v/>
      </c>
      <c r="L28" s="9" t="n"/>
      <c r="M28" s="6">
        <f>IF(J28="","",K28*D28)</f>
        <v/>
      </c>
      <c r="N28" s="6">
        <f>IF(L28="","",L28*D28*55)</f>
        <v/>
      </c>
      <c r="O28" s="6">
        <f>IF(M28="","",M28+N(N28))</f>
        <v/>
      </c>
      <c r="P28" s="9" t="n"/>
      <c r="Q28" s="4" t="inlineStr"/>
      <c r="R28" s="4" t="inlineStr"/>
      <c r="S28" s="9" t="n"/>
    </row>
    <row r="29" ht="34" customHeight="1">
      <c r="A29" s="4" t="inlineStr">
        <is>
          <t>1.2</t>
        </is>
      </c>
      <c r="B29" s="9" t="n">
        <v>3</v>
      </c>
      <c r="C29" s="4" t="inlineStr">
        <is>
          <t>Кран шаровой 11с67п Ду 50 Ру 25 полнопрох. с КОФ (КЗШС41нж)</t>
        </is>
      </c>
      <c r="D29" s="9" t="n">
        <v>18</v>
      </c>
      <c r="E29" s="4" t="inlineStr">
        <is>
          <t>шт</t>
        </is>
      </c>
      <c r="F29" s="9" t="n">
        <v>50</v>
      </c>
      <c r="G29" s="9" t="n">
        <v>2.5</v>
      </c>
      <c r="H29" s="4" t="inlineStr">
        <is>
          <t>сталь 20</t>
        </is>
      </c>
      <c r="I29" s="4" t="inlineStr">
        <is>
          <t xml:space="preserve">Ручное </t>
        </is>
      </c>
      <c r="J29" s="13" t="n"/>
      <c r="K29" s="6">
        <f>IF(J29="","",J29*(1-0.1))</f>
        <v/>
      </c>
      <c r="L29" s="9" t="n"/>
      <c r="M29" s="6">
        <f>IF(J29="","",K29*D29)</f>
        <v/>
      </c>
      <c r="N29" s="6">
        <f>IF(L29="","",L29*D29*55)</f>
        <v/>
      </c>
      <c r="O29" s="6">
        <f>IF(M29="","",M29+N(N29))</f>
        <v/>
      </c>
      <c r="P29" s="9" t="n"/>
      <c r="Q29" s="4" t="inlineStr"/>
      <c r="R29" s="4" t="inlineStr"/>
      <c r="S29" s="9" t="n"/>
    </row>
    <row r="30" ht="34" customHeight="1">
      <c r="A30" s="4" t="inlineStr">
        <is>
          <t>1.2</t>
        </is>
      </c>
      <c r="B30" s="9" t="n">
        <v>4</v>
      </c>
      <c r="C30" s="4" t="inlineStr">
        <is>
          <t>Кран шаровой 11с67п Ду 80 Ру 25 полнопрох. с КОФ (КЗШС41нж)</t>
        </is>
      </c>
      <c r="D30" s="9" t="n">
        <v>4</v>
      </c>
      <c r="E30" s="4" t="inlineStr">
        <is>
          <t>шт</t>
        </is>
      </c>
      <c r="F30" s="9" t="n">
        <v>80</v>
      </c>
      <c r="G30" s="9" t="n">
        <v>2.5</v>
      </c>
      <c r="H30" s="4" t="inlineStr">
        <is>
          <t>сталь 20</t>
        </is>
      </c>
      <c r="I30" s="4" t="inlineStr">
        <is>
          <t xml:space="preserve">Ручное </t>
        </is>
      </c>
      <c r="J30" s="13" t="n"/>
      <c r="K30" s="6">
        <f>IF(J30="","",J30*(1-0.1))</f>
        <v/>
      </c>
      <c r="L30" s="9" t="n"/>
      <c r="M30" s="6">
        <f>IF(J30="","",K30*D30)</f>
        <v/>
      </c>
      <c r="N30" s="6">
        <f>IF(L30="","",L30*D30*55)</f>
        <v/>
      </c>
      <c r="O30" s="6">
        <f>IF(M30="","",M30+N(N30))</f>
        <v/>
      </c>
      <c r="P30" s="9" t="n"/>
      <c r="Q30" s="4" t="inlineStr"/>
      <c r="R30" s="4" t="inlineStr"/>
      <c r="S30" s="9" t="n"/>
    </row>
    <row r="31" ht="34" customHeight="1">
      <c r="A31" s="4" t="inlineStr">
        <is>
          <t>1.2</t>
        </is>
      </c>
      <c r="B31" s="9" t="n">
        <v>5</v>
      </c>
      <c r="C31" s="4" t="inlineStr">
        <is>
          <t>Кран шаровой 11с67п Ду 100 Ру 16 ЦУФ.001 КШ укороченный полнопроходной фланцевый с рукояткой</t>
        </is>
      </c>
      <c r="D31" s="9" t="n">
        <v>2</v>
      </c>
      <c r="E31" s="4" t="inlineStr">
        <is>
          <t>шт</t>
        </is>
      </c>
      <c r="F31" s="9" t="n">
        <v>100</v>
      </c>
      <c r="G31" s="9" t="n">
        <v>1.6</v>
      </c>
      <c r="H31" s="4" t="inlineStr">
        <is>
          <t>сталь 20</t>
        </is>
      </c>
      <c r="I31" s="4" t="inlineStr">
        <is>
          <t>ручное</t>
        </is>
      </c>
      <c r="J31" s="13" t="n"/>
      <c r="K31" s="6">
        <f>IF(J31="","",J31*(1-0.1))</f>
        <v/>
      </c>
      <c r="L31" s="9" t="n"/>
      <c r="M31" s="6">
        <f>IF(J31="","",K31*D31)</f>
        <v/>
      </c>
      <c r="N31" s="6">
        <f>IF(L31="","",L31*D31*55)</f>
        <v/>
      </c>
      <c r="O31" s="6">
        <f>IF(M31="","",M31+N(N31))</f>
        <v/>
      </c>
      <c r="P31" s="9" t="n"/>
      <c r="Q31" s="4" t="inlineStr"/>
      <c r="R31" s="4" t="inlineStr"/>
      <c r="S31" s="9" t="n"/>
    </row>
    <row r="32" ht="34" customHeight="1">
      <c r="A32" s="4" t="inlineStr">
        <is>
          <t>1.3</t>
        </is>
      </c>
      <c r="B32" s="9" t="n">
        <v>1</v>
      </c>
      <c r="C32" s="4" t="inlineStr">
        <is>
          <t>Клапан регулирующий 25с947нж Ду 50 Ру 25 с ЭИМ</t>
        </is>
      </c>
      <c r="D32" s="9" t="n">
        <v>1</v>
      </c>
      <c r="E32" s="4" t="inlineStr">
        <is>
          <t>шт</t>
        </is>
      </c>
      <c r="F32" s="9" t="n">
        <v>50</v>
      </c>
      <c r="G32" s="9" t="n">
        <v>2.5</v>
      </c>
      <c r="H32" s="4" t="inlineStr">
        <is>
          <t>Сталь марки 25Л ГОСТ 977-88</t>
        </is>
      </c>
      <c r="I32" s="4" t="inlineStr">
        <is>
          <t>электропривод</t>
        </is>
      </c>
      <c r="J32" s="13" t="n"/>
      <c r="K32" s="6">
        <f>IF(J32="","",J32*(1-0.1))</f>
        <v/>
      </c>
      <c r="L32" s="9" t="n"/>
      <c r="M32" s="6">
        <f>IF(J32="","",K32*D32)</f>
        <v/>
      </c>
      <c r="N32" s="6">
        <f>IF(L32="","",L32*D32*55)</f>
        <v/>
      </c>
      <c r="O32" s="6">
        <f>IF(M32="","",M32+N(N32))</f>
        <v/>
      </c>
      <c r="P32" s="9" t="n"/>
      <c r="Q32" s="4" t="inlineStr"/>
      <c r="R32" s="4" t="inlineStr"/>
      <c r="S32" s="9" t="n"/>
    </row>
    <row r="33" ht="34" customHeight="1">
      <c r="A33" s="4" t="inlineStr">
        <is>
          <t>1.3</t>
        </is>
      </c>
      <c r="B33" s="9" t="n">
        <v>2</v>
      </c>
      <c r="C33" s="4" t="inlineStr">
        <is>
          <t>Клапан регулирующий 25ч945п Ду 15 Ру 16 с ЭИМ</t>
        </is>
      </c>
      <c r="D33" s="9" t="n">
        <v>2</v>
      </c>
      <c r="E33" s="4" t="inlineStr">
        <is>
          <t>шт</t>
        </is>
      </c>
      <c r="F33" s="9" t="n">
        <v>15</v>
      </c>
      <c r="G33" s="9" t="n">
        <v>1.6</v>
      </c>
      <c r="H33" s="4" t="inlineStr">
        <is>
          <t>чугун СЧ20</t>
        </is>
      </c>
      <c r="I33" s="4" t="inlineStr">
        <is>
          <t>автоматический</t>
        </is>
      </c>
      <c r="J33" s="13" t="n"/>
      <c r="K33" s="6">
        <f>IF(J33="","",J33*(1-0.1))</f>
        <v/>
      </c>
      <c r="L33" s="9" t="n"/>
      <c r="M33" s="6">
        <f>IF(J33="","",K33*D33)</f>
        <v/>
      </c>
      <c r="N33" s="6">
        <f>IF(L33="","",L33*D33*55)</f>
        <v/>
      </c>
      <c r="O33" s="6">
        <f>IF(M33="","",M33+N(N33))</f>
        <v/>
      </c>
      <c r="P33" s="9" t="n"/>
      <c r="Q33" s="4" t="inlineStr"/>
      <c r="R33" s="4" t="inlineStr"/>
      <c r="S33" s="9" t="n"/>
    </row>
    <row r="34" ht="34" customHeight="1">
      <c r="A34" s="4" t="inlineStr">
        <is>
          <t>1.3</t>
        </is>
      </c>
      <c r="B34" s="9" t="n">
        <v>3</v>
      </c>
      <c r="C34" s="4" t="inlineStr">
        <is>
          <t>Клапан регулирующий 25ч945п Ду 25 Ру 16 с ЭИМ</t>
        </is>
      </c>
      <c r="D34" s="9" t="n">
        <v>1</v>
      </c>
      <c r="E34" s="4" t="inlineStr">
        <is>
          <t>шт</t>
        </is>
      </c>
      <c r="F34" s="9" t="n">
        <v>25</v>
      </c>
      <c r="G34" s="9" t="n">
        <v>1.6</v>
      </c>
      <c r="H34" s="4" t="inlineStr">
        <is>
          <t>чугун СЧ20</t>
        </is>
      </c>
      <c r="I34" s="4" t="inlineStr">
        <is>
          <t>автоматический</t>
        </is>
      </c>
      <c r="J34" s="13" t="n"/>
      <c r="K34" s="6">
        <f>IF(J34="","",J34*(1-0.1))</f>
        <v/>
      </c>
      <c r="L34" s="9" t="n"/>
      <c r="M34" s="6">
        <f>IF(J34="","",K34*D34)</f>
        <v/>
      </c>
      <c r="N34" s="6">
        <f>IF(L34="","",L34*D34*55)</f>
        <v/>
      </c>
      <c r="O34" s="6">
        <f>IF(M34="","",M34+N(N34))</f>
        <v/>
      </c>
      <c r="P34" s="9" t="n"/>
      <c r="Q34" s="4" t="inlineStr"/>
      <c r="R34" s="4" t="inlineStr"/>
      <c r="S34" s="9" t="n"/>
    </row>
    <row r="35" ht="34" customHeight="1">
      <c r="A35" s="4" t="inlineStr">
        <is>
          <t>1.3</t>
        </is>
      </c>
      <c r="B35" s="9" t="n">
        <v>4</v>
      </c>
      <c r="C35" s="4" t="inlineStr">
        <is>
          <t>Клапан регулирующий 25ч945п Ду 50 Ру 16 KV100 с ЭИМ</t>
        </is>
      </c>
      <c r="D35" s="9" t="n">
        <v>2</v>
      </c>
      <c r="E35" s="4" t="inlineStr">
        <is>
          <t>шт</t>
        </is>
      </c>
      <c r="F35" s="9" t="n">
        <v>50</v>
      </c>
      <c r="G35" s="9" t="n">
        <v>1.6</v>
      </c>
      <c r="H35" s="4" t="inlineStr">
        <is>
          <t>чугун СЧ20</t>
        </is>
      </c>
      <c r="I35" s="4" t="inlineStr">
        <is>
          <t>автоматический</t>
        </is>
      </c>
      <c r="J35" s="13" t="n"/>
      <c r="K35" s="6">
        <f>IF(J35="","",J35*(1-0.1))</f>
        <v/>
      </c>
      <c r="L35" s="9" t="n"/>
      <c r="M35" s="6">
        <f>IF(J35="","",K35*D35)</f>
        <v/>
      </c>
      <c r="N35" s="6">
        <f>IF(L35="","",L35*D35*55)</f>
        <v/>
      </c>
      <c r="O35" s="6">
        <f>IF(M35="","",M35+N(N35))</f>
        <v/>
      </c>
      <c r="P35" s="9" t="n"/>
      <c r="Q35" s="4" t="inlineStr"/>
      <c r="R35" s="4" t="inlineStr"/>
      <c r="S35" s="9" t="n"/>
    </row>
    <row r="36" ht="34" customHeight="1">
      <c r="A36" s="4" t="inlineStr">
        <is>
          <t>1.3</t>
        </is>
      </c>
      <c r="B36" s="9" t="n">
        <v>5</v>
      </c>
      <c r="C36" s="4" t="inlineStr">
        <is>
          <t>Клапан регулирующий 25ч945п Ду 80 Ру 16 с ЭИМ</t>
        </is>
      </c>
      <c r="D36" s="9" t="n">
        <v>8</v>
      </c>
      <c r="E36" s="4" t="inlineStr">
        <is>
          <t>шт</t>
        </is>
      </c>
      <c r="F36" s="9" t="n">
        <v>80</v>
      </c>
      <c r="G36" s="9" t="n">
        <v>1.6</v>
      </c>
      <c r="H36" s="4" t="inlineStr">
        <is>
          <t>чугун СЧ20</t>
        </is>
      </c>
      <c r="I36" s="4" t="inlineStr">
        <is>
          <t>автоматический</t>
        </is>
      </c>
      <c r="J36" s="13" t="n"/>
      <c r="K36" s="6">
        <f>IF(J36="","",J36*(1-0.1))</f>
        <v/>
      </c>
      <c r="L36" s="9" t="n"/>
      <c r="M36" s="6">
        <f>IF(J36="","",K36*D36)</f>
        <v/>
      </c>
      <c r="N36" s="6">
        <f>IF(L36="","",L36*D36*55)</f>
        <v/>
      </c>
      <c r="O36" s="6">
        <f>IF(M36="","",M36+N(N36))</f>
        <v/>
      </c>
      <c r="P36" s="9" t="n"/>
      <c r="Q36" s="4" t="inlineStr"/>
      <c r="R36" s="4" t="inlineStr"/>
      <c r="S36" s="9" t="n"/>
    </row>
    <row r="37" ht="34" customHeight="1">
      <c r="A37" s="4" t="inlineStr">
        <is>
          <t>1.3</t>
        </is>
      </c>
      <c r="B37" s="9" t="n">
        <v>6</v>
      </c>
      <c r="C37" s="4" t="inlineStr">
        <is>
          <t>Регулирующий клапан Ридан VFG-2R Ду 100, Kvs 125, Ру 16</t>
        </is>
      </c>
      <c r="D37" s="9" t="n">
        <v>2</v>
      </c>
      <c r="E37" s="4" t="inlineStr">
        <is>
          <t>шт</t>
        </is>
      </c>
      <c r="F37" s="9" t="n">
        <v>100</v>
      </c>
      <c r="G37" s="9" t="n">
        <v>1.6</v>
      </c>
      <c r="H37" s="4" t="inlineStr">
        <is>
          <t>Углеродистая сталь WCB</t>
        </is>
      </c>
      <c r="I37" s="4" t="inlineStr"/>
      <c r="J37" s="13" t="n"/>
      <c r="K37" s="6">
        <f>IF(J37="","",J37*(1-0.1))</f>
        <v/>
      </c>
      <c r="L37" s="9" t="n"/>
      <c r="M37" s="6">
        <f>IF(J37="","",K37*D37)</f>
        <v/>
      </c>
      <c r="N37" s="6">
        <f>IF(L37="","",L37*D37*55)</f>
        <v/>
      </c>
      <c r="O37" s="6">
        <f>IF(M37="","",M37+N(N37))</f>
        <v/>
      </c>
      <c r="P37" s="9" t="n"/>
      <c r="Q37" s="4" t="inlineStr"/>
      <c r="R37" s="4" t="inlineStr"/>
      <c r="S37" s="9" t="n"/>
    </row>
    <row r="38" ht="34" customHeight="1">
      <c r="A38" s="4" t="inlineStr">
        <is>
          <t>1.3</t>
        </is>
      </c>
      <c r="B38" s="9" t="n">
        <v>7</v>
      </c>
      <c r="C38" s="4" t="inlineStr">
        <is>
          <t>Регулирующий клапан Ридан VFG-2R Ду 32, Kvs 16,  Ру 16</t>
        </is>
      </c>
      <c r="D38" s="9" t="n">
        <v>4</v>
      </c>
      <c r="E38" s="4" t="inlineStr">
        <is>
          <t>шт</t>
        </is>
      </c>
      <c r="F38" s="9" t="n">
        <v>32</v>
      </c>
      <c r="G38" s="9" t="n">
        <v>1.6</v>
      </c>
      <c r="H38" s="4" t="inlineStr">
        <is>
          <t>Углеродистая сталь WCB</t>
        </is>
      </c>
      <c r="I38" s="4" t="inlineStr"/>
      <c r="J38" s="13" t="n"/>
      <c r="K38" s="6">
        <f>IF(J38="","",J38*(1-0.1))</f>
        <v/>
      </c>
      <c r="L38" s="9" t="n"/>
      <c r="M38" s="6">
        <f>IF(J38="","",K38*D38)</f>
        <v/>
      </c>
      <c r="N38" s="6">
        <f>IF(L38="","",L38*D38*55)</f>
        <v/>
      </c>
      <c r="O38" s="6">
        <f>IF(M38="","",M38+N(N38))</f>
        <v/>
      </c>
      <c r="P38" s="9" t="n"/>
      <c r="Q38" s="4" t="inlineStr"/>
      <c r="R38" s="4" t="inlineStr"/>
      <c r="S38" s="9" t="n"/>
    </row>
    <row r="39" ht="34" customHeight="1">
      <c r="A39" s="4" t="inlineStr">
        <is>
          <t>1.3</t>
        </is>
      </c>
      <c r="B39" s="9" t="n">
        <v>8</v>
      </c>
      <c r="C39" s="4" t="inlineStr">
        <is>
          <t>регулирующий клапан Ридан VFG-2R Ду 80, Kvs 80,  Ру 16</t>
        </is>
      </c>
      <c r="D39" s="9" t="n">
        <v>2</v>
      </c>
      <c r="E39" s="4" t="inlineStr">
        <is>
          <t>шт</t>
        </is>
      </c>
      <c r="F39" s="9" t="n">
        <v>80</v>
      </c>
      <c r="G39" s="9" t="n">
        <v>1.6</v>
      </c>
      <c r="H39" s="4" t="inlineStr">
        <is>
          <t>Углеродистая сталь WCB</t>
        </is>
      </c>
      <c r="I39" s="4" t="inlineStr"/>
      <c r="J39" s="13" t="n"/>
      <c r="K39" s="6">
        <f>IF(J39="","",J39*(1-0.1))</f>
        <v/>
      </c>
      <c r="L39" s="9" t="n"/>
      <c r="M39" s="6">
        <f>IF(J39="","",K39*D39)</f>
        <v/>
      </c>
      <c r="N39" s="6">
        <f>IF(L39="","",L39*D39*55)</f>
        <v/>
      </c>
      <c r="O39" s="6">
        <f>IF(M39="","",M39+N(N39))</f>
        <v/>
      </c>
      <c r="P39" s="9" t="n"/>
      <c r="Q39" s="4" t="inlineStr"/>
      <c r="R39" s="4" t="inlineStr"/>
      <c r="S39" s="9" t="n"/>
    </row>
    <row r="40" ht="34" customHeight="1">
      <c r="A40" s="4" t="inlineStr">
        <is>
          <t>1.3</t>
        </is>
      </c>
      <c r="B40" s="9" t="n">
        <v>9</v>
      </c>
      <c r="C40" s="4" t="inlineStr">
        <is>
          <t>Регулятор давления РД-НО (Нормально открытый) Ду 25 Ру 16</t>
        </is>
      </c>
      <c r="D40" s="9" t="n">
        <v>2</v>
      </c>
      <c r="E40" s="4" t="inlineStr">
        <is>
          <t>шт</t>
        </is>
      </c>
      <c r="F40" s="9" t="n">
        <v>25</v>
      </c>
      <c r="G40" s="9" t="n">
        <v>1.6</v>
      </c>
      <c r="H40" s="4" t="inlineStr">
        <is>
          <t>чугун СЧ20 ГОСТ1412</t>
        </is>
      </c>
      <c r="I40" s="4" t="inlineStr">
        <is>
          <t>автоматически действующая труб</t>
        </is>
      </c>
      <c r="J40" s="13" t="n"/>
      <c r="K40" s="6">
        <f>IF(J40="","",J40*(1-0.1))</f>
        <v/>
      </c>
      <c r="L40" s="9" t="n"/>
      <c r="M40" s="6">
        <f>IF(J40="","",K40*D40)</f>
        <v/>
      </c>
      <c r="N40" s="6">
        <f>IF(L40="","",L40*D40*55)</f>
        <v/>
      </c>
      <c r="O40" s="6">
        <f>IF(M40="","",M40+N(N40))</f>
        <v/>
      </c>
      <c r="P40" s="9" t="n"/>
      <c r="Q40" s="4" t="inlineStr"/>
      <c r="R40" s="4" t="inlineStr"/>
      <c r="S40" s="9" t="n"/>
    </row>
    <row r="41" ht="34" customHeight="1">
      <c r="A41" s="4" t="inlineStr">
        <is>
          <t>1.3</t>
        </is>
      </c>
      <c r="B41" s="9" t="n">
        <v>10</v>
      </c>
      <c r="C41" s="4" t="inlineStr">
        <is>
          <t>Регулятор давления РД-НО (Нормально открытый) Ду 32 Ру 16</t>
        </is>
      </c>
      <c r="D41" s="9" t="n">
        <v>1</v>
      </c>
      <c r="E41" s="4" t="inlineStr">
        <is>
          <t>шт</t>
        </is>
      </c>
      <c r="F41" s="9" t="n">
        <v>32</v>
      </c>
      <c r="G41" s="9" t="n">
        <v>1.6</v>
      </c>
      <c r="H41" s="4" t="inlineStr">
        <is>
          <t>чугун СЧ20 ГОСТ1412</t>
        </is>
      </c>
      <c r="I41" s="4" t="inlineStr">
        <is>
          <t>автоматический</t>
        </is>
      </c>
      <c r="J41" s="13" t="n"/>
      <c r="K41" s="6">
        <f>IF(J41="","",J41*(1-0.1))</f>
        <v/>
      </c>
      <c r="L41" s="9" t="n"/>
      <c r="M41" s="6">
        <f>IF(J41="","",K41*D41)</f>
        <v/>
      </c>
      <c r="N41" s="6">
        <f>IF(L41="","",L41*D41*55)</f>
        <v/>
      </c>
      <c r="O41" s="6">
        <f>IF(M41="","",M41+N(N41))</f>
        <v/>
      </c>
      <c r="P41" s="9" t="n"/>
      <c r="Q41" s="4" t="inlineStr"/>
      <c r="R41" s="4" t="inlineStr"/>
      <c r="S41" s="9" t="n"/>
    </row>
    <row r="42" ht="34" customHeight="1">
      <c r="A42" s="4" t="inlineStr">
        <is>
          <t>1.3</t>
        </is>
      </c>
      <c r="B42" s="9" t="n">
        <v>11</v>
      </c>
      <c r="C42" s="4" t="inlineStr">
        <is>
          <t>Регулятор давления РД-НО (Нормально открытый) Ду 50 Ру 16</t>
        </is>
      </c>
      <c r="D42" s="9" t="n">
        <v>3</v>
      </c>
      <c r="E42" s="4" t="inlineStr">
        <is>
          <t>шт</t>
        </is>
      </c>
      <c r="F42" s="9" t="n">
        <v>50</v>
      </c>
      <c r="G42" s="9" t="n">
        <v>1.6</v>
      </c>
      <c r="H42" s="4" t="inlineStr">
        <is>
          <t>чугун СЧ20 ГОСТ1412</t>
        </is>
      </c>
      <c r="I42" s="4" t="inlineStr">
        <is>
          <t>автоматический</t>
        </is>
      </c>
      <c r="J42" s="13" t="n"/>
      <c r="K42" s="6">
        <f>IF(J42="","",J42*(1-0.1))</f>
        <v/>
      </c>
      <c r="L42" s="9" t="n"/>
      <c r="M42" s="6">
        <f>IF(J42="","",K42*D42)</f>
        <v/>
      </c>
      <c r="N42" s="6">
        <f>IF(L42="","",L42*D42*55)</f>
        <v/>
      </c>
      <c r="O42" s="6">
        <f>IF(M42="","",M42+N(N42))</f>
        <v/>
      </c>
      <c r="P42" s="9" t="n"/>
      <c r="Q42" s="4" t="inlineStr"/>
      <c r="R42" s="4" t="inlineStr"/>
      <c r="S42" s="9" t="n"/>
    </row>
    <row r="43" ht="34" customHeight="1">
      <c r="A43" s="4" t="inlineStr">
        <is>
          <t>1.3</t>
        </is>
      </c>
      <c r="B43" s="9" t="n">
        <v>12</v>
      </c>
      <c r="C43" s="4" t="inlineStr">
        <is>
          <t>Регулятор давления РД-НО (Нормально открытый) Ду 80 Ру 16</t>
        </is>
      </c>
      <c r="D43" s="9" t="n">
        <v>3</v>
      </c>
      <c r="E43" s="4" t="inlineStr">
        <is>
          <t>шт</t>
        </is>
      </c>
      <c r="F43" s="9" t="n">
        <v>80</v>
      </c>
      <c r="G43" s="9" t="n">
        <v>1.6</v>
      </c>
      <c r="H43" s="4" t="inlineStr">
        <is>
          <t>Сталь марки 20</t>
        </is>
      </c>
      <c r="I43" s="4" t="inlineStr">
        <is>
          <t>автоматический</t>
        </is>
      </c>
      <c r="J43" s="13" t="n"/>
      <c r="K43" s="6">
        <f>IF(J43="","",J43*(1-0.1))</f>
        <v/>
      </c>
      <c r="L43" s="9" t="n"/>
      <c r="M43" s="6">
        <f>IF(J43="","",K43*D43)</f>
        <v/>
      </c>
      <c r="N43" s="6">
        <f>IF(L43="","",L43*D43*55)</f>
        <v/>
      </c>
      <c r="O43" s="6">
        <f>IF(M43="","",M43+N(N43))</f>
        <v/>
      </c>
      <c r="P43" s="9" t="n"/>
      <c r="Q43" s="4" t="inlineStr"/>
      <c r="R43" s="4" t="inlineStr"/>
      <c r="S43" s="9" t="n"/>
    </row>
    <row r="44" ht="34" customHeight="1">
      <c r="A44" s="4" t="inlineStr">
        <is>
          <t>1.3</t>
        </is>
      </c>
      <c r="B44" s="9" t="n">
        <v>13</v>
      </c>
      <c r="C44" s="4" t="inlineStr">
        <is>
          <t>Регулирующий блок после себя AFD Ду 15-250 с диапазоном настройки Ру 25</t>
        </is>
      </c>
      <c r="D44" s="9" t="n">
        <v>2</v>
      </c>
      <c r="E44" s="4" t="inlineStr">
        <is>
          <t>шт</t>
        </is>
      </c>
      <c r="F44" s="4" t="inlineStr">
        <is>
          <t>15-250</t>
        </is>
      </c>
      <c r="G44" s="4" t="inlineStr">
        <is>
          <t>Условное давление датчика (PN), погружная
гильза,
2,5</t>
        </is>
      </c>
      <c r="H44" s="4" t="inlineStr">
        <is>
          <t>Нержавеющая сталь</t>
        </is>
      </c>
      <c r="I44" s="4" t="inlineStr">
        <is>
          <t>отсутствует</t>
        </is>
      </c>
      <c r="J44" s="13" t="n"/>
      <c r="K44" s="6">
        <f>IF(J44="","",J44*(1-0.1))</f>
        <v/>
      </c>
      <c r="L44" s="9" t="n"/>
      <c r="M44" s="6">
        <f>IF(J44="","",K44*D44)</f>
        <v/>
      </c>
      <c r="N44" s="6">
        <f>IF(L44="","",L44*D44*55)</f>
        <v/>
      </c>
      <c r="O44" s="6">
        <f>IF(M44="","",M44+N(N44))</f>
        <v/>
      </c>
      <c r="P44" s="9" t="n"/>
      <c r="Q44" s="4" t="inlineStr"/>
      <c r="R44" s="4" t="inlineStr"/>
      <c r="S44" s="9" t="n"/>
    </row>
    <row r="45" ht="34" customHeight="1">
      <c r="A45" s="4" t="inlineStr">
        <is>
          <t>1.3</t>
        </is>
      </c>
      <c r="B45" s="9" t="n">
        <v>14</v>
      </c>
      <c r="C45" s="4" t="inlineStr">
        <is>
          <t>Клапан обратный 19с53нж Ду 80 Ру 40</t>
        </is>
      </c>
      <c r="D45" s="9" t="n">
        <v>2</v>
      </c>
      <c r="E45" s="4" t="inlineStr">
        <is>
          <t>шт</t>
        </is>
      </c>
      <c r="F45" s="9" t="n">
        <v>80</v>
      </c>
      <c r="G45" s="9" t="n">
        <v>4</v>
      </c>
      <c r="H45" s="4" t="inlineStr">
        <is>
          <t xml:space="preserve">Углеродистая сталь </t>
        </is>
      </c>
      <c r="I45" s="4" t="inlineStr"/>
      <c r="J45" s="13" t="n"/>
      <c r="K45" s="6">
        <f>IF(J45="","",J45*(1-0.1))</f>
        <v/>
      </c>
      <c r="L45" s="9" t="n"/>
      <c r="M45" s="6">
        <f>IF(J45="","",K45*D45)</f>
        <v/>
      </c>
      <c r="N45" s="6">
        <f>IF(L45="","",L45*D45*55)</f>
        <v/>
      </c>
      <c r="O45" s="6">
        <f>IF(M45="","",M45+N(N45))</f>
        <v/>
      </c>
      <c r="P45" s="9" t="n"/>
      <c r="Q45" s="4" t="inlineStr"/>
      <c r="R45" s="4" t="inlineStr"/>
      <c r="S45" s="9" t="n"/>
    </row>
    <row r="46" ht="34" customHeight="1">
      <c r="A46" s="4" t="inlineStr">
        <is>
          <t>1.3</t>
        </is>
      </c>
      <c r="B46" s="9" t="n">
        <v>15</v>
      </c>
      <c r="C46" s="4" t="inlineStr">
        <is>
          <t>Клапан обратный 19с53нж Ду 150 Ру 40</t>
        </is>
      </c>
      <c r="D46" s="9" t="n">
        <v>2</v>
      </c>
      <c r="E46" s="4" t="inlineStr">
        <is>
          <t>шт</t>
        </is>
      </c>
      <c r="F46" s="9" t="n">
        <v>150</v>
      </c>
      <c r="G46" s="9" t="n">
        <v>4</v>
      </c>
      <c r="H46" s="4" t="inlineStr">
        <is>
          <t xml:space="preserve">Углеродистая сталь </t>
        </is>
      </c>
      <c r="I46" s="4" t="inlineStr"/>
      <c r="J46" s="13" t="n"/>
      <c r="K46" s="6">
        <f>IF(J46="","",J46*(1-0.1))</f>
        <v/>
      </c>
      <c r="L46" s="9" t="n"/>
      <c r="M46" s="6">
        <f>IF(J46="","",K46*D46)</f>
        <v/>
      </c>
      <c r="N46" s="6">
        <f>IF(L46="","",L46*D46*55)</f>
        <v/>
      </c>
      <c r="O46" s="6">
        <f>IF(M46="","",M46+N(N46))</f>
        <v/>
      </c>
      <c r="P46" s="9" t="n"/>
      <c r="Q46" s="4" t="inlineStr"/>
      <c r="R46" s="4" t="inlineStr"/>
      <c r="S46" s="9" t="n"/>
    </row>
    <row r="47" ht="34" customHeight="1">
      <c r="A47" s="4" t="inlineStr">
        <is>
          <t>1.3</t>
        </is>
      </c>
      <c r="B47" s="9" t="n">
        <v>16</v>
      </c>
      <c r="C47" s="4" t="inlineStr">
        <is>
          <t>Клапан обратный межфланцевый 19ч21бр Ду 100 Ру 16</t>
        </is>
      </c>
      <c r="D47" s="9" t="n">
        <v>4</v>
      </c>
      <c r="E47" s="4" t="inlineStr">
        <is>
          <t>шт</t>
        </is>
      </c>
      <c r="F47" s="9" t="n">
        <v>100</v>
      </c>
      <c r="G47" s="9" t="n">
        <v>1.6</v>
      </c>
      <c r="H47" s="4" t="inlineStr">
        <is>
          <t>чугун СЧ18</t>
        </is>
      </c>
      <c r="I47" s="4" t="inlineStr">
        <is>
          <t>автоматический</t>
        </is>
      </c>
      <c r="J47" s="13" t="n"/>
      <c r="K47" s="6">
        <f>IF(J47="","",J47*(1-0.1))</f>
        <v/>
      </c>
      <c r="L47" s="9" t="n"/>
      <c r="M47" s="6">
        <f>IF(J47="","",K47*D47)</f>
        <v/>
      </c>
      <c r="N47" s="6">
        <f>IF(L47="","",L47*D47*55)</f>
        <v/>
      </c>
      <c r="O47" s="6">
        <f>IF(M47="","",M47+N(N47))</f>
        <v/>
      </c>
      <c r="P47" s="9" t="n"/>
      <c r="Q47" s="4" t="inlineStr"/>
      <c r="R47" s="4" t="inlineStr"/>
      <c r="S47" s="9" t="n"/>
    </row>
    <row r="48" ht="34" customHeight="1">
      <c r="A48" s="4" t="inlineStr">
        <is>
          <t>1.3</t>
        </is>
      </c>
      <c r="B48" s="9" t="n">
        <v>17</v>
      </c>
      <c r="C48" s="4" t="inlineStr">
        <is>
          <t>Клапан обратный межфланцевый 19ч21бр Ду 50 Ру 16</t>
        </is>
      </c>
      <c r="D48" s="9" t="n">
        <v>6</v>
      </c>
      <c r="E48" s="4" t="inlineStr">
        <is>
          <t>шт</t>
        </is>
      </c>
      <c r="F48" s="9" t="n">
        <v>50</v>
      </c>
      <c r="G48" s="9" t="n">
        <v>1.6</v>
      </c>
      <c r="H48" s="4" t="inlineStr">
        <is>
          <t>чугун СЧ18</t>
        </is>
      </c>
      <c r="I48" s="4" t="inlineStr">
        <is>
          <t>автоматический</t>
        </is>
      </c>
      <c r="J48" s="13" t="n"/>
      <c r="K48" s="6">
        <f>IF(J48="","",J48*(1-0.1))</f>
        <v/>
      </c>
      <c r="L48" s="9" t="n"/>
      <c r="M48" s="6">
        <f>IF(J48="","",K48*D48)</f>
        <v/>
      </c>
      <c r="N48" s="6">
        <f>IF(L48="","",L48*D48*55)</f>
        <v/>
      </c>
      <c r="O48" s="6">
        <f>IF(M48="","",M48+N(N48))</f>
        <v/>
      </c>
      <c r="P48" s="9" t="n"/>
      <c r="Q48" s="4" t="inlineStr"/>
      <c r="R48" s="4" t="inlineStr"/>
      <c r="S48" s="9" t="n"/>
    </row>
    <row r="49" ht="34" customHeight="1">
      <c r="A49" s="4" t="inlineStr">
        <is>
          <t>1.3</t>
        </is>
      </c>
      <c r="B49" s="9" t="n">
        <v>18</v>
      </c>
      <c r="C49" s="4" t="inlineStr">
        <is>
          <t>Клапан обратный межфланцевый 19ч21бр Ду 80 Ру 16</t>
        </is>
      </c>
      <c r="D49" s="9" t="n">
        <v>7</v>
      </c>
      <c r="E49" s="4" t="inlineStr">
        <is>
          <t>шт</t>
        </is>
      </c>
      <c r="F49" s="9" t="n">
        <v>80</v>
      </c>
      <c r="G49" s="9" t="n">
        <v>1.6</v>
      </c>
      <c r="H49" s="4" t="inlineStr">
        <is>
          <t>чугун СЧ18</t>
        </is>
      </c>
      <c r="I49" s="4" t="inlineStr">
        <is>
          <t>автоматический</t>
        </is>
      </c>
      <c r="J49" s="13" t="n"/>
      <c r="K49" s="6">
        <f>IF(J49="","",J49*(1-0.1))</f>
        <v/>
      </c>
      <c r="L49" s="9" t="n"/>
      <c r="M49" s="6">
        <f>IF(J49="","",K49*D49)</f>
        <v/>
      </c>
      <c r="N49" s="6">
        <f>IF(L49="","",L49*D49*55)</f>
        <v/>
      </c>
      <c r="O49" s="6">
        <f>IF(M49="","",M49+N(N49))</f>
        <v/>
      </c>
      <c r="P49" s="9" t="n"/>
      <c r="Q49" s="4" t="inlineStr"/>
      <c r="R49" s="4" t="inlineStr"/>
      <c r="S49" s="9" t="n"/>
    </row>
    <row r="50" ht="34" customHeight="1">
      <c r="A50" s="4" t="inlineStr">
        <is>
          <t>1.3</t>
        </is>
      </c>
      <c r="B50" s="9" t="n">
        <v>19</v>
      </c>
      <c r="C50" s="4" t="inlineStr">
        <is>
          <t>Клапан обратный двухстворчатый DENDOR 010C Ду 100 Ру 16</t>
        </is>
      </c>
      <c r="D50" s="9" t="n">
        <v>5</v>
      </c>
      <c r="E50" s="4" t="inlineStr">
        <is>
          <t>шт</t>
        </is>
      </c>
      <c r="F50" s="9" t="n">
        <v>100</v>
      </c>
      <c r="G50" s="9" t="n">
        <v>1.6</v>
      </c>
      <c r="H50" s="4" t="inlineStr">
        <is>
          <t>Чугун EN-GJS-400-15</t>
        </is>
      </c>
      <c r="I50" s="4" t="inlineStr">
        <is>
          <t>-</t>
        </is>
      </c>
      <c r="J50" s="13" t="n"/>
      <c r="K50" s="6">
        <f>IF(J50="","",J50*(1-0.1))</f>
        <v/>
      </c>
      <c r="L50" s="9" t="n"/>
      <c r="M50" s="6">
        <f>IF(J50="","",K50*D50)</f>
        <v/>
      </c>
      <c r="N50" s="6">
        <f>IF(L50="","",L50*D50*55)</f>
        <v/>
      </c>
      <c r="O50" s="6">
        <f>IF(M50="","",M50+N(N50))</f>
        <v/>
      </c>
      <c r="P50" s="9" t="n"/>
      <c r="Q50" s="4" t="inlineStr"/>
      <c r="R50" s="4" t="inlineStr"/>
      <c r="S50" s="9" t="n"/>
    </row>
    <row r="51" ht="34" customHeight="1">
      <c r="A51" s="4" t="inlineStr">
        <is>
          <t>1.3</t>
        </is>
      </c>
      <c r="B51" s="9" t="n">
        <v>20</v>
      </c>
      <c r="C51" s="4" t="inlineStr">
        <is>
          <t>Клапан обратный двухстворчатый DENDOR 010C Ду 200 Ру 16</t>
        </is>
      </c>
      <c r="D51" s="9" t="n">
        <v>5</v>
      </c>
      <c r="E51" s="4" t="inlineStr">
        <is>
          <t>шт</t>
        </is>
      </c>
      <c r="F51" s="9" t="n">
        <v>200</v>
      </c>
      <c r="G51" s="9" t="n">
        <v>1.6</v>
      </c>
      <c r="H51" s="4" t="inlineStr">
        <is>
          <t>Чугун EN-GJS-400-15</t>
        </is>
      </c>
      <c r="I51" s="4" t="inlineStr">
        <is>
          <t>-</t>
        </is>
      </c>
      <c r="J51" s="13" t="n"/>
      <c r="K51" s="6">
        <f>IF(J51="","",J51*(1-0.1))</f>
        <v/>
      </c>
      <c r="L51" s="9" t="n"/>
      <c r="M51" s="6">
        <f>IF(J51="","",K51*D51)</f>
        <v/>
      </c>
      <c r="N51" s="6">
        <f>IF(L51="","",L51*D51*55)</f>
        <v/>
      </c>
      <c r="O51" s="6">
        <f>IF(M51="","",M51+N(N51))</f>
        <v/>
      </c>
      <c r="P51" s="9" t="n"/>
      <c r="Q51" s="4" t="inlineStr"/>
      <c r="R51" s="4" t="inlineStr"/>
      <c r="S51" s="9" t="n"/>
    </row>
    <row r="52" ht="34" customHeight="1">
      <c r="A52" s="4" t="inlineStr">
        <is>
          <t>1.3</t>
        </is>
      </c>
      <c r="B52" s="9" t="n">
        <v>21</v>
      </c>
      <c r="C52" s="4" t="inlineStr">
        <is>
          <t>Клапан обратный фланцевый Ду 50 Ру 40</t>
        </is>
      </c>
      <c r="D52" s="9" t="n">
        <v>1</v>
      </c>
      <c r="E52" s="4" t="inlineStr">
        <is>
          <t>шт</t>
        </is>
      </c>
      <c r="F52" s="9" t="n">
        <v>50</v>
      </c>
      <c r="G52" s="9" t="n">
        <v>4</v>
      </c>
      <c r="H52" s="4" t="inlineStr">
        <is>
          <t xml:space="preserve">Углеродистая сталь </t>
        </is>
      </c>
      <c r="I52" s="4" t="inlineStr"/>
      <c r="J52" s="13" t="n"/>
      <c r="K52" s="6">
        <f>IF(J52="","",J52*(1-0.1))</f>
        <v/>
      </c>
      <c r="L52" s="9" t="n"/>
      <c r="M52" s="6">
        <f>IF(J52="","",K52*D52)</f>
        <v/>
      </c>
      <c r="N52" s="6">
        <f>IF(L52="","",L52*D52*55)</f>
        <v/>
      </c>
      <c r="O52" s="6">
        <f>IF(M52="","",M52+N(N52))</f>
        <v/>
      </c>
      <c r="P52" s="9" t="n"/>
      <c r="Q52" s="4" t="inlineStr"/>
      <c r="R52" s="4" t="inlineStr"/>
      <c r="S52" s="9" t="n"/>
    </row>
    <row r="53" ht="34" customHeight="1">
      <c r="A53" s="4" t="inlineStr">
        <is>
          <t>1.3</t>
        </is>
      </c>
      <c r="B53" s="9" t="n">
        <v>22</v>
      </c>
      <c r="C53" s="4" t="inlineStr">
        <is>
          <t>Обратный клапан «Гранлок» серии CV16 Ду 150 Ру 16</t>
        </is>
      </c>
      <c r="D53" s="9" t="n">
        <v>4</v>
      </c>
      <c r="E53" s="4" t="inlineStr">
        <is>
          <t>шт</t>
        </is>
      </c>
      <c r="F53" s="9" t="n">
        <v>150</v>
      </c>
      <c r="G53" s="9" t="n">
        <v>1.6</v>
      </c>
      <c r="H53" s="4" t="inlineStr">
        <is>
          <t>чугун GG25</t>
        </is>
      </c>
      <c r="I53" s="4" t="inlineStr">
        <is>
          <t>-</t>
        </is>
      </c>
      <c r="J53" s="13" t="n"/>
      <c r="K53" s="6">
        <f>IF(J53="","",J53*(1-0.1))</f>
        <v/>
      </c>
      <c r="L53" s="9" t="n"/>
      <c r="M53" s="6">
        <f>IF(J53="","",K53*D53)</f>
        <v/>
      </c>
      <c r="N53" s="6">
        <f>IF(L53="","",L53*D53*55)</f>
        <v/>
      </c>
      <c r="O53" s="6">
        <f>IF(M53="","",M53+N(N53))</f>
        <v/>
      </c>
      <c r="P53" s="9" t="n"/>
      <c r="Q53" s="4" t="inlineStr"/>
      <c r="R53" s="4" t="inlineStr"/>
      <c r="S53" s="9" t="n"/>
    </row>
    <row r="54" ht="34" customHeight="1">
      <c r="A54" s="4" t="inlineStr">
        <is>
          <t>1.3</t>
        </is>
      </c>
      <c r="B54" s="9" t="n">
        <v>23</v>
      </c>
      <c r="C54" s="4" t="inlineStr">
        <is>
          <t>Клапан обратный 16нж10нж Ду 50 Ру 16</t>
        </is>
      </c>
      <c r="D54" s="9" t="n">
        <v>2</v>
      </c>
      <c r="E54" s="4" t="inlineStr">
        <is>
          <t>шт</t>
        </is>
      </c>
      <c r="F54" s="9" t="n">
        <v>50</v>
      </c>
      <c r="G54" s="9" t="n">
        <v>1.6</v>
      </c>
      <c r="H54" s="4" t="inlineStr">
        <is>
          <t xml:space="preserve"> 08Х18Н10, 08Х18Н10Т, 12Х18Н9, 12Х18Н9ТЛ</t>
        </is>
      </c>
      <c r="I54" s="4" t="inlineStr">
        <is>
          <t>Клапан 16нж10нж является автом</t>
        </is>
      </c>
      <c r="J54" s="13" t="n"/>
      <c r="K54" s="6">
        <f>IF(J54="","",J54*(1-0.1))</f>
        <v/>
      </c>
      <c r="L54" s="9" t="n"/>
      <c r="M54" s="6">
        <f>IF(J54="","",K54*D54)</f>
        <v/>
      </c>
      <c r="N54" s="6">
        <f>IF(L54="","",L54*D54*55)</f>
        <v/>
      </c>
      <c r="O54" s="6">
        <f>IF(M54="","",M54+N(N54))</f>
        <v/>
      </c>
      <c r="P54" s="9" t="n"/>
      <c r="Q54" s="4" t="inlineStr"/>
      <c r="R54" s="4" t="inlineStr"/>
      <c r="S54" s="9" t="n"/>
    </row>
    <row r="55" ht="34" customHeight="1">
      <c r="A55" s="4" t="inlineStr">
        <is>
          <t>1.3</t>
        </is>
      </c>
      <c r="B55" s="9" t="n">
        <v>24</v>
      </c>
      <c r="C55" s="4" t="inlineStr">
        <is>
          <t>Клапан обратный 16нж10нж Ду 32 Ру16</t>
        </is>
      </c>
      <c r="D55" s="9" t="n">
        <v>5</v>
      </c>
      <c r="E55" s="4" t="inlineStr">
        <is>
          <t>шт</t>
        </is>
      </c>
      <c r="F55" s="9" t="n">
        <v>32</v>
      </c>
      <c r="G55" s="9" t="n">
        <v>1.6</v>
      </c>
      <c r="H55" s="4" t="inlineStr">
        <is>
          <t xml:space="preserve"> 08Х18Н10, 08Х18Н10Т, 12Х18Н9, 12Х18Н9ТЛ</t>
        </is>
      </c>
      <c r="I55" s="4" t="inlineStr">
        <is>
          <t>Клапан 16нж10нж является автом</t>
        </is>
      </c>
      <c r="J55" s="13" t="n"/>
      <c r="K55" s="6">
        <f>IF(J55="","",J55*(1-0.1))</f>
        <v/>
      </c>
      <c r="L55" s="9" t="n"/>
      <c r="M55" s="6">
        <f>IF(J55="","",K55*D55)</f>
        <v/>
      </c>
      <c r="N55" s="6">
        <f>IF(L55="","",L55*D55*55)</f>
        <v/>
      </c>
      <c r="O55" s="6">
        <f>IF(M55="","",M55+N(N55))</f>
        <v/>
      </c>
      <c r="P55" s="9" t="n"/>
      <c r="Q55" s="4" t="inlineStr"/>
      <c r="R55" s="4" t="inlineStr"/>
      <c r="S55" s="9" t="n"/>
    </row>
    <row r="56" ht="34" customHeight="1">
      <c r="A56" s="4" t="inlineStr">
        <is>
          <t>1.3</t>
        </is>
      </c>
      <c r="B56" s="9" t="n">
        <v>25</v>
      </c>
      <c r="C56" s="4" t="inlineStr">
        <is>
          <t>Клапан обратный 16ч42р Ду 100 Ру 2,5</t>
        </is>
      </c>
      <c r="D56" s="9" t="n">
        <v>3</v>
      </c>
      <c r="E56" s="4" t="inlineStr">
        <is>
          <t>шт</t>
        </is>
      </c>
      <c r="F56" s="9" t="n">
        <v>100</v>
      </c>
      <c r="G56" s="9" t="n">
        <v>0.25</v>
      </c>
      <c r="H56" s="4" t="inlineStr">
        <is>
          <t>Чугун СЧ 15, СЧ20</t>
        </is>
      </c>
      <c r="I56" s="4" t="inlineStr">
        <is>
          <t>нет</t>
        </is>
      </c>
      <c r="J56" s="13" t="n"/>
      <c r="K56" s="6">
        <f>IF(J56="","",J56*(1-0.1))</f>
        <v/>
      </c>
      <c r="L56" s="9" t="n"/>
      <c r="M56" s="6">
        <f>IF(J56="","",K56*D56)</f>
        <v/>
      </c>
      <c r="N56" s="6">
        <f>IF(L56="","",L56*D56*55)</f>
        <v/>
      </c>
      <c r="O56" s="6">
        <f>IF(M56="","",M56+N(N56))</f>
        <v/>
      </c>
      <c r="P56" s="9" t="n"/>
      <c r="Q56" s="4" t="inlineStr"/>
      <c r="R56" s="4" t="inlineStr"/>
      <c r="S56" s="9" t="n"/>
    </row>
    <row r="57" ht="34" customHeight="1">
      <c r="A57" s="4" t="inlineStr">
        <is>
          <t>1.3</t>
        </is>
      </c>
      <c r="B57" s="9" t="n">
        <v>26</v>
      </c>
      <c r="C57" s="4" t="inlineStr">
        <is>
          <t>Клапан обратный 19нж76нж Ду 100 Ру 16</t>
        </is>
      </c>
      <c r="D57" s="9" t="n">
        <v>2</v>
      </c>
      <c r="E57" s="4" t="inlineStr">
        <is>
          <t>шт</t>
        </is>
      </c>
      <c r="F57" s="9" t="n">
        <v>100</v>
      </c>
      <c r="G57" s="9" t="n">
        <v>1.6</v>
      </c>
      <c r="H57" s="4" t="inlineStr">
        <is>
          <t>12Х18Н9ТЛ</t>
        </is>
      </c>
      <c r="I57" s="4" t="inlineStr">
        <is>
          <t>ручное</t>
        </is>
      </c>
      <c r="J57" s="13" t="n"/>
      <c r="K57" s="6">
        <f>IF(J57="","",J57*(1-0.1))</f>
        <v/>
      </c>
      <c r="L57" s="9" t="n"/>
      <c r="M57" s="6">
        <f>IF(J57="","",K57*D57)</f>
        <v/>
      </c>
      <c r="N57" s="6">
        <f>IF(L57="","",L57*D57*55)</f>
        <v/>
      </c>
      <c r="O57" s="6">
        <f>IF(M57="","",M57+N(N57))</f>
        <v/>
      </c>
      <c r="P57" s="9" t="n"/>
      <c r="Q57" s="4" t="inlineStr"/>
      <c r="R57" s="4" t="inlineStr"/>
      <c r="S57" s="9" t="n"/>
    </row>
    <row r="58" ht="34" customHeight="1">
      <c r="A58" s="4" t="inlineStr">
        <is>
          <t>1.3</t>
        </is>
      </c>
      <c r="B58" s="9" t="n">
        <v>27</v>
      </c>
      <c r="C58" s="4" t="inlineStr">
        <is>
          <t>Клапан обратный 19с76нж Ду 80 Ру 16</t>
        </is>
      </c>
      <c r="D58" s="9" t="n">
        <v>1</v>
      </c>
      <c r="E58" s="4" t="inlineStr">
        <is>
          <t>шт</t>
        </is>
      </c>
      <c r="F58" s="9" t="n">
        <v>80</v>
      </c>
      <c r="G58" s="9" t="n">
        <v>1.6</v>
      </c>
      <c r="H58" s="4" t="inlineStr">
        <is>
          <t>Сталь 25Л</t>
        </is>
      </c>
      <c r="I58" s="4" t="inlineStr">
        <is>
          <t>нет</t>
        </is>
      </c>
      <c r="J58" s="13" t="n"/>
      <c r="K58" s="6">
        <f>IF(J58="","",J58*(1-0.1))</f>
        <v/>
      </c>
      <c r="L58" s="9" t="n"/>
      <c r="M58" s="6">
        <f>IF(J58="","",K58*D58)</f>
        <v/>
      </c>
      <c r="N58" s="6">
        <f>IF(L58="","",L58*D58*55)</f>
        <v/>
      </c>
      <c r="O58" s="6">
        <f>IF(M58="","",M58+N(N58))</f>
        <v/>
      </c>
      <c r="P58" s="9" t="n"/>
      <c r="Q58" s="4" t="inlineStr"/>
      <c r="R58" s="4" t="inlineStr"/>
      <c r="S58" s="9" t="n"/>
    </row>
    <row r="59" ht="34" customHeight="1">
      <c r="A59" s="4" t="inlineStr">
        <is>
          <t>1.3</t>
        </is>
      </c>
      <c r="B59" s="9" t="n">
        <v>28</v>
      </c>
      <c r="C59" s="4" t="inlineStr">
        <is>
          <t>Клапан обратный 19с76нж Ду 100 Ру 16</t>
        </is>
      </c>
      <c r="D59" s="9" t="n">
        <v>2</v>
      </c>
      <c r="E59" s="4" t="inlineStr">
        <is>
          <t>шт</t>
        </is>
      </c>
      <c r="F59" s="9" t="n">
        <v>100</v>
      </c>
      <c r="G59" s="9" t="n">
        <v>1.6</v>
      </c>
      <c r="H59" s="4" t="inlineStr">
        <is>
          <t xml:space="preserve"> сталь 25Л, 20, 20Х13</t>
        </is>
      </c>
      <c r="I59" s="4" t="inlineStr">
        <is>
          <t>нет</t>
        </is>
      </c>
      <c r="J59" s="13" t="n"/>
      <c r="K59" s="6">
        <f>IF(J59="","",J59*(1-0.1))</f>
        <v/>
      </c>
      <c r="L59" s="9" t="n"/>
      <c r="M59" s="6">
        <f>IF(J59="","",K59*D59)</f>
        <v/>
      </c>
      <c r="N59" s="6">
        <f>IF(L59="","",L59*D59*55)</f>
        <v/>
      </c>
      <c r="O59" s="6">
        <f>IF(M59="","",M59+N(N59))</f>
        <v/>
      </c>
      <c r="P59" s="9" t="n"/>
      <c r="Q59" s="4" t="inlineStr"/>
      <c r="R59" s="4" t="inlineStr"/>
      <c r="S59" s="9" t="n"/>
    </row>
    <row r="60" ht="34" customHeight="1">
      <c r="A60" s="4" t="inlineStr">
        <is>
          <t>1.3</t>
        </is>
      </c>
      <c r="B60" s="9" t="n">
        <v>29</v>
      </c>
      <c r="C60" s="4" t="inlineStr">
        <is>
          <t>Клапан обратный 19с76нж Ду 50 Ру 16</t>
        </is>
      </c>
      <c r="D60" s="9" t="n">
        <v>2</v>
      </c>
      <c r="E60" s="4" t="inlineStr">
        <is>
          <t>шт</t>
        </is>
      </c>
      <c r="F60" s="9" t="n">
        <v>50</v>
      </c>
      <c r="G60" s="9" t="n">
        <v>1.6</v>
      </c>
      <c r="H60" s="4" t="inlineStr">
        <is>
          <t xml:space="preserve"> сталь 25Л, 20, 20Х13</t>
        </is>
      </c>
      <c r="I60" s="4" t="inlineStr">
        <is>
          <t>нет</t>
        </is>
      </c>
      <c r="J60" s="13" t="n"/>
      <c r="K60" s="6">
        <f>IF(J60="","",J60*(1-0.1))</f>
        <v/>
      </c>
      <c r="L60" s="9" t="n"/>
      <c r="M60" s="6">
        <f>IF(J60="","",K60*D60)</f>
        <v/>
      </c>
      <c r="N60" s="6">
        <f>IF(L60="","",L60*D60*55)</f>
        <v/>
      </c>
      <c r="O60" s="6">
        <f>IF(M60="","",M60+N(N60))</f>
        <v/>
      </c>
      <c r="P60" s="9" t="n"/>
      <c r="Q60" s="4" t="inlineStr"/>
      <c r="R60" s="4" t="inlineStr"/>
      <c r="S60" s="9" t="n"/>
    </row>
    <row r="61" ht="34" customHeight="1">
      <c r="A61" s="4" t="inlineStr">
        <is>
          <t>1.3</t>
        </is>
      </c>
      <c r="B61" s="9" t="n">
        <v>30</v>
      </c>
      <c r="C61" s="4" t="inlineStr">
        <is>
          <t>Клапан обратный межфланцевый пружинный тарельчатый NVD-802R Ду 125 Ру 16</t>
        </is>
      </c>
      <c r="D61" s="9" t="n">
        <v>2</v>
      </c>
      <c r="E61" s="4" t="inlineStr">
        <is>
          <t>шт</t>
        </is>
      </c>
      <c r="F61" s="9" t="n">
        <v>125</v>
      </c>
      <c r="G61" s="9" t="n">
        <v>1.6</v>
      </c>
      <c r="H61" s="4" t="inlineStr">
        <is>
          <t xml:space="preserve">серый чугун </t>
        </is>
      </c>
      <c r="I61" s="4" t="inlineStr"/>
      <c r="J61" s="13" t="n"/>
      <c r="K61" s="6">
        <f>IF(J61="","",J61*(1-0.1))</f>
        <v/>
      </c>
      <c r="L61" s="9" t="n"/>
      <c r="M61" s="6">
        <f>IF(J61="","",K61*D61)</f>
        <v/>
      </c>
      <c r="N61" s="6">
        <f>IF(L61="","",L61*D61*55)</f>
        <v/>
      </c>
      <c r="O61" s="6">
        <f>IF(M61="","",M61+N(N61))</f>
        <v/>
      </c>
      <c r="P61" s="9" t="n"/>
      <c r="Q61" s="4" t="inlineStr"/>
      <c r="R61" s="4" t="inlineStr"/>
      <c r="S61" s="9" t="n"/>
    </row>
    <row r="62" ht="34" customHeight="1">
      <c r="A62" s="4" t="inlineStr">
        <is>
          <t>1.3</t>
        </is>
      </c>
      <c r="B62" s="9" t="n">
        <v>31</v>
      </c>
      <c r="C62" s="4" t="inlineStr">
        <is>
          <t>Клапан обратный межфланцевый пружинный тарельчатый NVD-802R Ду 150 Ру 16</t>
        </is>
      </c>
      <c r="D62" s="9" t="n">
        <v>10</v>
      </c>
      <c r="E62" s="4" t="inlineStr">
        <is>
          <t>шт</t>
        </is>
      </c>
      <c r="F62" s="9" t="n">
        <v>150</v>
      </c>
      <c r="G62" s="9" t="n">
        <v>1.6</v>
      </c>
      <c r="H62" s="4" t="inlineStr">
        <is>
          <t xml:space="preserve">серый чугун </t>
        </is>
      </c>
      <c r="I62" s="4" t="inlineStr"/>
      <c r="J62" s="13" t="n"/>
      <c r="K62" s="6">
        <f>IF(J62="","",J62*(1-0.1))</f>
        <v/>
      </c>
      <c r="L62" s="9" t="n"/>
      <c r="M62" s="6">
        <f>IF(J62="","",K62*D62)</f>
        <v/>
      </c>
      <c r="N62" s="6">
        <f>IF(L62="","",L62*D62*55)</f>
        <v/>
      </c>
      <c r="O62" s="6">
        <f>IF(M62="","",M62+N(N62))</f>
        <v/>
      </c>
      <c r="P62" s="9" t="n"/>
      <c r="Q62" s="4" t="inlineStr"/>
      <c r="R62" s="4" t="inlineStr"/>
      <c r="S62" s="9" t="n"/>
    </row>
    <row r="63" ht="34" customHeight="1">
      <c r="A63" s="4" t="inlineStr">
        <is>
          <t>1.3</t>
        </is>
      </c>
      <c r="B63" s="9" t="n">
        <v>32</v>
      </c>
      <c r="C63" s="4" t="inlineStr">
        <is>
          <t>Клапан обратный фланцевый пружинный с аксиальным затвором NVD-402R Ду 100 Ру 16</t>
        </is>
      </c>
      <c r="D63" s="9" t="n">
        <v>2</v>
      </c>
      <c r="E63" s="4" t="inlineStr">
        <is>
          <t>шт</t>
        </is>
      </c>
      <c r="F63" s="9" t="n">
        <v>100</v>
      </c>
      <c r="G63" s="9" t="n">
        <v>1.6</v>
      </c>
      <c r="H63" s="4" t="inlineStr">
        <is>
          <t xml:space="preserve">серый чугун </t>
        </is>
      </c>
      <c r="I63" s="4" t="inlineStr"/>
      <c r="J63" s="13" t="n"/>
      <c r="K63" s="6">
        <f>IF(J63="","",J63*(1-0.1))</f>
        <v/>
      </c>
      <c r="L63" s="9" t="n"/>
      <c r="M63" s="6">
        <f>IF(J63="","",K63*D63)</f>
        <v/>
      </c>
      <c r="N63" s="6">
        <f>IF(L63="","",L63*D63*55)</f>
        <v/>
      </c>
      <c r="O63" s="6">
        <f>IF(M63="","",M63+N(N63))</f>
        <v/>
      </c>
      <c r="P63" s="9" t="n"/>
      <c r="Q63" s="4" t="inlineStr"/>
      <c r="R63" s="4" t="inlineStr"/>
      <c r="S63" s="9" t="n"/>
    </row>
    <row r="64" ht="34" customHeight="1">
      <c r="A64" s="4" t="inlineStr">
        <is>
          <t>1.3</t>
        </is>
      </c>
      <c r="B64" s="9" t="n">
        <v>33</v>
      </c>
      <c r="C64" s="4" t="inlineStr">
        <is>
          <t>Клапан обратный фланцевый пружинный с аксиальным затвором NVD-402R Ду 150 Ру 16</t>
        </is>
      </c>
      <c r="D64" s="9" t="n">
        <v>5</v>
      </c>
      <c r="E64" s="4" t="inlineStr">
        <is>
          <t>шт</t>
        </is>
      </c>
      <c r="F64" s="9" t="n">
        <v>150</v>
      </c>
      <c r="G64" s="9" t="n">
        <v>1.6</v>
      </c>
      <c r="H64" s="4" t="inlineStr">
        <is>
          <t>Чугун GG25 с эпоксидным покрытием</t>
        </is>
      </c>
      <c r="I64" s="4" t="inlineStr">
        <is>
          <t>-</t>
        </is>
      </c>
      <c r="J64" s="13" t="n"/>
      <c r="K64" s="6">
        <f>IF(J64="","",J64*(1-0.1))</f>
        <v/>
      </c>
      <c r="L64" s="9" t="n"/>
      <c r="M64" s="6">
        <f>IF(J64="","",K64*D64)</f>
        <v/>
      </c>
      <c r="N64" s="6">
        <f>IF(L64="","",L64*D64*55)</f>
        <v/>
      </c>
      <c r="O64" s="6">
        <f>IF(M64="","",M64+N(N64))</f>
        <v/>
      </c>
      <c r="P64" s="9" t="n"/>
      <c r="Q64" s="4" t="inlineStr"/>
      <c r="R64" s="4" t="inlineStr"/>
      <c r="S64" s="9" t="n"/>
    </row>
    <row r="65" ht="34" customHeight="1">
      <c r="A65" s="4" t="inlineStr">
        <is>
          <t>1.3</t>
        </is>
      </c>
      <c r="B65" s="9" t="n">
        <v>34</v>
      </c>
      <c r="C65" s="4" t="inlineStr">
        <is>
          <t>Клапан обратный фланцевый пружинный с аксиальным затвором NVD-402R Ду 200 Ру 16</t>
        </is>
      </c>
      <c r="D65" s="9" t="n">
        <v>4</v>
      </c>
      <c r="E65" s="4" t="inlineStr">
        <is>
          <t>шт</t>
        </is>
      </c>
      <c r="F65" s="9" t="n">
        <v>200</v>
      </c>
      <c r="G65" s="9" t="n">
        <v>1.6</v>
      </c>
      <c r="H65" s="4" t="inlineStr">
        <is>
          <t>Чугун GJL250</t>
        </is>
      </c>
      <c r="I65" s="4" t="inlineStr"/>
      <c r="J65" s="13" t="n"/>
      <c r="K65" s="6">
        <f>IF(J65="","",J65*(1-0.1))</f>
        <v/>
      </c>
      <c r="L65" s="9" t="n"/>
      <c r="M65" s="6">
        <f>IF(J65="","",K65*D65)</f>
        <v/>
      </c>
      <c r="N65" s="6">
        <f>IF(L65="","",L65*D65*55)</f>
        <v/>
      </c>
      <c r="O65" s="6">
        <f>IF(M65="","",M65+N(N65))</f>
        <v/>
      </c>
      <c r="P65" s="9" t="n"/>
      <c r="Q65" s="4" t="inlineStr"/>
      <c r="R65" s="4" t="inlineStr"/>
      <c r="S65" s="9" t="n"/>
    </row>
    <row r="66" ht="34" customHeight="1">
      <c r="A66" s="4" t="inlineStr">
        <is>
          <t>1.3</t>
        </is>
      </c>
      <c r="B66" s="9" t="n">
        <v>35</v>
      </c>
      <c r="C66" s="4" t="inlineStr">
        <is>
          <t>Обратный клапан пружинный NVD-812R Ду 150 Ру 40</t>
        </is>
      </c>
      <c r="D66" s="9" t="n">
        <v>1</v>
      </c>
      <c r="E66" s="4" t="inlineStr">
        <is>
          <t>шт</t>
        </is>
      </c>
      <c r="F66" s="9" t="n">
        <v>150</v>
      </c>
      <c r="G66" s="9" t="n">
        <v>4</v>
      </c>
      <c r="H66" s="4" t="inlineStr">
        <is>
          <t>Нержавеющая сталь</t>
        </is>
      </c>
      <c r="I66" s="4" t="inlineStr"/>
      <c r="J66" s="13" t="n"/>
      <c r="K66" s="6">
        <f>IF(J66="","",J66*(1-0.1))</f>
        <v/>
      </c>
      <c r="L66" s="9" t="n"/>
      <c r="M66" s="6">
        <f>IF(J66="","",K66*D66)</f>
        <v/>
      </c>
      <c r="N66" s="6">
        <f>IF(L66="","",L66*D66*55)</f>
        <v/>
      </c>
      <c r="O66" s="6">
        <f>IF(M66="","",M66+N(N66))</f>
        <v/>
      </c>
      <c r="P66" s="9" t="n"/>
      <c r="Q66" s="4" t="inlineStr"/>
      <c r="R66" s="4" t="inlineStr"/>
      <c r="S66" s="9" t="n"/>
    </row>
    <row r="67" ht="34" customHeight="1">
      <c r="A67" s="4" t="inlineStr">
        <is>
          <t>1.3</t>
        </is>
      </c>
      <c r="B67" s="9" t="n">
        <v>36</v>
      </c>
      <c r="C67" s="4" t="inlineStr">
        <is>
          <t>Предохранительный клапан ARI-SAFE 12.903 Ду 32/50 Ру 16</t>
        </is>
      </c>
      <c r="D67" s="9" t="n">
        <v>2</v>
      </c>
      <c r="E67" s="4" t="inlineStr">
        <is>
          <t>шт</t>
        </is>
      </c>
      <c r="F67" s="4" t="inlineStr">
        <is>
          <t>32/50</t>
        </is>
      </c>
      <c r="G67" s="9" t="n">
        <v>1.6</v>
      </c>
      <c r="H67" s="4" t="inlineStr">
        <is>
          <t>серый чугун</t>
        </is>
      </c>
      <c r="I67" s="4" t="inlineStr"/>
      <c r="J67" s="13" t="n"/>
      <c r="K67" s="6">
        <f>IF(J67="","",J67*(1-0.1))</f>
        <v/>
      </c>
      <c r="L67" s="9" t="n"/>
      <c r="M67" s="6">
        <f>IF(J67="","",K67*D67)</f>
        <v/>
      </c>
      <c r="N67" s="6">
        <f>IF(L67="","",L67*D67*55)</f>
        <v/>
      </c>
      <c r="O67" s="6">
        <f>IF(M67="","",M67+N(N67))</f>
        <v/>
      </c>
      <c r="P67" s="9" t="n"/>
      <c r="Q67" s="4" t="inlineStr"/>
      <c r="R67" s="4" t="inlineStr"/>
      <c r="S67" s="9" t="n"/>
    </row>
    <row r="68" ht="34" customHeight="1">
      <c r="A68" s="4" t="inlineStr">
        <is>
          <t>1.3</t>
        </is>
      </c>
      <c r="B68" s="9" t="n">
        <v>37</v>
      </c>
      <c r="C68" s="4" t="inlineStr">
        <is>
          <t>Предохранительный клапан ARI-SAFE 12.903 Ду 25/40 Ру 16</t>
        </is>
      </c>
      <c r="D68" s="9" t="n">
        <v>2</v>
      </c>
      <c r="E68" s="4" t="inlineStr">
        <is>
          <t>шт</t>
        </is>
      </c>
      <c r="F68" s="4" t="inlineStr">
        <is>
          <t>25/40</t>
        </is>
      </c>
      <c r="G68" s="9" t="n">
        <v>1.6</v>
      </c>
      <c r="H68" s="4" t="inlineStr">
        <is>
          <t>серый чугун</t>
        </is>
      </c>
      <c r="I68" s="4" t="inlineStr"/>
      <c r="J68" s="13" t="n"/>
      <c r="K68" s="6">
        <f>IF(J68="","",J68*(1-0.1))</f>
        <v/>
      </c>
      <c r="L68" s="9" t="n"/>
      <c r="M68" s="6">
        <f>IF(J68="","",K68*D68)</f>
        <v/>
      </c>
      <c r="N68" s="6">
        <f>IF(L68="","",L68*D68*55)</f>
        <v/>
      </c>
      <c r="O68" s="6">
        <f>IF(M68="","",M68+N(N68))</f>
        <v/>
      </c>
      <c r="P68" s="9" t="n"/>
      <c r="Q68" s="4" t="inlineStr"/>
      <c r="R68" s="4" t="inlineStr"/>
      <c r="S68" s="9" t="n"/>
    </row>
    <row r="69" ht="34" customHeight="1">
      <c r="A69" s="4" t="inlineStr">
        <is>
          <t>1.3</t>
        </is>
      </c>
      <c r="B69" s="9" t="n">
        <v>38</v>
      </c>
      <c r="C69" s="4" t="inlineStr">
        <is>
          <t>Предохранительный клапан ARI-SAFE 12.903 Ду 25/40 Ру 16</t>
        </is>
      </c>
      <c r="D69" s="9" t="n">
        <v>2</v>
      </c>
      <c r="E69" s="4" t="inlineStr">
        <is>
          <t>шт</t>
        </is>
      </c>
      <c r="F69" s="4" t="inlineStr">
        <is>
          <t>25/40</t>
        </is>
      </c>
      <c r="G69" s="9" t="n">
        <v>1.6</v>
      </c>
      <c r="H69" s="4" t="inlineStr">
        <is>
          <t>серый чугун</t>
        </is>
      </c>
      <c r="I69" s="4" t="inlineStr"/>
      <c r="J69" s="13" t="n"/>
      <c r="K69" s="6">
        <f>IF(J69="","",J69*(1-0.1))</f>
        <v/>
      </c>
      <c r="L69" s="9" t="n"/>
      <c r="M69" s="6">
        <f>IF(J69="","",K69*D69)</f>
        <v/>
      </c>
      <c r="N69" s="6">
        <f>IF(L69="","",L69*D69*55)</f>
        <v/>
      </c>
      <c r="O69" s="6">
        <f>IF(M69="","",M69+N(N69))</f>
        <v/>
      </c>
      <c r="P69" s="9" t="n"/>
      <c r="Q69" s="4" t="inlineStr"/>
      <c r="R69" s="4" t="inlineStr"/>
      <c r="S69" s="9" t="n"/>
    </row>
    <row r="70" ht="34" customHeight="1">
      <c r="A70" s="4" t="inlineStr">
        <is>
          <t>1.3</t>
        </is>
      </c>
      <c r="B70" s="9" t="n">
        <v>39</v>
      </c>
      <c r="C70" s="4" t="inlineStr">
        <is>
          <t>Кран для манометра трехходовой Ду 15 Ру 16</t>
        </is>
      </c>
      <c r="D70" s="9" t="n">
        <v>34</v>
      </c>
      <c r="E70" s="4" t="inlineStr">
        <is>
          <t>шт</t>
        </is>
      </c>
      <c r="F70" s="9" t="n">
        <v>15</v>
      </c>
      <c r="G70" s="4" t="inlineStr">
        <is>
          <t>1.6</t>
        </is>
      </c>
      <c r="H70" s="4" t="inlineStr">
        <is>
          <t>латунь ЛЦ40Сд</t>
        </is>
      </c>
      <c r="I70" s="4" t="inlineStr">
        <is>
          <t>флажок/рычаг</t>
        </is>
      </c>
      <c r="J70" s="13" t="n"/>
      <c r="K70" s="6">
        <f>IF(J70="","",J70*(1-0.1))</f>
        <v/>
      </c>
      <c r="L70" s="9" t="n"/>
      <c r="M70" s="6">
        <f>IF(J70="","",K70*D70)</f>
        <v/>
      </c>
      <c r="N70" s="6">
        <f>IF(L70="","",L70*D70*55)</f>
        <v/>
      </c>
      <c r="O70" s="6">
        <f>IF(M70="","",M70+N(N70))</f>
        <v/>
      </c>
      <c r="P70" s="9" t="n"/>
      <c r="Q70" s="4" t="inlineStr"/>
      <c r="R70" s="4" t="inlineStr"/>
      <c r="S70" s="9" t="n"/>
    </row>
    <row r="71" ht="34" customHeight="1">
      <c r="A71" s="4" t="inlineStr">
        <is>
          <t>1.3</t>
        </is>
      </c>
      <c r="B71" s="9" t="n">
        <v>40</v>
      </c>
      <c r="C71" s="4" t="inlineStr">
        <is>
          <t>Клапан 22б16п (15б34бк1) запорный вакуумный сильфонный Ду6 Ру16</t>
        </is>
      </c>
      <c r="D71" s="9" t="n">
        <v>2</v>
      </c>
      <c r="E71" s="4" t="inlineStr">
        <is>
          <t>шт</t>
        </is>
      </c>
      <c r="F71" s="9" t="n">
        <v>6</v>
      </c>
      <c r="G71" s="9" t="n">
        <v>1.6</v>
      </c>
      <c r="H71" s="4" t="inlineStr">
        <is>
          <t>ЛС59-1Л</t>
        </is>
      </c>
      <c r="I71" s="4" t="inlineStr">
        <is>
          <t>Ручной</t>
        </is>
      </c>
      <c r="J71" s="13" t="n"/>
      <c r="K71" s="6">
        <f>IF(J71="","",J71*(1-0.1))</f>
        <v/>
      </c>
      <c r="L71" s="9" t="n"/>
      <c r="M71" s="6">
        <f>IF(J71="","",K71*D71)</f>
        <v/>
      </c>
      <c r="N71" s="6">
        <f>IF(L71="","",L71*D71*55)</f>
        <v/>
      </c>
      <c r="O71" s="6">
        <f>IF(M71="","",M71+N(N71))</f>
        <v/>
      </c>
      <c r="P71" s="9" t="n"/>
      <c r="Q71" s="4" t="inlineStr"/>
      <c r="R71" s="4" t="inlineStr"/>
      <c r="S71" s="9" t="n"/>
    </row>
    <row r="72" ht="34" customHeight="1">
      <c r="A72" s="4" t="inlineStr">
        <is>
          <t>1.3</t>
        </is>
      </c>
      <c r="B72" s="9" t="n">
        <v>41</v>
      </c>
      <c r="C72" s="4" t="inlineStr">
        <is>
          <t>Клапан ВДХ Ду 80 Ру 10</t>
        </is>
      </c>
      <c r="D72" s="9" t="n">
        <v>2</v>
      </c>
      <c r="E72" s="4" t="inlineStr">
        <is>
          <t>шт</t>
        </is>
      </c>
      <c r="F72" s="9" t="n">
        <v>80</v>
      </c>
      <c r="G72" s="9" t="n">
        <v>1.6</v>
      </c>
      <c r="H72" s="4" t="inlineStr">
        <is>
          <t>углеродистая сталь</t>
        </is>
      </c>
      <c r="I72" s="4" t="inlineStr">
        <is>
          <t xml:space="preserve">Ручное </t>
        </is>
      </c>
      <c r="J72" s="13" t="n"/>
      <c r="K72" s="6">
        <f>IF(J72="","",J72*(1-0.1))</f>
        <v/>
      </c>
      <c r="L72" s="9" t="n"/>
      <c r="M72" s="6">
        <f>IF(J72="","",K72*D72)</f>
        <v/>
      </c>
      <c r="N72" s="6">
        <f>IF(L72="","",L72*D72*55)</f>
        <v/>
      </c>
      <c r="O72" s="6">
        <f>IF(M72="","",M72+N(N72))</f>
        <v/>
      </c>
      <c r="P72" s="9" t="n"/>
      <c r="Q72" s="4" t="inlineStr"/>
      <c r="R72" s="4" t="inlineStr"/>
      <c r="S72" s="9" t="n"/>
    </row>
    <row r="73" ht="34" customHeight="1">
      <c r="A73" s="4" t="inlineStr">
        <is>
          <t>1.3</t>
        </is>
      </c>
      <c r="B73" s="9" t="n">
        <v>42</v>
      </c>
      <c r="C73" s="4" t="inlineStr">
        <is>
          <t>Клапан диафрагменный химический ВДХ Ду 150 Ру 16</t>
        </is>
      </c>
      <c r="D73" s="9" t="n">
        <v>1</v>
      </c>
      <c r="E73" s="4" t="inlineStr">
        <is>
          <t>шт</t>
        </is>
      </c>
      <c r="F73" s="9" t="n">
        <v>150</v>
      </c>
      <c r="G73" s="9" t="n">
        <v>1.6</v>
      </c>
      <c r="H73" s="4" t="inlineStr">
        <is>
          <t>углеродистая сталь</t>
        </is>
      </c>
      <c r="I73" s="4" t="inlineStr">
        <is>
          <t xml:space="preserve">Ручное </t>
        </is>
      </c>
      <c r="J73" s="13" t="n"/>
      <c r="K73" s="6">
        <f>IF(J73="","",J73*(1-0.1))</f>
        <v/>
      </c>
      <c r="L73" s="9" t="n"/>
      <c r="M73" s="6">
        <f>IF(J73="","",K73*D73)</f>
        <v/>
      </c>
      <c r="N73" s="6">
        <f>IF(L73="","",L73*D73*55)</f>
        <v/>
      </c>
      <c r="O73" s="6">
        <f>IF(M73="","",M73+N(N73))</f>
        <v/>
      </c>
      <c r="P73" s="9" t="n"/>
      <c r="Q73" s="4" t="inlineStr"/>
      <c r="R73" s="4" t="inlineStr"/>
      <c r="S73" s="9" t="n"/>
    </row>
    <row r="74" ht="34" customHeight="1">
      <c r="A74" s="4" t="inlineStr">
        <is>
          <t>1.3</t>
        </is>
      </c>
      <c r="B74" s="9" t="n">
        <v>43</v>
      </c>
      <c r="C74" s="4" t="inlineStr">
        <is>
          <t>Клапан диафрагменный химический ВДХ Ду 50, Ру 16</t>
        </is>
      </c>
      <c r="D74" s="9" t="n">
        <v>1</v>
      </c>
      <c r="E74" s="4" t="inlineStr">
        <is>
          <t>шт</t>
        </is>
      </c>
      <c r="F74" s="9" t="n">
        <v>50</v>
      </c>
      <c r="G74" s="9" t="n">
        <v>1.6</v>
      </c>
      <c r="H74" s="4" t="inlineStr">
        <is>
          <t>углеродистая сталь</t>
        </is>
      </c>
      <c r="I74" s="4" t="inlineStr">
        <is>
          <t xml:space="preserve">Ручное </t>
        </is>
      </c>
      <c r="J74" s="13" t="n"/>
      <c r="K74" s="6">
        <f>IF(J74="","",J74*(1-0.1))</f>
        <v/>
      </c>
      <c r="L74" s="9" t="n"/>
      <c r="M74" s="6">
        <f>IF(J74="","",K74*D74)</f>
        <v/>
      </c>
      <c r="N74" s="6">
        <f>IF(L74="","",L74*D74*55)</f>
        <v/>
      </c>
      <c r="O74" s="6">
        <f>IF(M74="","",M74+N(N74))</f>
        <v/>
      </c>
      <c r="P74" s="9" t="n"/>
      <c r="Q74" s="4" t="inlineStr"/>
      <c r="R74" s="4" t="inlineStr"/>
      <c r="S74" s="9" t="n"/>
    </row>
    <row r="75" ht="34" customHeight="1">
      <c r="A75" s="4" t="inlineStr">
        <is>
          <t>1.3</t>
        </is>
      </c>
      <c r="B75" s="9" t="n">
        <v>44</v>
      </c>
      <c r="C75" s="4" t="inlineStr">
        <is>
          <t>Клапан диафрагменный химический ВДХ Ду 80 Ру 16</t>
        </is>
      </c>
      <c r="D75" s="9" t="n">
        <v>3</v>
      </c>
      <c r="E75" s="4" t="inlineStr">
        <is>
          <t>шт</t>
        </is>
      </c>
      <c r="F75" s="9" t="n">
        <v>80</v>
      </c>
      <c r="G75" s="9" t="n">
        <v>1.6</v>
      </c>
      <c r="H75" s="4" t="inlineStr">
        <is>
          <t>углеродистая сталь</t>
        </is>
      </c>
      <c r="I75" s="4" t="inlineStr">
        <is>
          <t xml:space="preserve">Ручное </t>
        </is>
      </c>
      <c r="J75" s="13" t="n"/>
      <c r="K75" s="6">
        <f>IF(J75="","",J75*(1-0.1))</f>
        <v/>
      </c>
      <c r="L75" s="9" t="n"/>
      <c r="M75" s="6">
        <f>IF(J75="","",K75*D75)</f>
        <v/>
      </c>
      <c r="N75" s="6">
        <f>IF(L75="","",L75*D75*55)</f>
        <v/>
      </c>
      <c r="O75" s="6">
        <f>IF(M75="","",M75+N(N75))</f>
        <v/>
      </c>
      <c r="P75" s="9" t="n"/>
      <c r="Q75" s="4" t="inlineStr"/>
      <c r="R75" s="4" t="inlineStr"/>
      <c r="S75" s="9" t="n"/>
    </row>
    <row r="76" ht="34" customHeight="1">
      <c r="A76" s="4" t="inlineStr">
        <is>
          <t>1.3</t>
        </is>
      </c>
      <c r="B76" s="9" t="n">
        <v>45</v>
      </c>
      <c r="C76" s="4" t="inlineStr">
        <is>
          <t>Клапан запорный 14нж17п Ду 15 Ру 10 цапковый</t>
        </is>
      </c>
      <c r="D76" s="9" t="n">
        <v>2</v>
      </c>
      <c r="E76" s="4" t="inlineStr">
        <is>
          <t>шт</t>
        </is>
      </c>
      <c r="F76" s="9" t="n">
        <v>15</v>
      </c>
      <c r="G76" s="9" t="n">
        <v>1</v>
      </c>
      <c r="H76" s="4" t="inlineStr">
        <is>
          <t>Сталь марки 12Х18Н9Т</t>
        </is>
      </c>
      <c r="I76" s="4" t="inlineStr">
        <is>
          <t>Ручной</t>
        </is>
      </c>
      <c r="J76" s="13" t="n"/>
      <c r="K76" s="6">
        <f>IF(J76="","",J76*(1-0.1))</f>
        <v/>
      </c>
      <c r="L76" s="9" t="n"/>
      <c r="M76" s="6">
        <f>IF(J76="","",K76*D76)</f>
        <v/>
      </c>
      <c r="N76" s="6">
        <f>IF(L76="","",L76*D76*55)</f>
        <v/>
      </c>
      <c r="O76" s="6">
        <f>IF(M76="","",M76+N(N76))</f>
        <v/>
      </c>
      <c r="P76" s="9" t="n"/>
      <c r="Q76" s="4" t="inlineStr"/>
      <c r="R76" s="4" t="inlineStr"/>
      <c r="S76" s="9" t="n"/>
    </row>
    <row r="77" ht="34" customHeight="1">
      <c r="A77" s="4" t="inlineStr">
        <is>
          <t>1.3</t>
        </is>
      </c>
      <c r="B77" s="9" t="n">
        <v>46</v>
      </c>
      <c r="C77" s="4" t="inlineStr">
        <is>
          <t>Клапан запорный 14нж17п Ду 25 Ру 10 цапковый</t>
        </is>
      </c>
      <c r="D77" s="9" t="n">
        <v>2</v>
      </c>
      <c r="E77" s="4" t="inlineStr">
        <is>
          <t>шт</t>
        </is>
      </c>
      <c r="F77" s="9" t="n">
        <v>25</v>
      </c>
      <c r="G77" s="9" t="n">
        <v>1</v>
      </c>
      <c r="H77" s="4" t="inlineStr">
        <is>
          <t>Сталь марки 12Х18Н9Т</t>
        </is>
      </c>
      <c r="I77" s="4" t="inlineStr">
        <is>
          <t>Ручной</t>
        </is>
      </c>
      <c r="J77" s="13" t="n"/>
      <c r="K77" s="6">
        <f>IF(J77="","",J77*(1-0.1))</f>
        <v/>
      </c>
      <c r="L77" s="9" t="n"/>
      <c r="M77" s="6">
        <f>IF(J77="","",K77*D77)</f>
        <v/>
      </c>
      <c r="N77" s="6">
        <f>IF(L77="","",L77*D77*55)</f>
        <v/>
      </c>
      <c r="O77" s="6">
        <f>IF(M77="","",M77+N(N77))</f>
        <v/>
      </c>
      <c r="P77" s="9" t="n"/>
      <c r="Q77" s="4" t="inlineStr"/>
      <c r="R77" s="4" t="inlineStr"/>
      <c r="S77" s="9" t="n"/>
    </row>
    <row r="78" ht="34" customHeight="1">
      <c r="A78" s="4" t="inlineStr">
        <is>
          <t>1.3</t>
        </is>
      </c>
      <c r="B78" s="9" t="n">
        <v>47</v>
      </c>
      <c r="C78" s="4" t="inlineStr">
        <is>
          <t>Клапан запорный 14нж17п Ду 32 Ру 10 цапковый</t>
        </is>
      </c>
      <c r="D78" s="9" t="n">
        <v>1</v>
      </c>
      <c r="E78" s="4" t="inlineStr">
        <is>
          <t>шт</t>
        </is>
      </c>
      <c r="F78" s="9" t="n">
        <v>32</v>
      </c>
      <c r="G78" s="9" t="n">
        <v>1</v>
      </c>
      <c r="H78" s="4" t="inlineStr">
        <is>
          <t>Сталь марки 12Х18Н9Т</t>
        </is>
      </c>
      <c r="I78" s="4" t="inlineStr">
        <is>
          <t>Ручной</t>
        </is>
      </c>
      <c r="J78" s="13" t="n"/>
      <c r="K78" s="6">
        <f>IF(J78="","",J78*(1-0.1))</f>
        <v/>
      </c>
      <c r="L78" s="9" t="n"/>
      <c r="M78" s="6">
        <f>IF(J78="","",K78*D78)</f>
        <v/>
      </c>
      <c r="N78" s="6">
        <f>IF(L78="","",L78*D78*55)</f>
        <v/>
      </c>
      <c r="O78" s="6">
        <f>IF(M78="","",M78+N(N78))</f>
        <v/>
      </c>
      <c r="P78" s="9" t="n"/>
      <c r="Q78" s="4" t="inlineStr"/>
      <c r="R78" s="4" t="inlineStr"/>
      <c r="S78" s="9" t="n"/>
    </row>
    <row r="79" ht="34" customHeight="1">
      <c r="A79" s="4" t="inlineStr">
        <is>
          <t>1.3</t>
        </is>
      </c>
      <c r="B79" s="9" t="n">
        <v>48</v>
      </c>
      <c r="C79" s="4" t="inlineStr">
        <is>
          <t>Клапан запорный 15б1п Ду 15 Ру16</t>
        </is>
      </c>
      <c r="D79" s="9" t="n">
        <v>45</v>
      </c>
      <c r="E79" s="4" t="inlineStr">
        <is>
          <t>шт</t>
        </is>
      </c>
      <c r="F79" s="9" t="n">
        <v>15</v>
      </c>
      <c r="G79" s="9" t="n">
        <v>1.6</v>
      </c>
      <c r="H79" s="4" t="inlineStr">
        <is>
          <t>латунь ЛС59-1 ГОСТ 15527-2004</t>
        </is>
      </c>
      <c r="I79" s="4" t="inlineStr">
        <is>
          <t>Ручной</t>
        </is>
      </c>
      <c r="J79" s="13" t="n"/>
      <c r="K79" s="6">
        <f>IF(J79="","",J79*(1-0.1))</f>
        <v/>
      </c>
      <c r="L79" s="9" t="n"/>
      <c r="M79" s="6">
        <f>IF(J79="","",K79*D79)</f>
        <v/>
      </c>
      <c r="N79" s="6">
        <f>IF(L79="","",L79*D79*55)</f>
        <v/>
      </c>
      <c r="O79" s="6">
        <f>IF(M79="","",M79+N(N79))</f>
        <v/>
      </c>
      <c r="P79" s="9" t="n"/>
      <c r="Q79" s="4" t="inlineStr"/>
      <c r="R79" s="4" t="inlineStr"/>
      <c r="S79" s="9" t="n"/>
    </row>
    <row r="80" ht="34" customHeight="1">
      <c r="A80" s="4" t="inlineStr">
        <is>
          <t>1.3</t>
        </is>
      </c>
      <c r="B80" s="9" t="n">
        <v>49</v>
      </c>
      <c r="C80" s="4" t="inlineStr">
        <is>
          <t>Клапан запорный 15б1п Ду 20 Ру16</t>
        </is>
      </c>
      <c r="D80" s="9" t="n">
        <v>15</v>
      </c>
      <c r="E80" s="4" t="inlineStr">
        <is>
          <t>шт</t>
        </is>
      </c>
      <c r="F80" s="9" t="n">
        <v>20</v>
      </c>
      <c r="G80" s="9" t="n">
        <v>1.6</v>
      </c>
      <c r="H80" s="4" t="inlineStr">
        <is>
          <t>латунь ЛС59-1 ГОСТ 15527-2004</t>
        </is>
      </c>
      <c r="I80" s="4" t="inlineStr">
        <is>
          <t>Ручной</t>
        </is>
      </c>
      <c r="J80" s="13" t="n"/>
      <c r="K80" s="6">
        <f>IF(J80="","",J80*(1-0.1))</f>
        <v/>
      </c>
      <c r="L80" s="9" t="n"/>
      <c r="M80" s="6">
        <f>IF(J80="","",K80*D80)</f>
        <v/>
      </c>
      <c r="N80" s="6">
        <f>IF(L80="","",L80*D80*55)</f>
        <v/>
      </c>
      <c r="O80" s="6">
        <f>IF(M80="","",M80+N(N80))</f>
        <v/>
      </c>
      <c r="P80" s="9" t="n"/>
      <c r="Q80" s="4" t="inlineStr"/>
      <c r="R80" s="4" t="inlineStr"/>
      <c r="S80" s="9" t="n"/>
    </row>
    <row r="81" ht="34" customHeight="1">
      <c r="A81" s="4" t="inlineStr">
        <is>
          <t>1.3</t>
        </is>
      </c>
      <c r="B81" s="9" t="n">
        <v>50</v>
      </c>
      <c r="C81" s="4" t="inlineStr">
        <is>
          <t>Клапан запорный 15б1п Ду 25 Ру16</t>
        </is>
      </c>
      <c r="D81" s="9" t="n">
        <v>10</v>
      </c>
      <c r="E81" s="4" t="inlineStr">
        <is>
          <t>шт</t>
        </is>
      </c>
      <c r="F81" s="9" t="n">
        <v>25</v>
      </c>
      <c r="G81" s="9" t="n">
        <v>1.6</v>
      </c>
      <c r="H81" s="4" t="inlineStr">
        <is>
          <t>латунь ЛС59-1 ГОСТ 15527-2004</t>
        </is>
      </c>
      <c r="I81" s="4" t="inlineStr">
        <is>
          <t>Ручной</t>
        </is>
      </c>
      <c r="J81" s="13" t="n"/>
      <c r="K81" s="6">
        <f>IF(J81="","",J81*(1-0.1))</f>
        <v/>
      </c>
      <c r="L81" s="9" t="n"/>
      <c r="M81" s="6">
        <f>IF(J81="","",K81*D81)</f>
        <v/>
      </c>
      <c r="N81" s="6">
        <f>IF(L81="","",L81*D81*55)</f>
        <v/>
      </c>
      <c r="O81" s="6">
        <f>IF(M81="","",M81+N(N81))</f>
        <v/>
      </c>
      <c r="P81" s="9" t="n"/>
      <c r="Q81" s="4" t="inlineStr"/>
      <c r="R81" s="4" t="inlineStr"/>
      <c r="S81" s="9" t="n"/>
    </row>
    <row r="82" ht="34" customHeight="1">
      <c r="A82" s="4" t="inlineStr">
        <is>
          <t>1.3</t>
        </is>
      </c>
      <c r="B82" s="9" t="n">
        <v>51</v>
      </c>
      <c r="C82" s="4" t="inlineStr">
        <is>
          <t>Клапан запорный 15б1п Ду 32 Ру16</t>
        </is>
      </c>
      <c r="D82" s="9" t="n">
        <v>10</v>
      </c>
      <c r="E82" s="4" t="inlineStr">
        <is>
          <t>шт</t>
        </is>
      </c>
      <c r="F82" s="9" t="n">
        <v>32</v>
      </c>
      <c r="G82" s="9" t="n">
        <v>1.6</v>
      </c>
      <c r="H82" s="4" t="inlineStr">
        <is>
          <t>латунь ЛС59-1 ГОСТ 15527-2004</t>
        </is>
      </c>
      <c r="I82" s="4" t="inlineStr">
        <is>
          <t>Ручной</t>
        </is>
      </c>
      <c r="J82" s="13" t="n"/>
      <c r="K82" s="6">
        <f>IF(J82="","",J82*(1-0.1))</f>
        <v/>
      </c>
      <c r="L82" s="9" t="n"/>
      <c r="M82" s="6">
        <f>IF(J82="","",K82*D82)</f>
        <v/>
      </c>
      <c r="N82" s="6">
        <f>IF(L82="","",L82*D82*55)</f>
        <v/>
      </c>
      <c r="O82" s="6">
        <f>IF(M82="","",M82+N(N82))</f>
        <v/>
      </c>
      <c r="P82" s="9" t="n"/>
      <c r="Q82" s="4" t="inlineStr"/>
      <c r="R82" s="4" t="inlineStr"/>
      <c r="S82" s="9" t="n"/>
    </row>
    <row r="83" ht="34" customHeight="1">
      <c r="A83" s="4" t="inlineStr">
        <is>
          <t>1.3</t>
        </is>
      </c>
      <c r="B83" s="9" t="n">
        <v>52</v>
      </c>
      <c r="C83" s="4" t="inlineStr">
        <is>
          <t>Клапан запорный 15б1п Ду 40 Ру16</t>
        </is>
      </c>
      <c r="D83" s="9" t="n">
        <v>5</v>
      </c>
      <c r="E83" s="4" t="inlineStr">
        <is>
          <t>шт</t>
        </is>
      </c>
      <c r="F83" s="9" t="n">
        <v>40</v>
      </c>
      <c r="G83" s="9" t="n">
        <v>1.6</v>
      </c>
      <c r="H83" s="4" t="inlineStr">
        <is>
          <t>латунь ЛС59-1 ГОСТ 15527-2004</t>
        </is>
      </c>
      <c r="I83" s="4" t="inlineStr">
        <is>
          <t>Ручной</t>
        </is>
      </c>
      <c r="J83" s="13" t="n"/>
      <c r="K83" s="6">
        <f>IF(J83="","",J83*(1-0.1))</f>
        <v/>
      </c>
      <c r="L83" s="9" t="n"/>
      <c r="M83" s="6">
        <f>IF(J83="","",K83*D83)</f>
        <v/>
      </c>
      <c r="N83" s="6">
        <f>IF(L83="","",L83*D83*55)</f>
        <v/>
      </c>
      <c r="O83" s="6">
        <f>IF(M83="","",M83+N(N83))</f>
        <v/>
      </c>
      <c r="P83" s="9" t="n"/>
      <c r="Q83" s="4" t="inlineStr"/>
      <c r="R83" s="4" t="inlineStr"/>
      <c r="S83" s="9" t="n"/>
    </row>
    <row r="84" ht="34" customHeight="1">
      <c r="A84" s="4" t="inlineStr">
        <is>
          <t>1.3</t>
        </is>
      </c>
      <c r="B84" s="9" t="n">
        <v>53</v>
      </c>
      <c r="C84" s="4" t="inlineStr">
        <is>
          <t>Клапан запорный 15б1п Ду 50 Ру16</t>
        </is>
      </c>
      <c r="D84" s="9" t="n">
        <v>7</v>
      </c>
      <c r="E84" s="4" t="inlineStr">
        <is>
          <t>шт</t>
        </is>
      </c>
      <c r="F84" s="9" t="n">
        <v>50</v>
      </c>
      <c r="G84" s="9" t="n">
        <v>1.6</v>
      </c>
      <c r="H84" s="4" t="inlineStr">
        <is>
          <t>латунь ЛС59-1 ГОСТ 15527-2004</t>
        </is>
      </c>
      <c r="I84" s="4" t="inlineStr">
        <is>
          <t>Ручной</t>
        </is>
      </c>
      <c r="J84" s="13" t="n"/>
      <c r="K84" s="6">
        <f>IF(J84="","",J84*(1-0.1))</f>
        <v/>
      </c>
      <c r="L84" s="9" t="n"/>
      <c r="M84" s="6">
        <f>IF(J84="","",K84*D84)</f>
        <v/>
      </c>
      <c r="N84" s="6">
        <f>IF(L84="","",L84*D84*55)</f>
        <v/>
      </c>
      <c r="O84" s="6">
        <f>IF(M84="","",M84+N(N84))</f>
        <v/>
      </c>
      <c r="P84" s="9" t="n"/>
      <c r="Q84" s="4" t="inlineStr"/>
      <c r="R84" s="4" t="inlineStr"/>
      <c r="S84" s="9" t="n"/>
    </row>
    <row r="85" ht="34" customHeight="1">
      <c r="A85" s="4" t="inlineStr">
        <is>
          <t>1.3</t>
        </is>
      </c>
      <c r="B85" s="9" t="n">
        <v>54</v>
      </c>
      <c r="C85" s="4" t="inlineStr">
        <is>
          <t>Клапан запорны 15нж65нж Ду 80 Ру 16 фланцевый</t>
        </is>
      </c>
      <c r="D85" s="9" t="n">
        <v>2</v>
      </c>
      <c r="E85" s="4" t="inlineStr">
        <is>
          <t>шт</t>
        </is>
      </c>
      <c r="F85" s="9" t="n">
        <v>80</v>
      </c>
      <c r="G85" s="9" t="n">
        <v>1.6</v>
      </c>
      <c r="H85" s="4" t="inlineStr">
        <is>
          <t>12Х18Н9ТЛ</t>
        </is>
      </c>
      <c r="I85" s="4" t="inlineStr">
        <is>
          <t>ручное</t>
        </is>
      </c>
      <c r="J85" s="13" t="n"/>
      <c r="K85" s="6">
        <f>IF(J85="","",J85*(1-0.1))</f>
        <v/>
      </c>
      <c r="L85" s="9" t="n"/>
      <c r="M85" s="6">
        <f>IF(J85="","",K85*D85)</f>
        <v/>
      </c>
      <c r="N85" s="6">
        <f>IF(L85="","",L85*D85*55)</f>
        <v/>
      </c>
      <c r="O85" s="6">
        <f>IF(M85="","",M85+N(N85))</f>
        <v/>
      </c>
      <c r="P85" s="9" t="n"/>
      <c r="Q85" s="4" t="inlineStr"/>
      <c r="R85" s="4" t="inlineStr"/>
      <c r="S85" s="9" t="n"/>
    </row>
    <row r="86" ht="34" customHeight="1">
      <c r="A86" s="4" t="inlineStr">
        <is>
          <t>1.3</t>
        </is>
      </c>
      <c r="B86" s="9" t="n">
        <v>55</v>
      </c>
      <c r="C86" s="4" t="inlineStr">
        <is>
          <t>Клапан запорны 15нж65нж Ду 100 Ру 16 фланцевый</t>
        </is>
      </c>
      <c r="D86" s="9" t="n">
        <v>9</v>
      </c>
      <c r="E86" s="4" t="inlineStr">
        <is>
          <t>шт</t>
        </is>
      </c>
      <c r="F86" s="9" t="n">
        <v>100</v>
      </c>
      <c r="G86" s="9" t="n">
        <v>1.6</v>
      </c>
      <c r="H86" s="4" t="inlineStr">
        <is>
          <t>12Х18Н9ТЛ</t>
        </is>
      </c>
      <c r="I86" s="4" t="inlineStr">
        <is>
          <t>ручное</t>
        </is>
      </c>
      <c r="J86" s="13" t="n"/>
      <c r="K86" s="6">
        <f>IF(J86="","",J86*(1-0.1))</f>
        <v/>
      </c>
      <c r="L86" s="9" t="n"/>
      <c r="M86" s="6">
        <f>IF(J86="","",K86*D86)</f>
        <v/>
      </c>
      <c r="N86" s="6">
        <f>IF(L86="","",L86*D86*55)</f>
        <v/>
      </c>
      <c r="O86" s="6">
        <f>IF(M86="","",M86+N(N86))</f>
        <v/>
      </c>
      <c r="P86" s="9" t="n"/>
      <c r="Q86" s="4" t="inlineStr"/>
      <c r="R86" s="4" t="inlineStr"/>
      <c r="S86" s="9" t="n"/>
    </row>
    <row r="87" ht="34" customHeight="1">
      <c r="A87" s="4" t="inlineStr">
        <is>
          <t>1.3</t>
        </is>
      </c>
      <c r="B87" s="9" t="n">
        <v>56</v>
      </c>
      <c r="C87" s="4" t="inlineStr">
        <is>
          <t>Клапан запорны 15нж65нж Ду 125 Ру 16 фланцевый</t>
        </is>
      </c>
      <c r="D87" s="9" t="n">
        <v>1</v>
      </c>
      <c r="E87" s="4" t="inlineStr">
        <is>
          <t>шт</t>
        </is>
      </c>
      <c r="F87" s="9" t="n">
        <v>125</v>
      </c>
      <c r="G87" s="9" t="n">
        <v>1.6</v>
      </c>
      <c r="H87" s="4" t="inlineStr">
        <is>
          <t>12Х18Н9ТЛ</t>
        </is>
      </c>
      <c r="I87" s="4" t="inlineStr">
        <is>
          <t>ручное</t>
        </is>
      </c>
      <c r="J87" s="13" t="n"/>
      <c r="K87" s="6">
        <f>IF(J87="","",J87*(1-0.1))</f>
        <v/>
      </c>
      <c r="L87" s="9" t="n"/>
      <c r="M87" s="6">
        <f>IF(J87="","",K87*D87)</f>
        <v/>
      </c>
      <c r="N87" s="6">
        <f>IF(L87="","",L87*D87*55)</f>
        <v/>
      </c>
      <c r="O87" s="6">
        <f>IF(M87="","",M87+N(N87))</f>
        <v/>
      </c>
      <c r="P87" s="9" t="n"/>
      <c r="Q87" s="4" t="inlineStr"/>
      <c r="R87" s="4" t="inlineStr"/>
      <c r="S87" s="9" t="n"/>
    </row>
    <row r="88" ht="34" customHeight="1">
      <c r="A88" s="4" t="inlineStr">
        <is>
          <t>1.3</t>
        </is>
      </c>
      <c r="B88" s="9" t="n">
        <v>57</v>
      </c>
      <c r="C88" s="4" t="inlineStr">
        <is>
          <t>Клапан запорны 15нж65нж Ду 150 Ру 16 фланцевый</t>
        </is>
      </c>
      <c r="D88" s="9" t="n">
        <v>3</v>
      </c>
      <c r="E88" s="4" t="inlineStr">
        <is>
          <t>шт</t>
        </is>
      </c>
      <c r="F88" s="9" t="n">
        <v>150</v>
      </c>
      <c r="G88" s="9" t="n">
        <v>1.6</v>
      </c>
      <c r="H88" s="4" t="inlineStr">
        <is>
          <t>12Х18Н9ТЛ</t>
        </is>
      </c>
      <c r="I88" s="4" t="inlineStr">
        <is>
          <t>ручное</t>
        </is>
      </c>
      <c r="J88" s="13" t="n"/>
      <c r="K88" s="6">
        <f>IF(J88="","",J88*(1-0.1))</f>
        <v/>
      </c>
      <c r="L88" s="9" t="n"/>
      <c r="M88" s="6">
        <f>IF(J88="","",K88*D88)</f>
        <v/>
      </c>
      <c r="N88" s="6">
        <f>IF(L88="","",L88*D88*55)</f>
        <v/>
      </c>
      <c r="O88" s="6">
        <f>IF(M88="","",M88+N(N88))</f>
        <v/>
      </c>
      <c r="P88" s="9" t="n"/>
      <c r="Q88" s="4" t="inlineStr"/>
      <c r="R88" s="4" t="inlineStr"/>
      <c r="S88" s="9" t="n"/>
    </row>
    <row r="89" ht="34" customHeight="1">
      <c r="A89" s="4" t="inlineStr">
        <is>
          <t>1.3</t>
        </is>
      </c>
      <c r="B89" s="9" t="n">
        <v>58</v>
      </c>
      <c r="C89" s="4" t="inlineStr">
        <is>
          <t>Клапан запорны 15нж65нж Ду 32 Ру 16 фланцевый</t>
        </is>
      </c>
      <c r="D89" s="9" t="n">
        <v>4</v>
      </c>
      <c r="E89" s="4" t="inlineStr">
        <is>
          <t>шт</t>
        </is>
      </c>
      <c r="F89" s="9" t="n">
        <v>32</v>
      </c>
      <c r="G89" s="9" t="n">
        <v>1.6</v>
      </c>
      <c r="H89" s="4" t="inlineStr">
        <is>
          <t>12Х18Н9ТЛ</t>
        </is>
      </c>
      <c r="I89" s="4" t="inlineStr">
        <is>
          <t>ручное</t>
        </is>
      </c>
      <c r="J89" s="13" t="n"/>
      <c r="K89" s="6">
        <f>IF(J89="","",J89*(1-0.1))</f>
        <v/>
      </c>
      <c r="L89" s="9" t="n"/>
      <c r="M89" s="6">
        <f>IF(J89="","",K89*D89)</f>
        <v/>
      </c>
      <c r="N89" s="6">
        <f>IF(L89="","",L89*D89*55)</f>
        <v/>
      </c>
      <c r="O89" s="6">
        <f>IF(M89="","",M89+N(N89))</f>
        <v/>
      </c>
      <c r="P89" s="9" t="n"/>
      <c r="Q89" s="4" t="inlineStr"/>
      <c r="R89" s="4" t="inlineStr"/>
      <c r="S89" s="9" t="n"/>
    </row>
    <row r="90" ht="34" customHeight="1">
      <c r="A90" s="4" t="inlineStr">
        <is>
          <t>1.3</t>
        </is>
      </c>
      <c r="B90" s="9" t="n">
        <v>59</v>
      </c>
      <c r="C90" s="4" t="inlineStr">
        <is>
          <t>Клапан запорны 15нж65нж Ду 50 Ру 16 фланцевый</t>
        </is>
      </c>
      <c r="D90" s="9" t="n">
        <v>4</v>
      </c>
      <c r="E90" s="4" t="inlineStr">
        <is>
          <t>шт</t>
        </is>
      </c>
      <c r="F90" s="9" t="n">
        <v>50</v>
      </c>
      <c r="G90" s="9" t="n">
        <v>1.6</v>
      </c>
      <c r="H90" s="4" t="inlineStr">
        <is>
          <t>12Х18Н9ТЛ</t>
        </is>
      </c>
      <c r="I90" s="4" t="inlineStr">
        <is>
          <t>ручное</t>
        </is>
      </c>
      <c r="J90" s="13" t="n"/>
      <c r="K90" s="6">
        <f>IF(J90="","",J90*(1-0.1))</f>
        <v/>
      </c>
      <c r="L90" s="9" t="n"/>
      <c r="M90" s="6">
        <f>IF(J90="","",K90*D90)</f>
        <v/>
      </c>
      <c r="N90" s="6">
        <f>IF(L90="","",L90*D90*55)</f>
        <v/>
      </c>
      <c r="O90" s="6">
        <f>IF(M90="","",M90+N(N90))</f>
        <v/>
      </c>
      <c r="P90" s="9" t="n"/>
      <c r="Q90" s="4" t="inlineStr"/>
      <c r="R90" s="4" t="inlineStr"/>
      <c r="S90" s="9" t="n"/>
    </row>
    <row r="91" ht="34" customHeight="1">
      <c r="A91" s="4" t="inlineStr">
        <is>
          <t>1.3</t>
        </is>
      </c>
      <c r="B91" s="9" t="n">
        <v>60</v>
      </c>
      <c r="C91" s="4" t="inlineStr">
        <is>
          <t>Клапан запорный 15с22нж Ду 32 Ру 40</t>
        </is>
      </c>
      <c r="D91" s="9" t="n">
        <v>2</v>
      </c>
      <c r="E91" s="4" t="inlineStr">
        <is>
          <t>шт</t>
        </is>
      </c>
      <c r="F91" s="9" t="n">
        <v>32</v>
      </c>
      <c r="G91" s="9" t="n">
        <v>4</v>
      </c>
      <c r="H91" s="4" t="inlineStr">
        <is>
          <t>сталь 25Л</t>
        </is>
      </c>
      <c r="I91" s="4" t="inlineStr">
        <is>
          <t>ручное</t>
        </is>
      </c>
      <c r="J91" s="13" t="n"/>
      <c r="K91" s="6">
        <f>IF(J91="","",J91*(1-0.1))</f>
        <v/>
      </c>
      <c r="L91" s="9" t="n"/>
      <c r="M91" s="6">
        <f>IF(J91="","",K91*D91)</f>
        <v/>
      </c>
      <c r="N91" s="6">
        <f>IF(L91="","",L91*D91*55)</f>
        <v/>
      </c>
      <c r="O91" s="6">
        <f>IF(M91="","",M91+N(N91))</f>
        <v/>
      </c>
      <c r="P91" s="9" t="n"/>
      <c r="Q91" s="4" t="inlineStr"/>
      <c r="R91" s="4" t="inlineStr"/>
      <c r="S91" s="9" t="n"/>
    </row>
    <row r="92" ht="34" customHeight="1">
      <c r="A92" s="4" t="inlineStr">
        <is>
          <t>1.3</t>
        </is>
      </c>
      <c r="B92" s="9" t="n">
        <v>61</v>
      </c>
      <c r="C92" s="4" t="inlineStr">
        <is>
          <t>Клапан запорный 15с22нж Ду 50 Ру 40</t>
        </is>
      </c>
      <c r="D92" s="9" t="n">
        <v>9</v>
      </c>
      <c r="E92" s="4" t="inlineStr">
        <is>
          <t>шт</t>
        </is>
      </c>
      <c r="F92" s="9" t="n">
        <v>50</v>
      </c>
      <c r="G92" s="9" t="n">
        <v>4</v>
      </c>
      <c r="H92" s="4" t="inlineStr">
        <is>
          <t>сталь 25Л</t>
        </is>
      </c>
      <c r="I92" s="4" t="inlineStr">
        <is>
          <t>ручной (маховик)</t>
        </is>
      </c>
      <c r="J92" s="13" t="n"/>
      <c r="K92" s="6">
        <f>IF(J92="","",J92*(1-0.1))</f>
        <v/>
      </c>
      <c r="L92" s="9" t="n"/>
      <c r="M92" s="6">
        <f>IF(J92="","",K92*D92)</f>
        <v/>
      </c>
      <c r="N92" s="6">
        <f>IF(L92="","",L92*D92*55)</f>
        <v/>
      </c>
      <c r="O92" s="6">
        <f>IF(M92="","",M92+N(N92))</f>
        <v/>
      </c>
      <c r="P92" s="9" t="n"/>
      <c r="Q92" s="4" t="inlineStr"/>
      <c r="R92" s="4" t="inlineStr"/>
      <c r="S92" s="9" t="n"/>
    </row>
    <row r="93" ht="34" customHeight="1">
      <c r="A93" s="4" t="inlineStr">
        <is>
          <t>1.3</t>
        </is>
      </c>
      <c r="B93" s="9" t="n">
        <v>62</v>
      </c>
      <c r="C93" s="4" t="inlineStr">
        <is>
          <t>Клапан запорный 15с22нж Ду 80 Ру 40</t>
        </is>
      </c>
      <c r="D93" s="9" t="n">
        <v>6</v>
      </c>
      <c r="E93" s="4" t="inlineStr">
        <is>
          <t>шт</t>
        </is>
      </c>
      <c r="F93" s="9" t="n">
        <v>80</v>
      </c>
      <c r="G93" s="9" t="n">
        <v>4</v>
      </c>
      <c r="H93" s="4" t="inlineStr">
        <is>
          <t>сталь 25Л</t>
        </is>
      </c>
      <c r="I93" s="4" t="inlineStr">
        <is>
          <t>ручной (маховик)</t>
        </is>
      </c>
      <c r="J93" s="13" t="n"/>
      <c r="K93" s="6">
        <f>IF(J93="","",J93*(1-0.1))</f>
        <v/>
      </c>
      <c r="L93" s="9" t="n"/>
      <c r="M93" s="6">
        <f>IF(J93="","",K93*D93)</f>
        <v/>
      </c>
      <c r="N93" s="6">
        <f>IF(L93="","",L93*D93*55)</f>
        <v/>
      </c>
      <c r="O93" s="6">
        <f>IF(M93="","",M93+N(N93))</f>
        <v/>
      </c>
      <c r="P93" s="9" t="n"/>
      <c r="Q93" s="4" t="inlineStr"/>
      <c r="R93" s="4" t="inlineStr"/>
      <c r="S93" s="9" t="n"/>
    </row>
    <row r="94" ht="34" customHeight="1">
      <c r="A94" s="4" t="inlineStr">
        <is>
          <t>1.3</t>
        </is>
      </c>
      <c r="B94" s="9" t="n">
        <v>63</v>
      </c>
      <c r="C94" s="4" t="inlineStr">
        <is>
          <t>Клапан запорный 15с52нж11 Ду 20 Ру 63 под приварку</t>
        </is>
      </c>
      <c r="D94" s="9" t="n">
        <v>6</v>
      </c>
      <c r="E94" s="4" t="inlineStr">
        <is>
          <t>шт</t>
        </is>
      </c>
      <c r="F94" s="9" t="n">
        <v>20</v>
      </c>
      <c r="G94" s="9" t="n">
        <v>6.3</v>
      </c>
      <c r="H94" s="4" t="inlineStr">
        <is>
          <t>Сталь 25 Л</t>
        </is>
      </c>
      <c r="I94" s="4" t="inlineStr">
        <is>
          <t>ручное</t>
        </is>
      </c>
      <c r="J94" s="13" t="n"/>
      <c r="K94" s="6">
        <f>IF(J94="","",J94*(1-0.1))</f>
        <v/>
      </c>
      <c r="L94" s="9" t="n"/>
      <c r="M94" s="6">
        <f>IF(J94="","",K94*D94)</f>
        <v/>
      </c>
      <c r="N94" s="6">
        <f>IF(L94="","",L94*D94*55)</f>
        <v/>
      </c>
      <c r="O94" s="6">
        <f>IF(M94="","",M94+N(N94))</f>
        <v/>
      </c>
      <c r="P94" s="9" t="n"/>
      <c r="Q94" s="4" t="inlineStr"/>
      <c r="R94" s="4" t="inlineStr"/>
      <c r="S94" s="9" t="n"/>
    </row>
    <row r="95" ht="34" customHeight="1">
      <c r="A95" s="4" t="inlineStr">
        <is>
          <t>1.3</t>
        </is>
      </c>
      <c r="B95" s="9" t="n">
        <v>64</v>
      </c>
      <c r="C95" s="4" t="inlineStr">
        <is>
          <t>Клапан запорный 15ч75п2 Ду 25 Ру10</t>
        </is>
      </c>
      <c r="D95" s="9" t="n">
        <v>3</v>
      </c>
      <c r="E95" s="4" t="inlineStr">
        <is>
          <t>шт</t>
        </is>
      </c>
      <c r="F95" s="9" t="n">
        <v>25</v>
      </c>
      <c r="G95" s="9" t="n">
        <v>1</v>
      </c>
      <c r="H95" s="4" t="inlineStr">
        <is>
          <t>Серый чугун</t>
        </is>
      </c>
      <c r="I95" s="4" t="inlineStr">
        <is>
          <t>ручное</t>
        </is>
      </c>
      <c r="J95" s="13" t="n"/>
      <c r="K95" s="6">
        <f>IF(J95="","",J95*(1-0.1))</f>
        <v/>
      </c>
      <c r="L95" s="9" t="n"/>
      <c r="M95" s="6">
        <f>IF(J95="","",K95*D95)</f>
        <v/>
      </c>
      <c r="N95" s="6">
        <f>IF(L95="","",L95*D95*55)</f>
        <v/>
      </c>
      <c r="O95" s="6">
        <f>IF(M95="","",M95+N(N95))</f>
        <v/>
      </c>
      <c r="P95" s="9" t="n"/>
      <c r="Q95" s="4" t="inlineStr"/>
      <c r="R95" s="4" t="inlineStr"/>
      <c r="S95" s="9" t="n"/>
    </row>
    <row r="96" ht="34" customHeight="1">
      <c r="A96" s="4" t="inlineStr">
        <is>
          <t>1.3</t>
        </is>
      </c>
      <c r="B96" s="9" t="n">
        <v>65</v>
      </c>
      <c r="C96" s="4" t="inlineStr">
        <is>
          <t>Клапан запорный 15ч75п2 Ду 50 Ру10</t>
        </is>
      </c>
      <c r="D96" s="9" t="n">
        <v>9</v>
      </c>
      <c r="E96" s="4" t="inlineStr">
        <is>
          <t>шт</t>
        </is>
      </c>
      <c r="F96" s="9" t="n">
        <v>50</v>
      </c>
      <c r="G96" s="9" t="n">
        <v>1</v>
      </c>
      <c r="H96" s="4" t="inlineStr">
        <is>
          <t>Серый чугун</t>
        </is>
      </c>
      <c r="I96" s="4" t="inlineStr">
        <is>
          <t>ручное</t>
        </is>
      </c>
      <c r="J96" s="13" t="n"/>
      <c r="K96" s="6">
        <f>IF(J96="","",J96*(1-0.1))</f>
        <v/>
      </c>
      <c r="L96" s="9" t="n"/>
      <c r="M96" s="6">
        <f>IF(J96="","",K96*D96)</f>
        <v/>
      </c>
      <c r="N96" s="6">
        <f>IF(L96="","",L96*D96*55)</f>
        <v/>
      </c>
      <c r="O96" s="6">
        <f>IF(M96="","",M96+N(N96))</f>
        <v/>
      </c>
      <c r="P96" s="9" t="n"/>
      <c r="Q96" s="4" t="inlineStr"/>
      <c r="R96" s="4" t="inlineStr"/>
      <c r="S96" s="9" t="n"/>
    </row>
    <row r="97" ht="34" customHeight="1">
      <c r="A97" s="4" t="inlineStr">
        <is>
          <t>1.3</t>
        </is>
      </c>
      <c r="B97" s="9" t="n">
        <v>66</v>
      </c>
      <c r="C97" s="4" t="inlineStr">
        <is>
          <t>Клапан запорный 15ч76п2 Ду 80 Ру 6,3</t>
        </is>
      </c>
      <c r="D97" s="9" t="n">
        <v>3</v>
      </c>
      <c r="E97" s="4" t="inlineStr">
        <is>
          <t>шт</t>
        </is>
      </c>
      <c r="F97" s="9" t="n">
        <v>80</v>
      </c>
      <c r="G97" s="9" t="n">
        <v>0.63</v>
      </c>
      <c r="H97" s="4" t="inlineStr">
        <is>
          <t>Чугун СЧ 15, СЧ20</t>
        </is>
      </c>
      <c r="I97" s="4" t="inlineStr">
        <is>
          <t>ручное</t>
        </is>
      </c>
      <c r="J97" s="13" t="n"/>
      <c r="K97" s="6">
        <f>IF(J97="","",J97*(1-0.1))</f>
        <v/>
      </c>
      <c r="L97" s="9" t="n"/>
      <c r="M97" s="6">
        <f>IF(J97="","",K97*D97)</f>
        <v/>
      </c>
      <c r="N97" s="6">
        <f>IF(L97="","",L97*D97*55)</f>
        <v/>
      </c>
      <c r="O97" s="6">
        <f>IF(M97="","",M97+N(N97))</f>
        <v/>
      </c>
      <c r="P97" s="9" t="n"/>
      <c r="Q97" s="4" t="inlineStr"/>
      <c r="R97" s="4" t="inlineStr"/>
      <c r="S97" s="9" t="n"/>
    </row>
    <row r="98" ht="34" customHeight="1">
      <c r="A98" s="4" t="inlineStr">
        <is>
          <t>1.3</t>
        </is>
      </c>
      <c r="B98" s="9" t="n">
        <v>67</v>
      </c>
      <c r="C98" s="4" t="inlineStr">
        <is>
          <t>Клапан запорный 15ч93эм Ду 20 Ру 16</t>
        </is>
      </c>
      <c r="D98" s="9" t="n">
        <v>2</v>
      </c>
      <c r="E98" s="4" t="inlineStr">
        <is>
          <t>шт</t>
        </is>
      </c>
      <c r="F98" s="9" t="n">
        <v>20</v>
      </c>
      <c r="G98" s="9" t="n">
        <v>1.6</v>
      </c>
      <c r="H98" s="4" t="inlineStr">
        <is>
          <t>Серый чугун СЧ18</t>
        </is>
      </c>
      <c r="I98" s="4" t="inlineStr">
        <is>
          <t>ручное</t>
        </is>
      </c>
      <c r="J98" s="13" t="n"/>
      <c r="K98" s="6">
        <f>IF(J98="","",J98*(1-0.1))</f>
        <v/>
      </c>
      <c r="L98" s="9" t="n"/>
      <c r="M98" s="6">
        <f>IF(J98="","",K98*D98)</f>
        <v/>
      </c>
      <c r="N98" s="6">
        <f>IF(L98="","",L98*D98*55)</f>
        <v/>
      </c>
      <c r="O98" s="6">
        <f>IF(M98="","",M98+N(N98))</f>
        <v/>
      </c>
      <c r="P98" s="9" t="n"/>
      <c r="Q98" s="4" t="inlineStr"/>
      <c r="R98" s="4" t="inlineStr"/>
      <c r="S98" s="9" t="n"/>
    </row>
    <row r="99" ht="34" customHeight="1">
      <c r="A99" s="4" t="inlineStr">
        <is>
          <t>1.3</t>
        </is>
      </c>
      <c r="B99" s="9" t="n">
        <v>68</v>
      </c>
      <c r="C99" s="4" t="inlineStr">
        <is>
          <t>Задвижка 30нж41нж DN 100 PN 16 1исп. САЗ</t>
        </is>
      </c>
      <c r="D99" s="9" t="n">
        <v>2</v>
      </c>
      <c r="E99" s="4" t="inlineStr">
        <is>
          <t>шт</t>
        </is>
      </c>
      <c r="F99" s="9" t="n">
        <v>100</v>
      </c>
      <c r="G99" s="9" t="n">
        <v>1.6</v>
      </c>
      <c r="H99" s="4" t="inlineStr">
        <is>
          <t>сталь 12Х18Н9ТЛ</t>
        </is>
      </c>
      <c r="I99" s="4" t="inlineStr">
        <is>
          <t>ручной (маховик)</t>
        </is>
      </c>
      <c r="J99" s="13" t="n"/>
      <c r="K99" s="6">
        <f>IF(J99="","",J99*(1-0.1))</f>
        <v/>
      </c>
      <c r="L99" s="9" t="n"/>
      <c r="M99" s="6">
        <f>IF(J99="","",K99*D99)</f>
        <v/>
      </c>
      <c r="N99" s="6">
        <f>IF(L99="","",L99*D99*55)</f>
        <v/>
      </c>
      <c r="O99" s="6">
        <f>IF(M99="","",M99+N(N99))</f>
        <v/>
      </c>
      <c r="P99" s="9" t="n"/>
      <c r="Q99" s="4" t="inlineStr"/>
      <c r="R99" s="4" t="inlineStr"/>
      <c r="S99" s="9" t="n"/>
    </row>
    <row r="100" ht="34" customHeight="1">
      <c r="A100" s="4" t="inlineStr">
        <is>
          <t>1.3</t>
        </is>
      </c>
      <c r="B100" s="9" t="n">
        <v>69</v>
      </c>
      <c r="C100" s="4" t="inlineStr">
        <is>
          <t>Задвижка 30нж41нж DN 150 PN 16 1исп. САЗ</t>
        </is>
      </c>
      <c r="D100" s="9" t="n">
        <v>2</v>
      </c>
      <c r="E100" s="4" t="inlineStr">
        <is>
          <t>шт</t>
        </is>
      </c>
      <c r="F100" s="9" t="n">
        <v>150</v>
      </c>
      <c r="G100" s="9" t="n">
        <v>1.6</v>
      </c>
      <c r="H100" s="4" t="inlineStr">
        <is>
          <t>сталь 12Х18Н9ТЛ</t>
        </is>
      </c>
      <c r="I100" s="4" t="inlineStr">
        <is>
          <t>ручной (маховик)</t>
        </is>
      </c>
      <c r="J100" s="13" t="n"/>
      <c r="K100" s="6">
        <f>IF(J100="","",J100*(1-0.1))</f>
        <v/>
      </c>
      <c r="L100" s="9" t="n"/>
      <c r="M100" s="6">
        <f>IF(J100="","",K100*D100)</f>
        <v/>
      </c>
      <c r="N100" s="6">
        <f>IF(L100="","",L100*D100*55)</f>
        <v/>
      </c>
      <c r="O100" s="6">
        <f>IF(M100="","",M100+N(N100))</f>
        <v/>
      </c>
      <c r="P100" s="9" t="n"/>
      <c r="Q100" s="4" t="inlineStr"/>
      <c r="R100" s="4" t="inlineStr"/>
      <c r="S100" s="9" t="n"/>
    </row>
    <row r="101" ht="34" customHeight="1">
      <c r="A101" s="4" t="inlineStr">
        <is>
          <t>1.3</t>
        </is>
      </c>
      <c r="B101" s="9" t="n">
        <v>70</v>
      </c>
      <c r="C101" s="4" t="inlineStr">
        <is>
          <t>Задвижка 30нж41нж DN 200 PN 16 1исп. САЗ</t>
        </is>
      </c>
      <c r="D101" s="9" t="n">
        <v>2</v>
      </c>
      <c r="E101" s="4" t="inlineStr">
        <is>
          <t>шт</t>
        </is>
      </c>
      <c r="F101" s="9" t="n">
        <v>200</v>
      </c>
      <c r="G101" s="9" t="n">
        <v>1.6</v>
      </c>
      <c r="H101" s="4" t="inlineStr">
        <is>
          <t>сталь 12Х18Н9ТЛ</t>
        </is>
      </c>
      <c r="I101" s="4" t="inlineStr">
        <is>
          <t xml:space="preserve">Ручное </t>
        </is>
      </c>
      <c r="J101" s="13" t="n"/>
      <c r="K101" s="6">
        <f>IF(J101="","",J101*(1-0.1))</f>
        <v/>
      </c>
      <c r="L101" s="9" t="n"/>
      <c r="M101" s="6">
        <f>IF(J101="","",K101*D101)</f>
        <v/>
      </c>
      <c r="N101" s="6">
        <f>IF(L101="","",L101*D101*55)</f>
        <v/>
      </c>
      <c r="O101" s="6">
        <f>IF(M101="","",M101+N(N101))</f>
        <v/>
      </c>
      <c r="P101" s="9" t="n"/>
      <c r="Q101" s="4" t="inlineStr"/>
      <c r="R101" s="4" t="inlineStr"/>
      <c r="S101" s="9" t="n"/>
    </row>
    <row r="102" ht="34" customHeight="1">
      <c r="A102" s="4" t="inlineStr">
        <is>
          <t>1.3</t>
        </is>
      </c>
      <c r="B102" s="9" t="n">
        <v>71</v>
      </c>
      <c r="C102" s="4" t="inlineStr">
        <is>
          <t>Задвижка 30нж41нж DN 50 PN 16 1исп. САЗ</t>
        </is>
      </c>
      <c r="D102" s="9" t="n">
        <v>2</v>
      </c>
      <c r="E102" s="4" t="inlineStr">
        <is>
          <t>шт</t>
        </is>
      </c>
      <c r="F102" s="9" t="n">
        <v>50</v>
      </c>
      <c r="G102" s="9" t="n">
        <v>1.6</v>
      </c>
      <c r="H102" s="4" t="inlineStr">
        <is>
          <t>сталь 12Х18Н9ТЛ</t>
        </is>
      </c>
      <c r="I102" s="4" t="inlineStr">
        <is>
          <t>ручной (маховик)</t>
        </is>
      </c>
      <c r="J102" s="13" t="n"/>
      <c r="K102" s="6">
        <f>IF(J102="","",J102*(1-0.1))</f>
        <v/>
      </c>
      <c r="L102" s="9" t="n"/>
      <c r="M102" s="6">
        <f>IF(J102="","",K102*D102)</f>
        <v/>
      </c>
      <c r="N102" s="6">
        <f>IF(L102="","",L102*D102*55)</f>
        <v/>
      </c>
      <c r="O102" s="6">
        <f>IF(M102="","",M102+N(N102))</f>
        <v/>
      </c>
      <c r="P102" s="9" t="n"/>
      <c r="Q102" s="4" t="inlineStr"/>
      <c r="R102" s="4" t="inlineStr"/>
      <c r="S102" s="9" t="n"/>
    </row>
    <row r="103" ht="34" customHeight="1">
      <c r="A103" s="4" t="inlineStr">
        <is>
          <t>1.3</t>
        </is>
      </c>
      <c r="B103" s="9" t="n">
        <v>72</v>
      </c>
      <c r="C103" s="4" t="inlineStr">
        <is>
          <t>Задвижка 30нж41нж DN 80 PN 16 1исп. САЗ</t>
        </is>
      </c>
      <c r="D103" s="9" t="n">
        <v>2</v>
      </c>
      <c r="E103" s="4" t="inlineStr">
        <is>
          <t>шт</t>
        </is>
      </c>
      <c r="F103" s="9" t="n">
        <v>80</v>
      </c>
      <c r="G103" s="9" t="n">
        <v>1.6</v>
      </c>
      <c r="H103" s="4" t="inlineStr">
        <is>
          <t>сталь 12Х18Н9ТЛ</t>
        </is>
      </c>
      <c r="I103" s="4" t="inlineStr">
        <is>
          <t>ручной (маховик)</t>
        </is>
      </c>
      <c r="J103" s="13" t="n"/>
      <c r="K103" s="6">
        <f>IF(J103="","",J103*(1-0.1))</f>
        <v/>
      </c>
      <c r="L103" s="9" t="n"/>
      <c r="M103" s="6">
        <f>IF(J103="","",K103*D103)</f>
        <v/>
      </c>
      <c r="N103" s="6">
        <f>IF(L103="","",L103*D103*55)</f>
        <v/>
      </c>
      <c r="O103" s="6">
        <f>IF(M103="","",M103+N(N103))</f>
        <v/>
      </c>
      <c r="P103" s="9" t="n"/>
      <c r="Q103" s="4" t="inlineStr"/>
      <c r="R103" s="4" t="inlineStr"/>
      <c r="S103" s="9" t="n"/>
    </row>
    <row r="104" ht="34" customHeight="1">
      <c r="A104" s="4" t="inlineStr">
        <is>
          <t>1.3</t>
        </is>
      </c>
      <c r="B104" s="9" t="n">
        <v>73</v>
      </c>
      <c r="C104" s="4" t="inlineStr">
        <is>
          <t>Задвижка 30с41нж Ду 50 Ру 16</t>
        </is>
      </c>
      <c r="D104" s="9" t="n">
        <v>6</v>
      </c>
      <c r="E104" s="4" t="inlineStr">
        <is>
          <t>шт</t>
        </is>
      </c>
      <c r="F104" s="9" t="n">
        <v>50</v>
      </c>
      <c r="G104" s="9" t="n">
        <v>1.6</v>
      </c>
      <c r="H104" s="4" t="inlineStr">
        <is>
          <t>Сталь 25 Л</t>
        </is>
      </c>
      <c r="I104" s="4" t="inlineStr">
        <is>
          <t xml:space="preserve">Ручное  </t>
        </is>
      </c>
      <c r="J104" s="13" t="n"/>
      <c r="K104" s="6">
        <f>IF(J104="","",J104*(1-0.1))</f>
        <v/>
      </c>
      <c r="L104" s="9" t="n"/>
      <c r="M104" s="6">
        <f>IF(J104="","",K104*D104)</f>
        <v/>
      </c>
      <c r="N104" s="6">
        <f>IF(L104="","",L104*D104*55)</f>
        <v/>
      </c>
      <c r="O104" s="6">
        <f>IF(M104="","",M104+N(N104))</f>
        <v/>
      </c>
      <c r="P104" s="9" t="n"/>
      <c r="Q104" s="4" t="inlineStr"/>
      <c r="R104" s="4" t="inlineStr"/>
      <c r="S104" s="9" t="n"/>
    </row>
    <row r="105" ht="34" customHeight="1">
      <c r="A105" s="4" t="inlineStr">
        <is>
          <t>1.3</t>
        </is>
      </c>
      <c r="B105" s="9" t="n">
        <v>74</v>
      </c>
      <c r="C105" s="4" t="inlineStr">
        <is>
          <t>Задвижка 30с41нж Ду 80 Ру 16</t>
        </is>
      </c>
      <c r="D105" s="9" t="n">
        <v>12</v>
      </c>
      <c r="E105" s="4" t="inlineStr">
        <is>
          <t>шт</t>
        </is>
      </c>
      <c r="F105" s="9" t="n">
        <v>80</v>
      </c>
      <c r="G105" s="9" t="n">
        <v>1.6</v>
      </c>
      <c r="H105" s="4" t="inlineStr">
        <is>
          <t>сталь 25Л</t>
        </is>
      </c>
      <c r="I105" s="4" t="inlineStr">
        <is>
          <t xml:space="preserve">Ручное </t>
        </is>
      </c>
      <c r="J105" s="13" t="n"/>
      <c r="K105" s="6">
        <f>IF(J105="","",J105*(1-0.1))</f>
        <v/>
      </c>
      <c r="L105" s="9" t="n"/>
      <c r="M105" s="6">
        <f>IF(J105="","",K105*D105)</f>
        <v/>
      </c>
      <c r="N105" s="6">
        <f>IF(L105="","",L105*D105*55)</f>
        <v/>
      </c>
      <c r="O105" s="6">
        <f>IF(M105="","",M105+N(N105))</f>
        <v/>
      </c>
      <c r="P105" s="9" t="n"/>
      <c r="Q105" s="4" t="inlineStr"/>
      <c r="R105" s="4" t="inlineStr"/>
      <c r="S105" s="9" t="n"/>
    </row>
    <row r="106" ht="34" customHeight="1">
      <c r="A106" s="4" t="inlineStr">
        <is>
          <t>1.3</t>
        </is>
      </c>
      <c r="B106" s="9" t="n">
        <v>75</v>
      </c>
      <c r="C106" s="4" t="inlineStr">
        <is>
          <t>Задвижка 30с41нж Ду 100 Ру 16</t>
        </is>
      </c>
      <c r="D106" s="9" t="n">
        <v>2</v>
      </c>
      <c r="E106" s="4" t="inlineStr">
        <is>
          <t>шт</t>
        </is>
      </c>
      <c r="F106" s="9" t="n">
        <v>100</v>
      </c>
      <c r="G106" s="9" t="n">
        <v>1.6</v>
      </c>
      <c r="H106" s="4" t="inlineStr">
        <is>
          <t>Сталь 25 Л</t>
        </is>
      </c>
      <c r="I106" s="4" t="inlineStr">
        <is>
          <t xml:space="preserve">Ручное  </t>
        </is>
      </c>
      <c r="J106" s="13" t="n"/>
      <c r="K106" s="6">
        <f>IF(J106="","",J106*(1-0.1))</f>
        <v/>
      </c>
      <c r="L106" s="9" t="n"/>
      <c r="M106" s="6">
        <f>IF(J106="","",K106*D106)</f>
        <v/>
      </c>
      <c r="N106" s="6">
        <f>IF(L106="","",L106*D106*55)</f>
        <v/>
      </c>
      <c r="O106" s="6">
        <f>IF(M106="","",M106+N(N106))</f>
        <v/>
      </c>
      <c r="P106" s="9" t="n"/>
      <c r="Q106" s="4" t="inlineStr"/>
      <c r="R106" s="4" t="inlineStr"/>
      <c r="S106" s="9" t="n"/>
    </row>
    <row r="107" ht="34" customHeight="1">
      <c r="A107" s="4" t="inlineStr">
        <is>
          <t>1.3</t>
        </is>
      </c>
      <c r="B107" s="9" t="n">
        <v>76</v>
      </c>
      <c r="C107" s="4" t="inlineStr">
        <is>
          <t>Задвижка 30с41нж Ду 150 Ру 16</t>
        </is>
      </c>
      <c r="D107" s="9" t="n">
        <v>5</v>
      </c>
      <c r="E107" s="4" t="inlineStr">
        <is>
          <t>шт</t>
        </is>
      </c>
      <c r="F107" s="9" t="n">
        <v>150</v>
      </c>
      <c r="G107" s="9" t="n">
        <v>1.6</v>
      </c>
      <c r="H107" s="4" t="inlineStr">
        <is>
          <t>Сталь 25 Л</t>
        </is>
      </c>
      <c r="I107" s="4" t="inlineStr">
        <is>
          <t xml:space="preserve">Ручное  </t>
        </is>
      </c>
      <c r="J107" s="13" t="n"/>
      <c r="K107" s="6">
        <f>IF(J107="","",J107*(1-0.1))</f>
        <v/>
      </c>
      <c r="L107" s="9" t="n"/>
      <c r="M107" s="6">
        <f>IF(J107="","",K107*D107)</f>
        <v/>
      </c>
      <c r="N107" s="6">
        <f>IF(L107="","",L107*D107*55)</f>
        <v/>
      </c>
      <c r="O107" s="6">
        <f>IF(M107="","",M107+N(N107))</f>
        <v/>
      </c>
      <c r="P107" s="9" t="n"/>
      <c r="Q107" s="4" t="inlineStr"/>
      <c r="R107" s="4" t="inlineStr"/>
      <c r="S107" s="9" t="n"/>
    </row>
    <row r="108" ht="34" customHeight="1">
      <c r="A108" s="4" t="inlineStr">
        <is>
          <t>1.3</t>
        </is>
      </c>
      <c r="B108" s="9" t="n">
        <v>77</v>
      </c>
      <c r="C108" s="4" t="inlineStr">
        <is>
          <t>Задвижка 30с564нж Ду 400 Ру 25</t>
        </is>
      </c>
      <c r="D108" s="9" t="n">
        <v>3</v>
      </c>
      <c r="E108" s="4" t="inlineStr">
        <is>
          <t>шт</t>
        </is>
      </c>
      <c r="F108" s="9" t="n">
        <v>400</v>
      </c>
      <c r="G108" s="9" t="n">
        <v>2.5</v>
      </c>
      <c r="H108" s="4" t="inlineStr">
        <is>
          <t>сталь 25л</t>
        </is>
      </c>
      <c r="I108" s="4" t="inlineStr">
        <is>
          <t>ручной</t>
        </is>
      </c>
      <c r="J108" s="13" t="n"/>
      <c r="K108" s="6">
        <f>IF(J108="","",J108*(1-0.1))</f>
        <v/>
      </c>
      <c r="L108" s="9" t="n"/>
      <c r="M108" s="6">
        <f>IF(J108="","",K108*D108)</f>
        <v/>
      </c>
      <c r="N108" s="6">
        <f>IF(L108="","",L108*D108*55)</f>
        <v/>
      </c>
      <c r="O108" s="6">
        <f>IF(M108="","",M108+N(N108))</f>
        <v/>
      </c>
      <c r="P108" s="9" t="n"/>
      <c r="Q108" s="4" t="inlineStr"/>
      <c r="R108" s="4" t="inlineStr"/>
      <c r="S108" s="9" t="n"/>
    </row>
    <row r="109" ht="34" customHeight="1">
      <c r="A109" s="4" t="inlineStr">
        <is>
          <t>1.3</t>
        </is>
      </c>
      <c r="B109" s="9" t="n">
        <v>78</v>
      </c>
      <c r="C109" s="4" t="inlineStr">
        <is>
          <t>Задвижка 30с64нж Ду 50 Ру 25</t>
        </is>
      </c>
      <c r="D109" s="9" t="n">
        <v>5</v>
      </c>
      <c r="E109" s="4" t="inlineStr">
        <is>
          <t>шт</t>
        </is>
      </c>
      <c r="F109" s="9" t="n">
        <v>50</v>
      </c>
      <c r="G109" s="9" t="n">
        <v>2.5</v>
      </c>
      <c r="H109" s="4" t="inlineStr">
        <is>
          <t>сталь 25л</t>
        </is>
      </c>
      <c r="I109" s="4" t="inlineStr">
        <is>
          <t>ручной</t>
        </is>
      </c>
      <c r="J109" s="13" t="n"/>
      <c r="K109" s="6">
        <f>IF(J109="","",J109*(1-0.1))</f>
        <v/>
      </c>
      <c r="L109" s="9" t="n"/>
      <c r="M109" s="6">
        <f>IF(J109="","",K109*D109)</f>
        <v/>
      </c>
      <c r="N109" s="6">
        <f>IF(L109="","",L109*D109*55)</f>
        <v/>
      </c>
      <c r="O109" s="6">
        <f>IF(M109="","",M109+N(N109))</f>
        <v/>
      </c>
      <c r="P109" s="9" t="n"/>
      <c r="Q109" s="4" t="inlineStr"/>
      <c r="R109" s="4" t="inlineStr"/>
      <c r="S109" s="9" t="n"/>
    </row>
    <row r="110" ht="34" customHeight="1">
      <c r="A110" s="4" t="inlineStr">
        <is>
          <t>1.3</t>
        </is>
      </c>
      <c r="B110" s="9" t="n">
        <v>79</v>
      </c>
      <c r="C110" s="4" t="inlineStr">
        <is>
          <t>Задвижка 30с64нж Ду 80 Ру 25</t>
        </is>
      </c>
      <c r="D110" s="9" t="n">
        <v>3</v>
      </c>
      <c r="E110" s="4" t="inlineStr">
        <is>
          <t>шт</t>
        </is>
      </c>
      <c r="F110" s="9" t="n">
        <v>80</v>
      </c>
      <c r="G110" s="9" t="n">
        <v>2.5</v>
      </c>
      <c r="H110" s="4" t="inlineStr">
        <is>
          <t>сталь 25л</t>
        </is>
      </c>
      <c r="I110" s="4" t="inlineStr">
        <is>
          <t>ручной</t>
        </is>
      </c>
      <c r="J110" s="13" t="n"/>
      <c r="K110" s="6">
        <f>IF(J110="","",J110*(1-0.1))</f>
        <v/>
      </c>
      <c r="L110" s="9" t="n"/>
      <c r="M110" s="6">
        <f>IF(J110="","",K110*D110)</f>
        <v/>
      </c>
      <c r="N110" s="6">
        <f>IF(L110="","",L110*D110*55)</f>
        <v/>
      </c>
      <c r="O110" s="6">
        <f>IF(M110="","",M110+N(N110))</f>
        <v/>
      </c>
      <c r="P110" s="9" t="n"/>
      <c r="Q110" s="4" t="inlineStr"/>
      <c r="R110" s="4" t="inlineStr"/>
      <c r="S110" s="9" t="n"/>
    </row>
    <row r="111" ht="34" customHeight="1">
      <c r="A111" s="4" t="inlineStr">
        <is>
          <t>1.3</t>
        </is>
      </c>
      <c r="B111" s="9" t="n">
        <v>80</v>
      </c>
      <c r="C111" s="4" t="inlineStr">
        <is>
          <t>Задвижка 30с64нж Ду 100 Ру 25</t>
        </is>
      </c>
      <c r="D111" s="9" t="n">
        <v>20</v>
      </c>
      <c r="E111" s="4" t="inlineStr">
        <is>
          <t>шт</t>
        </is>
      </c>
      <c r="F111" s="9" t="n">
        <v>100</v>
      </c>
      <c r="G111" s="9" t="n">
        <v>2.5</v>
      </c>
      <c r="H111" s="4" t="inlineStr">
        <is>
          <t>сталь 25л</t>
        </is>
      </c>
      <c r="I111" s="4" t="inlineStr">
        <is>
          <t>ручной</t>
        </is>
      </c>
      <c r="J111" s="13" t="n"/>
      <c r="K111" s="6">
        <f>IF(J111="","",J111*(1-0.1))</f>
        <v/>
      </c>
      <c r="L111" s="9" t="n"/>
      <c r="M111" s="6">
        <f>IF(J111="","",K111*D111)</f>
        <v/>
      </c>
      <c r="N111" s="6">
        <f>IF(L111="","",L111*D111*55)</f>
        <v/>
      </c>
      <c r="O111" s="6">
        <f>IF(M111="","",M111+N(N111))</f>
        <v/>
      </c>
      <c r="P111" s="9" t="n"/>
      <c r="Q111" s="4" t="inlineStr"/>
      <c r="R111" s="4" t="inlineStr"/>
      <c r="S111" s="9" t="n"/>
    </row>
    <row r="112" ht="34" customHeight="1">
      <c r="A112" s="4" t="inlineStr">
        <is>
          <t>1.3</t>
        </is>
      </c>
      <c r="B112" s="9" t="n">
        <v>81</v>
      </c>
      <c r="C112" s="4" t="inlineStr">
        <is>
          <t>Задвижка 30с64нж Ду 150 Ру 25</t>
        </is>
      </c>
      <c r="D112" s="9" t="n">
        <v>18</v>
      </c>
      <c r="E112" s="4" t="inlineStr">
        <is>
          <t>шт</t>
        </is>
      </c>
      <c r="F112" s="9" t="n">
        <v>150</v>
      </c>
      <c r="G112" s="9" t="n">
        <v>2.5</v>
      </c>
      <c r="H112" s="4" t="inlineStr">
        <is>
          <t>сталь 25л</t>
        </is>
      </c>
      <c r="I112" s="4" t="inlineStr">
        <is>
          <t>ручной</t>
        </is>
      </c>
      <c r="J112" s="13" t="n"/>
      <c r="K112" s="6">
        <f>IF(J112="","",J112*(1-0.1))</f>
        <v/>
      </c>
      <c r="L112" s="9" t="n"/>
      <c r="M112" s="6">
        <f>IF(J112="","",K112*D112)</f>
        <v/>
      </c>
      <c r="N112" s="6">
        <f>IF(L112="","",L112*D112*55)</f>
        <v/>
      </c>
      <c r="O112" s="6">
        <f>IF(M112="","",M112+N(N112))</f>
        <v/>
      </c>
      <c r="P112" s="9" t="n"/>
      <c r="Q112" s="4" t="inlineStr"/>
      <c r="R112" s="4" t="inlineStr"/>
      <c r="S112" s="9" t="n"/>
    </row>
    <row r="113" ht="34" customHeight="1">
      <c r="A113" s="4" t="inlineStr">
        <is>
          <t>1.3</t>
        </is>
      </c>
      <c r="B113" s="9" t="n">
        <v>82</v>
      </c>
      <c r="C113" s="4" t="inlineStr">
        <is>
          <t>Задвижка 30с64нж Ду 200 Ру 25</t>
        </is>
      </c>
      <c r="D113" s="9" t="n">
        <v>9</v>
      </c>
      <c r="E113" s="4" t="inlineStr">
        <is>
          <t>шт</t>
        </is>
      </c>
      <c r="F113" s="9" t="n">
        <v>200</v>
      </c>
      <c r="G113" s="9" t="n">
        <v>2.5</v>
      </c>
      <c r="H113" s="4" t="inlineStr">
        <is>
          <t>сталь 25Л</t>
        </is>
      </c>
      <c r="I113" s="4" t="inlineStr">
        <is>
          <t xml:space="preserve">Ручное </t>
        </is>
      </c>
      <c r="J113" s="13" t="n"/>
      <c r="K113" s="6">
        <f>IF(J113="","",J113*(1-0.1))</f>
        <v/>
      </c>
      <c r="L113" s="9" t="n"/>
      <c r="M113" s="6">
        <f>IF(J113="","",K113*D113)</f>
        <v/>
      </c>
      <c r="N113" s="6">
        <f>IF(L113="","",L113*D113*55)</f>
        <v/>
      </c>
      <c r="O113" s="6">
        <f>IF(M113="","",M113+N(N113))</f>
        <v/>
      </c>
      <c r="P113" s="9" t="n"/>
      <c r="Q113" s="4" t="inlineStr"/>
      <c r="R113" s="4" t="inlineStr"/>
      <c r="S113" s="9" t="n"/>
    </row>
    <row r="114" ht="34" customHeight="1">
      <c r="A114" s="4" t="inlineStr">
        <is>
          <t>1.3</t>
        </is>
      </c>
      <c r="B114" s="9" t="n">
        <v>83</v>
      </c>
      <c r="C114" s="4" t="inlineStr">
        <is>
          <t>Задвижка 30с64нж Ду 250 Ру 25</t>
        </is>
      </c>
      <c r="D114" s="9" t="n">
        <v>2</v>
      </c>
      <c r="E114" s="4" t="inlineStr">
        <is>
          <t>шт</t>
        </is>
      </c>
      <c r="F114" s="9" t="n">
        <v>250</v>
      </c>
      <c r="G114" s="9" t="n">
        <v>2.5</v>
      </c>
      <c r="H114" s="4" t="inlineStr">
        <is>
          <t>сталь 25Л</t>
        </is>
      </c>
      <c r="I114" s="4" t="inlineStr">
        <is>
          <t xml:space="preserve">ручной </t>
        </is>
      </c>
      <c r="J114" s="13" t="n"/>
      <c r="K114" s="6">
        <f>IF(J114="","",J114*(1-0.1))</f>
        <v/>
      </c>
      <c r="L114" s="9" t="n"/>
      <c r="M114" s="6">
        <f>IF(J114="","",K114*D114)</f>
        <v/>
      </c>
      <c r="N114" s="6">
        <f>IF(L114="","",L114*D114*55)</f>
        <v/>
      </c>
      <c r="O114" s="6">
        <f>IF(M114="","",M114+N(N114))</f>
        <v/>
      </c>
      <c r="P114" s="9" t="n"/>
      <c r="Q114" s="4" t="inlineStr"/>
      <c r="R114" s="4" t="inlineStr"/>
      <c r="S114" s="9" t="n"/>
    </row>
    <row r="115" ht="34" customHeight="1">
      <c r="A115" s="4" t="inlineStr">
        <is>
          <t>1.3</t>
        </is>
      </c>
      <c r="B115" s="9" t="n">
        <v>84</v>
      </c>
      <c r="C115" s="4" t="inlineStr">
        <is>
          <t>Задвижка 30с64нж Ду 300 Ру 25</t>
        </is>
      </c>
      <c r="D115" s="9" t="n">
        <v>3</v>
      </c>
      <c r="E115" s="4" t="inlineStr">
        <is>
          <t>шт</t>
        </is>
      </c>
      <c r="F115" s="9" t="n">
        <v>300</v>
      </c>
      <c r="G115" s="9" t="n">
        <v>2.5</v>
      </c>
      <c r="H115" s="4" t="inlineStr">
        <is>
          <t>сталь 25Л</t>
        </is>
      </c>
      <c r="I115" s="4" t="inlineStr">
        <is>
          <t>ручной (маховик)</t>
        </is>
      </c>
      <c r="J115" s="13" t="n"/>
      <c r="K115" s="6">
        <f>IF(J115="","",J115*(1-0.1))</f>
        <v/>
      </c>
      <c r="L115" s="9" t="n"/>
      <c r="M115" s="6">
        <f>IF(J115="","",K115*D115)</f>
        <v/>
      </c>
      <c r="N115" s="6">
        <f>IF(L115="","",L115*D115*55)</f>
        <v/>
      </c>
      <c r="O115" s="6">
        <f>IF(M115="","",M115+N(N115))</f>
        <v/>
      </c>
      <c r="P115" s="9" t="n"/>
      <c r="Q115" s="4" t="inlineStr"/>
      <c r="R115" s="4" t="inlineStr"/>
      <c r="S115" s="9" t="n"/>
    </row>
    <row r="116" ht="34" customHeight="1">
      <c r="A116" s="4" t="inlineStr">
        <is>
          <t>1.3</t>
        </is>
      </c>
      <c r="B116" s="9" t="n">
        <v>85</v>
      </c>
      <c r="C116" s="4" t="inlineStr">
        <is>
          <t>Задвижка 30с76нж Ду 200 Ру 63</t>
        </is>
      </c>
      <c r="D116" s="9" t="n">
        <v>1</v>
      </c>
      <c r="E116" s="4" t="inlineStr">
        <is>
          <t>шт</t>
        </is>
      </c>
      <c r="F116" s="9" t="n">
        <v>200</v>
      </c>
      <c r="G116" s="9" t="n">
        <v>6.3</v>
      </c>
      <c r="H116" s="4" t="inlineStr">
        <is>
          <t>сталь 25Л</t>
        </is>
      </c>
      <c r="I116" s="4" t="inlineStr">
        <is>
          <t>ручной (маховик)</t>
        </is>
      </c>
      <c r="J116" s="13" t="n"/>
      <c r="K116" s="6">
        <f>IF(J116="","",J116*(1-0.1))</f>
        <v/>
      </c>
      <c r="L116" s="9" t="n"/>
      <c r="M116" s="6">
        <f>IF(J116="","",K116*D116)</f>
        <v/>
      </c>
      <c r="N116" s="6">
        <f>IF(L116="","",L116*D116*55)</f>
        <v/>
      </c>
      <c r="O116" s="6">
        <f>IF(M116="","",M116+N(N116))</f>
        <v/>
      </c>
      <c r="P116" s="9" t="n"/>
      <c r="Q116" s="4" t="inlineStr"/>
      <c r="R116" s="4" t="inlineStr"/>
      <c r="S116" s="9" t="n"/>
    </row>
    <row r="117" ht="34" customHeight="1">
      <c r="A117" s="4" t="inlineStr">
        <is>
          <t>1.3</t>
        </is>
      </c>
      <c r="B117" s="9" t="n">
        <v>86</v>
      </c>
      <c r="C117" s="4" t="inlineStr">
        <is>
          <t>Задвижка 30с927нж Ду 250 Ру 25 с электроприводом</t>
        </is>
      </c>
      <c r="D117" s="9" t="n">
        <v>2</v>
      </c>
      <c r="E117" s="4" t="inlineStr">
        <is>
          <t>шт</t>
        </is>
      </c>
      <c r="F117" s="9" t="n">
        <v>250</v>
      </c>
      <c r="G117" s="9" t="n">
        <v>2.5</v>
      </c>
      <c r="H117" s="4" t="inlineStr">
        <is>
          <t>Сталь 25Л</t>
        </is>
      </c>
      <c r="I117" s="4" t="inlineStr">
        <is>
          <t>электропривод</t>
        </is>
      </c>
      <c r="J117" s="13" t="n"/>
      <c r="K117" s="6">
        <f>IF(J117="","",J117*(1-0.1))</f>
        <v/>
      </c>
      <c r="L117" s="9" t="n"/>
      <c r="M117" s="6">
        <f>IF(J117="","",K117*D117)</f>
        <v/>
      </c>
      <c r="N117" s="6">
        <f>IF(L117="","",L117*D117*55)</f>
        <v/>
      </c>
      <c r="O117" s="6">
        <f>IF(M117="","",M117+N(N117))</f>
        <v/>
      </c>
      <c r="P117" s="9" t="n"/>
      <c r="Q117" s="4" t="inlineStr"/>
      <c r="R117" s="4" t="inlineStr"/>
      <c r="S117" s="9" t="n"/>
    </row>
    <row r="118" ht="34" customHeight="1">
      <c r="A118" s="4" t="inlineStr">
        <is>
          <t>1.3</t>
        </is>
      </c>
      <c r="B118" s="9" t="n">
        <v>87</v>
      </c>
      <c r="C118" s="4" t="inlineStr">
        <is>
          <t>Задвижка 30с941нж Ду 150 Ру 16 с электроприводом</t>
        </is>
      </c>
      <c r="D118" s="9" t="n">
        <v>6</v>
      </c>
      <c r="E118" s="4" t="inlineStr">
        <is>
          <t>шт</t>
        </is>
      </c>
      <c r="F118" s="9" t="n">
        <v>150</v>
      </c>
      <c r="G118" s="9" t="n">
        <v>1.6</v>
      </c>
      <c r="H118" s="4" t="inlineStr">
        <is>
          <t xml:space="preserve">Сталь 35Л ГОСТ
977-88 </t>
        </is>
      </c>
      <c r="I118" s="4" t="inlineStr">
        <is>
          <t xml:space="preserve"> 
МНОГООБОРОТНЫЙ ЭЛЕКТРОПРИВОД</t>
        </is>
      </c>
      <c r="J118" s="13" t="n"/>
      <c r="K118" s="6">
        <f>IF(J118="","",J118*(1-0.1))</f>
        <v/>
      </c>
      <c r="L118" s="9" t="n"/>
      <c r="M118" s="6">
        <f>IF(J118="","",K118*D118)</f>
        <v/>
      </c>
      <c r="N118" s="6">
        <f>IF(L118="","",L118*D118*55)</f>
        <v/>
      </c>
      <c r="O118" s="6">
        <f>IF(M118="","",M118+N(N118))</f>
        <v/>
      </c>
      <c r="P118" s="9" t="n"/>
      <c r="Q118" s="4" t="inlineStr"/>
      <c r="R118" s="4" t="inlineStr"/>
      <c r="S118" s="9" t="n"/>
    </row>
    <row r="119" ht="34" customHeight="1">
      <c r="A119" s="4" t="inlineStr">
        <is>
          <t>1.3</t>
        </is>
      </c>
      <c r="B119" s="9" t="n">
        <v>88</v>
      </c>
      <c r="C119" s="4" t="inlineStr">
        <is>
          <t>Задвижка 30с964нж Ду 150 Ру 25 с электроприводом</t>
        </is>
      </c>
      <c r="D119" s="9" t="n">
        <v>1</v>
      </c>
      <c r="E119" s="4" t="inlineStr">
        <is>
          <t>шт</t>
        </is>
      </c>
      <c r="F119" s="9" t="n">
        <v>150</v>
      </c>
      <c r="G119" s="9" t="n">
        <v>2.5</v>
      </c>
      <c r="H119" s="4" t="inlineStr">
        <is>
          <t>сталь 25Л</t>
        </is>
      </c>
      <c r="I119" s="4" t="inlineStr">
        <is>
          <t>электропривод DN.ru МТ-100-220</t>
        </is>
      </c>
      <c r="J119" s="13" t="n"/>
      <c r="K119" s="6">
        <f>IF(J119="","",J119*(1-0.1))</f>
        <v/>
      </c>
      <c r="L119" s="9" t="n"/>
      <c r="M119" s="6">
        <f>IF(J119="","",K119*D119)</f>
        <v/>
      </c>
      <c r="N119" s="6">
        <f>IF(L119="","",L119*D119*55)</f>
        <v/>
      </c>
      <c r="O119" s="6">
        <f>IF(M119="","",M119+N(N119))</f>
        <v/>
      </c>
      <c r="P119" s="9" t="n"/>
      <c r="Q119" s="4" t="inlineStr"/>
      <c r="R119" s="4" t="inlineStr"/>
      <c r="S119" s="9" t="n"/>
    </row>
    <row r="120" ht="34" customHeight="1">
      <c r="A120" s="4" t="inlineStr">
        <is>
          <t>1.3</t>
        </is>
      </c>
      <c r="B120" s="9" t="n">
        <v>89</v>
      </c>
      <c r="C120" s="4" t="inlineStr">
        <is>
          <t>Задвижка 30с964нж Ду 400 Ру 25</t>
        </is>
      </c>
      <c r="D120" s="9" t="n">
        <v>4</v>
      </c>
      <c r="E120" s="4" t="inlineStr">
        <is>
          <t>шт</t>
        </is>
      </c>
      <c r="F120" s="9" t="n">
        <v>400</v>
      </c>
      <c r="G120" s="9" t="n">
        <v>2.5</v>
      </c>
      <c r="H120" s="4" t="inlineStr">
        <is>
          <t>сталь 25Л</t>
        </is>
      </c>
      <c r="I120" s="4" t="inlineStr">
        <is>
          <t>под электропривод</t>
        </is>
      </c>
      <c r="J120" s="13" t="n"/>
      <c r="K120" s="6">
        <f>IF(J120="","",J120*(1-0.1))</f>
        <v/>
      </c>
      <c r="L120" s="9" t="n"/>
      <c r="M120" s="6">
        <f>IF(J120="","",K120*D120)</f>
        <v/>
      </c>
      <c r="N120" s="6">
        <f>IF(L120="","",L120*D120*55)</f>
        <v/>
      </c>
      <c r="O120" s="6">
        <f>IF(M120="","",M120+N(N120))</f>
        <v/>
      </c>
      <c r="P120" s="9" t="n"/>
      <c r="Q120" s="4" t="inlineStr"/>
      <c r="R120" s="4" t="inlineStr"/>
      <c r="S120" s="9" t="n"/>
    </row>
    <row r="121" ht="34" customHeight="1">
      <c r="A121" s="4" t="inlineStr">
        <is>
          <t>1.3</t>
        </is>
      </c>
      <c r="B121" s="9" t="n">
        <v>90</v>
      </c>
      <c r="C121" s="4" t="inlineStr">
        <is>
          <t>Задвижка стальная 30с964нж Ду 100 Ру 25 с электроприводом МТ-100-220, 220В</t>
        </is>
      </c>
      <c r="D121" s="9" t="n">
        <v>3</v>
      </c>
      <c r="E121" s="4" t="inlineStr">
        <is>
          <t>шт</t>
        </is>
      </c>
      <c r="F121" s="9" t="n">
        <v>100</v>
      </c>
      <c r="G121" s="9" t="n">
        <v>25</v>
      </c>
      <c r="H121" s="4" t="inlineStr">
        <is>
          <t>сталь 25Л</t>
        </is>
      </c>
      <c r="I121" s="4" t="inlineStr">
        <is>
          <t>МТ-100-220, 220В</t>
        </is>
      </c>
      <c r="J121" s="13" t="n"/>
      <c r="K121" s="6">
        <f>IF(J121="","",J121*(1-0.1))</f>
        <v/>
      </c>
      <c r="L121" s="9" t="n"/>
      <c r="M121" s="6">
        <f>IF(J121="","",K121*D121)</f>
        <v/>
      </c>
      <c r="N121" s="6">
        <f>IF(L121="","",L121*D121*55)</f>
        <v/>
      </c>
      <c r="O121" s="6">
        <f>IF(M121="","",M121+N(N121))</f>
        <v/>
      </c>
      <c r="P121" s="9" t="n"/>
      <c r="Q121" s="4" t="inlineStr"/>
      <c r="R121" s="4" t="inlineStr"/>
      <c r="S121" s="9" t="n"/>
    </row>
    <row r="122" ht="34" customHeight="1">
      <c r="A122" s="4" t="inlineStr">
        <is>
          <t>1.3</t>
        </is>
      </c>
      <c r="B122" s="9" t="n">
        <v>91</v>
      </c>
      <c r="C122" s="4" t="inlineStr">
        <is>
          <t>Задвижка 30с99нж Ду 50 Ру 25</t>
        </is>
      </c>
      <c r="D122" s="9" t="n">
        <v>1</v>
      </c>
      <c r="E122" s="4" t="inlineStr">
        <is>
          <t>шт</t>
        </is>
      </c>
      <c r="F122" s="9" t="n">
        <v>50</v>
      </c>
      <c r="G122" s="9" t="n">
        <v>25</v>
      </c>
      <c r="H122" s="4" t="inlineStr">
        <is>
          <t>углеродистая сталь (20Л, 25Л по ГОСТ 977</t>
        </is>
      </c>
      <c r="I122" s="4" t="inlineStr">
        <is>
          <t>ручное</t>
        </is>
      </c>
      <c r="J122" s="13" t="n"/>
      <c r="K122" s="6">
        <f>IF(J122="","",J122*(1-0.1))</f>
        <v/>
      </c>
      <c r="L122" s="9" t="n"/>
      <c r="M122" s="6">
        <f>IF(J122="","",K122*D122)</f>
        <v/>
      </c>
      <c r="N122" s="6">
        <f>IF(L122="","",L122*D122*55)</f>
        <v/>
      </c>
      <c r="O122" s="6">
        <f>IF(M122="","",M122+N(N122))</f>
        <v/>
      </c>
      <c r="P122" s="9" t="n"/>
      <c r="Q122" s="4" t="inlineStr"/>
      <c r="R122" s="4" t="inlineStr"/>
      <c r="S122" s="9" t="n"/>
    </row>
    <row r="123" ht="34" customHeight="1">
      <c r="A123" s="4" t="inlineStr">
        <is>
          <t>1.3</t>
        </is>
      </c>
      <c r="B123" s="9" t="n">
        <v>92</v>
      </c>
      <c r="C123" s="4" t="inlineStr">
        <is>
          <t>Задвижка 30с99нж Ду 80 Ру 25</t>
        </is>
      </c>
      <c r="D123" s="9" t="n">
        <v>1</v>
      </c>
      <c r="E123" s="4" t="inlineStr">
        <is>
          <t>шт</t>
        </is>
      </c>
      <c r="F123" s="9" t="n">
        <v>80</v>
      </c>
      <c r="G123" s="9" t="n">
        <v>25</v>
      </c>
      <c r="H123" s="4" t="inlineStr">
        <is>
          <t>углеродистая сталь (20Л, 25Л по ГОСТ 977</t>
        </is>
      </c>
      <c r="I123" s="4" t="inlineStr">
        <is>
          <t>ручное</t>
        </is>
      </c>
      <c r="J123" s="13" t="n"/>
      <c r="K123" s="6">
        <f>IF(J123="","",J123*(1-0.1))</f>
        <v/>
      </c>
      <c r="L123" s="9" t="n"/>
      <c r="M123" s="6">
        <f>IF(J123="","",K123*D123)</f>
        <v/>
      </c>
      <c r="N123" s="6">
        <f>IF(L123="","",L123*D123*55)</f>
        <v/>
      </c>
      <c r="O123" s="6">
        <f>IF(M123="","",M123+N(N123))</f>
        <v/>
      </c>
      <c r="P123" s="9" t="n"/>
      <c r="Q123" s="4" t="inlineStr"/>
      <c r="R123" s="4" t="inlineStr"/>
      <c r="S123" s="9" t="n"/>
    </row>
    <row r="124" ht="34" customHeight="1">
      <c r="A124" s="4" t="inlineStr">
        <is>
          <t>1.3</t>
        </is>
      </c>
      <c r="B124" s="9" t="n">
        <v>93</v>
      </c>
      <c r="C124" s="4" t="inlineStr">
        <is>
          <t>Задвижка 30ч6бр Ду 50 Ру 10</t>
        </is>
      </c>
      <c r="D124" s="9" t="n">
        <v>8</v>
      </c>
      <c r="E124" s="4" t="inlineStr">
        <is>
          <t>шт</t>
        </is>
      </c>
      <c r="F124" s="9" t="n">
        <v>50</v>
      </c>
      <c r="G124" s="9" t="n">
        <v>1</v>
      </c>
      <c r="H124" s="4" t="inlineStr">
        <is>
          <t xml:space="preserve">серый чугун СЧ </t>
        </is>
      </c>
      <c r="I124" s="4" t="inlineStr">
        <is>
          <t xml:space="preserve">Ручное </t>
        </is>
      </c>
      <c r="J124" s="13" t="n"/>
      <c r="K124" s="6">
        <f>IF(J124="","",J124*(1-0.1))</f>
        <v/>
      </c>
      <c r="L124" s="9" t="n"/>
      <c r="M124" s="6">
        <f>IF(J124="","",K124*D124)</f>
        <v/>
      </c>
      <c r="N124" s="6">
        <f>IF(L124="","",L124*D124*55)</f>
        <v/>
      </c>
      <c r="O124" s="6">
        <f>IF(M124="","",M124+N(N124))</f>
        <v/>
      </c>
      <c r="P124" s="9" t="n"/>
      <c r="Q124" s="4" t="inlineStr"/>
      <c r="R124" s="4" t="inlineStr"/>
      <c r="S124" s="9" t="n"/>
    </row>
    <row r="125" ht="34" customHeight="1">
      <c r="A125" s="4" t="inlineStr">
        <is>
          <t>1.3</t>
        </is>
      </c>
      <c r="B125" s="9" t="n">
        <v>94</v>
      </c>
      <c r="C125" s="4" t="inlineStr">
        <is>
          <t>Задвижка 30ч6бр Ду 80 Ру 10</t>
        </is>
      </c>
      <c r="D125" s="9" t="n">
        <v>14</v>
      </c>
      <c r="E125" s="4" t="inlineStr">
        <is>
          <t>шт</t>
        </is>
      </c>
      <c r="F125" s="9" t="n">
        <v>80</v>
      </c>
      <c r="G125" s="9" t="n">
        <v>1</v>
      </c>
      <c r="H125" s="4" t="inlineStr">
        <is>
          <t xml:space="preserve">серый чугун СЧ </t>
        </is>
      </c>
      <c r="I125" s="4" t="inlineStr">
        <is>
          <t xml:space="preserve">Ручное </t>
        </is>
      </c>
      <c r="J125" s="13" t="n"/>
      <c r="K125" s="6">
        <f>IF(J125="","",J125*(1-0.1))</f>
        <v/>
      </c>
      <c r="L125" s="9" t="n"/>
      <c r="M125" s="6">
        <f>IF(J125="","",K125*D125)</f>
        <v/>
      </c>
      <c r="N125" s="6">
        <f>IF(L125="","",L125*D125*55)</f>
        <v/>
      </c>
      <c r="O125" s="6">
        <f>IF(M125="","",M125+N(N125))</f>
        <v/>
      </c>
      <c r="P125" s="9" t="n"/>
      <c r="Q125" s="4" t="inlineStr"/>
      <c r="R125" s="4" t="inlineStr"/>
      <c r="S125" s="9" t="n"/>
    </row>
    <row r="126" ht="34" customHeight="1">
      <c r="A126" s="4" t="inlineStr">
        <is>
          <t>1.3</t>
        </is>
      </c>
      <c r="B126" s="9" t="n">
        <v>95</v>
      </c>
      <c r="C126" s="4" t="inlineStr">
        <is>
          <t>Задвижка 30ч6бр Ду 100 Ру 10</t>
        </is>
      </c>
      <c r="D126" s="9" t="n">
        <v>19</v>
      </c>
      <c r="E126" s="4" t="inlineStr">
        <is>
          <t>шт</t>
        </is>
      </c>
      <c r="F126" s="9" t="n">
        <v>100</v>
      </c>
      <c r="G126" s="9" t="n">
        <v>1</v>
      </c>
      <c r="H126" s="4" t="inlineStr">
        <is>
          <t xml:space="preserve">серый чугун СЧ </t>
        </is>
      </c>
      <c r="I126" s="4" t="inlineStr">
        <is>
          <t xml:space="preserve">Ручное </t>
        </is>
      </c>
      <c r="J126" s="13" t="n"/>
      <c r="K126" s="6">
        <f>IF(J126="","",J126*(1-0.1))</f>
        <v/>
      </c>
      <c r="L126" s="9" t="n"/>
      <c r="M126" s="6">
        <f>IF(J126="","",K126*D126)</f>
        <v/>
      </c>
      <c r="N126" s="6">
        <f>IF(L126="","",L126*D126*55)</f>
        <v/>
      </c>
      <c r="O126" s="6">
        <f>IF(M126="","",M126+N(N126))</f>
        <v/>
      </c>
      <c r="P126" s="9" t="n"/>
      <c r="Q126" s="4" t="inlineStr"/>
      <c r="R126" s="4" t="inlineStr"/>
      <c r="S126" s="9" t="n"/>
    </row>
    <row r="127" ht="34" customHeight="1">
      <c r="A127" s="4" t="inlineStr">
        <is>
          <t>1.3</t>
        </is>
      </c>
      <c r="B127" s="9" t="n">
        <v>96</v>
      </c>
      <c r="C127" s="4" t="inlineStr">
        <is>
          <t>Задвижка 30ч6бр Ду 150 Ру 10</t>
        </is>
      </c>
      <c r="D127" s="9" t="n">
        <v>19</v>
      </c>
      <c r="E127" s="4" t="inlineStr">
        <is>
          <t>шт</t>
        </is>
      </c>
      <c r="F127" s="9" t="n">
        <v>150</v>
      </c>
      <c r="G127" s="9" t="n">
        <v>1</v>
      </c>
      <c r="H127" s="4" t="inlineStr">
        <is>
          <t xml:space="preserve">серый чугун СЧ </t>
        </is>
      </c>
      <c r="I127" s="4" t="inlineStr">
        <is>
          <t xml:space="preserve">Ручное </t>
        </is>
      </c>
      <c r="J127" s="13" t="n"/>
      <c r="K127" s="6">
        <f>IF(J127="","",J127*(1-0.1))</f>
        <v/>
      </c>
      <c r="L127" s="9" t="n"/>
      <c r="M127" s="6">
        <f>IF(J127="","",K127*D127)</f>
        <v/>
      </c>
      <c r="N127" s="6">
        <f>IF(L127="","",L127*D127*55)</f>
        <v/>
      </c>
      <c r="O127" s="6">
        <f>IF(M127="","",M127+N(N127))</f>
        <v/>
      </c>
      <c r="P127" s="9" t="n"/>
      <c r="Q127" s="4" t="inlineStr"/>
      <c r="R127" s="4" t="inlineStr"/>
      <c r="S127" s="9" t="n"/>
    </row>
    <row r="128" ht="34" customHeight="1">
      <c r="A128" s="4" t="inlineStr">
        <is>
          <t>1.3</t>
        </is>
      </c>
      <c r="B128" s="9" t="n">
        <v>97</v>
      </c>
      <c r="C128" s="4" t="inlineStr">
        <is>
          <t>Задвижка 30ч6бр Ду 200 Ру 10</t>
        </is>
      </c>
      <c r="D128" s="9" t="n">
        <v>13</v>
      </c>
      <c r="E128" s="4" t="inlineStr">
        <is>
          <t>шт</t>
        </is>
      </c>
      <c r="F128" s="9" t="n">
        <v>200</v>
      </c>
      <c r="G128" s="9" t="n">
        <v>1</v>
      </c>
      <c r="H128" s="4" t="inlineStr">
        <is>
          <t xml:space="preserve">серый чугун СЧ </t>
        </is>
      </c>
      <c r="I128" s="4" t="inlineStr">
        <is>
          <t xml:space="preserve">Ручное </t>
        </is>
      </c>
      <c r="J128" s="13" t="n"/>
      <c r="K128" s="6">
        <f>IF(J128="","",J128*(1-0.1))</f>
        <v/>
      </c>
      <c r="L128" s="9" t="n"/>
      <c r="M128" s="6">
        <f>IF(J128="","",K128*D128)</f>
        <v/>
      </c>
      <c r="N128" s="6">
        <f>IF(L128="","",L128*D128*55)</f>
        <v/>
      </c>
      <c r="O128" s="6">
        <f>IF(M128="","",M128+N(N128))</f>
        <v/>
      </c>
      <c r="P128" s="9" t="n"/>
      <c r="Q128" s="4" t="inlineStr"/>
      <c r="R128" s="4" t="inlineStr"/>
      <c r="S128" s="9" t="n"/>
    </row>
    <row r="129" ht="34" customHeight="1">
      <c r="A129" s="4" t="inlineStr">
        <is>
          <t>1.3</t>
        </is>
      </c>
      <c r="B129" s="9" t="n">
        <v>98</v>
      </c>
      <c r="C129" s="4" t="inlineStr">
        <is>
          <t>Задвижка 30ч6бр Ду 250 Ру 10</t>
        </is>
      </c>
      <c r="D129" s="9" t="n">
        <v>4</v>
      </c>
      <c r="E129" s="4" t="inlineStr">
        <is>
          <t>шт</t>
        </is>
      </c>
      <c r="F129" s="9" t="n">
        <v>250</v>
      </c>
      <c r="G129" s="9" t="n">
        <v>1</v>
      </c>
      <c r="H129" s="4" t="inlineStr">
        <is>
          <t>чугун</t>
        </is>
      </c>
      <c r="I129" s="4" t="inlineStr">
        <is>
          <t>ручной</t>
        </is>
      </c>
      <c r="J129" s="13" t="n"/>
      <c r="K129" s="6">
        <f>IF(J129="","",J129*(1-0.1))</f>
        <v/>
      </c>
      <c r="L129" s="9" t="n"/>
      <c r="M129" s="6">
        <f>IF(J129="","",K129*D129)</f>
        <v/>
      </c>
      <c r="N129" s="6">
        <f>IF(L129="","",L129*D129*55)</f>
        <v/>
      </c>
      <c r="O129" s="6">
        <f>IF(M129="","",M129+N(N129))</f>
        <v/>
      </c>
      <c r="P129" s="9" t="n"/>
      <c r="Q129" s="4" t="inlineStr"/>
      <c r="R129" s="4" t="inlineStr"/>
      <c r="S129" s="9" t="n"/>
    </row>
    <row r="130" ht="34" customHeight="1">
      <c r="A130" s="4" t="inlineStr">
        <is>
          <t>1.3</t>
        </is>
      </c>
      <c r="B130" s="9" t="n">
        <v>99</v>
      </c>
      <c r="C130" s="4" t="inlineStr">
        <is>
          <t>Задвижка 30ч6бр Ду 300 Ру 10</t>
        </is>
      </c>
      <c r="D130" s="9" t="n">
        <v>4</v>
      </c>
      <c r="E130" s="4" t="inlineStr">
        <is>
          <t>шт</t>
        </is>
      </c>
      <c r="F130" s="9" t="n">
        <v>300</v>
      </c>
      <c r="G130" s="9" t="n">
        <v>1</v>
      </c>
      <c r="H130" s="4" t="inlineStr">
        <is>
          <t>серый чугун СЧ 18 (СЧ 20)</t>
        </is>
      </c>
      <c r="I130" s="4" t="inlineStr">
        <is>
          <t>ручной (маховик)</t>
        </is>
      </c>
      <c r="J130" s="13" t="n"/>
      <c r="K130" s="6">
        <f>IF(J130="","",J130*(1-0.1))</f>
        <v/>
      </c>
      <c r="L130" s="9" t="n"/>
      <c r="M130" s="6">
        <f>IF(J130="","",K130*D130)</f>
        <v/>
      </c>
      <c r="N130" s="6">
        <f>IF(L130="","",L130*D130*55)</f>
        <v/>
      </c>
      <c r="O130" s="6">
        <f>IF(M130="","",M130+N(N130))</f>
        <v/>
      </c>
      <c r="P130" s="9" t="n"/>
      <c r="Q130" s="4" t="inlineStr"/>
      <c r="R130" s="4" t="inlineStr"/>
      <c r="S130" s="9" t="n"/>
    </row>
    <row r="131" ht="34" customHeight="1">
      <c r="A131" s="4" t="inlineStr">
        <is>
          <t>1.3</t>
        </is>
      </c>
      <c r="B131" s="9" t="n">
        <v>100</v>
      </c>
      <c r="C131" s="4" t="inlineStr">
        <is>
          <t>Кран 11б27п(м) Ду 15 Ру 16 3-х ходовой для манометров</t>
        </is>
      </c>
      <c r="D131" s="9" t="n">
        <v>4</v>
      </c>
      <c r="E131" s="4" t="inlineStr">
        <is>
          <t>шт</t>
        </is>
      </c>
      <c r="F131" s="9" t="n">
        <v>15</v>
      </c>
      <c r="G131" s="4" t="inlineStr">
        <is>
          <t>1.6</t>
        </is>
      </c>
      <c r="H131" s="4" t="inlineStr">
        <is>
          <t>латунь ЛЦ40Сд</t>
        </is>
      </c>
      <c r="I131" s="4" t="inlineStr">
        <is>
          <t>флажок/рычаг</t>
        </is>
      </c>
      <c r="J131" s="13" t="n"/>
      <c r="K131" s="6">
        <f>IF(J131="","",J131*(1-0.1))</f>
        <v/>
      </c>
      <c r="L131" s="9" t="n"/>
      <c r="M131" s="6">
        <f>IF(J131="","",K131*D131)</f>
        <v/>
      </c>
      <c r="N131" s="6">
        <f>IF(L131="","",L131*D131*55)</f>
        <v/>
      </c>
      <c r="O131" s="6">
        <f>IF(M131="","",M131+N(N131))</f>
        <v/>
      </c>
      <c r="P131" s="9" t="n"/>
      <c r="Q131" s="4" t="inlineStr"/>
      <c r="R131" s="4" t="inlineStr"/>
      <c r="S131" s="9" t="n"/>
    </row>
    <row r="132" ht="34" customHeight="1">
      <c r="A132" s="4" t="inlineStr">
        <is>
          <t>1.3</t>
        </is>
      </c>
      <c r="B132" s="9" t="n">
        <v>101</v>
      </c>
      <c r="C132" s="4" t="inlineStr">
        <is>
          <t>Кран шаровой 11б27п1 Ду 15 Ру 16</t>
        </is>
      </c>
      <c r="D132" s="9" t="n">
        <v>110</v>
      </c>
      <c r="E132" s="4" t="inlineStr">
        <is>
          <t>шт</t>
        </is>
      </c>
      <c r="F132" s="9" t="n">
        <v>15</v>
      </c>
      <c r="G132" s="9" t="n">
        <v>1.6</v>
      </c>
      <c r="H132" s="4" t="inlineStr">
        <is>
          <t>латунь HPb58-2A</t>
        </is>
      </c>
      <c r="I132" s="4" t="inlineStr">
        <is>
          <t xml:space="preserve">Ручное </t>
        </is>
      </c>
      <c r="J132" s="13" t="n"/>
      <c r="K132" s="6">
        <f>IF(J132="","",J132*(1-0.1))</f>
        <v/>
      </c>
      <c r="L132" s="9" t="n"/>
      <c r="M132" s="6">
        <f>IF(J132="","",K132*D132)</f>
        <v/>
      </c>
      <c r="N132" s="6">
        <f>IF(L132="","",L132*D132*55)</f>
        <v/>
      </c>
      <c r="O132" s="6">
        <f>IF(M132="","",M132+N(N132))</f>
        <v/>
      </c>
      <c r="P132" s="9" t="n"/>
      <c r="Q132" s="4" t="inlineStr"/>
      <c r="R132" s="4" t="inlineStr"/>
      <c r="S132" s="9" t="n"/>
    </row>
    <row r="133" ht="34" customHeight="1">
      <c r="A133" s="4" t="inlineStr">
        <is>
          <t>1.3</t>
        </is>
      </c>
      <c r="B133" s="9" t="n">
        <v>102</v>
      </c>
      <c r="C133" s="4" t="inlineStr">
        <is>
          <t>Кран шаровой 11б27п1 Ду 20 Ру 16</t>
        </is>
      </c>
      <c r="D133" s="9" t="n">
        <v>57</v>
      </c>
      <c r="E133" s="4" t="inlineStr">
        <is>
          <t>шт</t>
        </is>
      </c>
      <c r="F133" s="9" t="n">
        <v>20</v>
      </c>
      <c r="G133" s="9" t="n">
        <v>1.6</v>
      </c>
      <c r="H133" s="4" t="inlineStr">
        <is>
          <t>латунь HPb58-2A</t>
        </is>
      </c>
      <c r="I133" s="4" t="inlineStr">
        <is>
          <t xml:space="preserve">Ручное </t>
        </is>
      </c>
      <c r="J133" s="13" t="n"/>
      <c r="K133" s="6">
        <f>IF(J133="","",J133*(1-0.1))</f>
        <v/>
      </c>
      <c r="L133" s="9" t="n"/>
      <c r="M133" s="6">
        <f>IF(J133="","",K133*D133)</f>
        <v/>
      </c>
      <c r="N133" s="6">
        <f>IF(L133="","",L133*D133*55)</f>
        <v/>
      </c>
      <c r="O133" s="6">
        <f>IF(M133="","",M133+N(N133))</f>
        <v/>
      </c>
      <c r="P133" s="9" t="n"/>
      <c r="Q133" s="4" t="inlineStr"/>
      <c r="R133" s="4" t="inlineStr"/>
      <c r="S133" s="9" t="n"/>
    </row>
    <row r="134" ht="34" customHeight="1">
      <c r="A134" s="4" t="inlineStr">
        <is>
          <t>1.3</t>
        </is>
      </c>
      <c r="B134" s="9" t="n">
        <v>103</v>
      </c>
      <c r="C134" s="4" t="inlineStr">
        <is>
          <t>Кран шаровой 11б27п1 Ду 25 Ру 16</t>
        </is>
      </c>
      <c r="D134" s="9" t="n">
        <v>29</v>
      </c>
      <c r="E134" s="4" t="inlineStr">
        <is>
          <t>шт</t>
        </is>
      </c>
      <c r="F134" s="9" t="n">
        <v>25</v>
      </c>
      <c r="G134" s="9" t="n">
        <v>1.6</v>
      </c>
      <c r="H134" s="4" t="inlineStr">
        <is>
          <t>латунь HPb58-2A</t>
        </is>
      </c>
      <c r="I134" s="4" t="inlineStr">
        <is>
          <t xml:space="preserve">Ручное </t>
        </is>
      </c>
      <c r="J134" s="13" t="n"/>
      <c r="K134" s="6">
        <f>IF(J134="","",J134*(1-0.1))</f>
        <v/>
      </c>
      <c r="L134" s="9" t="n"/>
      <c r="M134" s="6">
        <f>IF(J134="","",K134*D134)</f>
        <v/>
      </c>
      <c r="N134" s="6">
        <f>IF(L134="","",L134*D134*55)</f>
        <v/>
      </c>
      <c r="O134" s="6">
        <f>IF(M134="","",M134+N(N134))</f>
        <v/>
      </c>
      <c r="P134" s="9" t="n"/>
      <c r="Q134" s="4" t="inlineStr"/>
      <c r="R134" s="4" t="inlineStr"/>
      <c r="S134" s="9" t="n"/>
    </row>
    <row r="135" ht="34" customHeight="1">
      <c r="A135" s="4" t="inlineStr">
        <is>
          <t>1.3</t>
        </is>
      </c>
      <c r="B135" s="9" t="n">
        <v>104</v>
      </c>
      <c r="C135" s="4" t="inlineStr">
        <is>
          <t>Кран шаровой 11б27п1 Ду 32 Ру 16</t>
        </is>
      </c>
      <c r="D135" s="9" t="n">
        <v>47</v>
      </c>
      <c r="E135" s="4" t="inlineStr">
        <is>
          <t>шт</t>
        </is>
      </c>
      <c r="F135" s="9" t="n">
        <v>32</v>
      </c>
      <c r="G135" s="9" t="n">
        <v>1.6</v>
      </c>
      <c r="H135" s="4" t="inlineStr">
        <is>
          <t>латунь HPb58-2A</t>
        </is>
      </c>
      <c r="I135" s="4" t="inlineStr">
        <is>
          <t xml:space="preserve">Ручное </t>
        </is>
      </c>
      <c r="J135" s="13" t="n"/>
      <c r="K135" s="6">
        <f>IF(J135="","",J135*(1-0.1))</f>
        <v/>
      </c>
      <c r="L135" s="9" t="n"/>
      <c r="M135" s="6">
        <f>IF(J135="","",K135*D135)</f>
        <v/>
      </c>
      <c r="N135" s="6">
        <f>IF(L135="","",L135*D135*55)</f>
        <v/>
      </c>
      <c r="O135" s="6">
        <f>IF(M135="","",M135+N(N135))</f>
        <v/>
      </c>
      <c r="P135" s="9" t="n"/>
      <c r="Q135" s="4" t="inlineStr"/>
      <c r="R135" s="4" t="inlineStr"/>
      <c r="S135" s="9" t="n"/>
    </row>
    <row r="136" ht="34" customHeight="1">
      <c r="A136" s="4" t="inlineStr">
        <is>
          <t>1.3</t>
        </is>
      </c>
      <c r="B136" s="9" t="n">
        <v>105</v>
      </c>
      <c r="C136" s="4" t="inlineStr">
        <is>
          <t>Кран шаровой 11б27п1 Ду 50 Ру 16</t>
        </is>
      </c>
      <c r="D136" s="9" t="n">
        <v>24</v>
      </c>
      <c r="E136" s="4" t="inlineStr">
        <is>
          <t>шт</t>
        </is>
      </c>
      <c r="F136" s="9" t="n">
        <v>50</v>
      </c>
      <c r="G136" s="9" t="n">
        <v>1.6</v>
      </c>
      <c r="H136" s="4" t="inlineStr">
        <is>
          <t>латунь HPb58-2A</t>
        </is>
      </c>
      <c r="I136" s="4" t="inlineStr">
        <is>
          <t xml:space="preserve">Ручное </t>
        </is>
      </c>
      <c r="J136" s="13" t="n"/>
      <c r="K136" s="6">
        <f>IF(J136="","",J136*(1-0.1))</f>
        <v/>
      </c>
      <c r="L136" s="9" t="n"/>
      <c r="M136" s="6">
        <f>IF(J136="","",K136*D136)</f>
        <v/>
      </c>
      <c r="N136" s="6">
        <f>IF(L136="","",L136*D136*55)</f>
        <v/>
      </c>
      <c r="O136" s="6">
        <f>IF(M136="","",M136+N(N136))</f>
        <v/>
      </c>
      <c r="P136" s="9" t="n"/>
      <c r="Q136" s="4" t="inlineStr"/>
      <c r="R136" s="4" t="inlineStr"/>
      <c r="S136" s="9" t="n"/>
    </row>
    <row r="137" ht="34" customHeight="1">
      <c r="A137" s="4" t="inlineStr">
        <is>
          <t>1.3</t>
        </is>
      </c>
      <c r="B137" s="9" t="n">
        <v>106</v>
      </c>
      <c r="C137" s="4" t="inlineStr">
        <is>
          <t>Кран шаровой фланцевый 11с22п Ду 50 Ру 16</t>
        </is>
      </c>
      <c r="D137" s="9" t="n">
        <v>7</v>
      </c>
      <c r="E137" s="4" t="inlineStr">
        <is>
          <t>шт</t>
        </is>
      </c>
      <c r="F137" s="9" t="n">
        <v>50</v>
      </c>
      <c r="G137" s="9" t="n">
        <v>1.6</v>
      </c>
      <c r="H137" s="4" t="inlineStr">
        <is>
          <t>сталь 20</t>
        </is>
      </c>
      <c r="I137" s="4" t="inlineStr">
        <is>
          <t>ручной (рукоятка)</t>
        </is>
      </c>
      <c r="J137" s="13" t="n"/>
      <c r="K137" s="6">
        <f>IF(J137="","",J137*(1-0.1))</f>
        <v/>
      </c>
      <c r="L137" s="9" t="n"/>
      <c r="M137" s="6">
        <f>IF(J137="","",K137*D137)</f>
        <v/>
      </c>
      <c r="N137" s="6">
        <f>IF(L137="","",L137*D137*55)</f>
        <v/>
      </c>
      <c r="O137" s="6">
        <f>IF(M137="","",M137+N(N137))</f>
        <v/>
      </c>
      <c r="P137" s="9" t="n"/>
      <c r="Q137" s="4" t="inlineStr"/>
      <c r="R137" s="4" t="inlineStr"/>
      <c r="S137" s="9" t="n"/>
    </row>
    <row r="138" ht="34" customHeight="1">
      <c r="A138" s="4" t="inlineStr">
        <is>
          <t>1.3</t>
        </is>
      </c>
      <c r="B138" s="9" t="n">
        <v>107</v>
      </c>
      <c r="C138" s="4" t="inlineStr">
        <is>
          <t>Кран шаровой фланцевый 11с22п Ду 80 Ру 16</t>
        </is>
      </c>
      <c r="D138" s="9" t="n">
        <v>8</v>
      </c>
      <c r="E138" s="4" t="inlineStr">
        <is>
          <t>шт</t>
        </is>
      </c>
      <c r="F138" s="9" t="n">
        <v>80</v>
      </c>
      <c r="G138" s="9" t="n">
        <v>1.6</v>
      </c>
      <c r="H138" s="4" t="inlineStr">
        <is>
          <t>сталь 20</t>
        </is>
      </c>
      <c r="I138" s="4" t="inlineStr">
        <is>
          <t>ручной (рукоятка)</t>
        </is>
      </c>
      <c r="J138" s="13" t="n"/>
      <c r="K138" s="6">
        <f>IF(J138="","",J138*(1-0.1))</f>
        <v/>
      </c>
      <c r="L138" s="9" t="n"/>
      <c r="M138" s="6">
        <f>IF(J138="","",K138*D138)</f>
        <v/>
      </c>
      <c r="N138" s="6">
        <f>IF(L138="","",L138*D138*55)</f>
        <v/>
      </c>
      <c r="O138" s="6">
        <f>IF(M138="","",M138+N(N138))</f>
        <v/>
      </c>
      <c r="P138" s="9" t="n"/>
      <c r="Q138" s="4" t="inlineStr"/>
      <c r="R138" s="4" t="inlineStr"/>
      <c r="S138" s="9" t="n"/>
    </row>
    <row r="139" ht="34" customHeight="1">
      <c r="A139" s="4" t="inlineStr">
        <is>
          <t>1.3</t>
        </is>
      </c>
      <c r="B139" s="9" t="n">
        <v>108</v>
      </c>
      <c r="C139" s="4" t="inlineStr">
        <is>
          <t>Кран шаровой фланцевый 11с22п Ду 100 Ру 16</t>
        </is>
      </c>
      <c r="D139" s="9" t="n">
        <v>8</v>
      </c>
      <c r="E139" s="4" t="inlineStr">
        <is>
          <t>шт</t>
        </is>
      </c>
      <c r="F139" s="9" t="n">
        <v>100</v>
      </c>
      <c r="G139" s="9" t="n">
        <v>1.6</v>
      </c>
      <c r="H139" s="4" t="inlineStr">
        <is>
          <t>сталь 20</t>
        </is>
      </c>
      <c r="I139" s="4" t="inlineStr">
        <is>
          <t>ручной (рукоятка)</t>
        </is>
      </c>
      <c r="J139" s="13" t="n"/>
      <c r="K139" s="6">
        <f>IF(J139="","",J139*(1-0.1))</f>
        <v/>
      </c>
      <c r="L139" s="9" t="n"/>
      <c r="M139" s="6">
        <f>IF(J139="","",K139*D139)</f>
        <v/>
      </c>
      <c r="N139" s="6">
        <f>IF(L139="","",L139*D139*55)</f>
        <v/>
      </c>
      <c r="O139" s="6">
        <f>IF(M139="","",M139+N(N139))</f>
        <v/>
      </c>
      <c r="P139" s="9" t="n"/>
      <c r="Q139" s="4" t="inlineStr"/>
      <c r="R139" s="4" t="inlineStr"/>
      <c r="S139" s="9" t="n"/>
    </row>
    <row r="140" ht="34" customHeight="1">
      <c r="A140" s="4" t="inlineStr">
        <is>
          <t>1.3</t>
        </is>
      </c>
      <c r="B140" s="9" t="n">
        <v>109</v>
      </c>
      <c r="C140" s="4" t="inlineStr">
        <is>
          <t>Кран шаровой 11С67П Ду 100 Ру 16</t>
        </is>
      </c>
      <c r="D140" s="9" t="n">
        <v>2</v>
      </c>
      <c r="E140" s="4" t="inlineStr">
        <is>
          <t>шт</t>
        </is>
      </c>
      <c r="F140" s="9" t="n">
        <v>100</v>
      </c>
      <c r="G140" s="9" t="n">
        <v>1.6</v>
      </c>
      <c r="H140" s="4" t="inlineStr">
        <is>
          <t>Ст20</t>
        </is>
      </c>
      <c r="I140" s="4" t="inlineStr">
        <is>
          <t xml:space="preserve">Ручное </t>
        </is>
      </c>
      <c r="J140" s="13" t="n"/>
      <c r="K140" s="6">
        <f>IF(J140="","",J140*(1-0.1))</f>
        <v/>
      </c>
      <c r="L140" s="9" t="n"/>
      <c r="M140" s="6">
        <f>IF(J140="","",K140*D140)</f>
        <v/>
      </c>
      <c r="N140" s="6">
        <f>IF(L140="","",L140*D140*55)</f>
        <v/>
      </c>
      <c r="O140" s="6">
        <f>IF(M140="","",M140+N(N140))</f>
        <v/>
      </c>
      <c r="P140" s="9" t="n"/>
      <c r="Q140" s="4" t="inlineStr"/>
      <c r="R140" s="4" t="inlineStr"/>
      <c r="S140" s="9" t="n"/>
    </row>
    <row r="141" ht="34" customHeight="1">
      <c r="A141" s="4" t="inlineStr">
        <is>
          <t>1.3</t>
        </is>
      </c>
      <c r="B141" s="9" t="n">
        <v>110</v>
      </c>
      <c r="C141" s="4" t="inlineStr">
        <is>
          <t>Кран шаровой 11С67П Ду 150 Ру 16</t>
        </is>
      </c>
      <c r="D141" s="9" t="n">
        <v>2</v>
      </c>
      <c r="E141" s="4" t="inlineStr">
        <is>
          <t>шт</t>
        </is>
      </c>
      <c r="F141" s="9" t="n">
        <v>150</v>
      </c>
      <c r="G141" s="9" t="n">
        <v>1.6</v>
      </c>
      <c r="H141" s="4" t="inlineStr">
        <is>
          <t>Ст20</t>
        </is>
      </c>
      <c r="I141" s="4" t="inlineStr">
        <is>
          <t xml:space="preserve">Ручное </t>
        </is>
      </c>
      <c r="J141" s="13" t="n"/>
      <c r="K141" s="6">
        <f>IF(J141="","",J141*(1-0.1))</f>
        <v/>
      </c>
      <c r="L141" s="9" t="n"/>
      <c r="M141" s="6">
        <f>IF(J141="","",K141*D141)</f>
        <v/>
      </c>
      <c r="N141" s="6">
        <f>IF(L141="","",L141*D141*55)</f>
        <v/>
      </c>
      <c r="O141" s="6">
        <f>IF(M141="","",M141+N(N141))</f>
        <v/>
      </c>
      <c r="P141" s="9" t="n"/>
      <c r="Q141" s="4" t="inlineStr"/>
      <c r="R141" s="4" t="inlineStr"/>
      <c r="S141" s="9" t="n"/>
    </row>
    <row r="142" ht="34" customHeight="1">
      <c r="A142" s="4" t="inlineStr">
        <is>
          <t>1.3</t>
        </is>
      </c>
      <c r="B142" s="9" t="n">
        <v>111</v>
      </c>
      <c r="C142" s="4" t="inlineStr">
        <is>
          <t>Кран шаровой 11С67П Ду 200 Ру 16</t>
        </is>
      </c>
      <c r="D142" s="9" t="n">
        <v>2</v>
      </c>
      <c r="E142" s="4" t="inlineStr">
        <is>
          <t>шт</t>
        </is>
      </c>
      <c r="F142" s="9" t="n">
        <v>200</v>
      </c>
      <c r="G142" s="9" t="n">
        <v>1.6</v>
      </c>
      <c r="H142" s="4" t="inlineStr">
        <is>
          <t>Ст20</t>
        </is>
      </c>
      <c r="I142" s="4" t="inlineStr">
        <is>
          <t xml:space="preserve">Ручное </t>
        </is>
      </c>
      <c r="J142" s="13" t="n"/>
      <c r="K142" s="6">
        <f>IF(J142="","",J142*(1-0.1))</f>
        <v/>
      </c>
      <c r="L142" s="9" t="n"/>
      <c r="M142" s="6">
        <f>IF(J142="","",K142*D142)</f>
        <v/>
      </c>
      <c r="N142" s="6">
        <f>IF(L142="","",L142*D142*55)</f>
        <v/>
      </c>
      <c r="O142" s="6">
        <f>IF(M142="","",M142+N(N142))</f>
        <v/>
      </c>
      <c r="P142" s="9" t="n"/>
      <c r="Q142" s="4" t="inlineStr"/>
      <c r="R142" s="4" t="inlineStr"/>
      <c r="S142" s="9" t="n"/>
    </row>
    <row r="143" ht="34" customHeight="1">
      <c r="A143" s="4" t="inlineStr">
        <is>
          <t>1.3</t>
        </is>
      </c>
      <c r="B143" s="9" t="n">
        <v>112</v>
      </c>
      <c r="C143" s="4" t="inlineStr">
        <is>
          <t>Кран шаровой 11С67П Ду 80 Ру 16</t>
        </is>
      </c>
      <c r="D143" s="9" t="n">
        <v>2</v>
      </c>
      <c r="E143" s="4" t="inlineStr">
        <is>
          <t>шт</t>
        </is>
      </c>
      <c r="F143" s="9" t="n">
        <v>80</v>
      </c>
      <c r="G143" s="9" t="n">
        <v>1.6</v>
      </c>
      <c r="H143" s="4" t="inlineStr">
        <is>
          <t>Ст20</t>
        </is>
      </c>
      <c r="I143" s="4" t="inlineStr">
        <is>
          <t xml:space="preserve">Ручное </t>
        </is>
      </c>
      <c r="J143" s="13" t="n"/>
      <c r="K143" s="6">
        <f>IF(J143="","",J143*(1-0.1))</f>
        <v/>
      </c>
      <c r="L143" s="9" t="n"/>
      <c r="M143" s="6">
        <f>IF(J143="","",K143*D143)</f>
        <v/>
      </c>
      <c r="N143" s="6">
        <f>IF(L143="","",L143*D143*55)</f>
        <v/>
      </c>
      <c r="O143" s="6">
        <f>IF(M143="","",M143+N(N143))</f>
        <v/>
      </c>
      <c r="P143" s="9" t="n"/>
      <c r="Q143" s="4" t="inlineStr"/>
      <c r="R143" s="4" t="inlineStr"/>
      <c r="S143" s="9" t="n"/>
    </row>
    <row r="144" ht="34" customHeight="1">
      <c r="A144" s="4" t="inlineStr">
        <is>
          <t>1.3</t>
        </is>
      </c>
      <c r="B144" s="9" t="n">
        <v>113</v>
      </c>
      <c r="C144" s="4" t="inlineStr">
        <is>
          <t>Кран шаровой 11с67п Ду 15 Ру 25 цельносварной под приварку</t>
        </is>
      </c>
      <c r="D144" s="9" t="n">
        <v>62</v>
      </c>
      <c r="E144" s="4" t="inlineStr">
        <is>
          <t>шт</t>
        </is>
      </c>
      <c r="F144" s="9" t="n">
        <v>15</v>
      </c>
      <c r="G144" s="9" t="n">
        <v>2.5</v>
      </c>
      <c r="H144" s="4" t="inlineStr">
        <is>
          <t>сталь 20</t>
        </is>
      </c>
      <c r="I144" s="4" t="inlineStr">
        <is>
          <t xml:space="preserve">Ручное </t>
        </is>
      </c>
      <c r="J144" s="13" t="n"/>
      <c r="K144" s="6">
        <f>IF(J144="","",J144*(1-0.1))</f>
        <v/>
      </c>
      <c r="L144" s="9" t="n"/>
      <c r="M144" s="6">
        <f>IF(J144="","",K144*D144)</f>
        <v/>
      </c>
      <c r="N144" s="6">
        <f>IF(L144="","",L144*D144*55)</f>
        <v/>
      </c>
      <c r="O144" s="6">
        <f>IF(M144="","",M144+N(N144))</f>
        <v/>
      </c>
      <c r="P144" s="9" t="n"/>
      <c r="Q144" s="4" t="inlineStr"/>
      <c r="R144" s="4" t="inlineStr"/>
      <c r="S144" s="9" t="n"/>
    </row>
    <row r="145" ht="34" customHeight="1">
      <c r="A145" s="4" t="inlineStr">
        <is>
          <t>1.3</t>
        </is>
      </c>
      <c r="B145" s="9" t="n">
        <v>114</v>
      </c>
      <c r="C145" s="4" t="inlineStr">
        <is>
          <t>Кран шаровой 11с67п Ду 25 Ру 25 цельносварной под приварку</t>
        </is>
      </c>
      <c r="D145" s="9" t="n">
        <v>48</v>
      </c>
      <c r="E145" s="4" t="inlineStr">
        <is>
          <t>шт</t>
        </is>
      </c>
      <c r="F145" s="9" t="n">
        <v>25</v>
      </c>
      <c r="G145" s="9" t="n">
        <v>2.5</v>
      </c>
      <c r="H145" s="4" t="inlineStr">
        <is>
          <t>сталь 20</t>
        </is>
      </c>
      <c r="I145" s="4" t="inlineStr">
        <is>
          <t>Ручной</t>
        </is>
      </c>
      <c r="J145" s="13" t="n"/>
      <c r="K145" s="6">
        <f>IF(J145="","",J145*(1-0.1))</f>
        <v/>
      </c>
      <c r="L145" s="9" t="n"/>
      <c r="M145" s="6">
        <f>IF(J145="","",K145*D145)</f>
        <v/>
      </c>
      <c r="N145" s="6">
        <f>IF(L145="","",L145*D145*55)</f>
        <v/>
      </c>
      <c r="O145" s="6">
        <f>IF(M145="","",M145+N(N145))</f>
        <v/>
      </c>
      <c r="P145" s="9" t="n"/>
      <c r="Q145" s="4" t="inlineStr"/>
      <c r="R145" s="4" t="inlineStr"/>
      <c r="S145" s="9" t="n"/>
    </row>
    <row r="146" ht="34" customHeight="1">
      <c r="A146" s="4" t="inlineStr">
        <is>
          <t>1.3</t>
        </is>
      </c>
      <c r="B146" s="9" t="n">
        <v>115</v>
      </c>
      <c r="C146" s="4" t="inlineStr">
        <is>
          <t>Кран шаровой 11с67п Ду 32 Ру 25 цельносварной под приварку</t>
        </is>
      </c>
      <c r="D146" s="9" t="n">
        <v>40</v>
      </c>
      <c r="E146" s="4" t="inlineStr">
        <is>
          <t>шт</t>
        </is>
      </c>
      <c r="F146" s="9" t="n">
        <v>32</v>
      </c>
      <c r="G146" s="9" t="n">
        <v>2.5</v>
      </c>
      <c r="H146" s="4" t="inlineStr">
        <is>
          <t>сталь 20</t>
        </is>
      </c>
      <c r="I146" s="4" t="inlineStr">
        <is>
          <t>Ручной</t>
        </is>
      </c>
      <c r="J146" s="13" t="n"/>
      <c r="K146" s="6">
        <f>IF(J146="","",J146*(1-0.1))</f>
        <v/>
      </c>
      <c r="L146" s="9" t="n"/>
      <c r="M146" s="6">
        <f>IF(J146="","",K146*D146)</f>
        <v/>
      </c>
      <c r="N146" s="6">
        <f>IF(L146="","",L146*D146*55)</f>
        <v/>
      </c>
      <c r="O146" s="6">
        <f>IF(M146="","",M146+N(N146))</f>
        <v/>
      </c>
      <c r="P146" s="9" t="n"/>
      <c r="Q146" s="4" t="inlineStr"/>
      <c r="R146" s="4" t="inlineStr"/>
      <c r="S146" s="9" t="n"/>
    </row>
    <row r="147" ht="34" customHeight="1">
      <c r="A147" s="4" t="inlineStr">
        <is>
          <t>1.3</t>
        </is>
      </c>
      <c r="B147" s="9" t="n">
        <v>116</v>
      </c>
      <c r="C147" s="4" t="inlineStr">
        <is>
          <t>Кран шаровой 11с67п Ду 40 Ру 25 цельносварной под приварку</t>
        </is>
      </c>
      <c r="D147" s="9" t="n">
        <v>38</v>
      </c>
      <c r="E147" s="4" t="inlineStr">
        <is>
          <t>шт</t>
        </is>
      </c>
      <c r="F147" s="9" t="n">
        <v>40</v>
      </c>
      <c r="G147" s="9" t="n">
        <v>2.5</v>
      </c>
      <c r="H147" s="4" t="inlineStr">
        <is>
          <t>сталь 20</t>
        </is>
      </c>
      <c r="I147" s="4" t="inlineStr">
        <is>
          <t xml:space="preserve">Ручное </t>
        </is>
      </c>
      <c r="J147" s="13" t="n"/>
      <c r="K147" s="6">
        <f>IF(J147="","",J147*(1-0.1))</f>
        <v/>
      </c>
      <c r="L147" s="9" t="n"/>
      <c r="M147" s="6">
        <f>IF(J147="","",K147*D147)</f>
        <v/>
      </c>
      <c r="N147" s="6">
        <f>IF(L147="","",L147*D147*55)</f>
        <v/>
      </c>
      <c r="O147" s="6">
        <f>IF(M147="","",M147+N(N147))</f>
        <v/>
      </c>
      <c r="P147" s="9" t="n"/>
      <c r="Q147" s="4" t="inlineStr"/>
      <c r="R147" s="4" t="inlineStr"/>
      <c r="S147" s="9" t="n"/>
    </row>
    <row r="148" ht="34" customHeight="1">
      <c r="A148" s="4" t="inlineStr">
        <is>
          <t>1.3</t>
        </is>
      </c>
      <c r="B148" s="9" t="n">
        <v>117</v>
      </c>
      <c r="C148" s="4" t="inlineStr">
        <is>
          <t>Кран шаровой 11с67п Ду 50 Ру 25 цельносварной под приварку</t>
        </is>
      </c>
      <c r="D148" s="9" t="n">
        <v>44</v>
      </c>
      <c r="E148" s="4" t="inlineStr">
        <is>
          <t>шт</t>
        </is>
      </c>
      <c r="F148" s="9" t="n">
        <v>50</v>
      </c>
      <c r="G148" s="9" t="n">
        <v>2.5</v>
      </c>
      <c r="H148" s="4" t="inlineStr">
        <is>
          <t>сталь 20</t>
        </is>
      </c>
      <c r="I148" s="4" t="inlineStr">
        <is>
          <t>ручное</t>
        </is>
      </c>
      <c r="J148" s="13" t="n"/>
      <c r="K148" s="6">
        <f>IF(J148="","",J148*(1-0.1))</f>
        <v/>
      </c>
      <c r="L148" s="9" t="n"/>
      <c r="M148" s="6">
        <f>IF(J148="","",K148*D148)</f>
        <v/>
      </c>
      <c r="N148" s="6">
        <f>IF(L148="","",L148*D148*55)</f>
        <v/>
      </c>
      <c r="O148" s="6">
        <f>IF(M148="","",M148+N(N148))</f>
        <v/>
      </c>
      <c r="P148" s="9" t="n"/>
      <c r="Q148" s="4" t="inlineStr"/>
      <c r="R148" s="4" t="inlineStr"/>
      <c r="S148" s="9" t="n"/>
    </row>
    <row r="149" ht="34" customHeight="1">
      <c r="A149" s="4" t="inlineStr">
        <is>
          <t>1.3</t>
        </is>
      </c>
      <c r="B149" s="9" t="n">
        <v>118</v>
      </c>
      <c r="C149" s="4" t="inlineStr">
        <is>
          <t>Кран шаровой 11с67п Ду 80 Ру 25 цельносварной под приварку</t>
        </is>
      </c>
      <c r="D149" s="9" t="n">
        <v>26</v>
      </c>
      <c r="E149" s="4" t="inlineStr">
        <is>
          <t>шт</t>
        </is>
      </c>
      <c r="F149" s="9" t="n">
        <v>80</v>
      </c>
      <c r="G149" s="9" t="n">
        <v>2.5</v>
      </c>
      <c r="H149" s="4" t="inlineStr">
        <is>
          <t>сталь 20</t>
        </is>
      </c>
      <c r="I149" s="4" t="inlineStr">
        <is>
          <t>ручное</t>
        </is>
      </c>
      <c r="J149" s="13" t="n"/>
      <c r="K149" s="6">
        <f>IF(J149="","",J149*(1-0.1))</f>
        <v/>
      </c>
      <c r="L149" s="9" t="n"/>
      <c r="M149" s="6">
        <f>IF(J149="","",K149*D149)</f>
        <v/>
      </c>
      <c r="N149" s="6">
        <f>IF(L149="","",L149*D149*55)</f>
        <v/>
      </c>
      <c r="O149" s="6">
        <f>IF(M149="","",M149+N(N149))</f>
        <v/>
      </c>
      <c r="P149" s="9" t="n"/>
      <c r="Q149" s="4" t="inlineStr"/>
      <c r="R149" s="4" t="inlineStr"/>
      <c r="S149" s="9" t="n"/>
    </row>
    <row r="150" ht="34" customHeight="1">
      <c r="A150" s="4" t="inlineStr">
        <is>
          <t>1.3</t>
        </is>
      </c>
      <c r="B150" s="9" t="n">
        <v>119</v>
      </c>
      <c r="C150" s="4" t="inlineStr">
        <is>
          <t>Кран шаровой 11с67п Ду 100 Ру 25 цельносварной под приварку</t>
        </is>
      </c>
      <c r="D150" s="9" t="n">
        <v>24</v>
      </c>
      <c r="E150" s="4" t="inlineStr">
        <is>
          <t>шт</t>
        </is>
      </c>
      <c r="F150" s="9" t="n">
        <v>100</v>
      </c>
      <c r="G150" s="9" t="n">
        <v>2.5</v>
      </c>
      <c r="H150" s="4" t="inlineStr">
        <is>
          <t>сталь 20</t>
        </is>
      </c>
      <c r="I150" s="4" t="inlineStr">
        <is>
          <t>ручное</t>
        </is>
      </c>
      <c r="J150" s="13" t="n"/>
      <c r="K150" s="6">
        <f>IF(J150="","",J150*(1-0.1))</f>
        <v/>
      </c>
      <c r="L150" s="9" t="n"/>
      <c r="M150" s="6">
        <f>IF(J150="","",K150*D150)</f>
        <v/>
      </c>
      <c r="N150" s="6">
        <f>IF(L150="","",L150*D150*55)</f>
        <v/>
      </c>
      <c r="O150" s="6">
        <f>IF(M150="","",M150+N(N150))</f>
        <v/>
      </c>
      <c r="P150" s="9" t="n"/>
      <c r="Q150" s="4" t="inlineStr"/>
      <c r="R150" s="4" t="inlineStr"/>
      <c r="S150" s="9" t="n"/>
    </row>
    <row r="151" ht="34" customHeight="1">
      <c r="A151" s="4" t="inlineStr">
        <is>
          <t>1.3</t>
        </is>
      </c>
      <c r="B151" s="9" t="n">
        <v>120</v>
      </c>
      <c r="C151" s="4" t="inlineStr">
        <is>
          <t>Кран шаровой 11с67п Ду 150 Ру 25 цельносварной под приварку</t>
        </is>
      </c>
      <c r="D151" s="9" t="n">
        <v>22</v>
      </c>
      <c r="E151" s="4" t="inlineStr">
        <is>
          <t>шт</t>
        </is>
      </c>
      <c r="F151" s="9" t="n">
        <v>150</v>
      </c>
      <c r="G151" s="9" t="n">
        <v>2.5</v>
      </c>
      <c r="H151" s="4" t="inlineStr">
        <is>
          <t>сталь 20</t>
        </is>
      </c>
      <c r="I151" s="4" t="inlineStr">
        <is>
          <t>ручное</t>
        </is>
      </c>
      <c r="J151" s="13" t="n"/>
      <c r="K151" s="6">
        <f>IF(J151="","",J151*(1-0.1))</f>
        <v/>
      </c>
      <c r="L151" s="9" t="n"/>
      <c r="M151" s="6">
        <f>IF(J151="","",K151*D151)</f>
        <v/>
      </c>
      <c r="N151" s="6">
        <f>IF(L151="","",L151*D151*55)</f>
        <v/>
      </c>
      <c r="O151" s="6">
        <f>IF(M151="","",M151+N(N151))</f>
        <v/>
      </c>
      <c r="P151" s="9" t="n"/>
      <c r="Q151" s="4" t="inlineStr"/>
      <c r="R151" s="4" t="inlineStr"/>
      <c r="S151" s="9" t="n"/>
    </row>
    <row r="152" ht="34" customHeight="1">
      <c r="A152" s="4" t="inlineStr">
        <is>
          <t>1.3</t>
        </is>
      </c>
      <c r="B152" s="9" t="n">
        <v>121</v>
      </c>
      <c r="C152" s="4" t="inlineStr">
        <is>
          <t>Кран шаровой 11с67п Ду 200 Ру 25 цельносварной под приварку</t>
        </is>
      </c>
      <c r="D152" s="9" t="n">
        <v>10</v>
      </c>
      <c r="E152" s="4" t="inlineStr">
        <is>
          <t>шт</t>
        </is>
      </c>
      <c r="F152" s="9" t="n">
        <v>200</v>
      </c>
      <c r="G152" s="9" t="n">
        <v>2.5</v>
      </c>
      <c r="H152" s="4" t="inlineStr">
        <is>
          <t>сталь 20</t>
        </is>
      </c>
      <c r="I152" s="4" t="inlineStr">
        <is>
          <t>ручное</t>
        </is>
      </c>
      <c r="J152" s="13" t="n"/>
      <c r="K152" s="6">
        <f>IF(J152="","",J152*(1-0.1))</f>
        <v/>
      </c>
      <c r="L152" s="9" t="n"/>
      <c r="M152" s="6">
        <f>IF(J152="","",K152*D152)</f>
        <v/>
      </c>
      <c r="N152" s="6">
        <f>IF(L152="","",L152*D152*55)</f>
        <v/>
      </c>
      <c r="O152" s="6">
        <f>IF(M152="","",M152+N(N152))</f>
        <v/>
      </c>
      <c r="P152" s="9" t="n"/>
      <c r="Q152" s="4" t="inlineStr"/>
      <c r="R152" s="4" t="inlineStr"/>
      <c r="S152" s="9" t="n"/>
    </row>
    <row r="153" ht="34" customHeight="1">
      <c r="A153" s="4" t="inlineStr">
        <is>
          <t>1.3</t>
        </is>
      </c>
      <c r="B153" s="9" t="n">
        <v>122</v>
      </c>
      <c r="C153" s="4" t="inlineStr">
        <is>
          <t>Кран шаровой 11с67п Ду 15 Ру 25 полнопрох. с КОФ (КЗШС41нж)</t>
        </is>
      </c>
      <c r="D153" s="9" t="n">
        <v>3</v>
      </c>
      <c r="E153" s="4" t="inlineStr">
        <is>
          <t>шт</t>
        </is>
      </c>
      <c r="F153" s="9" t="n">
        <v>15</v>
      </c>
      <c r="G153" s="9" t="n">
        <v>2.5</v>
      </c>
      <c r="H153" s="4" t="inlineStr">
        <is>
          <t>сталь 20</t>
        </is>
      </c>
      <c r="I153" s="4" t="inlineStr">
        <is>
          <t xml:space="preserve">Ручное </t>
        </is>
      </c>
      <c r="J153" s="13" t="n"/>
      <c r="K153" s="6">
        <f>IF(J153="","",J153*(1-0.1))</f>
        <v/>
      </c>
      <c r="L153" s="9" t="n"/>
      <c r="M153" s="6">
        <f>IF(J153="","",K153*D153)</f>
        <v/>
      </c>
      <c r="N153" s="6">
        <f>IF(L153="","",L153*D153*55)</f>
        <v/>
      </c>
      <c r="O153" s="6">
        <f>IF(M153="","",M153+N(N153))</f>
        <v/>
      </c>
      <c r="P153" s="9" t="n"/>
      <c r="Q153" s="4" t="inlineStr"/>
      <c r="R153" s="4" t="inlineStr"/>
      <c r="S153" s="9" t="n"/>
    </row>
    <row r="154" ht="34" customHeight="1">
      <c r="A154" s="4" t="inlineStr">
        <is>
          <t>1.3</t>
        </is>
      </c>
      <c r="B154" s="9" t="n">
        <v>123</v>
      </c>
      <c r="C154" s="4" t="inlineStr">
        <is>
          <t>Кран шаровой 11с67п Ду 25 Ру 25 полнопрох. с КОФ (КЗШС41нж)</t>
        </is>
      </c>
      <c r="D154" s="9" t="n">
        <v>6</v>
      </c>
      <c r="E154" s="4" t="inlineStr">
        <is>
          <t>шт</t>
        </is>
      </c>
      <c r="F154" s="9" t="n">
        <v>25</v>
      </c>
      <c r="G154" s="9" t="n">
        <v>2.5</v>
      </c>
      <c r="H154" s="4" t="inlineStr">
        <is>
          <t>сталь 20</t>
        </is>
      </c>
      <c r="I154" s="4" t="inlineStr">
        <is>
          <t>Ручной</t>
        </is>
      </c>
      <c r="J154" s="13" t="n"/>
      <c r="K154" s="6">
        <f>IF(J154="","",J154*(1-0.1))</f>
        <v/>
      </c>
      <c r="L154" s="9" t="n"/>
      <c r="M154" s="6">
        <f>IF(J154="","",K154*D154)</f>
        <v/>
      </c>
      <c r="N154" s="6">
        <f>IF(L154="","",L154*D154*55)</f>
        <v/>
      </c>
      <c r="O154" s="6">
        <f>IF(M154="","",M154+N(N154))</f>
        <v/>
      </c>
      <c r="P154" s="9" t="n"/>
      <c r="Q154" s="4" t="inlineStr"/>
      <c r="R154" s="4" t="inlineStr"/>
      <c r="S154" s="9" t="n"/>
    </row>
    <row r="155" ht="34" customHeight="1">
      <c r="A155" s="4" t="inlineStr">
        <is>
          <t>1.3</t>
        </is>
      </c>
      <c r="B155" s="9" t="n">
        <v>124</v>
      </c>
      <c r="C155" s="4" t="inlineStr">
        <is>
          <t>Кран шаровой 11с67п Ду 32 Ру 25 полнопрох. с КОФ (КЗШС41нж)</t>
        </is>
      </c>
      <c r="D155" s="9" t="n">
        <v>10</v>
      </c>
      <c r="E155" s="4" t="inlineStr">
        <is>
          <t>шт</t>
        </is>
      </c>
      <c r="F155" s="9" t="n">
        <v>32</v>
      </c>
      <c r="G155" s="9" t="n">
        <v>2.5</v>
      </c>
      <c r="H155" s="4" t="inlineStr">
        <is>
          <t>сталь 20</t>
        </is>
      </c>
      <c r="I155" s="4" t="inlineStr">
        <is>
          <t>ручное</t>
        </is>
      </c>
      <c r="J155" s="13" t="n"/>
      <c r="K155" s="6">
        <f>IF(J155="","",J155*(1-0.1))</f>
        <v/>
      </c>
      <c r="L155" s="9" t="n"/>
      <c r="M155" s="6">
        <f>IF(J155="","",K155*D155)</f>
        <v/>
      </c>
      <c r="N155" s="6">
        <f>IF(L155="","",L155*D155*55)</f>
        <v/>
      </c>
      <c r="O155" s="6">
        <f>IF(M155="","",M155+N(N155))</f>
        <v/>
      </c>
      <c r="P155" s="9" t="n"/>
      <c r="Q155" s="4" t="inlineStr"/>
      <c r="R155" s="4" t="inlineStr"/>
      <c r="S155" s="9" t="n"/>
    </row>
    <row r="156" ht="34" customHeight="1">
      <c r="A156" s="4" t="inlineStr">
        <is>
          <t>1.3</t>
        </is>
      </c>
      <c r="B156" s="9" t="n">
        <v>125</v>
      </c>
      <c r="C156" s="4" t="inlineStr">
        <is>
          <t>Кран шаровой 11с67п Ду 50 Ру 25 полнопрох. с КОФ (КЗШС41нж)</t>
        </is>
      </c>
      <c r="D156" s="9" t="n">
        <v>6</v>
      </c>
      <c r="E156" s="4" t="inlineStr">
        <is>
          <t>шт</t>
        </is>
      </c>
      <c r="F156" s="9" t="n">
        <v>50</v>
      </c>
      <c r="G156" s="9" t="n">
        <v>2.5</v>
      </c>
      <c r="H156" s="4" t="inlineStr">
        <is>
          <t>сталь 20</t>
        </is>
      </c>
      <c r="I156" s="4" t="inlineStr">
        <is>
          <t xml:space="preserve">Ручное </t>
        </is>
      </c>
      <c r="J156" s="13" t="n"/>
      <c r="K156" s="6">
        <f>IF(J156="","",J156*(1-0.1))</f>
        <v/>
      </c>
      <c r="L156" s="9" t="n"/>
      <c r="M156" s="6">
        <f>IF(J156="","",K156*D156)</f>
        <v/>
      </c>
      <c r="N156" s="6">
        <f>IF(L156="","",L156*D156*55)</f>
        <v/>
      </c>
      <c r="O156" s="6">
        <f>IF(M156="","",M156+N(N156))</f>
        <v/>
      </c>
      <c r="P156" s="9" t="n"/>
      <c r="Q156" s="4" t="inlineStr"/>
      <c r="R156" s="4" t="inlineStr"/>
      <c r="S156" s="9" t="n"/>
    </row>
    <row r="157" ht="34" customHeight="1">
      <c r="A157" s="4" t="inlineStr">
        <is>
          <t>1.3</t>
        </is>
      </c>
      <c r="B157" s="9" t="n">
        <v>126</v>
      </c>
      <c r="C157" s="4" t="inlineStr">
        <is>
          <t>Кран шаровой 11с67п Ду 80 Ру 25 полнопрох. с КОФ (КЗШС41нж)</t>
        </is>
      </c>
      <c r="D157" s="9" t="n">
        <v>4</v>
      </c>
      <c r="E157" s="4" t="inlineStr">
        <is>
          <t>шт</t>
        </is>
      </c>
      <c r="F157" s="9" t="n">
        <v>80</v>
      </c>
      <c r="G157" s="9" t="n">
        <v>2.5</v>
      </c>
      <c r="H157" s="4" t="inlineStr">
        <is>
          <t>сталь 20</t>
        </is>
      </c>
      <c r="I157" s="4" t="inlineStr">
        <is>
          <t xml:space="preserve">Ручное </t>
        </is>
      </c>
      <c r="J157" s="13" t="n"/>
      <c r="K157" s="6">
        <f>IF(J157="","",J157*(1-0.1))</f>
        <v/>
      </c>
      <c r="L157" s="9" t="n"/>
      <c r="M157" s="6">
        <f>IF(J157="","",K157*D157)</f>
        <v/>
      </c>
      <c r="N157" s="6">
        <f>IF(L157="","",L157*D157*55)</f>
        <v/>
      </c>
      <c r="O157" s="6">
        <f>IF(M157="","",M157+N(N157))</f>
        <v/>
      </c>
      <c r="P157" s="9" t="n"/>
      <c r="Q157" s="4" t="inlineStr"/>
      <c r="R157" s="4" t="inlineStr"/>
      <c r="S157" s="9" t="n"/>
    </row>
    <row r="158" ht="34" customHeight="1">
      <c r="A158" s="4" t="inlineStr">
        <is>
          <t>1.3</t>
        </is>
      </c>
      <c r="B158" s="9" t="n">
        <v>127</v>
      </c>
      <c r="C158" s="4" t="inlineStr">
        <is>
          <t>Кран шаровой 11с67п Ду 100 Ру 16 ЦУФ.001 КШ укороченный полнопроходной фланцевый с рукояткой</t>
        </is>
      </c>
      <c r="D158" s="9" t="n">
        <v>91</v>
      </c>
      <c r="E158" s="4" t="inlineStr">
        <is>
          <t>шт</t>
        </is>
      </c>
      <c r="F158" s="9" t="n">
        <v>100</v>
      </c>
      <c r="G158" s="9" t="n">
        <v>1.6</v>
      </c>
      <c r="H158" s="4" t="inlineStr">
        <is>
          <t>сталь 20</t>
        </is>
      </c>
      <c r="I158" s="4" t="inlineStr">
        <is>
          <t>ручное</t>
        </is>
      </c>
      <c r="J158" s="13" t="n"/>
      <c r="K158" s="6">
        <f>IF(J158="","",J158*(1-0.1))</f>
        <v/>
      </c>
      <c r="L158" s="9" t="n"/>
      <c r="M158" s="6">
        <f>IF(J158="","",K158*D158)</f>
        <v/>
      </c>
      <c r="N158" s="6">
        <f>IF(L158="","",L158*D158*55)</f>
        <v/>
      </c>
      <c r="O158" s="6">
        <f>IF(M158="","",M158+N(N158))</f>
        <v/>
      </c>
      <c r="P158" s="9" t="n"/>
      <c r="Q158" s="4" t="inlineStr"/>
      <c r="R158" s="4" t="inlineStr"/>
      <c r="S158" s="9" t="n"/>
    </row>
    <row r="159" ht="34" customHeight="1">
      <c r="A159" s="4" t="inlineStr">
        <is>
          <t>1.3</t>
        </is>
      </c>
      <c r="B159" s="9" t="n">
        <v>128</v>
      </c>
      <c r="C159" s="4" t="inlineStr">
        <is>
          <t>Кран шаровой 11с67п Ду 125 Ру 16 ЦУФ.001 КШ укороченный полнопроходной фланцевый с рукояткой</t>
        </is>
      </c>
      <c r="D159" s="9" t="n">
        <v>10</v>
      </c>
      <c r="E159" s="4" t="inlineStr">
        <is>
          <t>шт</t>
        </is>
      </c>
      <c r="F159" s="9" t="n">
        <v>125</v>
      </c>
      <c r="G159" s="9" t="n">
        <v>1.6</v>
      </c>
      <c r="H159" s="4" t="inlineStr">
        <is>
          <t>сталь 20</t>
        </is>
      </c>
      <c r="I159" s="4" t="inlineStr">
        <is>
          <t>ручное</t>
        </is>
      </c>
      <c r="J159" s="13" t="n"/>
      <c r="K159" s="6">
        <f>IF(J159="","",J159*(1-0.1))</f>
        <v/>
      </c>
      <c r="L159" s="9" t="n"/>
      <c r="M159" s="6">
        <f>IF(J159="","",K159*D159)</f>
        <v/>
      </c>
      <c r="N159" s="6">
        <f>IF(L159="","",L159*D159*55)</f>
        <v/>
      </c>
      <c r="O159" s="6">
        <f>IF(M159="","",M159+N(N159))</f>
        <v/>
      </c>
      <c r="P159" s="9" t="n"/>
      <c r="Q159" s="4" t="inlineStr"/>
      <c r="R159" s="4" t="inlineStr"/>
      <c r="S159" s="9" t="n"/>
    </row>
    <row r="160" ht="34" customHeight="1">
      <c r="A160" s="4" t="inlineStr">
        <is>
          <t>1.3</t>
        </is>
      </c>
      <c r="B160" s="9" t="n">
        <v>129</v>
      </c>
      <c r="C160" s="4" t="inlineStr">
        <is>
          <t>Кран шаровой 11с67п Ду 150 Ру 16 ЦУФ.001 КШ укороченный полнопроходной фланцевый с рукояткой</t>
        </is>
      </c>
      <c r="D160" s="9" t="n">
        <v>59</v>
      </c>
      <c r="E160" s="4" t="inlineStr">
        <is>
          <t>шт</t>
        </is>
      </c>
      <c r="F160" s="9" t="n">
        <v>150</v>
      </c>
      <c r="G160" s="9" t="n">
        <v>1.6</v>
      </c>
      <c r="H160" s="4" t="inlineStr">
        <is>
          <t>сталь 20</t>
        </is>
      </c>
      <c r="I160" s="4" t="inlineStr">
        <is>
          <t>ручное</t>
        </is>
      </c>
      <c r="J160" s="13" t="n"/>
      <c r="K160" s="6">
        <f>IF(J160="","",J160*(1-0.1))</f>
        <v/>
      </c>
      <c r="L160" s="9" t="n"/>
      <c r="M160" s="6">
        <f>IF(J160="","",K160*D160)</f>
        <v/>
      </c>
      <c r="N160" s="6">
        <f>IF(L160="","",L160*D160*55)</f>
        <v/>
      </c>
      <c r="O160" s="6">
        <f>IF(M160="","",M160+N(N160))</f>
        <v/>
      </c>
      <c r="P160" s="9" t="n"/>
      <c r="Q160" s="4" t="inlineStr"/>
      <c r="R160" s="4" t="inlineStr"/>
      <c r="S160" s="9" t="n"/>
    </row>
    <row r="161" ht="34" customHeight="1">
      <c r="A161" s="4" t="inlineStr">
        <is>
          <t>1.3</t>
        </is>
      </c>
      <c r="B161" s="9" t="n">
        <v>130</v>
      </c>
      <c r="C161" s="4" t="inlineStr">
        <is>
          <t>Кран шаровой 11с67п Ду 200 Ру 16 ЦУФ.001 КШ укороченный полнопроходной фланцевый с рукояткой</t>
        </is>
      </c>
      <c r="D161" s="9" t="n">
        <v>45</v>
      </c>
      <c r="E161" s="4" t="inlineStr">
        <is>
          <t>шт</t>
        </is>
      </c>
      <c r="F161" s="9" t="n">
        <v>200</v>
      </c>
      <c r="G161" s="9" t="n">
        <v>1.6</v>
      </c>
      <c r="H161" s="4" t="inlineStr">
        <is>
          <t>сталь 20</t>
        </is>
      </c>
      <c r="I161" s="4" t="inlineStr">
        <is>
          <t>ручное</t>
        </is>
      </c>
      <c r="J161" s="13" t="n"/>
      <c r="K161" s="6">
        <f>IF(J161="","",J161*(1-0.1))</f>
        <v/>
      </c>
      <c r="L161" s="9" t="n"/>
      <c r="M161" s="6">
        <f>IF(J161="","",K161*D161)</f>
        <v/>
      </c>
      <c r="N161" s="6">
        <f>IF(L161="","",L161*D161*55)</f>
        <v/>
      </c>
      <c r="O161" s="6">
        <f>IF(M161="","",M161+N(N161))</f>
        <v/>
      </c>
      <c r="P161" s="9" t="n"/>
      <c r="Q161" s="4" t="inlineStr"/>
      <c r="R161" s="4" t="inlineStr"/>
      <c r="S161" s="9" t="n"/>
    </row>
    <row r="162" ht="34" customHeight="1">
      <c r="A162" s="4" t="inlineStr">
        <is>
          <t>1.3</t>
        </is>
      </c>
      <c r="B162" s="9" t="n">
        <v>131</v>
      </c>
      <c r="C162" s="4" t="inlineStr">
        <is>
          <t>Кран шаровой 11с67п Ду 40 Ру 16 ЦУФ.001 КШ укороченный полнопроходной фланцевый с рукояткой</t>
        </is>
      </c>
      <c r="D162" s="9" t="n">
        <v>8</v>
      </c>
      <c r="E162" s="4" t="inlineStr">
        <is>
          <t>шт</t>
        </is>
      </c>
      <c r="F162" s="9" t="n">
        <v>40</v>
      </c>
      <c r="G162" s="9" t="n">
        <v>1.6</v>
      </c>
      <c r="H162" s="4" t="inlineStr">
        <is>
          <t>сталь 20 ГОСТ 1050</t>
        </is>
      </c>
      <c r="I162" s="4" t="inlineStr">
        <is>
          <t xml:space="preserve">Ручное </t>
        </is>
      </c>
      <c r="J162" s="13" t="n"/>
      <c r="K162" s="6">
        <f>IF(J162="","",J162*(1-0.1))</f>
        <v/>
      </c>
      <c r="L162" s="9" t="n"/>
      <c r="M162" s="6">
        <f>IF(J162="","",K162*D162)</f>
        <v/>
      </c>
      <c r="N162" s="6">
        <f>IF(L162="","",L162*D162*55)</f>
        <v/>
      </c>
      <c r="O162" s="6">
        <f>IF(M162="","",M162+N(N162))</f>
        <v/>
      </c>
      <c r="P162" s="9" t="n"/>
      <c r="Q162" s="4" t="inlineStr"/>
      <c r="R162" s="4" t="inlineStr"/>
      <c r="S162" s="9" t="n"/>
    </row>
    <row r="163" ht="34" customHeight="1">
      <c r="A163" s="4" t="inlineStr">
        <is>
          <t>1.3</t>
        </is>
      </c>
      <c r="B163" s="9" t="n">
        <v>132</v>
      </c>
      <c r="C163" s="4" t="inlineStr">
        <is>
          <t>Кран шаровой 11с67п Ду 50 Ру 16 ЦУФ.001 КШ укороченный полнопроходной фланцевый с рукояткой</t>
        </is>
      </c>
      <c r="D163" s="9" t="n">
        <v>80</v>
      </c>
      <c r="E163" s="4" t="inlineStr">
        <is>
          <t>шт</t>
        </is>
      </c>
      <c r="F163" s="9" t="n">
        <v>50</v>
      </c>
      <c r="G163" s="9" t="n">
        <v>1.6</v>
      </c>
      <c r="H163" s="4" t="inlineStr">
        <is>
          <t>сталь 20 ГОСТ 1050</t>
        </is>
      </c>
      <c r="I163" s="4" t="inlineStr">
        <is>
          <t xml:space="preserve">Ручное </t>
        </is>
      </c>
      <c r="J163" s="13" t="n"/>
      <c r="K163" s="6">
        <f>IF(J163="","",J163*(1-0.1))</f>
        <v/>
      </c>
      <c r="L163" s="9" t="n"/>
      <c r="M163" s="6">
        <f>IF(J163="","",K163*D163)</f>
        <v/>
      </c>
      <c r="N163" s="6">
        <f>IF(L163="","",L163*D163*55)</f>
        <v/>
      </c>
      <c r="O163" s="6">
        <f>IF(M163="","",M163+N(N163))</f>
        <v/>
      </c>
      <c r="P163" s="9" t="n"/>
      <c r="Q163" s="4" t="inlineStr"/>
      <c r="R163" s="4" t="inlineStr"/>
      <c r="S163" s="9" t="n"/>
    </row>
    <row r="164" ht="34" customHeight="1">
      <c r="A164" s="4" t="inlineStr">
        <is>
          <t>1.3</t>
        </is>
      </c>
      <c r="B164" s="9" t="n">
        <v>133</v>
      </c>
      <c r="C164" s="4" t="inlineStr">
        <is>
          <t>Кран шаровой 11с67п Ду 65 Ру 16 ЦУФ.001 КШ укороченный полнопроходной фланцевый с рукояткой</t>
        </is>
      </c>
      <c r="D164" s="9" t="n">
        <v>6</v>
      </c>
      <c r="E164" s="4" t="inlineStr">
        <is>
          <t>шт</t>
        </is>
      </c>
      <c r="F164" s="9" t="n">
        <v>65</v>
      </c>
      <c r="G164" s="9" t="n">
        <v>1.6</v>
      </c>
      <c r="H164" s="4" t="inlineStr">
        <is>
          <t>сталь 20 ГОСТ 1050</t>
        </is>
      </c>
      <c r="I164" s="4" t="inlineStr">
        <is>
          <t xml:space="preserve">Ручное </t>
        </is>
      </c>
      <c r="J164" s="13" t="n"/>
      <c r="K164" s="6">
        <f>IF(J164="","",J164*(1-0.1))</f>
        <v/>
      </c>
      <c r="L164" s="9" t="n"/>
      <c r="M164" s="6">
        <f>IF(J164="","",K164*D164)</f>
        <v/>
      </c>
      <c r="N164" s="6">
        <f>IF(L164="","",L164*D164*55)</f>
        <v/>
      </c>
      <c r="O164" s="6">
        <f>IF(M164="","",M164+N(N164))</f>
        <v/>
      </c>
      <c r="P164" s="9" t="n"/>
      <c r="Q164" s="4" t="inlineStr"/>
      <c r="R164" s="4" t="inlineStr"/>
      <c r="S164" s="9" t="n"/>
    </row>
    <row r="165" ht="34" customHeight="1">
      <c r="A165" s="4" t="inlineStr">
        <is>
          <t>1.3</t>
        </is>
      </c>
      <c r="B165" s="9" t="n">
        <v>134</v>
      </c>
      <c r="C165" s="4" t="inlineStr">
        <is>
          <t>Кран шаровой 11с67п Ду 80 Ру 16 ЦУФ.001 КШ укороченный полнопроходной фланцевый с рукояткой</t>
        </is>
      </c>
      <c r="D165" s="9" t="n">
        <v>92</v>
      </c>
      <c r="E165" s="4" t="inlineStr">
        <is>
          <t>шт</t>
        </is>
      </c>
      <c r="F165" s="9" t="n">
        <v>80</v>
      </c>
      <c r="G165" s="9" t="n">
        <v>1.6</v>
      </c>
      <c r="H165" s="4" t="inlineStr">
        <is>
          <t>сталь 20 ГОСТ 1050</t>
        </is>
      </c>
      <c r="I165" s="4" t="inlineStr">
        <is>
          <t xml:space="preserve">Ручное </t>
        </is>
      </c>
      <c r="J165" s="13" t="n"/>
      <c r="K165" s="6">
        <f>IF(J165="","",J165*(1-0.1))</f>
        <v/>
      </c>
      <c r="L165" s="9" t="n"/>
      <c r="M165" s="6">
        <f>IF(J165="","",K165*D165)</f>
        <v/>
      </c>
      <c r="N165" s="6">
        <f>IF(L165="","",L165*D165*55)</f>
        <v/>
      </c>
      <c r="O165" s="6">
        <f>IF(M165="","",M165+N(N165))</f>
        <v/>
      </c>
      <c r="P165" s="9" t="n"/>
      <c r="Q165" s="4" t="inlineStr"/>
      <c r="R165" s="4" t="inlineStr"/>
      <c r="S165" s="9" t="n"/>
    </row>
    <row r="166" ht="34" customHeight="1">
      <c r="A166" s="4" t="inlineStr">
        <is>
          <t>1.3</t>
        </is>
      </c>
      <c r="B166" s="9" t="n">
        <v>135</v>
      </c>
      <c r="C166" s="4" t="inlineStr">
        <is>
          <t>Кран шаровой нержавеющий G1/2" муфтовый, полнопроходной, Ду 15 Ру 63</t>
        </is>
      </c>
      <c r="D166" s="9" t="n">
        <v>19</v>
      </c>
      <c r="E166" s="4" t="inlineStr">
        <is>
          <t>шт</t>
        </is>
      </c>
      <c r="F166" s="9" t="n">
        <v>15</v>
      </c>
      <c r="G166" s="9" t="n">
        <v>6.3</v>
      </c>
      <c r="H166" s="4" t="inlineStr">
        <is>
          <t>Нержавеющая сталь AISI/SS 316/08Х17Н13М2</t>
        </is>
      </c>
      <c r="I166" s="4" t="inlineStr">
        <is>
          <t xml:space="preserve">рычаг </t>
        </is>
      </c>
      <c r="J166" s="13" t="n"/>
      <c r="K166" s="6">
        <f>IF(J166="","",J166*(1-0.1))</f>
        <v/>
      </c>
      <c r="L166" s="9" t="n"/>
      <c r="M166" s="6">
        <f>IF(J166="","",K166*D166)</f>
        <v/>
      </c>
      <c r="N166" s="6">
        <f>IF(L166="","",L166*D166*55)</f>
        <v/>
      </c>
      <c r="O166" s="6">
        <f>IF(M166="","",M166+N(N166))</f>
        <v/>
      </c>
      <c r="P166" s="9" t="n"/>
      <c r="Q166" s="4" t="inlineStr"/>
      <c r="R166" s="4" t="inlineStr"/>
      <c r="S166" s="9" t="n"/>
    </row>
    <row r="167" ht="34" customHeight="1">
      <c r="A167" s="4" t="inlineStr">
        <is>
          <t>1.3</t>
        </is>
      </c>
      <c r="B167" s="9" t="n">
        <v>136</v>
      </c>
      <c r="C167" s="4" t="inlineStr">
        <is>
          <t>Кран шаровый LD неполнопроходной 11с67п КШЦФ Ду 200 Ру 16 с КОФ</t>
        </is>
      </c>
      <c r="D167" s="9" t="n">
        <v>14</v>
      </c>
      <c r="E167" s="4" t="inlineStr">
        <is>
          <t>шт</t>
        </is>
      </c>
      <c r="F167" s="9" t="n">
        <v>200</v>
      </c>
      <c r="G167" s="9" t="n">
        <v>1.6</v>
      </c>
      <c r="H167" s="4" t="inlineStr">
        <is>
          <t>Сталь 20</t>
        </is>
      </c>
      <c r="I167" s="4" t="inlineStr">
        <is>
          <t>рукоятка</t>
        </is>
      </c>
      <c r="J167" s="13" t="n"/>
      <c r="K167" s="6">
        <f>IF(J167="","",J167*(1-0.1))</f>
        <v/>
      </c>
      <c r="L167" s="9" t="n"/>
      <c r="M167" s="6">
        <f>IF(J167="","",K167*D167)</f>
        <v/>
      </c>
      <c r="N167" s="6">
        <f>IF(L167="","",L167*D167*55)</f>
        <v/>
      </c>
      <c r="O167" s="6">
        <f>IF(M167="","",M167+N(N167))</f>
        <v/>
      </c>
      <c r="P167" s="9" t="n"/>
      <c r="Q167" s="4" t="inlineStr"/>
      <c r="R167" s="4" t="inlineStr"/>
      <c r="S167" s="9" t="n"/>
    </row>
    <row r="168" ht="34" customHeight="1">
      <c r="A168" s="4" t="inlineStr">
        <is>
          <t>1.3</t>
        </is>
      </c>
      <c r="B168" s="9" t="n">
        <v>137</v>
      </c>
      <c r="C168" s="4" t="inlineStr">
        <is>
          <t>Кран шаровый LD полнопроходной 11с67п КШРФ Ду 100 Ру 16 с КОФ</t>
        </is>
      </c>
      <c r="D168" s="9" t="n">
        <v>29</v>
      </c>
      <c r="E168" s="4" t="inlineStr">
        <is>
          <t>шт</t>
        </is>
      </c>
      <c r="F168" s="9" t="n">
        <v>100</v>
      </c>
      <c r="G168" s="9" t="n">
        <v>1.6</v>
      </c>
      <c r="H168" s="4" t="inlineStr">
        <is>
          <t>Сталь 20</t>
        </is>
      </c>
      <c r="I168" s="4" t="inlineStr">
        <is>
          <t>рукоятка</t>
        </is>
      </c>
      <c r="J168" s="13" t="n"/>
      <c r="K168" s="6">
        <f>IF(J168="","",J168*(1-0.1))</f>
        <v/>
      </c>
      <c r="L168" s="9" t="n"/>
      <c r="M168" s="6">
        <f>IF(J168="","",K168*D168)</f>
        <v/>
      </c>
      <c r="N168" s="6">
        <f>IF(L168="","",L168*D168*55)</f>
        <v/>
      </c>
      <c r="O168" s="6">
        <f>IF(M168="","",M168+N(N168))</f>
        <v/>
      </c>
      <c r="P168" s="9" t="n"/>
      <c r="Q168" s="4" t="inlineStr"/>
      <c r="R168" s="4" t="inlineStr"/>
      <c r="S168" s="9" t="n"/>
    </row>
    <row r="169" ht="34" customHeight="1">
      <c r="A169" s="4" t="inlineStr">
        <is>
          <t>1.3</t>
        </is>
      </c>
      <c r="B169" s="9" t="n">
        <v>138</v>
      </c>
      <c r="C169" s="4" t="inlineStr">
        <is>
          <t>Кран шаровый LD полнопроходной 11с67п КШРФ Ду 125 Ру 16 с КОФ</t>
        </is>
      </c>
      <c r="D169" s="9" t="n">
        <v>6</v>
      </c>
      <c r="E169" s="4" t="inlineStr">
        <is>
          <t>шт</t>
        </is>
      </c>
      <c r="F169" s="9" t="n">
        <v>125</v>
      </c>
      <c r="G169" s="9" t="n">
        <v>1.6</v>
      </c>
      <c r="H169" s="4" t="inlineStr">
        <is>
          <t>Сталь 20</t>
        </is>
      </c>
      <c r="I169" s="4" t="inlineStr">
        <is>
          <t>рукоятка</t>
        </is>
      </c>
      <c r="J169" s="13" t="n"/>
      <c r="K169" s="6">
        <f>IF(J169="","",J169*(1-0.1))</f>
        <v/>
      </c>
      <c r="L169" s="9" t="n"/>
      <c r="M169" s="6">
        <f>IF(J169="","",K169*D169)</f>
        <v/>
      </c>
      <c r="N169" s="6">
        <f>IF(L169="","",L169*D169*55)</f>
        <v/>
      </c>
      <c r="O169" s="6">
        <f>IF(M169="","",M169+N(N169))</f>
        <v/>
      </c>
      <c r="P169" s="9" t="n"/>
      <c r="Q169" s="4" t="inlineStr"/>
      <c r="R169" s="4" t="inlineStr"/>
      <c r="S169" s="9" t="n"/>
    </row>
    <row r="170" ht="34" customHeight="1">
      <c r="A170" s="4" t="inlineStr">
        <is>
          <t>1.3</t>
        </is>
      </c>
      <c r="B170" s="9" t="n">
        <v>139</v>
      </c>
      <c r="C170" s="4" t="inlineStr">
        <is>
          <t>Кран шаровый LD полнопроходной 11с67п КШРФ Ду 150 Ру 16 с КОФ</t>
        </is>
      </c>
      <c r="D170" s="9" t="n">
        <v>31</v>
      </c>
      <c r="E170" s="4" t="inlineStr">
        <is>
          <t>шт</t>
        </is>
      </c>
      <c r="F170" s="9" t="n">
        <v>150</v>
      </c>
      <c r="G170" s="9" t="n">
        <v>1.6</v>
      </c>
      <c r="H170" s="4" t="inlineStr">
        <is>
          <t>Сталь 20</t>
        </is>
      </c>
      <c r="I170" s="4" t="inlineStr">
        <is>
          <t>рукоятка</t>
        </is>
      </c>
      <c r="J170" s="13" t="n"/>
      <c r="K170" s="6">
        <f>IF(J170="","",J170*(1-0.1))</f>
        <v/>
      </c>
      <c r="L170" s="9" t="n"/>
      <c r="M170" s="6">
        <f>IF(J170="","",K170*D170)</f>
        <v/>
      </c>
      <c r="N170" s="6">
        <f>IF(L170="","",L170*D170*55)</f>
        <v/>
      </c>
      <c r="O170" s="6">
        <f>IF(M170="","",M170+N(N170))</f>
        <v/>
      </c>
      <c r="P170" s="9" t="n"/>
      <c r="Q170" s="4" t="inlineStr"/>
      <c r="R170" s="4" t="inlineStr"/>
      <c r="S170" s="9" t="n"/>
    </row>
    <row r="171" ht="34" customHeight="1">
      <c r="A171" s="4" t="inlineStr">
        <is>
          <t>1.3</t>
        </is>
      </c>
      <c r="B171" s="9" t="n">
        <v>140</v>
      </c>
      <c r="C171" s="4" t="inlineStr">
        <is>
          <t>Кран шаровый LD полнопроходной 11с67п КШРФ Ду 25 Ру 16 с КОФ</t>
        </is>
      </c>
      <c r="D171" s="9" t="n">
        <v>8</v>
      </c>
      <c r="E171" s="4" t="inlineStr">
        <is>
          <t>шт</t>
        </is>
      </c>
      <c r="F171" s="9" t="n">
        <v>25</v>
      </c>
      <c r="G171" s="9" t="n">
        <v>1.6</v>
      </c>
      <c r="H171" s="4" t="inlineStr">
        <is>
          <t>Сталь 20</t>
        </is>
      </c>
      <c r="I171" s="4" t="inlineStr">
        <is>
          <t>рукоятка</t>
        </is>
      </c>
      <c r="J171" s="13" t="n"/>
      <c r="K171" s="6">
        <f>IF(J171="","",J171*(1-0.1))</f>
        <v/>
      </c>
      <c r="L171" s="9" t="n"/>
      <c r="M171" s="6">
        <f>IF(J171="","",K171*D171)</f>
        <v/>
      </c>
      <c r="N171" s="6">
        <f>IF(L171="","",L171*D171*55)</f>
        <v/>
      </c>
      <c r="O171" s="6">
        <f>IF(M171="","",M171+N(N171))</f>
        <v/>
      </c>
      <c r="P171" s="9" t="n"/>
      <c r="Q171" s="4" t="inlineStr"/>
      <c r="R171" s="4" t="inlineStr"/>
      <c r="S171" s="9" t="n"/>
    </row>
    <row r="172" ht="34" customHeight="1">
      <c r="A172" s="4" t="inlineStr">
        <is>
          <t>1.3</t>
        </is>
      </c>
      <c r="B172" s="9" t="n">
        <v>141</v>
      </c>
      <c r="C172" s="4" t="inlineStr">
        <is>
          <t>Кран шаровый LD полнопроходной 11с67п КШРФ Ду 32 Ру 16 с КОФ</t>
        </is>
      </c>
      <c r="D172" s="9" t="n">
        <v>8</v>
      </c>
      <c r="E172" s="4" t="inlineStr">
        <is>
          <t>шт</t>
        </is>
      </c>
      <c r="F172" s="9" t="n">
        <v>32</v>
      </c>
      <c r="G172" s="9" t="n">
        <v>1.6</v>
      </c>
      <c r="H172" s="4" t="inlineStr">
        <is>
          <t>Сталь 20</t>
        </is>
      </c>
      <c r="I172" s="4" t="inlineStr">
        <is>
          <t>рукоятка</t>
        </is>
      </c>
      <c r="J172" s="13" t="n"/>
      <c r="K172" s="6">
        <f>IF(J172="","",J172*(1-0.1))</f>
        <v/>
      </c>
      <c r="L172" s="9" t="n"/>
      <c r="M172" s="6">
        <f>IF(J172="","",K172*D172)</f>
        <v/>
      </c>
      <c r="N172" s="6">
        <f>IF(L172="","",L172*D172*55)</f>
        <v/>
      </c>
      <c r="O172" s="6">
        <f>IF(M172="","",M172+N(N172))</f>
        <v/>
      </c>
      <c r="P172" s="9" t="n"/>
      <c r="Q172" s="4" t="inlineStr"/>
      <c r="R172" s="4" t="inlineStr"/>
      <c r="S172" s="9" t="n"/>
    </row>
    <row r="173" ht="34" customHeight="1">
      <c r="A173" s="4" t="inlineStr">
        <is>
          <t>1.3</t>
        </is>
      </c>
      <c r="B173" s="9" t="n">
        <v>142</v>
      </c>
      <c r="C173" s="4" t="inlineStr">
        <is>
          <t>Кран шаровый LD полнопроходной 11с67п КШРФ Ду 40 Ру 16 с КОФ</t>
        </is>
      </c>
      <c r="D173" s="9" t="n">
        <v>8</v>
      </c>
      <c r="E173" s="4" t="inlineStr">
        <is>
          <t>шт</t>
        </is>
      </c>
      <c r="F173" s="9" t="n">
        <v>40</v>
      </c>
      <c r="G173" s="9" t="n">
        <v>1.6</v>
      </c>
      <c r="H173" s="4" t="inlineStr">
        <is>
          <t>Сталь 20</t>
        </is>
      </c>
      <c r="I173" s="4" t="inlineStr">
        <is>
          <t>рукоятка</t>
        </is>
      </c>
      <c r="J173" s="13" t="n"/>
      <c r="K173" s="6">
        <f>IF(J173="","",J173*(1-0.1))</f>
        <v/>
      </c>
      <c r="L173" s="9" t="n"/>
      <c r="M173" s="6">
        <f>IF(J173="","",K173*D173)</f>
        <v/>
      </c>
      <c r="N173" s="6">
        <f>IF(L173="","",L173*D173*55)</f>
        <v/>
      </c>
      <c r="O173" s="6">
        <f>IF(M173="","",M173+N(N173))</f>
        <v/>
      </c>
      <c r="P173" s="9" t="n"/>
      <c r="Q173" s="4" t="inlineStr"/>
      <c r="R173" s="4" t="inlineStr"/>
      <c r="S173" s="9" t="n"/>
    </row>
    <row r="174" ht="34" customHeight="1">
      <c r="A174" s="4" t="inlineStr">
        <is>
          <t>1.3</t>
        </is>
      </c>
      <c r="B174" s="9" t="n">
        <v>143</v>
      </c>
      <c r="C174" s="4" t="inlineStr">
        <is>
          <t>Кран шаровый LD полнопроходной 11с67п КШРФ Ду 50 Ру 16 с КОФ</t>
        </is>
      </c>
      <c r="D174" s="9" t="n">
        <v>112</v>
      </c>
      <c r="E174" s="4" t="inlineStr">
        <is>
          <t>шт</t>
        </is>
      </c>
      <c r="F174" s="9" t="n">
        <v>50</v>
      </c>
      <c r="G174" s="9" t="n">
        <v>1.6</v>
      </c>
      <c r="H174" s="4" t="inlineStr">
        <is>
          <t>Сталь 20</t>
        </is>
      </c>
      <c r="I174" s="4" t="inlineStr">
        <is>
          <t>рукоятка</t>
        </is>
      </c>
      <c r="J174" s="13" t="n"/>
      <c r="K174" s="6">
        <f>IF(J174="","",J174*(1-0.1))</f>
        <v/>
      </c>
      <c r="L174" s="9" t="n"/>
      <c r="M174" s="6">
        <f>IF(J174="","",K174*D174)</f>
        <v/>
      </c>
      <c r="N174" s="6">
        <f>IF(L174="","",L174*D174*55)</f>
        <v/>
      </c>
      <c r="O174" s="6">
        <f>IF(M174="","",M174+N(N174))</f>
        <v/>
      </c>
      <c r="P174" s="9" t="n"/>
      <c r="Q174" s="4" t="inlineStr"/>
      <c r="R174" s="4" t="inlineStr"/>
      <c r="S174" s="9" t="n"/>
    </row>
    <row r="175" ht="34" customHeight="1">
      <c r="A175" s="4" t="inlineStr">
        <is>
          <t>1.3</t>
        </is>
      </c>
      <c r="B175" s="9" t="n">
        <v>144</v>
      </c>
      <c r="C175" s="4" t="inlineStr">
        <is>
          <t>Кран шаровый LD полнопроходной 11с67п КШРФ Ду 65 Ру 16 с КОФ</t>
        </is>
      </c>
      <c r="D175" s="9" t="n">
        <v>6</v>
      </c>
      <c r="E175" s="4" t="inlineStr">
        <is>
          <t>шт</t>
        </is>
      </c>
      <c r="F175" s="9" t="n">
        <v>65</v>
      </c>
      <c r="G175" s="9" t="n">
        <v>1.6</v>
      </c>
      <c r="H175" s="4" t="inlineStr">
        <is>
          <t>Сталь 20</t>
        </is>
      </c>
      <c r="I175" s="4" t="inlineStr">
        <is>
          <t>рукоятка</t>
        </is>
      </c>
      <c r="J175" s="13" t="n"/>
      <c r="K175" s="6">
        <f>IF(J175="","",J175*(1-0.1))</f>
        <v/>
      </c>
      <c r="L175" s="9" t="n"/>
      <c r="M175" s="6">
        <f>IF(J175="","",K175*D175)</f>
        <v/>
      </c>
      <c r="N175" s="6">
        <f>IF(L175="","",L175*D175*55)</f>
        <v/>
      </c>
      <c r="O175" s="6">
        <f>IF(M175="","",M175+N(N175))</f>
        <v/>
      </c>
      <c r="P175" s="9" t="n"/>
      <c r="Q175" s="4" t="inlineStr"/>
      <c r="R175" s="4" t="inlineStr"/>
      <c r="S175" s="9" t="n"/>
    </row>
    <row r="176" ht="34" customHeight="1">
      <c r="A176" s="4" t="inlineStr">
        <is>
          <t>1.3</t>
        </is>
      </c>
      <c r="B176" s="9" t="n">
        <v>145</v>
      </c>
      <c r="C176" s="4" t="inlineStr">
        <is>
          <t>Кран шаровый LD полнопроходной 11с67п КШРФ Ду 80 Ру 16 МПа с КОФ</t>
        </is>
      </c>
      <c r="D176" s="9" t="n">
        <v>58</v>
      </c>
      <c r="E176" s="4" t="inlineStr">
        <is>
          <t>шт</t>
        </is>
      </c>
      <c r="F176" s="9" t="n">
        <v>80</v>
      </c>
      <c r="G176" s="9" t="n">
        <v>1.6</v>
      </c>
      <c r="H176" s="4" t="inlineStr">
        <is>
          <t>Сталь 20</t>
        </is>
      </c>
      <c r="I176" s="4" t="inlineStr">
        <is>
          <t>рукоятка</t>
        </is>
      </c>
      <c r="J176" s="13" t="n"/>
      <c r="K176" s="6">
        <f>IF(J176="","",J176*(1-0.1))</f>
        <v/>
      </c>
      <c r="L176" s="9" t="n"/>
      <c r="M176" s="6">
        <f>IF(J176="","",K176*D176)</f>
        <v/>
      </c>
      <c r="N176" s="6">
        <f>IF(L176="","",L176*D176*55)</f>
        <v/>
      </c>
      <c r="O176" s="6">
        <f>IF(M176="","",M176+N(N176))</f>
        <v/>
      </c>
      <c r="P176" s="9" t="n"/>
      <c r="Q176" s="4" t="inlineStr"/>
      <c r="R176" s="4" t="inlineStr"/>
      <c r="S176" s="9" t="n"/>
    </row>
    <row r="177" ht="34" customHeight="1">
      <c r="A177" s="4" t="inlineStr">
        <is>
          <t>1.3</t>
        </is>
      </c>
      <c r="B177" s="9" t="n">
        <v>146</v>
      </c>
      <c r="C177" s="4" t="inlineStr">
        <is>
          <t>Кран шаровый химический КШХ Ду 50 Ру 16</t>
        </is>
      </c>
      <c r="D177" s="9" t="n">
        <v>2</v>
      </c>
      <c r="E177" s="4" t="inlineStr">
        <is>
          <t>шт</t>
        </is>
      </c>
      <c r="F177" s="9" t="n">
        <v>50</v>
      </c>
      <c r="G177" s="9" t="n">
        <v>1.6</v>
      </c>
      <c r="H177" s="4" t="inlineStr">
        <is>
          <t>углеродистая сталь</t>
        </is>
      </c>
      <c r="I177" s="4" t="inlineStr">
        <is>
          <t>ручное</t>
        </is>
      </c>
      <c r="J177" s="13" t="n"/>
      <c r="K177" s="6">
        <f>IF(J177="","",J177*(1-0.1))</f>
        <v/>
      </c>
      <c r="L177" s="9" t="n"/>
      <c r="M177" s="6">
        <f>IF(J177="","",K177*D177)</f>
        <v/>
      </c>
      <c r="N177" s="6">
        <f>IF(L177="","",L177*D177*55)</f>
        <v/>
      </c>
      <c r="O177" s="6">
        <f>IF(M177="","",M177+N(N177))</f>
        <v/>
      </c>
      <c r="P177" s="9" t="n"/>
      <c r="Q177" s="4" t="inlineStr"/>
      <c r="R177" s="4" t="inlineStr"/>
      <c r="S177" s="9" t="n"/>
    </row>
    <row r="178" ht="34" customHeight="1">
      <c r="A178" s="4" t="inlineStr">
        <is>
          <t>1.3</t>
        </is>
      </c>
      <c r="B178" s="9" t="n">
        <v>147</v>
      </c>
      <c r="C178" s="4" t="inlineStr">
        <is>
          <t>Кран шаровый химический КШХ Ду 80 Ру 16</t>
        </is>
      </c>
      <c r="D178" s="9" t="n">
        <v>4</v>
      </c>
      <c r="E178" s="4" t="inlineStr">
        <is>
          <t>шт</t>
        </is>
      </c>
      <c r="F178" s="9" t="n">
        <v>80</v>
      </c>
      <c r="G178" s="9" t="n">
        <v>1.6</v>
      </c>
      <c r="H178" s="4" t="inlineStr">
        <is>
          <t>сталь 25Л</t>
        </is>
      </c>
      <c r="I178" s="4" t="inlineStr">
        <is>
          <t xml:space="preserve">рычаг </t>
        </is>
      </c>
      <c r="J178" s="13" t="n"/>
      <c r="K178" s="6">
        <f>IF(J178="","",J178*(1-0.1))</f>
        <v/>
      </c>
      <c r="L178" s="9" t="n"/>
      <c r="M178" s="6">
        <f>IF(J178="","",K178*D178)</f>
        <v/>
      </c>
      <c r="N178" s="6">
        <f>IF(L178="","",L178*D178*55)</f>
        <v/>
      </c>
      <c r="O178" s="6">
        <f>IF(M178="","",M178+N(N178))</f>
        <v/>
      </c>
      <c r="P178" s="9" t="n"/>
      <c r="Q178" s="4" t="inlineStr"/>
      <c r="R178" s="4" t="inlineStr"/>
      <c r="S178" s="9" t="n"/>
    </row>
    <row r="179" ht="34" customHeight="1">
      <c r="A179" s="4" t="inlineStr">
        <is>
          <t>1.3</t>
        </is>
      </c>
      <c r="B179" s="9" t="n">
        <v>148</v>
      </c>
      <c r="C179" s="4" t="inlineStr">
        <is>
          <t>Кран шаровый разборный полнопроходной 11с67п Ду 250 Ру 16 с КОФ</t>
        </is>
      </c>
      <c r="D179" s="9" t="n">
        <v>6</v>
      </c>
      <c r="E179" s="4" t="inlineStr">
        <is>
          <t>шт</t>
        </is>
      </c>
      <c r="F179" s="9" t="n">
        <v>250</v>
      </c>
      <c r="G179" s="9" t="n">
        <v>1.6</v>
      </c>
      <c r="H179" s="4" t="inlineStr">
        <is>
          <t>Сталь 20</t>
        </is>
      </c>
      <c r="I179" s="4" t="inlineStr">
        <is>
          <t>рукоятка</t>
        </is>
      </c>
      <c r="J179" s="13" t="n"/>
      <c r="K179" s="6">
        <f>IF(J179="","",J179*(1-0.1))</f>
        <v/>
      </c>
      <c r="L179" s="9" t="n"/>
      <c r="M179" s="6">
        <f>IF(J179="","",K179*D179)</f>
        <v/>
      </c>
      <c r="N179" s="6">
        <f>IF(L179="","",L179*D179*55)</f>
        <v/>
      </c>
      <c r="O179" s="6">
        <f>IF(M179="","",M179+N(N179))</f>
        <v/>
      </c>
      <c r="P179" s="9" t="n"/>
      <c r="Q179" s="4" t="inlineStr"/>
      <c r="R179" s="4" t="inlineStr"/>
      <c r="S179" s="9" t="n"/>
    </row>
    <row r="180" ht="34" customHeight="1">
      <c r="A180" s="4" t="inlineStr">
        <is>
          <t>1.3</t>
        </is>
      </c>
      <c r="B180" s="9" t="n">
        <v>149</v>
      </c>
      <c r="C180" s="4" t="inlineStr">
        <is>
          <t>Кран шаровый цельносварной неполнопроходной 11с67п Ду 250/200 Ру 16 с КОФ</t>
        </is>
      </c>
      <c r="D180" s="9" t="n">
        <v>2</v>
      </c>
      <c r="E180" s="4" t="inlineStr">
        <is>
          <t>шт</t>
        </is>
      </c>
      <c r="F180" s="9" t="n">
        <v>250</v>
      </c>
      <c r="G180" s="9" t="n">
        <v>1.6</v>
      </c>
      <c r="H180" s="4" t="inlineStr">
        <is>
          <t>Сталь 20</t>
        </is>
      </c>
      <c r="I180" s="4" t="inlineStr">
        <is>
          <t>рукоятка</t>
        </is>
      </c>
      <c r="J180" s="13" t="n"/>
      <c r="K180" s="6">
        <f>IF(J180="","",J180*(1-0.1))</f>
        <v/>
      </c>
      <c r="L180" s="9" t="n"/>
      <c r="M180" s="6">
        <f>IF(J180="","",K180*D180)</f>
        <v/>
      </c>
      <c r="N180" s="6">
        <f>IF(L180="","",L180*D180*55)</f>
        <v/>
      </c>
      <c r="O180" s="6">
        <f>IF(M180="","",M180+N(N180))</f>
        <v/>
      </c>
      <c r="P180" s="9" t="n"/>
      <c r="Q180" s="4" t="inlineStr"/>
      <c r="R180" s="4" t="inlineStr"/>
      <c r="S180" s="9" t="n"/>
    </row>
    <row r="181" ht="34" customHeight="1">
      <c r="A181" s="4" t="inlineStr">
        <is>
          <t>1.3</t>
        </is>
      </c>
      <c r="B181" s="9" t="n">
        <v>150</v>
      </c>
      <c r="C181" s="4" t="inlineStr">
        <is>
          <t>Затвор 32нж910р Ду 1000 Ру 10 с эл.приводом</t>
        </is>
      </c>
      <c r="D181" s="9" t="n">
        <v>1</v>
      </c>
      <c r="E181" s="4" t="inlineStr">
        <is>
          <t>шт</t>
        </is>
      </c>
      <c r="F181" s="9" t="n">
        <v>1000</v>
      </c>
      <c r="G181" s="9" t="n">
        <v>1</v>
      </c>
      <c r="H181" s="4" t="inlineStr">
        <is>
          <t>коррозионно стойкая сталь 08Х18Н10Т</t>
        </is>
      </c>
      <c r="I181" s="4" t="inlineStr">
        <is>
          <t>ГЗ-В 600 ГРЛЕ.421322.001ТУ</t>
        </is>
      </c>
      <c r="J181" s="13" t="n"/>
      <c r="K181" s="6">
        <f>IF(J181="","",J181*(1-0.1))</f>
        <v/>
      </c>
      <c r="L181" s="9" t="n"/>
      <c r="M181" s="6">
        <f>IF(J181="","",K181*D181)</f>
        <v/>
      </c>
      <c r="N181" s="6">
        <f>IF(L181="","",L181*D181*55)</f>
        <v/>
      </c>
      <c r="O181" s="6">
        <f>IF(M181="","",M181+N(N181))</f>
        <v/>
      </c>
      <c r="P181" s="9" t="n"/>
      <c r="Q181" s="4" t="inlineStr"/>
      <c r="R181" s="4" t="inlineStr"/>
      <c r="S181" s="9" t="n"/>
    </row>
    <row r="182" ht="34" customHeight="1">
      <c r="A182" s="4" t="inlineStr">
        <is>
          <t>1.3</t>
        </is>
      </c>
      <c r="B182" s="9" t="n">
        <v>151</v>
      </c>
      <c r="C182" s="4" t="inlineStr">
        <is>
          <t>Затвор дисковый поворотный ЗДП-150-6,3-1-М-А-УХЛ1 (не под электропривод) Ду 150 Ру 6,3</t>
        </is>
      </c>
      <c r="D182" s="9" t="n">
        <v>3</v>
      </c>
      <c r="E182" s="4" t="inlineStr">
        <is>
          <t>шт</t>
        </is>
      </c>
      <c r="F182" s="9" t="n">
        <v>150</v>
      </c>
      <c r="G182" s="9" t="n">
        <v>0.63</v>
      </c>
      <c r="H182" s="4" t="inlineStr">
        <is>
          <t>алюминий</t>
        </is>
      </c>
      <c r="I182" s="4" t="inlineStr">
        <is>
          <t>Ручной</t>
        </is>
      </c>
      <c r="J182" s="13" t="n"/>
      <c r="K182" s="6">
        <f>IF(J182="","",J182*(1-0.1))</f>
        <v/>
      </c>
      <c r="L182" s="9" t="n"/>
      <c r="M182" s="6">
        <f>IF(J182="","",K182*D182)</f>
        <v/>
      </c>
      <c r="N182" s="6">
        <f>IF(L182="","",L182*D182*55)</f>
        <v/>
      </c>
      <c r="O182" s="6">
        <f>IF(M182="","",M182+N(N182))</f>
        <v/>
      </c>
      <c r="P182" s="9" t="n"/>
      <c r="Q182" s="4" t="inlineStr"/>
      <c r="R182" s="4" t="inlineStr"/>
      <c r="S182" s="9" t="n"/>
    </row>
    <row r="183" ht="34" customHeight="1">
      <c r="A183" s="4" t="inlineStr">
        <is>
          <t>1.3</t>
        </is>
      </c>
      <c r="B183" s="9" t="n">
        <v>152</v>
      </c>
      <c r="C183" s="4" t="inlineStr">
        <is>
          <t>Затвор дисковый поворотный ЗДП-50-6,3-1-М-А-УХЛ1 Ду 50 Ру 6,3</t>
        </is>
      </c>
      <c r="D183" s="9" t="n">
        <v>10</v>
      </c>
      <c r="E183" s="4" t="inlineStr">
        <is>
          <t>шт</t>
        </is>
      </c>
      <c r="F183" s="9" t="n">
        <v>50</v>
      </c>
      <c r="G183" s="9" t="n">
        <v>0.63</v>
      </c>
      <c r="H183" s="4" t="inlineStr">
        <is>
          <t>алюминий</t>
        </is>
      </c>
      <c r="I183" s="4" t="inlineStr">
        <is>
          <t>Ручной</t>
        </is>
      </c>
      <c r="J183" s="13" t="n"/>
      <c r="K183" s="6">
        <f>IF(J183="","",J183*(1-0.1))</f>
        <v/>
      </c>
      <c r="L183" s="9" t="n"/>
      <c r="M183" s="6">
        <f>IF(J183="","",K183*D183)</f>
        <v/>
      </c>
      <c r="N183" s="6">
        <f>IF(L183="","",L183*D183*55)</f>
        <v/>
      </c>
      <c r="O183" s="6">
        <f>IF(M183="","",M183+N(N183))</f>
        <v/>
      </c>
      <c r="P183" s="9" t="n"/>
      <c r="Q183" s="4" t="inlineStr"/>
      <c r="R183" s="4" t="inlineStr"/>
      <c r="S183" s="9" t="n"/>
    </row>
    <row r="184" ht="34" customHeight="1">
      <c r="A184" s="4" t="inlineStr">
        <is>
          <t>1.3</t>
        </is>
      </c>
      <c r="B184" s="9" t="n">
        <v>153</v>
      </c>
      <c r="C184" s="4" t="inlineStr">
        <is>
          <t>Затвор дисковый поворотный ЗДП-80-УХЛ1 Ду 80 Ру 6,3</t>
        </is>
      </c>
      <c r="D184" s="9" t="n">
        <v>3</v>
      </c>
      <c r="E184" s="4" t="inlineStr">
        <is>
          <t>шт</t>
        </is>
      </c>
      <c r="F184" s="9" t="n">
        <v>80</v>
      </c>
      <c r="G184" s="9" t="n">
        <v>0.63</v>
      </c>
      <c r="H184" s="4" t="inlineStr">
        <is>
          <t>алюминий</t>
        </is>
      </c>
      <c r="I184" s="4" t="inlineStr">
        <is>
          <t>Ручной</t>
        </is>
      </c>
      <c r="J184" s="13" t="n"/>
      <c r="K184" s="6">
        <f>IF(J184="","",J184*(1-0.1))</f>
        <v/>
      </c>
      <c r="L184" s="9" t="n"/>
      <c r="M184" s="6">
        <f>IF(J184="","",K184*D184)</f>
        <v/>
      </c>
      <c r="N184" s="6">
        <f>IF(L184="","",L184*D184*55)</f>
        <v/>
      </c>
      <c r="O184" s="6">
        <f>IF(M184="","",M184+N(N184))</f>
        <v/>
      </c>
      <c r="P184" s="9" t="n"/>
      <c r="Q184" s="4" t="inlineStr"/>
      <c r="R184" s="4" t="inlineStr"/>
      <c r="S184" s="9" t="n"/>
    </row>
    <row r="185" ht="34" customHeight="1">
      <c r="A185" s="4" t="inlineStr">
        <is>
          <t>1.3</t>
        </is>
      </c>
      <c r="B185" s="9" t="n">
        <v>154</v>
      </c>
      <c r="C185" s="4" t="inlineStr">
        <is>
          <t>Затвор дисковый поворотный(ГРЭНВЭЛ) Тип /серия FL(w)-3-MR-E Ду 100 Ру 16</t>
        </is>
      </c>
      <c r="D185" s="9" t="n">
        <v>4</v>
      </c>
      <c r="E185" s="4" t="inlineStr">
        <is>
          <t>шт</t>
        </is>
      </c>
      <c r="F185" s="9" t="n">
        <v>100</v>
      </c>
      <c r="G185" s="9" t="n">
        <v>1.6</v>
      </c>
      <c r="H185" s="4" t="inlineStr">
        <is>
          <t>Серый чугун EN-GJL-250</t>
        </is>
      </c>
      <c r="I185" s="4" t="inlineStr">
        <is>
          <t>Ручной</t>
        </is>
      </c>
      <c r="J185" s="13" t="n"/>
      <c r="K185" s="6">
        <f>IF(J185="","",J185*(1-0.1))</f>
        <v/>
      </c>
      <c r="L185" s="9" t="n"/>
      <c r="M185" s="6">
        <f>IF(J185="","",K185*D185)</f>
        <v/>
      </c>
      <c r="N185" s="6">
        <f>IF(L185="","",L185*D185*55)</f>
        <v/>
      </c>
      <c r="O185" s="6">
        <f>IF(M185="","",M185+N(N185))</f>
        <v/>
      </c>
      <c r="P185" s="9" t="n"/>
      <c r="Q185" s="4" t="inlineStr"/>
      <c r="R185" s="4" t="inlineStr"/>
      <c r="S185" s="9" t="n"/>
    </row>
    <row r="186" ht="34" customHeight="1">
      <c r="A186" s="4" t="inlineStr">
        <is>
          <t>1.3</t>
        </is>
      </c>
      <c r="B186" s="9" t="n">
        <v>155</v>
      </c>
      <c r="C186" s="4" t="inlineStr">
        <is>
          <t>Затвор дисковый поворотный(ГРЭНВЭЛ) ЗП ТЛ Ду 100 Ру 16</t>
        </is>
      </c>
      <c r="D186" s="9" t="n">
        <v>16</v>
      </c>
      <c r="E186" s="4" t="inlineStr">
        <is>
          <t>шт</t>
        </is>
      </c>
      <c r="F186" s="9" t="n">
        <v>100</v>
      </c>
      <c r="G186" s="9" t="n">
        <v>1.6</v>
      </c>
      <c r="H186" s="4" t="inlineStr">
        <is>
          <t>Корпус: - Серый чугун GG25 • Высокопрочн</t>
        </is>
      </c>
      <c r="I186" s="4" t="inlineStr">
        <is>
          <t>ручной (рукоятка)</t>
        </is>
      </c>
      <c r="J186" s="13" t="n"/>
      <c r="K186" s="6">
        <f>IF(J186="","",J186*(1-0.1))</f>
        <v/>
      </c>
      <c r="L186" s="9" t="n"/>
      <c r="M186" s="6">
        <f>IF(J186="","",K186*D186)</f>
        <v/>
      </c>
      <c r="N186" s="6">
        <f>IF(L186="","",L186*D186*55)</f>
        <v/>
      </c>
      <c r="O186" s="6">
        <f>IF(M186="","",M186+N(N186))</f>
        <v/>
      </c>
      <c r="P186" s="9" t="n"/>
      <c r="Q186" s="4" t="inlineStr"/>
      <c r="R186" s="4" t="inlineStr"/>
      <c r="S186" s="9" t="n"/>
    </row>
    <row r="187" ht="34" customHeight="1">
      <c r="A187" s="4" t="inlineStr">
        <is>
          <t>1.3</t>
        </is>
      </c>
      <c r="B187" s="9" t="n">
        <v>156</v>
      </c>
      <c r="C187" s="4" t="inlineStr">
        <is>
          <t>Затвор дисковый поворотный(ГРЭНВЭЛ) ЗП ТЛ Ду 150 Ру 16</t>
        </is>
      </c>
      <c r="D187" s="9" t="n">
        <v>20</v>
      </c>
      <c r="E187" s="4" t="inlineStr">
        <is>
          <t>шт</t>
        </is>
      </c>
      <c r="F187" s="9" t="n">
        <v>150</v>
      </c>
      <c r="G187" s="9" t="n">
        <v>1.6</v>
      </c>
      <c r="H187" s="4" t="inlineStr">
        <is>
          <t>Корпус: - Серый чугун GG25 • Высокопрочн</t>
        </is>
      </c>
      <c r="I187" s="4" t="inlineStr">
        <is>
          <t>ручной (рукоятка)</t>
        </is>
      </c>
      <c r="J187" s="13" t="n"/>
      <c r="K187" s="6">
        <f>IF(J187="","",J187*(1-0.1))</f>
        <v/>
      </c>
      <c r="L187" s="9" t="n"/>
      <c r="M187" s="6">
        <f>IF(J187="","",K187*D187)</f>
        <v/>
      </c>
      <c r="N187" s="6">
        <f>IF(L187="","",L187*D187*55)</f>
        <v/>
      </c>
      <c r="O187" s="6">
        <f>IF(M187="","",M187+N(N187))</f>
        <v/>
      </c>
      <c r="P187" s="9" t="n"/>
      <c r="Q187" s="4" t="inlineStr"/>
      <c r="R187" s="4" t="inlineStr"/>
      <c r="S187" s="9" t="n"/>
    </row>
    <row r="188" ht="34" customHeight="1">
      <c r="A188" s="4" t="inlineStr">
        <is>
          <t>1.3</t>
        </is>
      </c>
      <c r="B188" s="9" t="n">
        <v>157</v>
      </c>
      <c r="C188" s="4" t="inlineStr">
        <is>
          <t>Затвор дисковый поворотный(ГРЭНВЭЛ) ЗП ТЛ Ду 200 Ру 16</t>
        </is>
      </c>
      <c r="D188" s="9" t="n">
        <v>16</v>
      </c>
      <c r="E188" s="4" t="inlineStr">
        <is>
          <t>шт</t>
        </is>
      </c>
      <c r="F188" s="9" t="n">
        <v>200</v>
      </c>
      <c r="G188" s="9" t="n">
        <v>1.6</v>
      </c>
      <c r="H188" s="4" t="inlineStr">
        <is>
          <t>Корпус: - Серый чугун GG25 • Высокопрочн</t>
        </is>
      </c>
      <c r="I188" s="4" t="inlineStr">
        <is>
          <t>ручной (рукоятка)</t>
        </is>
      </c>
      <c r="J188" s="13" t="n"/>
      <c r="K188" s="6">
        <f>IF(J188="","",J188*(1-0.1))</f>
        <v/>
      </c>
      <c r="L188" s="9" t="n"/>
      <c r="M188" s="6">
        <f>IF(J188="","",K188*D188)</f>
        <v/>
      </c>
      <c r="N188" s="6">
        <f>IF(L188="","",L188*D188*55)</f>
        <v/>
      </c>
      <c r="O188" s="6">
        <f>IF(M188="","",M188+N(N188))</f>
        <v/>
      </c>
      <c r="P188" s="9" t="n"/>
      <c r="Q188" s="4" t="inlineStr"/>
      <c r="R188" s="4" t="inlineStr"/>
      <c r="S188" s="9" t="n"/>
    </row>
    <row r="189" ht="34" customHeight="1">
      <c r="A189" s="4" t="inlineStr">
        <is>
          <t>1.3</t>
        </is>
      </c>
      <c r="B189" s="9" t="n">
        <v>158</v>
      </c>
      <c r="C189" s="4" t="inlineStr">
        <is>
          <t>Затвор дисковый поворотный(ГРЭНВЭЛ) ЗП ТЛ Ду 80 Ру 16</t>
        </is>
      </c>
      <c r="D189" s="9" t="n">
        <v>9</v>
      </c>
      <c r="E189" s="4" t="inlineStr">
        <is>
          <t>шт</t>
        </is>
      </c>
      <c r="F189" s="9" t="n">
        <v>80</v>
      </c>
      <c r="G189" s="9" t="n">
        <v>1.6</v>
      </c>
      <c r="H189" s="4" t="inlineStr">
        <is>
          <t>Корпус: - Серый чугун GG25 • Высокопрочн</t>
        </is>
      </c>
      <c r="I189" s="4" t="inlineStr">
        <is>
          <t>ручной (рукоятка)</t>
        </is>
      </c>
      <c r="J189" s="13" t="n"/>
      <c r="K189" s="6">
        <f>IF(J189="","",J189*(1-0.1))</f>
        <v/>
      </c>
      <c r="L189" s="9" t="n"/>
      <c r="M189" s="6">
        <f>IF(J189="","",K189*D189)</f>
        <v/>
      </c>
      <c r="N189" s="6">
        <f>IF(L189="","",L189*D189*55)</f>
        <v/>
      </c>
      <c r="O189" s="6">
        <f>IF(M189="","",M189+N(N189))</f>
        <v/>
      </c>
      <c r="P189" s="9" t="n"/>
      <c r="Q189" s="4" t="inlineStr"/>
      <c r="R189" s="4" t="inlineStr"/>
      <c r="S189" s="9" t="n"/>
    </row>
    <row r="190" ht="34" customHeight="1">
      <c r="A190" s="4" t="inlineStr">
        <is>
          <t>1.3</t>
        </is>
      </c>
      <c r="B190" s="9" t="n">
        <v>159</v>
      </c>
      <c r="C190" s="4" t="inlineStr">
        <is>
          <t>Затвор дисковый поворотный(ГРЭНВЭЛ) Тип /серия FL(w)-3-MR-E Ду 150 Ру 16</t>
        </is>
      </c>
      <c r="D190" s="9" t="n">
        <v>25</v>
      </c>
      <c r="E190" s="4" t="inlineStr">
        <is>
          <t>шт</t>
        </is>
      </c>
      <c r="F190" s="9" t="n">
        <v>150</v>
      </c>
      <c r="G190" s="9" t="n">
        <v>1.6</v>
      </c>
      <c r="H190" s="4" t="inlineStr">
        <is>
          <t>Серый чугун EN-GJL-250</t>
        </is>
      </c>
      <c r="I190" s="4" t="inlineStr">
        <is>
          <t>Ручной</t>
        </is>
      </c>
      <c r="J190" s="13" t="n"/>
      <c r="K190" s="6">
        <f>IF(J190="","",J190*(1-0.1))</f>
        <v/>
      </c>
      <c r="L190" s="9" t="n"/>
      <c r="M190" s="6">
        <f>IF(J190="","",K190*D190)</f>
        <v/>
      </c>
      <c r="N190" s="6">
        <f>IF(L190="","",L190*D190*55)</f>
        <v/>
      </c>
      <c r="O190" s="6">
        <f>IF(M190="","",M190+N(N190))</f>
        <v/>
      </c>
      <c r="P190" s="9" t="n"/>
      <c r="Q190" s="4" t="inlineStr"/>
      <c r="R190" s="4" t="inlineStr"/>
      <c r="S190" s="9" t="n"/>
    </row>
    <row r="191" ht="34" customHeight="1">
      <c r="A191" s="4" t="inlineStr">
        <is>
          <t>1.3</t>
        </is>
      </c>
      <c r="B191" s="9" t="n">
        <v>160</v>
      </c>
      <c r="C191" s="4" t="inlineStr">
        <is>
          <t>Затвор дисковый поворотный(ГРЭНВЭЛ) Тип /серия FL(w)-3-MR-E Ду 200 Ру 16</t>
        </is>
      </c>
      <c r="D191" s="9" t="n">
        <v>6</v>
      </c>
      <c r="E191" s="4" t="inlineStr">
        <is>
          <t>шт</t>
        </is>
      </c>
      <c r="F191" s="9" t="n">
        <v>200</v>
      </c>
      <c r="G191" s="9" t="n">
        <v>1.6</v>
      </c>
      <c r="H191" s="4" t="inlineStr">
        <is>
          <t>Серый чугун EN-GJL-250</t>
        </is>
      </c>
      <c r="I191" s="4" t="inlineStr">
        <is>
          <t>Ручной</t>
        </is>
      </c>
      <c r="J191" s="13" t="n"/>
      <c r="K191" s="6">
        <f>IF(J191="","",J191*(1-0.1))</f>
        <v/>
      </c>
      <c r="L191" s="9" t="n"/>
      <c r="M191" s="6">
        <f>IF(J191="","",K191*D191)</f>
        <v/>
      </c>
      <c r="N191" s="6">
        <f>IF(L191="","",L191*D191*55)</f>
        <v/>
      </c>
      <c r="O191" s="6">
        <f>IF(M191="","",M191+N(N191))</f>
        <v/>
      </c>
      <c r="P191" s="9" t="n"/>
      <c r="Q191" s="4" t="inlineStr"/>
      <c r="R191" s="4" t="inlineStr"/>
      <c r="S191" s="9" t="n"/>
    </row>
    <row r="192" ht="34" customHeight="1">
      <c r="A192" s="4" t="inlineStr">
        <is>
          <t>1.3</t>
        </is>
      </c>
      <c r="B192" s="9" t="n">
        <v>161</v>
      </c>
      <c r="C192" s="4" t="inlineStr">
        <is>
          <t>Затвор дисковый поворотный(ГРЭНВЭЛ) Тип /серия FL(w)-3-MR-E Ду 80 Ру 16</t>
        </is>
      </c>
      <c r="D192" s="9" t="n">
        <v>2</v>
      </c>
      <c r="E192" s="4" t="inlineStr">
        <is>
          <t>шт</t>
        </is>
      </c>
      <c r="F192" s="9" t="n">
        <v>80</v>
      </c>
      <c r="G192" s="9" t="n">
        <v>1.6</v>
      </c>
      <c r="H192" s="4" t="inlineStr">
        <is>
          <t>Серый чугун EN-GJL-250</t>
        </is>
      </c>
      <c r="I192" s="4" t="inlineStr">
        <is>
          <t>Ручной</t>
        </is>
      </c>
      <c r="J192" s="13" t="n"/>
      <c r="K192" s="6">
        <f>IF(J192="","",J192*(1-0.1))</f>
        <v/>
      </c>
      <c r="L192" s="9" t="n"/>
      <c r="M192" s="6">
        <f>IF(J192="","",K192*D192)</f>
        <v/>
      </c>
      <c r="N192" s="6">
        <f>IF(L192="","",L192*D192*55)</f>
        <v/>
      </c>
      <c r="O192" s="6">
        <f>IF(M192="","",M192+N(N192))</f>
        <v/>
      </c>
      <c r="P192" s="9" t="n"/>
      <c r="Q192" s="4" t="inlineStr"/>
      <c r="R192" s="4" t="inlineStr"/>
      <c r="S192" s="9" t="n"/>
    </row>
    <row r="193" ht="34" customHeight="1">
      <c r="A193" s="4" t="inlineStr">
        <is>
          <t>1.3</t>
        </is>
      </c>
      <c r="B193" s="9" t="n">
        <v>162</v>
      </c>
      <c r="C193" s="4" t="inlineStr">
        <is>
          <t>Затвор поворотный дисковый Ду 65 Ру 16 ГРАНВЭЛ тип ЗПВС</t>
        </is>
      </c>
      <c r="D193" s="9" t="n">
        <v>2</v>
      </c>
      <c r="E193" s="4" t="inlineStr">
        <is>
          <t>шт</t>
        </is>
      </c>
      <c r="F193" s="9" t="n">
        <v>65</v>
      </c>
      <c r="G193" s="9" t="n">
        <v>1.6</v>
      </c>
      <c r="H193" s="4" t="inlineStr">
        <is>
          <t>чугун</t>
        </is>
      </c>
      <c r="I193" s="4" t="inlineStr">
        <is>
          <t xml:space="preserve">Ручное </t>
        </is>
      </c>
      <c r="J193" s="13" t="n"/>
      <c r="K193" s="6">
        <f>IF(J193="","",J193*(1-0.1))</f>
        <v/>
      </c>
      <c r="L193" s="9" t="n"/>
      <c r="M193" s="6">
        <f>IF(J193="","",K193*D193)</f>
        <v/>
      </c>
      <c r="N193" s="6">
        <f>IF(L193="","",L193*D193*55)</f>
        <v/>
      </c>
      <c r="O193" s="6">
        <f>IF(M193="","",M193+N(N193))</f>
        <v/>
      </c>
      <c r="P193" s="9" t="n"/>
      <c r="Q193" s="4" t="inlineStr"/>
      <c r="R193" s="4" t="inlineStr"/>
      <c r="S193" s="9" t="n"/>
    </row>
    <row r="194" ht="34" customHeight="1">
      <c r="A194" s="4" t="inlineStr">
        <is>
          <t>1.3</t>
        </is>
      </c>
      <c r="B194" s="9" t="n">
        <v>163</v>
      </c>
      <c r="C194" s="4" t="inlineStr">
        <is>
          <t>Электропривод прямоходный Regada SТ0 490.0-00TQV/00</t>
        </is>
      </c>
      <c r="D194" s="9" t="n">
        <v>1</v>
      </c>
      <c r="E194" s="4" t="inlineStr">
        <is>
          <t>шт</t>
        </is>
      </c>
      <c r="F194" s="9" t="n"/>
      <c r="G194" s="9" t="n"/>
      <c r="H194" s="4" t="inlineStr"/>
      <c r="I194" s="4" t="inlineStr"/>
      <c r="J194" s="13" t="n"/>
      <c r="K194" s="6">
        <f>IF(J194="","",J194*(1-0.1))</f>
        <v/>
      </c>
      <c r="L194" s="9" t="n"/>
      <c r="M194" s="6">
        <f>IF(J194="","",K194*D194)</f>
        <v/>
      </c>
      <c r="N194" s="6">
        <f>IF(L194="","",L194*D194*55)</f>
        <v/>
      </c>
      <c r="O194" s="6">
        <f>IF(M194="","",M194+N(N194))</f>
        <v/>
      </c>
      <c r="P194" s="9" t="n"/>
      <c r="Q194" s="4" t="inlineStr"/>
      <c r="R194" s="4" t="inlineStr"/>
      <c r="S194" s="9" t="n"/>
    </row>
    <row r="195" ht="34" customHeight="1">
      <c r="A195" s="4" t="inlineStr">
        <is>
          <t>1.4</t>
        </is>
      </c>
      <c r="B195" s="9" t="n">
        <v>1</v>
      </c>
      <c r="C195" s="4" t="inlineStr">
        <is>
          <t>Рыбозащитное устройство с потокообразователем</t>
        </is>
      </c>
      <c r="D195" s="9" t="n">
        <v>1</v>
      </c>
      <c r="E195" s="4" t="inlineStr">
        <is>
          <t>шт</t>
        </is>
      </c>
      <c r="F195" s="9" t="n"/>
      <c r="G195" s="9" t="n"/>
      <c r="H195" s="4" t="inlineStr">
        <is>
          <t>Сталь 20</t>
        </is>
      </c>
      <c r="I195" s="4" t="inlineStr"/>
      <c r="J195" s="13" t="n"/>
      <c r="K195" s="6">
        <f>IF(J195="","",J195*(1-0.1))</f>
        <v/>
      </c>
      <c r="L195" s="9" t="n"/>
      <c r="M195" s="6">
        <f>IF(J195="","",K195*D195)</f>
        <v/>
      </c>
      <c r="N195" s="6">
        <f>IF(L195="","",L195*D195*55)</f>
        <v/>
      </c>
      <c r="O195" s="6">
        <f>IF(M195="","",M195+N(N195))</f>
        <v/>
      </c>
      <c r="P195" s="9" t="n"/>
      <c r="Q195" s="4" t="inlineStr"/>
      <c r="R195" s="4" t="inlineStr"/>
      <c r="S195" s="9" t="n"/>
    </row>
    <row r="196" ht="34" customHeight="1">
      <c r="A196" s="4" t="inlineStr">
        <is>
          <t>1.5</t>
        </is>
      </c>
      <c r="B196" s="9" t="n">
        <v>1</v>
      </c>
      <c r="C196" s="4" t="inlineStr">
        <is>
          <t>Клапан запорный 15кч18п Ду 25 Ру 16</t>
        </is>
      </c>
      <c r="D196" s="9" t="n">
        <v>11</v>
      </c>
      <c r="E196" s="4" t="inlineStr">
        <is>
          <t>шт</t>
        </is>
      </c>
      <c r="F196" s="9" t="n">
        <v>25</v>
      </c>
      <c r="G196" s="9" t="n">
        <v>1.6</v>
      </c>
      <c r="H196" s="4" t="inlineStr">
        <is>
          <t>КЧ30</t>
        </is>
      </c>
      <c r="I196" s="4" t="inlineStr">
        <is>
          <t>Ручной</t>
        </is>
      </c>
      <c r="J196" s="13" t="n"/>
      <c r="K196" s="6">
        <f>IF(J196="","",J196*(1-0.1))</f>
        <v/>
      </c>
      <c r="L196" s="9" t="n"/>
      <c r="M196" s="6">
        <f>IF(J196="","",K196*D196)</f>
        <v/>
      </c>
      <c r="N196" s="6">
        <f>IF(L196="","",L196*D196*55)</f>
        <v/>
      </c>
      <c r="O196" s="6">
        <f>IF(M196="","",M196+N(N196))</f>
        <v/>
      </c>
      <c r="P196" s="9" t="n"/>
      <c r="Q196" s="4" t="inlineStr"/>
      <c r="R196" s="4" t="inlineStr"/>
      <c r="S196" s="9" t="n"/>
    </row>
    <row r="197" ht="34" customHeight="1">
      <c r="A197" s="4" t="inlineStr">
        <is>
          <t>1.5</t>
        </is>
      </c>
      <c r="B197" s="9" t="n">
        <v>2</v>
      </c>
      <c r="C197" s="4" t="inlineStr">
        <is>
          <t>Задвижка 30с64нж Ду 50 Ру 25</t>
        </is>
      </c>
      <c r="D197" s="9" t="n">
        <v>2</v>
      </c>
      <c r="E197" s="4" t="inlineStr">
        <is>
          <t>шт</t>
        </is>
      </c>
      <c r="F197" s="9" t="n">
        <v>50</v>
      </c>
      <c r="G197" s="9" t="n">
        <v>2.5</v>
      </c>
      <c r="H197" s="4" t="inlineStr">
        <is>
          <t>сталь 25л</t>
        </is>
      </c>
      <c r="I197" s="4" t="inlineStr">
        <is>
          <t>ручной</t>
        </is>
      </c>
      <c r="J197" s="13" t="n"/>
      <c r="K197" s="6">
        <f>IF(J197="","",J197*(1-0.1))</f>
        <v/>
      </c>
      <c r="L197" s="9" t="n"/>
      <c r="M197" s="6">
        <f>IF(J197="","",K197*D197)</f>
        <v/>
      </c>
      <c r="N197" s="6">
        <f>IF(L197="","",L197*D197*55)</f>
        <v/>
      </c>
      <c r="O197" s="6">
        <f>IF(M197="","",M197+N(N197))</f>
        <v/>
      </c>
      <c r="P197" s="9" t="n"/>
      <c r="Q197" s="4" t="inlineStr"/>
      <c r="R197" s="4" t="inlineStr"/>
      <c r="S197" s="9" t="n"/>
    </row>
    <row r="198" ht="34" customHeight="1">
      <c r="A198" s="4" t="inlineStr">
        <is>
          <t>1.5</t>
        </is>
      </c>
      <c r="B198" s="9" t="n">
        <v>3</v>
      </c>
      <c r="C198" s="4" t="inlineStr">
        <is>
          <t>Задвижка 30с64нж Ду 80 Ру 25</t>
        </is>
      </c>
      <c r="D198" s="9" t="n">
        <v>2</v>
      </c>
      <c r="E198" s="4" t="inlineStr">
        <is>
          <t>шт</t>
        </is>
      </c>
      <c r="F198" s="9" t="n">
        <v>80</v>
      </c>
      <c r="G198" s="9" t="n">
        <v>2.5</v>
      </c>
      <c r="H198" s="4" t="inlineStr">
        <is>
          <t>сталь 25л</t>
        </is>
      </c>
      <c r="I198" s="4" t="inlineStr">
        <is>
          <t>ручной</t>
        </is>
      </c>
      <c r="J198" s="13" t="n"/>
      <c r="K198" s="6">
        <f>IF(J198="","",J198*(1-0.1))</f>
        <v/>
      </c>
      <c r="L198" s="9" t="n"/>
      <c r="M198" s="6">
        <f>IF(J198="","",K198*D198)</f>
        <v/>
      </c>
      <c r="N198" s="6">
        <f>IF(L198="","",L198*D198*55)</f>
        <v/>
      </c>
      <c r="O198" s="6">
        <f>IF(M198="","",M198+N(N198))</f>
        <v/>
      </c>
      <c r="P198" s="9" t="n"/>
      <c r="Q198" s="4" t="inlineStr"/>
      <c r="R198" s="4" t="inlineStr"/>
      <c r="S198" s="9" t="n"/>
    </row>
    <row r="199" ht="34" customHeight="1">
      <c r="A199" s="4" t="inlineStr">
        <is>
          <t>1.5</t>
        </is>
      </c>
      <c r="B199" s="9" t="n">
        <v>4</v>
      </c>
      <c r="C199" s="4" t="inlineStr">
        <is>
          <t>Кран шаровой 11б27п1 Ду 15 Ру 16</t>
        </is>
      </c>
      <c r="D199" s="9" t="n">
        <v>28</v>
      </c>
      <c r="E199" s="4" t="inlineStr">
        <is>
          <t>шт</t>
        </is>
      </c>
      <c r="F199" s="9" t="n">
        <v>15</v>
      </c>
      <c r="G199" s="9" t="n">
        <v>1.6</v>
      </c>
      <c r="H199" s="4" t="inlineStr">
        <is>
          <t>латунь HPb58-2A</t>
        </is>
      </c>
      <c r="I199" s="4" t="inlineStr">
        <is>
          <t xml:space="preserve">Ручное </t>
        </is>
      </c>
      <c r="J199" s="13" t="n"/>
      <c r="K199" s="6">
        <f>IF(J199="","",J199*(1-0.1))</f>
        <v/>
      </c>
      <c r="L199" s="9" t="n"/>
      <c r="M199" s="6">
        <f>IF(J199="","",K199*D199)</f>
        <v/>
      </c>
      <c r="N199" s="6">
        <f>IF(L199="","",L199*D199*55)</f>
        <v/>
      </c>
      <c r="O199" s="6">
        <f>IF(M199="","",M199+N(N199))</f>
        <v/>
      </c>
      <c r="P199" s="9" t="n"/>
      <c r="Q199" s="4" t="inlineStr"/>
      <c r="R199" s="4" t="inlineStr"/>
      <c r="S199" s="9" t="n"/>
    </row>
    <row r="200" ht="34" customHeight="1">
      <c r="A200" s="4" t="inlineStr">
        <is>
          <t>1.5</t>
        </is>
      </c>
      <c r="B200" s="9" t="n">
        <v>5</v>
      </c>
      <c r="C200" s="4" t="inlineStr">
        <is>
          <t>Кран шаровой 11б27п1 Ду 20 Ру 16</t>
        </is>
      </c>
      <c r="D200" s="9" t="n">
        <v>16</v>
      </c>
      <c r="E200" s="4" t="inlineStr">
        <is>
          <t>шт</t>
        </is>
      </c>
      <c r="F200" s="9" t="n">
        <v>20</v>
      </c>
      <c r="G200" s="9" t="n">
        <v>1.6</v>
      </c>
      <c r="H200" s="4" t="inlineStr">
        <is>
          <t>латунь ЛЦ40Сд</t>
        </is>
      </c>
      <c r="I200" s="4" t="inlineStr">
        <is>
          <t>ручной (рукоятка)</t>
        </is>
      </c>
      <c r="J200" s="13" t="n"/>
      <c r="K200" s="6">
        <f>IF(J200="","",J200*(1-0.1))</f>
        <v/>
      </c>
      <c r="L200" s="9" t="n"/>
      <c r="M200" s="6">
        <f>IF(J200="","",K200*D200)</f>
        <v/>
      </c>
      <c r="N200" s="6">
        <f>IF(L200="","",L200*D200*55)</f>
        <v/>
      </c>
      <c r="O200" s="6">
        <f>IF(M200="","",M200+N(N200))</f>
        <v/>
      </c>
      <c r="P200" s="9" t="n"/>
      <c r="Q200" s="4" t="inlineStr"/>
      <c r="R200" s="4" t="inlineStr"/>
      <c r="S200" s="9" t="n"/>
    </row>
    <row r="201" ht="34" customHeight="1">
      <c r="A201" s="4" t="inlineStr">
        <is>
          <t>1.5</t>
        </is>
      </c>
      <c r="B201" s="9" t="n">
        <v>6</v>
      </c>
      <c r="C201" s="4" t="inlineStr">
        <is>
          <t>Кран шаровой 11б27п1 Ду 25 Ру 16</t>
        </is>
      </c>
      <c r="D201" s="9" t="n">
        <v>16</v>
      </c>
      <c r="E201" s="4" t="inlineStr">
        <is>
          <t>шт</t>
        </is>
      </c>
      <c r="F201" s="9" t="n">
        <v>25</v>
      </c>
      <c r="G201" s="9" t="n">
        <v>1.6</v>
      </c>
      <c r="H201" s="4" t="inlineStr">
        <is>
          <t>латунь HPb58-2A</t>
        </is>
      </c>
      <c r="I201" s="4" t="inlineStr">
        <is>
          <t xml:space="preserve">Ручное </t>
        </is>
      </c>
      <c r="J201" s="13" t="n"/>
      <c r="K201" s="6">
        <f>IF(J201="","",J201*(1-0.1))</f>
        <v/>
      </c>
      <c r="L201" s="9" t="n"/>
      <c r="M201" s="6">
        <f>IF(J201="","",K201*D201)</f>
        <v/>
      </c>
      <c r="N201" s="6">
        <f>IF(L201="","",L201*D201*55)</f>
        <v/>
      </c>
      <c r="O201" s="6">
        <f>IF(M201="","",M201+N(N201))</f>
        <v/>
      </c>
      <c r="P201" s="9" t="n"/>
      <c r="Q201" s="4" t="inlineStr"/>
      <c r="R201" s="4" t="inlineStr"/>
      <c r="S201" s="9" t="n"/>
    </row>
    <row r="202" ht="34" customHeight="1">
      <c r="A202" s="4" t="inlineStr">
        <is>
          <t>1.5</t>
        </is>
      </c>
      <c r="B202" s="9" t="n">
        <v>7</v>
      </c>
      <c r="C202" s="4" t="inlineStr">
        <is>
          <t>Кран шаровой 11б27п1 Ду 32 Ру 16</t>
        </is>
      </c>
      <c r="D202" s="9" t="n">
        <v>6</v>
      </c>
      <c r="E202" s="4" t="inlineStr">
        <is>
          <t>шт</t>
        </is>
      </c>
      <c r="F202" s="9" t="n">
        <v>32</v>
      </c>
      <c r="G202" s="9" t="n">
        <v>1.6</v>
      </c>
      <c r="H202" s="4" t="inlineStr">
        <is>
          <t>латунь HPb58-2A</t>
        </is>
      </c>
      <c r="I202" s="4" t="inlineStr">
        <is>
          <t xml:space="preserve">Ручное </t>
        </is>
      </c>
      <c r="J202" s="13" t="n"/>
      <c r="K202" s="6">
        <f>IF(J202="","",J202*(1-0.1))</f>
        <v/>
      </c>
      <c r="L202" s="9" t="n"/>
      <c r="M202" s="6">
        <f>IF(J202="","",K202*D202)</f>
        <v/>
      </c>
      <c r="N202" s="6">
        <f>IF(L202="","",L202*D202*55)</f>
        <v/>
      </c>
      <c r="O202" s="6">
        <f>IF(M202="","",M202+N(N202))</f>
        <v/>
      </c>
      <c r="P202" s="9" t="n"/>
      <c r="Q202" s="4" t="inlineStr"/>
      <c r="R202" s="4" t="inlineStr"/>
      <c r="S202" s="9" t="n"/>
    </row>
    <row r="203" ht="34" customHeight="1">
      <c r="A203" s="4" t="inlineStr">
        <is>
          <t>1.5</t>
        </is>
      </c>
      <c r="B203" s="9" t="n">
        <v>8</v>
      </c>
      <c r="C203" s="4" t="inlineStr">
        <is>
          <t>Кран шаровой 11б27п1 Ду 50 Ру 16</t>
        </is>
      </c>
      <c r="D203" s="9" t="n">
        <v>6</v>
      </c>
      <c r="E203" s="4" t="inlineStr">
        <is>
          <t>шт</t>
        </is>
      </c>
      <c r="F203" s="9" t="n">
        <v>50</v>
      </c>
      <c r="G203" s="9" t="n">
        <v>1.6</v>
      </c>
      <c r="H203" s="4" t="inlineStr">
        <is>
          <t>латунь HPb58-2A</t>
        </is>
      </c>
      <c r="I203" s="4" t="inlineStr">
        <is>
          <t xml:space="preserve">Ручное </t>
        </is>
      </c>
      <c r="J203" s="13" t="n"/>
      <c r="K203" s="6">
        <f>IF(J203="","",J203*(1-0.1))</f>
        <v/>
      </c>
      <c r="L203" s="9" t="n"/>
      <c r="M203" s="6">
        <f>IF(J203="","",K203*D203)</f>
        <v/>
      </c>
      <c r="N203" s="6">
        <f>IF(L203="","",L203*D203*55)</f>
        <v/>
      </c>
      <c r="O203" s="6">
        <f>IF(M203="","",M203+N(N203))</f>
        <v/>
      </c>
      <c r="P203" s="9" t="n"/>
      <c r="Q203" s="4" t="inlineStr"/>
      <c r="R203" s="4" t="inlineStr"/>
      <c r="S203" s="9" t="n"/>
    </row>
    <row r="204" ht="34" customHeight="1">
      <c r="A204" s="4" t="inlineStr">
        <is>
          <t>1.5</t>
        </is>
      </c>
      <c r="B204" s="9" t="n">
        <v>9</v>
      </c>
      <c r="C204" s="4" t="inlineStr">
        <is>
          <t>Кран шаровой 11с22п Ду 50 Ру 16</t>
        </is>
      </c>
      <c r="D204" s="9" t="n">
        <v>4</v>
      </c>
      <c r="E204" s="4" t="inlineStr">
        <is>
          <t>шт</t>
        </is>
      </c>
      <c r="F204" s="9" t="n">
        <v>50</v>
      </c>
      <c r="G204" s="9" t="n">
        <v>1.6</v>
      </c>
      <c r="H204" s="4" t="inlineStr">
        <is>
          <t>сталь 20</t>
        </is>
      </c>
      <c r="I204" s="4" t="inlineStr">
        <is>
          <t>ручной (рукоятка)</t>
        </is>
      </c>
      <c r="J204" s="13" t="n"/>
      <c r="K204" s="6">
        <f>IF(J204="","",J204*(1-0.1))</f>
        <v/>
      </c>
      <c r="L204" s="9" t="n"/>
      <c r="M204" s="6">
        <f>IF(J204="","",K204*D204)</f>
        <v/>
      </c>
      <c r="N204" s="6">
        <f>IF(L204="","",L204*D204*55)</f>
        <v/>
      </c>
      <c r="O204" s="6">
        <f>IF(M204="","",M204+N(N204))</f>
        <v/>
      </c>
      <c r="P204" s="9" t="n"/>
      <c r="Q204" s="4" t="inlineStr"/>
      <c r="R204" s="4" t="inlineStr"/>
      <c r="S204" s="9" t="n"/>
    </row>
    <row r="205" ht="34" customHeight="1">
      <c r="A205" s="4" t="inlineStr">
        <is>
          <t>1.5</t>
        </is>
      </c>
      <c r="B205" s="9" t="n">
        <v>10</v>
      </c>
      <c r="C205" s="4" t="inlineStr">
        <is>
          <t>Кран шаровой 11с22п Ду 80 Ру 16</t>
        </is>
      </c>
      <c r="D205" s="9" t="n">
        <v>4</v>
      </c>
      <c r="E205" s="4" t="inlineStr">
        <is>
          <t>шт</t>
        </is>
      </c>
      <c r="F205" s="9" t="n">
        <v>80</v>
      </c>
      <c r="G205" s="9" t="n">
        <v>1.6</v>
      </c>
      <c r="H205" s="4" t="inlineStr">
        <is>
          <t>сталь 20</t>
        </is>
      </c>
      <c r="I205" s="4" t="inlineStr">
        <is>
          <t>ручной (рукоятка)</t>
        </is>
      </c>
      <c r="J205" s="13" t="n"/>
      <c r="K205" s="6">
        <f>IF(J205="","",J205*(1-0.1))</f>
        <v/>
      </c>
      <c r="L205" s="9" t="n"/>
      <c r="M205" s="6">
        <f>IF(J205="","",K205*D205)</f>
        <v/>
      </c>
      <c r="N205" s="6">
        <f>IF(L205="","",L205*D205*55)</f>
        <v/>
      </c>
      <c r="O205" s="6">
        <f>IF(M205="","",M205+N(N205))</f>
        <v/>
      </c>
      <c r="P205" s="9" t="n"/>
      <c r="Q205" s="4" t="inlineStr"/>
      <c r="R205" s="4" t="inlineStr"/>
      <c r="S205" s="9" t="n"/>
    </row>
    <row r="206" ht="34" customHeight="1">
      <c r="A206" s="4" t="inlineStr">
        <is>
          <t>1.5</t>
        </is>
      </c>
      <c r="B206" s="9" t="n">
        <v>11</v>
      </c>
      <c r="C206" s="4" t="inlineStr">
        <is>
          <t>Кран шаровой 11с22п Ду 100 Ру 16</t>
        </is>
      </c>
      <c r="D206" s="9" t="n">
        <v>2</v>
      </c>
      <c r="E206" s="4" t="inlineStr">
        <is>
          <t>шт</t>
        </is>
      </c>
      <c r="F206" s="9" t="n">
        <v>100</v>
      </c>
      <c r="G206" s="9" t="n">
        <v>1.6</v>
      </c>
      <c r="H206" s="4" t="inlineStr">
        <is>
          <t>сталь 20</t>
        </is>
      </c>
      <c r="I206" s="4" t="inlineStr">
        <is>
          <t>ручной (рукоятка)</t>
        </is>
      </c>
      <c r="J206" s="13" t="n"/>
      <c r="K206" s="6">
        <f>IF(J206="","",J206*(1-0.1))</f>
        <v/>
      </c>
      <c r="L206" s="9" t="n"/>
      <c r="M206" s="6">
        <f>IF(J206="","",K206*D206)</f>
        <v/>
      </c>
      <c r="N206" s="6">
        <f>IF(L206="","",L206*D206*55)</f>
        <v/>
      </c>
      <c r="O206" s="6">
        <f>IF(M206="","",M206+N(N206))</f>
        <v/>
      </c>
      <c r="P206" s="9" t="n"/>
      <c r="Q206" s="4" t="inlineStr"/>
      <c r="R206" s="4" t="inlineStr"/>
      <c r="S206" s="9" t="n"/>
    </row>
    <row r="207" ht="34" customHeight="1">
      <c r="A207" s="4" t="inlineStr">
        <is>
          <t>1.5</t>
        </is>
      </c>
      <c r="B207" s="9" t="n">
        <v>12</v>
      </c>
      <c r="C207" s="4" t="inlineStr">
        <is>
          <t>Кран шаровой 11с67п Ду 15 Ру 25 цельносварной под приварку</t>
        </is>
      </c>
      <c r="D207" s="9" t="n">
        <v>25</v>
      </c>
      <c r="E207" s="4" t="inlineStr">
        <is>
          <t>шт</t>
        </is>
      </c>
      <c r="F207" s="9" t="n">
        <v>15</v>
      </c>
      <c r="G207" s="9" t="n">
        <v>2.5</v>
      </c>
      <c r="H207" s="4" t="inlineStr">
        <is>
          <t>сталь 20</t>
        </is>
      </c>
      <c r="I207" s="4" t="inlineStr">
        <is>
          <t xml:space="preserve">Ручное </t>
        </is>
      </c>
      <c r="J207" s="13" t="n"/>
      <c r="K207" s="6">
        <f>IF(J207="","",J207*(1-0.1))</f>
        <v/>
      </c>
      <c r="L207" s="9" t="n"/>
      <c r="M207" s="6">
        <f>IF(J207="","",K207*D207)</f>
        <v/>
      </c>
      <c r="N207" s="6">
        <f>IF(L207="","",L207*D207*55)</f>
        <v/>
      </c>
      <c r="O207" s="6">
        <f>IF(M207="","",M207+N(N207))</f>
        <v/>
      </c>
      <c r="P207" s="9" t="n"/>
      <c r="Q207" s="4" t="inlineStr"/>
      <c r="R207" s="4" t="inlineStr"/>
      <c r="S207" s="9" t="n"/>
    </row>
    <row r="208" ht="34" customHeight="1">
      <c r="A208" s="4" t="inlineStr">
        <is>
          <t>1.5</t>
        </is>
      </c>
      <c r="B208" s="9" t="n">
        <v>13</v>
      </c>
      <c r="C208" s="4" t="inlineStr">
        <is>
          <t>Кран шаровой 11с67п Ду 25 Ру 25 цельносварной под приварку</t>
        </is>
      </c>
      <c r="D208" s="9" t="n">
        <v>32</v>
      </c>
      <c r="E208" s="4" t="inlineStr">
        <is>
          <t>шт</t>
        </is>
      </c>
      <c r="F208" s="9" t="n">
        <v>25</v>
      </c>
      <c r="G208" s="9" t="n">
        <v>2.5</v>
      </c>
      <c r="H208" s="4" t="inlineStr">
        <is>
          <t>сталь 20</t>
        </is>
      </c>
      <c r="I208" s="4" t="inlineStr">
        <is>
          <t>Ручной</t>
        </is>
      </c>
      <c r="J208" s="13" t="n"/>
      <c r="K208" s="6">
        <f>IF(J208="","",J208*(1-0.1))</f>
        <v/>
      </c>
      <c r="L208" s="9" t="n"/>
      <c r="M208" s="6">
        <f>IF(J208="","",K208*D208)</f>
        <v/>
      </c>
      <c r="N208" s="6">
        <f>IF(L208="","",L208*D208*55)</f>
        <v/>
      </c>
      <c r="O208" s="6">
        <f>IF(M208="","",M208+N(N208))</f>
        <v/>
      </c>
      <c r="P208" s="9" t="n"/>
      <c r="Q208" s="4" t="inlineStr"/>
      <c r="R208" s="4" t="inlineStr"/>
      <c r="S208" s="9" t="n"/>
    </row>
    <row r="209" ht="34" customHeight="1">
      <c r="A209" s="4" t="inlineStr">
        <is>
          <t>1.5</t>
        </is>
      </c>
      <c r="B209" s="9" t="n">
        <v>14</v>
      </c>
      <c r="C209" s="4" t="inlineStr">
        <is>
          <t>Кран шаровой 11с67п Ду 32 Ру 25 цельносварной под приварку</t>
        </is>
      </c>
      <c r="D209" s="9" t="n">
        <v>15</v>
      </c>
      <c r="E209" s="4" t="inlineStr">
        <is>
          <t>шт</t>
        </is>
      </c>
      <c r="F209" s="9" t="n">
        <v>32</v>
      </c>
      <c r="G209" s="9" t="n">
        <v>2.5</v>
      </c>
      <c r="H209" s="4" t="inlineStr">
        <is>
          <t>сталь 20</t>
        </is>
      </c>
      <c r="I209" s="4" t="inlineStr">
        <is>
          <t>Ручной</t>
        </is>
      </c>
      <c r="J209" s="13" t="n"/>
      <c r="K209" s="6">
        <f>IF(J209="","",J209*(1-0.1))</f>
        <v/>
      </c>
      <c r="L209" s="9" t="n"/>
      <c r="M209" s="6">
        <f>IF(J209="","",K209*D209)</f>
        <v/>
      </c>
      <c r="N209" s="6">
        <f>IF(L209="","",L209*D209*55)</f>
        <v/>
      </c>
      <c r="O209" s="6">
        <f>IF(M209="","",M209+N(N209))</f>
        <v/>
      </c>
      <c r="P209" s="9" t="n"/>
      <c r="Q209" s="4" t="inlineStr"/>
      <c r="R209" s="4" t="inlineStr"/>
      <c r="S209" s="9" t="n"/>
    </row>
    <row r="210" ht="34" customHeight="1">
      <c r="A210" s="4" t="inlineStr">
        <is>
          <t>1.5</t>
        </is>
      </c>
      <c r="B210" s="9" t="n">
        <v>15</v>
      </c>
      <c r="C210" s="4" t="inlineStr">
        <is>
          <t>Кран шаровой 11с67п Ду 40 Ру 25 цельносварной под приварку</t>
        </is>
      </c>
      <c r="D210" s="9" t="n">
        <v>26</v>
      </c>
      <c r="E210" s="4" t="inlineStr">
        <is>
          <t>шт</t>
        </is>
      </c>
      <c r="F210" s="9" t="n">
        <v>40</v>
      </c>
      <c r="G210" s="9" t="n">
        <v>2.5</v>
      </c>
      <c r="H210" s="4" t="inlineStr">
        <is>
          <t>сталь 20</t>
        </is>
      </c>
      <c r="I210" s="4" t="inlineStr">
        <is>
          <t xml:space="preserve">Ручное </t>
        </is>
      </c>
      <c r="J210" s="13" t="n"/>
      <c r="K210" s="6">
        <f>IF(J210="","",J210*(1-0.1))</f>
        <v/>
      </c>
      <c r="L210" s="9" t="n"/>
      <c r="M210" s="6">
        <f>IF(J210="","",K210*D210)</f>
        <v/>
      </c>
      <c r="N210" s="6">
        <f>IF(L210="","",L210*D210*55)</f>
        <v/>
      </c>
      <c r="O210" s="6">
        <f>IF(M210="","",M210+N(N210))</f>
        <v/>
      </c>
      <c r="P210" s="9" t="n"/>
      <c r="Q210" s="4" t="inlineStr"/>
      <c r="R210" s="4" t="inlineStr"/>
      <c r="S210" s="9" t="n"/>
    </row>
    <row r="211" ht="34" customHeight="1">
      <c r="A211" s="4" t="inlineStr">
        <is>
          <t>1.5</t>
        </is>
      </c>
      <c r="B211" s="9" t="n">
        <v>16</v>
      </c>
      <c r="C211" s="4" t="inlineStr">
        <is>
          <t>Кран шаровой 11с67п Ду 50 Ру 25 цельносварной под приварку</t>
        </is>
      </c>
      <c r="D211" s="9" t="n">
        <v>9</v>
      </c>
      <c r="E211" s="4" t="inlineStr">
        <is>
          <t>шт</t>
        </is>
      </c>
      <c r="F211" s="9" t="n">
        <v>50</v>
      </c>
      <c r="G211" s="9" t="n">
        <v>2.5</v>
      </c>
      <c r="H211" s="4" t="inlineStr">
        <is>
          <t>сталь 20</t>
        </is>
      </c>
      <c r="I211" s="4" t="inlineStr">
        <is>
          <t>ручное</t>
        </is>
      </c>
      <c r="J211" s="13" t="n"/>
      <c r="K211" s="6">
        <f>IF(J211="","",J211*(1-0.1))</f>
        <v/>
      </c>
      <c r="L211" s="9" t="n"/>
      <c r="M211" s="6">
        <f>IF(J211="","",K211*D211)</f>
        <v/>
      </c>
      <c r="N211" s="6">
        <f>IF(L211="","",L211*D211*55)</f>
        <v/>
      </c>
      <c r="O211" s="6">
        <f>IF(M211="","",M211+N(N211))</f>
        <v/>
      </c>
      <c r="P211" s="9" t="n"/>
      <c r="Q211" s="4" t="inlineStr"/>
      <c r="R211" s="4" t="inlineStr"/>
      <c r="S211" s="9" t="n"/>
    </row>
    <row r="212" ht="34" customHeight="1">
      <c r="A212" s="4" t="inlineStr">
        <is>
          <t>1.5</t>
        </is>
      </c>
      <c r="B212" s="9" t="n">
        <v>17</v>
      </c>
      <c r="C212" s="4" t="inlineStr">
        <is>
          <t>Кран шаровой 11с67п Ду 100 Ру 25 цельносварной под приварку</t>
        </is>
      </c>
      <c r="D212" s="9" t="n">
        <v>4</v>
      </c>
      <c r="E212" s="4" t="inlineStr">
        <is>
          <t>шт</t>
        </is>
      </c>
      <c r="F212" s="9" t="n">
        <v>100</v>
      </c>
      <c r="G212" s="9" t="n">
        <v>2.5</v>
      </c>
      <c r="H212" s="4" t="inlineStr">
        <is>
          <t>сталь 20</t>
        </is>
      </c>
      <c r="I212" s="4" t="inlineStr">
        <is>
          <t>ручное</t>
        </is>
      </c>
      <c r="J212" s="13" t="n"/>
      <c r="K212" s="6">
        <f>IF(J212="","",J212*(1-0.1))</f>
        <v/>
      </c>
      <c r="L212" s="9" t="n"/>
      <c r="M212" s="6">
        <f>IF(J212="","",K212*D212)</f>
        <v/>
      </c>
      <c r="N212" s="6">
        <f>IF(L212="","",L212*D212*55)</f>
        <v/>
      </c>
      <c r="O212" s="6">
        <f>IF(M212="","",M212+N(N212))</f>
        <v/>
      </c>
      <c r="P212" s="9" t="n"/>
      <c r="Q212" s="4" t="inlineStr"/>
      <c r="R212" s="4" t="inlineStr"/>
      <c r="S212" s="9" t="n"/>
    </row>
    <row r="213" ht="34" customHeight="1">
      <c r="A213" s="4" t="inlineStr">
        <is>
          <t>1.5</t>
        </is>
      </c>
      <c r="B213" s="9" t="n">
        <v>18</v>
      </c>
      <c r="C213" s="4" t="inlineStr">
        <is>
          <t>Кран шаровой 11с67п Ду 150 Ру 25 цельносварной под приварку</t>
        </is>
      </c>
      <c r="D213" s="9" t="n">
        <v>2</v>
      </c>
      <c r="E213" s="4" t="inlineStr">
        <is>
          <t>шт</t>
        </is>
      </c>
      <c r="F213" s="9" t="n">
        <v>150</v>
      </c>
      <c r="G213" s="9" t="n">
        <v>2.5</v>
      </c>
      <c r="H213" s="4" t="inlineStr">
        <is>
          <t>сталь 20</t>
        </is>
      </c>
      <c r="I213" s="4" t="inlineStr">
        <is>
          <t>ручное</t>
        </is>
      </c>
      <c r="J213" s="13" t="n"/>
      <c r="K213" s="6">
        <f>IF(J213="","",J213*(1-0.1))</f>
        <v/>
      </c>
      <c r="L213" s="9" t="n"/>
      <c r="M213" s="6">
        <f>IF(J213="","",K213*D213)</f>
        <v/>
      </c>
      <c r="N213" s="6">
        <f>IF(L213="","",L213*D213*55)</f>
        <v/>
      </c>
      <c r="O213" s="6">
        <f>IF(M213="","",M213+N(N213))</f>
        <v/>
      </c>
      <c r="P213" s="9" t="n"/>
      <c r="Q213" s="4" t="inlineStr"/>
      <c r="R213" s="4" t="inlineStr"/>
      <c r="S213" s="9" t="n"/>
    </row>
    <row r="214" ht="34" customHeight="1">
      <c r="A214" s="4" t="inlineStr">
        <is>
          <t>1.6</t>
        </is>
      </c>
      <c r="B214" s="9" t="n">
        <v>1</v>
      </c>
      <c r="C214" s="4" t="inlineStr">
        <is>
          <t>Клапан регулирующий 25с947нж Ду 25 Ру 25 с ЭИМ</t>
        </is>
      </c>
      <c r="D214" s="9" t="n">
        <v>1</v>
      </c>
      <c r="E214" s="4" t="inlineStr">
        <is>
          <t>шт</t>
        </is>
      </c>
      <c r="F214" s="9" t="n">
        <v>25</v>
      </c>
      <c r="G214" s="9" t="n">
        <v>2.5</v>
      </c>
      <c r="H214" s="4" t="inlineStr">
        <is>
          <t>сталь</t>
        </is>
      </c>
      <c r="I214" s="4" t="inlineStr">
        <is>
          <t>электропривод ST «Regada»</t>
        </is>
      </c>
      <c r="J214" s="13" t="n"/>
      <c r="K214" s="6">
        <f>IF(J214="","",J214*(1-0.1))</f>
        <v/>
      </c>
      <c r="L214" s="9" t="n"/>
      <c r="M214" s="6">
        <f>IF(J214="","",K214*D214)</f>
        <v/>
      </c>
      <c r="N214" s="6">
        <f>IF(L214="","",L214*D214*55)</f>
        <v/>
      </c>
      <c r="O214" s="6">
        <f>IF(M214="","",M214+N(N214))</f>
        <v/>
      </c>
      <c r="P214" s="9" t="n"/>
      <c r="Q214" s="4" t="inlineStr"/>
      <c r="R214" s="4" t="inlineStr"/>
      <c r="S214" s="9" t="n"/>
    </row>
    <row r="215" ht="34" customHeight="1">
      <c r="A215" s="4" t="inlineStr">
        <is>
          <t>1.6</t>
        </is>
      </c>
      <c r="B215" s="9" t="n">
        <v>2</v>
      </c>
      <c r="C215" s="4" t="inlineStr">
        <is>
          <t>Клапан регулирующий 25с947нж Ду 50 Ру 25 с ЭИМ</t>
        </is>
      </c>
      <c r="D215" s="9" t="n">
        <v>1</v>
      </c>
      <c r="E215" s="4" t="inlineStr">
        <is>
          <t>шт</t>
        </is>
      </c>
      <c r="F215" s="9" t="n">
        <v>50</v>
      </c>
      <c r="G215" s="9" t="n">
        <v>2.5</v>
      </c>
      <c r="H215" s="4" t="inlineStr">
        <is>
          <t>сталь</t>
        </is>
      </c>
      <c r="I215" s="4" t="inlineStr">
        <is>
          <t>электропривод ST «Regada»</t>
        </is>
      </c>
      <c r="J215" s="13" t="n"/>
      <c r="K215" s="6">
        <f>IF(J215="","",J215*(1-0.1))</f>
        <v/>
      </c>
      <c r="L215" s="9" t="n"/>
      <c r="M215" s="6">
        <f>IF(J215="","",K215*D215)</f>
        <v/>
      </c>
      <c r="N215" s="6">
        <f>IF(L215="","",L215*D215*55)</f>
        <v/>
      </c>
      <c r="O215" s="6">
        <f>IF(M215="","",M215+N(N215))</f>
        <v/>
      </c>
      <c r="P215" s="9" t="n"/>
      <c r="Q215" s="4" t="inlineStr"/>
      <c r="R215" s="4" t="inlineStr"/>
      <c r="S215" s="9" t="n"/>
    </row>
    <row r="216" ht="34" customHeight="1">
      <c r="A216" s="4" t="inlineStr">
        <is>
          <t>1.6</t>
        </is>
      </c>
      <c r="B216" s="9" t="n">
        <v>3</v>
      </c>
      <c r="C216" s="4" t="inlineStr">
        <is>
          <t>Регулирующий клапан Ридан VFG-2R Ду 80, Kvs 80, Ру 16</t>
        </is>
      </c>
      <c r="D216" s="9" t="n">
        <v>1</v>
      </c>
      <c r="E216" s="4" t="inlineStr">
        <is>
          <t>шт</t>
        </is>
      </c>
      <c r="F216" s="9" t="n">
        <v>80</v>
      </c>
      <c r="G216" s="9" t="n">
        <v>1.6</v>
      </c>
      <c r="H216" s="4" t="inlineStr">
        <is>
          <t>чугун</t>
        </is>
      </c>
      <c r="I216" s="4" t="inlineStr">
        <is>
          <t>-</t>
        </is>
      </c>
      <c r="J216" s="13" t="n"/>
      <c r="K216" s="6">
        <f>IF(J216="","",J216*(1-0.1))</f>
        <v/>
      </c>
      <c r="L216" s="9" t="n"/>
      <c r="M216" s="6">
        <f>IF(J216="","",K216*D216)</f>
        <v/>
      </c>
      <c r="N216" s="6">
        <f>IF(L216="","",L216*D216*55)</f>
        <v/>
      </c>
      <c r="O216" s="6">
        <f>IF(M216="","",M216+N(N216))</f>
        <v/>
      </c>
      <c r="P216" s="9" t="n"/>
      <c r="Q216" s="4" t="inlineStr"/>
      <c r="R216" s="4" t="inlineStr"/>
      <c r="S216" s="9" t="n"/>
    </row>
    <row r="217" ht="34" customHeight="1">
      <c r="A217" s="4" t="inlineStr">
        <is>
          <t>1.6</t>
        </is>
      </c>
      <c r="B217" s="9" t="n">
        <v>4</v>
      </c>
      <c r="C217" s="4" t="inlineStr">
        <is>
          <t>Клапан обратный межфланцевый 19ч21бр Ду 100 Ру 16</t>
        </is>
      </c>
      <c r="D217" s="9" t="n">
        <v>1</v>
      </c>
      <c r="E217" s="4" t="inlineStr">
        <is>
          <t>шт</t>
        </is>
      </c>
      <c r="F217" s="9" t="n">
        <v>100</v>
      </c>
      <c r="G217" s="9" t="n">
        <v>1.6</v>
      </c>
      <c r="H217" s="4" t="inlineStr">
        <is>
          <t>чугун</t>
        </is>
      </c>
      <c r="I217" s="4" t="inlineStr">
        <is>
          <t>-</t>
        </is>
      </c>
      <c r="J217" s="13" t="n"/>
      <c r="K217" s="6">
        <f>IF(J217="","",J217*(1-0.1))</f>
        <v/>
      </c>
      <c r="L217" s="9" t="n"/>
      <c r="M217" s="6">
        <f>IF(J217="","",K217*D217)</f>
        <v/>
      </c>
      <c r="N217" s="6">
        <f>IF(L217="","",L217*D217*55)</f>
        <v/>
      </c>
      <c r="O217" s="6">
        <f>IF(M217="","",M217+N(N217))</f>
        <v/>
      </c>
      <c r="P217" s="9" t="n"/>
      <c r="Q217" s="4" t="inlineStr"/>
      <c r="R217" s="4" t="inlineStr"/>
      <c r="S217" s="9" t="n"/>
    </row>
    <row r="218" ht="34" customHeight="1">
      <c r="A218" s="4" t="inlineStr">
        <is>
          <t>1.6</t>
        </is>
      </c>
      <c r="B218" s="9" t="n">
        <v>5</v>
      </c>
      <c r="C218" s="4" t="inlineStr">
        <is>
          <t>Клапан обратный межфланцевый 19ч21бр Ду 50 Ру 16</t>
        </is>
      </c>
      <c r="D218" s="9" t="n">
        <v>1</v>
      </c>
      <c r="E218" s="4" t="inlineStr">
        <is>
          <t>шт</t>
        </is>
      </c>
      <c r="F218" s="9" t="n">
        <v>50</v>
      </c>
      <c r="G218" s="9" t="n">
        <v>1.6</v>
      </c>
      <c r="H218" s="4" t="inlineStr">
        <is>
          <t>чугун</t>
        </is>
      </c>
      <c r="I218" s="4" t="inlineStr">
        <is>
          <t>-</t>
        </is>
      </c>
      <c r="J218" s="13" t="n"/>
      <c r="K218" s="6">
        <f>IF(J218="","",J218*(1-0.1))</f>
        <v/>
      </c>
      <c r="L218" s="9" t="n"/>
      <c r="M218" s="6">
        <f>IF(J218="","",K218*D218)</f>
        <v/>
      </c>
      <c r="N218" s="6">
        <f>IF(L218="","",L218*D218*55)</f>
        <v/>
      </c>
      <c r="O218" s="6">
        <f>IF(M218="","",M218+N(N218))</f>
        <v/>
      </c>
      <c r="P218" s="9" t="n"/>
      <c r="Q218" s="4" t="inlineStr"/>
      <c r="R218" s="4" t="inlineStr"/>
      <c r="S218" s="9" t="n"/>
    </row>
    <row r="219" ht="34" customHeight="1">
      <c r="A219" s="4" t="inlineStr">
        <is>
          <t>1.6</t>
        </is>
      </c>
      <c r="B219" s="9" t="n">
        <v>6</v>
      </c>
      <c r="C219" s="4" t="inlineStr">
        <is>
          <t>Клапан обратный межфланцевый 19ч21бр Ду 80 Ру 16</t>
        </is>
      </c>
      <c r="D219" s="9" t="n">
        <v>2</v>
      </c>
      <c r="E219" s="4" t="inlineStr">
        <is>
          <t>шт</t>
        </is>
      </c>
      <c r="F219" s="9" t="n">
        <v>80</v>
      </c>
      <c r="G219" s="9" t="n">
        <v>1.6</v>
      </c>
      <c r="H219" s="4" t="inlineStr">
        <is>
          <t>чугун</t>
        </is>
      </c>
      <c r="I219" s="4" t="inlineStr">
        <is>
          <t>-</t>
        </is>
      </c>
      <c r="J219" s="13" t="n"/>
      <c r="K219" s="6">
        <f>IF(J219="","",J219*(1-0.1))</f>
        <v/>
      </c>
      <c r="L219" s="9" t="n"/>
      <c r="M219" s="6">
        <f>IF(J219="","",K219*D219)</f>
        <v/>
      </c>
      <c r="N219" s="6">
        <f>IF(L219="","",L219*D219*55)</f>
        <v/>
      </c>
      <c r="O219" s="6">
        <f>IF(M219="","",M219+N(N219))</f>
        <v/>
      </c>
      <c r="P219" s="9" t="n"/>
      <c r="Q219" s="4" t="inlineStr"/>
      <c r="R219" s="4" t="inlineStr"/>
      <c r="S219" s="9" t="n"/>
    </row>
    <row r="220" ht="34" customHeight="1">
      <c r="A220" s="4" t="inlineStr">
        <is>
          <t>1.6</t>
        </is>
      </c>
      <c r="B220" s="9" t="n">
        <v>7</v>
      </c>
      <c r="C220" s="4" t="inlineStr">
        <is>
          <t>Клапан обратный двухстворчатый DENDOR 010C Ду 100 Ру 16 межфланцевый</t>
        </is>
      </c>
      <c r="D220" s="9" t="n">
        <v>1</v>
      </c>
      <c r="E220" s="4" t="inlineStr">
        <is>
          <t>шт</t>
        </is>
      </c>
      <c r="F220" s="9" t="n">
        <v>100</v>
      </c>
      <c r="G220" s="9" t="n">
        <v>1.6</v>
      </c>
      <c r="H220" s="4" t="inlineStr">
        <is>
          <t>Чугун GGG40</t>
        </is>
      </c>
      <c r="I220" s="4" t="inlineStr">
        <is>
          <t>-</t>
        </is>
      </c>
      <c r="J220" s="13" t="n"/>
      <c r="K220" s="6">
        <f>IF(J220="","",J220*(1-0.1))</f>
        <v/>
      </c>
      <c r="L220" s="9" t="n"/>
      <c r="M220" s="6">
        <f>IF(J220="","",K220*D220)</f>
        <v/>
      </c>
      <c r="N220" s="6">
        <f>IF(L220="","",L220*D220*55)</f>
        <v/>
      </c>
      <c r="O220" s="6">
        <f>IF(M220="","",M220+N(N220))</f>
        <v/>
      </c>
      <c r="P220" s="9" t="n"/>
      <c r="Q220" s="4" t="inlineStr"/>
      <c r="R220" s="4" t="inlineStr"/>
      <c r="S220" s="9" t="n"/>
    </row>
    <row r="221" ht="34" customHeight="1">
      <c r="A221" s="4" t="inlineStr">
        <is>
          <t>1.6</t>
        </is>
      </c>
      <c r="B221" s="9" t="n">
        <v>8</v>
      </c>
      <c r="C221" s="4" t="inlineStr">
        <is>
          <t>Клапан обратный двухстворчатый DENDOR 010C Ду 150 Ру 16 межфланцевый</t>
        </is>
      </c>
      <c r="D221" s="9" t="n">
        <v>1</v>
      </c>
      <c r="E221" s="4" t="inlineStr">
        <is>
          <t>шт</t>
        </is>
      </c>
      <c r="F221" s="9" t="n">
        <v>150</v>
      </c>
      <c r="G221" s="9" t="n">
        <v>1.6</v>
      </c>
      <c r="H221" s="4" t="inlineStr">
        <is>
          <t>Чугун GGG40</t>
        </is>
      </c>
      <c r="I221" s="4" t="inlineStr">
        <is>
          <t>-</t>
        </is>
      </c>
      <c r="J221" s="13" t="n"/>
      <c r="K221" s="6">
        <f>IF(J221="","",J221*(1-0.1))</f>
        <v/>
      </c>
      <c r="L221" s="9" t="n"/>
      <c r="M221" s="6">
        <f>IF(J221="","",K221*D221)</f>
        <v/>
      </c>
      <c r="N221" s="6">
        <f>IF(L221="","",L221*D221*55)</f>
        <v/>
      </c>
      <c r="O221" s="6">
        <f>IF(M221="","",M221+N(N221))</f>
        <v/>
      </c>
      <c r="P221" s="9" t="n"/>
      <c r="Q221" s="4" t="inlineStr"/>
      <c r="R221" s="4" t="inlineStr"/>
      <c r="S221" s="9" t="n"/>
    </row>
    <row r="222" ht="34" customHeight="1">
      <c r="A222" s="4" t="inlineStr">
        <is>
          <t>1.6</t>
        </is>
      </c>
      <c r="B222" s="9" t="n">
        <v>9</v>
      </c>
      <c r="C222" s="4" t="inlineStr">
        <is>
          <t>Клапан обратный двухстворчатый DENDOR 010C Ду 200 Ру 16 межфланцевый</t>
        </is>
      </c>
      <c r="D222" s="9" t="n">
        <v>1</v>
      </c>
      <c r="E222" s="4" t="inlineStr">
        <is>
          <t>шт</t>
        </is>
      </c>
      <c r="F222" s="9" t="n">
        <v>200</v>
      </c>
      <c r="G222" s="9" t="n">
        <v>1.6</v>
      </c>
      <c r="H222" s="4" t="inlineStr">
        <is>
          <t>Чугун GGG40</t>
        </is>
      </c>
      <c r="I222" s="4" t="inlineStr">
        <is>
          <t>-</t>
        </is>
      </c>
      <c r="J222" s="13" t="n"/>
      <c r="K222" s="6">
        <f>IF(J222="","",J222*(1-0.1))</f>
        <v/>
      </c>
      <c r="L222" s="9" t="n"/>
      <c r="M222" s="6">
        <f>IF(J222="","",K222*D222)</f>
        <v/>
      </c>
      <c r="N222" s="6">
        <f>IF(L222="","",L222*D222*55)</f>
        <v/>
      </c>
      <c r="O222" s="6">
        <f>IF(M222="","",M222+N(N222))</f>
        <v/>
      </c>
      <c r="P222" s="9" t="n"/>
      <c r="Q222" s="4" t="inlineStr"/>
      <c r="R222" s="4" t="inlineStr"/>
      <c r="S222" s="9" t="n"/>
    </row>
    <row r="223" ht="34" customHeight="1">
      <c r="A223" s="4" t="inlineStr">
        <is>
          <t>1.6</t>
        </is>
      </c>
      <c r="B223" s="9" t="n">
        <v>10</v>
      </c>
      <c r="C223" s="4" t="inlineStr">
        <is>
          <t>Клапан предохранительный сбросный ПСК 50C/125 Ду 50</t>
        </is>
      </c>
      <c r="D223" s="9" t="n">
        <v>1</v>
      </c>
      <c r="E223" s="4" t="inlineStr">
        <is>
          <t>шт</t>
        </is>
      </c>
      <c r="F223" s="9" t="n">
        <v>50</v>
      </c>
      <c r="G223" s="4" t="inlineStr">
        <is>
          <t>-</t>
        </is>
      </c>
      <c r="H223" s="4" t="inlineStr">
        <is>
          <t>алюминий</t>
        </is>
      </c>
      <c r="I223" s="4" t="inlineStr">
        <is>
          <t>-</t>
        </is>
      </c>
      <c r="J223" s="13" t="n"/>
      <c r="K223" s="6">
        <f>IF(J223="","",J223*(1-0.1))</f>
        <v/>
      </c>
      <c r="L223" s="9" t="n"/>
      <c r="M223" s="6">
        <f>IF(J223="","",K223*D223)</f>
        <v/>
      </c>
      <c r="N223" s="6">
        <f>IF(L223="","",L223*D223*55)</f>
        <v/>
      </c>
      <c r="O223" s="6">
        <f>IF(M223="","",M223+N(N223))</f>
        <v/>
      </c>
      <c r="P223" s="9" t="n"/>
      <c r="Q223" s="4" t="inlineStr"/>
      <c r="R223" s="4" t="inlineStr"/>
      <c r="S223" s="9" t="n"/>
    </row>
    <row r="224" ht="34" customHeight="1">
      <c r="A224" s="4" t="inlineStr">
        <is>
          <t>1.6</t>
        </is>
      </c>
      <c r="B224" s="9" t="n">
        <v>11</v>
      </c>
      <c r="C224" s="4" t="inlineStr">
        <is>
          <t>Клапан предохранительный 17с11нж Ду 25 Ру 16</t>
        </is>
      </c>
      <c r="D224" s="9" t="n">
        <v>2</v>
      </c>
      <c r="E224" s="4" t="inlineStr">
        <is>
          <t>шт</t>
        </is>
      </c>
      <c r="F224" s="9" t="n">
        <v>25</v>
      </c>
      <c r="G224" s="9" t="n">
        <v>1.6</v>
      </c>
      <c r="H224" s="4" t="inlineStr">
        <is>
          <t>Углеродистая сталь</t>
        </is>
      </c>
      <c r="I224" s="4" t="inlineStr">
        <is>
          <t>-</t>
        </is>
      </c>
      <c r="J224" s="13" t="n"/>
      <c r="K224" s="6">
        <f>IF(J224="","",J224*(1-0.1))</f>
        <v/>
      </c>
      <c r="L224" s="9" t="n"/>
      <c r="M224" s="6">
        <f>IF(J224="","",K224*D224)</f>
        <v/>
      </c>
      <c r="N224" s="6">
        <f>IF(L224="","",L224*D224*55)</f>
        <v/>
      </c>
      <c r="O224" s="6">
        <f>IF(M224="","",M224+N(N224))</f>
        <v/>
      </c>
      <c r="P224" s="9" t="n"/>
      <c r="Q224" s="4" t="inlineStr"/>
      <c r="R224" s="4" t="inlineStr"/>
      <c r="S224" s="9" t="n"/>
    </row>
    <row r="225" ht="34" customHeight="1">
      <c r="A225" s="4" t="inlineStr">
        <is>
          <t>1.6</t>
        </is>
      </c>
      <c r="B225" s="9" t="n">
        <v>12</v>
      </c>
      <c r="C225" s="4" t="inlineStr">
        <is>
          <t>Клапан предохранительный 17с28нж Ду 50 Ру16 (Рн 10-16)</t>
        </is>
      </c>
      <c r="D225" s="9" t="n">
        <v>3</v>
      </c>
      <c r="E225" s="4" t="inlineStr">
        <is>
          <t>шт</t>
        </is>
      </c>
      <c r="F225" s="9" t="n">
        <v>50</v>
      </c>
      <c r="G225" s="9" t="n">
        <v>1.6</v>
      </c>
      <c r="H225" s="4" t="inlineStr">
        <is>
          <t>сталь 25Л</t>
        </is>
      </c>
      <c r="I225" s="4" t="inlineStr">
        <is>
          <t>-</t>
        </is>
      </c>
      <c r="J225" s="13" t="n"/>
      <c r="K225" s="6">
        <f>IF(J225="","",J225*(1-0.1))</f>
        <v/>
      </c>
      <c r="L225" s="9" t="n"/>
      <c r="M225" s="6">
        <f>IF(J225="","",K225*D225)</f>
        <v/>
      </c>
      <c r="N225" s="6">
        <f>IF(L225="","",L225*D225*55)</f>
        <v/>
      </c>
      <c r="O225" s="6">
        <f>IF(M225="","",M225+N(N225))</f>
        <v/>
      </c>
      <c r="P225" s="9" t="n"/>
      <c r="Q225" s="4" t="inlineStr"/>
      <c r="R225" s="4" t="inlineStr"/>
      <c r="S225" s="9" t="n"/>
    </row>
    <row r="226" ht="34" customHeight="1">
      <c r="A226" s="4" t="inlineStr">
        <is>
          <t>1.6</t>
        </is>
      </c>
      <c r="B226" s="9" t="n">
        <v>13</v>
      </c>
      <c r="C226" s="4" t="inlineStr">
        <is>
          <t>Клапан предохранительный 17с6нж Ду 50 Ру 16</t>
        </is>
      </c>
      <c r="D226" s="9" t="n">
        <v>2</v>
      </c>
      <c r="E226" s="4" t="inlineStr">
        <is>
          <t>шт</t>
        </is>
      </c>
      <c r="F226" s="9" t="n">
        <v>50</v>
      </c>
      <c r="G226" s="9" t="n">
        <v>1.6</v>
      </c>
      <c r="H226" s="4" t="inlineStr">
        <is>
          <t>сталь 25Л</t>
        </is>
      </c>
      <c r="I226" s="4" t="inlineStr"/>
      <c r="J226" s="13" t="n"/>
      <c r="K226" s="6">
        <f>IF(J226="","",J226*(1-0.1))</f>
        <v/>
      </c>
      <c r="L226" s="9" t="n"/>
      <c r="M226" s="6">
        <f>IF(J226="","",K226*D226)</f>
        <v/>
      </c>
      <c r="N226" s="6">
        <f>IF(L226="","",L226*D226*55)</f>
        <v/>
      </c>
      <c r="O226" s="6">
        <f>IF(M226="","",M226+N(N226))</f>
        <v/>
      </c>
      <c r="P226" s="9" t="n"/>
      <c r="Q226" s="4" t="inlineStr"/>
      <c r="R226" s="4" t="inlineStr"/>
      <c r="S226" s="9" t="n"/>
    </row>
    <row r="227" ht="34" customHeight="1">
      <c r="A227" s="4" t="inlineStr">
        <is>
          <t>1.6</t>
        </is>
      </c>
      <c r="B227" s="9" t="n">
        <v>14</v>
      </c>
      <c r="C227" s="4" t="inlineStr">
        <is>
          <t>Клапан предохранительный 17с6нж Ду 80 Ру 16</t>
        </is>
      </c>
      <c r="D227" s="9" t="n">
        <v>1</v>
      </c>
      <c r="E227" s="4" t="inlineStr">
        <is>
          <t>шт</t>
        </is>
      </c>
      <c r="F227" s="9" t="n">
        <v>80</v>
      </c>
      <c r="G227" s="9" t="n">
        <v>1.6</v>
      </c>
      <c r="H227" s="4" t="inlineStr">
        <is>
          <t>сталь 25Л</t>
        </is>
      </c>
      <c r="I227" s="4" t="inlineStr"/>
      <c r="J227" s="13" t="n"/>
      <c r="K227" s="6">
        <f>IF(J227="","",J227*(1-0.1))</f>
        <v/>
      </c>
      <c r="L227" s="9" t="n"/>
      <c r="M227" s="6">
        <f>IF(J227="","",K227*D227)</f>
        <v/>
      </c>
      <c r="N227" s="6">
        <f>IF(L227="","",L227*D227*55)</f>
        <v/>
      </c>
      <c r="O227" s="6">
        <f>IF(M227="","",M227+N(N227))</f>
        <v/>
      </c>
      <c r="P227" s="9" t="n"/>
      <c r="Q227" s="4" t="inlineStr"/>
      <c r="R227" s="4" t="inlineStr"/>
      <c r="S227" s="9" t="n"/>
    </row>
    <row r="228" ht="34" customHeight="1">
      <c r="A228" s="4" t="inlineStr">
        <is>
          <t>1.6</t>
        </is>
      </c>
      <c r="B228" s="9" t="n">
        <v>15</v>
      </c>
      <c r="C228" s="4" t="inlineStr">
        <is>
          <t>Клапан 15с18нж Ду 32, Ру 25</t>
        </is>
      </c>
      <c r="D228" s="9" t="n">
        <v>1</v>
      </c>
      <c r="E228" s="4" t="inlineStr">
        <is>
          <t>шт</t>
        </is>
      </c>
      <c r="F228" s="9" t="n">
        <v>32</v>
      </c>
      <c r="G228" s="9" t="n">
        <v>2.5</v>
      </c>
      <c r="H228" s="4" t="inlineStr">
        <is>
          <t>сталь 20Л.</t>
        </is>
      </c>
      <c r="I228" s="4" t="inlineStr"/>
      <c r="J228" s="13" t="n"/>
      <c r="K228" s="6">
        <f>IF(J228="","",J228*(1-0.1))</f>
        <v/>
      </c>
      <c r="L228" s="9" t="n"/>
      <c r="M228" s="6">
        <f>IF(J228="","",K228*D228)</f>
        <v/>
      </c>
      <c r="N228" s="6">
        <f>IF(L228="","",L228*D228*55)</f>
        <v/>
      </c>
      <c r="O228" s="6">
        <f>IF(M228="","",M228+N(N228))</f>
        <v/>
      </c>
      <c r="P228" s="9" t="n"/>
      <c r="Q228" s="4" t="inlineStr"/>
      <c r="R228" s="4" t="inlineStr"/>
      <c r="S228" s="9" t="n"/>
    </row>
    <row r="229" ht="34" customHeight="1">
      <c r="A229" s="4" t="inlineStr">
        <is>
          <t>1.6</t>
        </is>
      </c>
      <c r="B229" s="9" t="n">
        <v>16</v>
      </c>
      <c r="C229" s="4" t="inlineStr">
        <is>
          <t>Кран для манометра трехходовой Ду 15 Ру 16</t>
        </is>
      </c>
      <c r="D229" s="9" t="n">
        <v>2</v>
      </c>
      <c r="E229" s="4" t="inlineStr">
        <is>
          <t>шт</t>
        </is>
      </c>
      <c r="F229" s="9" t="n">
        <v>15</v>
      </c>
      <c r="G229" s="9" t="n">
        <v>1.6</v>
      </c>
      <c r="H229" s="4" t="inlineStr">
        <is>
          <t>латунь ЛЦ40Сд</t>
        </is>
      </c>
      <c r="I229" s="4" t="inlineStr">
        <is>
          <t>ручной (рукоятка)</t>
        </is>
      </c>
      <c r="J229" s="13" t="n"/>
      <c r="K229" s="6">
        <f>IF(J229="","",J229*(1-0.1))</f>
        <v/>
      </c>
      <c r="L229" s="9" t="n"/>
      <c r="M229" s="6">
        <f>IF(J229="","",K229*D229)</f>
        <v/>
      </c>
      <c r="N229" s="6">
        <f>IF(L229="","",L229*D229*55)</f>
        <v/>
      </c>
      <c r="O229" s="6">
        <f>IF(M229="","",M229+N(N229))</f>
        <v/>
      </c>
      <c r="P229" s="9" t="n"/>
      <c r="Q229" s="4" t="inlineStr"/>
      <c r="R229" s="4" t="inlineStr"/>
      <c r="S229" s="9" t="n"/>
    </row>
    <row r="230" ht="34" customHeight="1">
      <c r="A230" s="4" t="inlineStr">
        <is>
          <t>1.6</t>
        </is>
      </c>
      <c r="B230" s="9" t="n">
        <v>17</v>
      </c>
      <c r="C230" s="4" t="inlineStr">
        <is>
          <t>Клапан запорный муфтовый 15б1п Ду 15 Ру 16</t>
        </is>
      </c>
      <c r="D230" s="9" t="n">
        <v>8</v>
      </c>
      <c r="E230" s="4" t="inlineStr">
        <is>
          <t>шт</t>
        </is>
      </c>
      <c r="F230" s="9" t="n">
        <v>15</v>
      </c>
      <c r="G230" s="9" t="n">
        <v>1.6</v>
      </c>
      <c r="H230" s="4" t="inlineStr">
        <is>
          <t>латунь ЛЦ40Сд</t>
        </is>
      </c>
      <c r="I230" s="4" t="inlineStr">
        <is>
          <t>ручной (маховик)</t>
        </is>
      </c>
      <c r="J230" s="13" t="n"/>
      <c r="K230" s="6">
        <f>IF(J230="","",J230*(1-0.1))</f>
        <v/>
      </c>
      <c r="L230" s="9" t="n"/>
      <c r="M230" s="6">
        <f>IF(J230="","",K230*D230)</f>
        <v/>
      </c>
      <c r="N230" s="6">
        <f>IF(L230="","",L230*D230*55)</f>
        <v/>
      </c>
      <c r="O230" s="6">
        <f>IF(M230="","",M230+N(N230))</f>
        <v/>
      </c>
      <c r="P230" s="9" t="n"/>
      <c r="Q230" s="4" t="inlineStr"/>
      <c r="R230" s="4" t="inlineStr"/>
      <c r="S230" s="9" t="n"/>
    </row>
    <row r="231" ht="34" customHeight="1">
      <c r="A231" s="4" t="inlineStr">
        <is>
          <t>1.6</t>
        </is>
      </c>
      <c r="B231" s="9" t="n">
        <v>18</v>
      </c>
      <c r="C231" s="4" t="inlineStr">
        <is>
          <t>Клапан запорный муфтовый 15б1п Ду 20 Ру 16</t>
        </is>
      </c>
      <c r="D231" s="9" t="n">
        <v>14</v>
      </c>
      <c r="E231" s="4" t="inlineStr">
        <is>
          <t>шт</t>
        </is>
      </c>
      <c r="F231" s="9" t="n">
        <v>20</v>
      </c>
      <c r="G231" s="9" t="n">
        <v>1.6</v>
      </c>
      <c r="H231" s="4" t="inlineStr">
        <is>
          <t>латунь ЛЦ40Сд</t>
        </is>
      </c>
      <c r="I231" s="4" t="inlineStr">
        <is>
          <t>ручной (маховик)</t>
        </is>
      </c>
      <c r="J231" s="13" t="n"/>
      <c r="K231" s="6">
        <f>IF(J231="","",J231*(1-0.1))</f>
        <v/>
      </c>
      <c r="L231" s="9" t="n"/>
      <c r="M231" s="6">
        <f>IF(J231="","",K231*D231)</f>
        <v/>
      </c>
      <c r="N231" s="6">
        <f>IF(L231="","",L231*D231*55)</f>
        <v/>
      </c>
      <c r="O231" s="6">
        <f>IF(M231="","",M231+N(N231))</f>
        <v/>
      </c>
      <c r="P231" s="9" t="n"/>
      <c r="Q231" s="4" t="inlineStr"/>
      <c r="R231" s="4" t="inlineStr"/>
      <c r="S231" s="9" t="n"/>
    </row>
    <row r="232" ht="34" customHeight="1">
      <c r="A232" s="4" t="inlineStr">
        <is>
          <t>1.6</t>
        </is>
      </c>
      <c r="B232" s="9" t="n">
        <v>19</v>
      </c>
      <c r="C232" s="4" t="inlineStr">
        <is>
          <t>Клапан запорный муфтовый 15б1п Ду 25 Ру 16</t>
        </is>
      </c>
      <c r="D232" s="9" t="n">
        <v>12</v>
      </c>
      <c r="E232" s="4" t="inlineStr">
        <is>
          <t>шт</t>
        </is>
      </c>
      <c r="F232" s="9" t="n">
        <v>25</v>
      </c>
      <c r="G232" s="9" t="n">
        <v>1.6</v>
      </c>
      <c r="H232" s="4" t="inlineStr">
        <is>
          <t>латунь ЛЦ40Сд</t>
        </is>
      </c>
      <c r="I232" s="4" t="inlineStr">
        <is>
          <t>ручной (маховик)</t>
        </is>
      </c>
      <c r="J232" s="13" t="n"/>
      <c r="K232" s="6">
        <f>IF(J232="","",J232*(1-0.1))</f>
        <v/>
      </c>
      <c r="L232" s="9" t="n"/>
      <c r="M232" s="6">
        <f>IF(J232="","",K232*D232)</f>
        <v/>
      </c>
      <c r="N232" s="6">
        <f>IF(L232="","",L232*D232*55)</f>
        <v/>
      </c>
      <c r="O232" s="6">
        <f>IF(M232="","",M232+N(N232))</f>
        <v/>
      </c>
      <c r="P232" s="9" t="n"/>
      <c r="Q232" s="4" t="inlineStr"/>
      <c r="R232" s="4" t="inlineStr"/>
      <c r="S232" s="9" t="n"/>
    </row>
    <row r="233" ht="34" customHeight="1">
      <c r="A233" s="4" t="inlineStr">
        <is>
          <t>1.6</t>
        </is>
      </c>
      <c r="B233" s="9" t="n">
        <v>20</v>
      </c>
      <c r="C233" s="4" t="inlineStr">
        <is>
          <t>Клапан запорный 15кч12пМ Ду 25 Ру 25</t>
        </is>
      </c>
      <c r="D233" s="9" t="n">
        <v>1</v>
      </c>
      <c r="E233" s="4" t="inlineStr">
        <is>
          <t>шт</t>
        </is>
      </c>
      <c r="F233" s="9" t="n">
        <v>25</v>
      </c>
      <c r="G233" s="9" t="n">
        <v>2.5</v>
      </c>
      <c r="H233" s="4" t="inlineStr">
        <is>
          <t>ковкий чугун КЧ 30-6</t>
        </is>
      </c>
      <c r="I233" s="4" t="inlineStr">
        <is>
          <t>ручной (маховик)</t>
        </is>
      </c>
      <c r="J233" s="13" t="n"/>
      <c r="K233" s="6">
        <f>IF(J233="","",J233*(1-0.1))</f>
        <v/>
      </c>
      <c r="L233" s="9" t="n"/>
      <c r="M233" s="6">
        <f>IF(J233="","",K233*D233)</f>
        <v/>
      </c>
      <c r="N233" s="6">
        <f>IF(L233="","",L233*D233*55)</f>
        <v/>
      </c>
      <c r="O233" s="6">
        <f>IF(M233="","",M233+N(N233))</f>
        <v/>
      </c>
      <c r="P233" s="9" t="n"/>
      <c r="Q233" s="4" t="inlineStr"/>
      <c r="R233" s="4" t="inlineStr"/>
      <c r="S233" s="9" t="n"/>
    </row>
    <row r="234" ht="34" customHeight="1">
      <c r="A234" s="4" t="inlineStr">
        <is>
          <t>1.6</t>
        </is>
      </c>
      <c r="B234" s="9" t="n">
        <v>21</v>
      </c>
      <c r="C234" s="4" t="inlineStr">
        <is>
          <t>Клапан запорный 15кч16п1 Ду 32 Ру 25</t>
        </is>
      </c>
      <c r="D234" s="9" t="n">
        <v>7</v>
      </c>
      <c r="E234" s="4" t="inlineStr">
        <is>
          <t>шт</t>
        </is>
      </c>
      <c r="F234" s="9" t="n">
        <v>32</v>
      </c>
      <c r="G234" s="9" t="n">
        <v>2.5</v>
      </c>
      <c r="H234" s="4" t="inlineStr">
        <is>
          <t>ковкий чугун КЧ 30-6</t>
        </is>
      </c>
      <c r="I234" s="4" t="inlineStr">
        <is>
          <t>ручной (маховик)</t>
        </is>
      </c>
      <c r="J234" s="13" t="n"/>
      <c r="K234" s="6">
        <f>IF(J234="","",J234*(1-0.1))</f>
        <v/>
      </c>
      <c r="L234" s="9" t="n"/>
      <c r="M234" s="6">
        <f>IF(J234="","",K234*D234)</f>
        <v/>
      </c>
      <c r="N234" s="6">
        <f>IF(L234="","",L234*D234*55)</f>
        <v/>
      </c>
      <c r="O234" s="6">
        <f>IF(M234="","",M234+N(N234))</f>
        <v/>
      </c>
      <c r="P234" s="9" t="n"/>
      <c r="Q234" s="4" t="inlineStr"/>
      <c r="R234" s="4" t="inlineStr"/>
      <c r="S234" s="9" t="n"/>
    </row>
    <row r="235" ht="34" customHeight="1">
      <c r="A235" s="4" t="inlineStr">
        <is>
          <t>1.6</t>
        </is>
      </c>
      <c r="B235" s="9" t="n">
        <v>22</v>
      </c>
      <c r="C235" s="4" t="inlineStr">
        <is>
          <t>Клапан запорный 15кч16п1 Ду 40 Ру 25</t>
        </is>
      </c>
      <c r="D235" s="9" t="n">
        <v>4</v>
      </c>
      <c r="E235" s="4" t="inlineStr">
        <is>
          <t>шт</t>
        </is>
      </c>
      <c r="F235" s="9" t="n">
        <v>40</v>
      </c>
      <c r="G235" s="9" t="n">
        <v>2.5</v>
      </c>
      <c r="H235" s="4" t="inlineStr">
        <is>
          <t>ковкий чугун КЧ 30-6</t>
        </is>
      </c>
      <c r="I235" s="4" t="inlineStr">
        <is>
          <t>ручной (маховик)</t>
        </is>
      </c>
      <c r="J235" s="13" t="n"/>
      <c r="K235" s="6">
        <f>IF(J235="","",J235*(1-0.1))</f>
        <v/>
      </c>
      <c r="L235" s="9" t="n"/>
      <c r="M235" s="6">
        <f>IF(J235="","",K235*D235)</f>
        <v/>
      </c>
      <c r="N235" s="6">
        <f>IF(L235="","",L235*D235*55)</f>
        <v/>
      </c>
      <c r="O235" s="6">
        <f>IF(M235="","",M235+N(N235))</f>
        <v/>
      </c>
      <c r="P235" s="9" t="n"/>
      <c r="Q235" s="4" t="inlineStr"/>
      <c r="R235" s="4" t="inlineStr"/>
      <c r="S235" s="9" t="n"/>
    </row>
    <row r="236" ht="34" customHeight="1">
      <c r="A236" s="4" t="inlineStr">
        <is>
          <t>1.6</t>
        </is>
      </c>
      <c r="B236" s="9" t="n">
        <v>23</v>
      </c>
      <c r="C236" s="4" t="inlineStr">
        <is>
          <t>Клапан запорный 15кч16п1 Ду 50 Ру 25</t>
        </is>
      </c>
      <c r="D236" s="9" t="n">
        <v>5</v>
      </c>
      <c r="E236" s="4" t="inlineStr">
        <is>
          <t>шт</t>
        </is>
      </c>
      <c r="F236" s="9" t="n">
        <v>50</v>
      </c>
      <c r="G236" s="9" t="n">
        <v>2.5</v>
      </c>
      <c r="H236" s="4" t="inlineStr">
        <is>
          <t>ковкий чугун КЧ 30-6</t>
        </is>
      </c>
      <c r="I236" s="4" t="inlineStr">
        <is>
          <t>ручной (маховик)</t>
        </is>
      </c>
      <c r="J236" s="13" t="n"/>
      <c r="K236" s="6">
        <f>IF(J236="","",J236*(1-0.1))</f>
        <v/>
      </c>
      <c r="L236" s="9" t="n"/>
      <c r="M236" s="6">
        <f>IF(J236="","",K236*D236)</f>
        <v/>
      </c>
      <c r="N236" s="6">
        <f>IF(L236="","",L236*D236*55)</f>
        <v/>
      </c>
      <c r="O236" s="6">
        <f>IF(M236="","",M236+N(N236))</f>
        <v/>
      </c>
      <c r="P236" s="9" t="n"/>
      <c r="Q236" s="4" t="inlineStr"/>
      <c r="R236" s="4" t="inlineStr"/>
      <c r="S236" s="9" t="n"/>
    </row>
    <row r="237" ht="34" customHeight="1">
      <c r="A237" s="4" t="inlineStr">
        <is>
          <t>1.6</t>
        </is>
      </c>
      <c r="B237" s="9" t="n">
        <v>24</v>
      </c>
      <c r="C237" s="4" t="inlineStr">
        <is>
          <t>Клапан запорный 15кч19п Ду 25 Ру 16</t>
        </is>
      </c>
      <c r="D237" s="9" t="n">
        <v>2</v>
      </c>
      <c r="E237" s="4" t="inlineStr">
        <is>
          <t>шт</t>
        </is>
      </c>
      <c r="F237" s="9" t="n">
        <v>25</v>
      </c>
      <c r="G237" s="9" t="n">
        <v>1.6</v>
      </c>
      <c r="H237" s="4" t="inlineStr">
        <is>
          <t>чугун</t>
        </is>
      </c>
      <c r="I237" s="4" t="inlineStr">
        <is>
          <t>ручной (маховик)</t>
        </is>
      </c>
      <c r="J237" s="13" t="n"/>
      <c r="K237" s="6">
        <f>IF(J237="","",J237*(1-0.1))</f>
        <v/>
      </c>
      <c r="L237" s="9" t="n"/>
      <c r="M237" s="6">
        <f>IF(J237="","",K237*D237)</f>
        <v/>
      </c>
      <c r="N237" s="6">
        <f>IF(L237="","",L237*D237*55)</f>
        <v/>
      </c>
      <c r="O237" s="6">
        <f>IF(M237="","",M237+N(N237))</f>
        <v/>
      </c>
      <c r="P237" s="9" t="n"/>
      <c r="Q237" s="4" t="inlineStr"/>
      <c r="R237" s="4" t="inlineStr"/>
      <c r="S237" s="9" t="n"/>
    </row>
    <row r="238" ht="34" customHeight="1">
      <c r="A238" s="4" t="inlineStr">
        <is>
          <t>1.6</t>
        </is>
      </c>
      <c r="B238" s="9" t="n">
        <v>25</v>
      </c>
      <c r="C238" s="4" t="inlineStr">
        <is>
          <t>Клапан запорный 15кч19п Ду 50 Ру 16</t>
        </is>
      </c>
      <c r="D238" s="9" t="n">
        <v>5</v>
      </c>
      <c r="E238" s="4" t="inlineStr">
        <is>
          <t>шт</t>
        </is>
      </c>
      <c r="F238" s="9" t="n">
        <v>50</v>
      </c>
      <c r="G238" s="9" t="n">
        <v>1.6</v>
      </c>
      <c r="H238" s="4" t="inlineStr">
        <is>
          <t>чугун</t>
        </is>
      </c>
      <c r="I238" s="4" t="inlineStr">
        <is>
          <t>ручной (маховик)</t>
        </is>
      </c>
      <c r="J238" s="13" t="n"/>
      <c r="K238" s="6">
        <f>IF(J238="","",J238*(1-0.1))</f>
        <v/>
      </c>
      <c r="L238" s="9" t="n"/>
      <c r="M238" s="6">
        <f>IF(J238="","",K238*D238)</f>
        <v/>
      </c>
      <c r="N238" s="6">
        <f>IF(L238="","",L238*D238*55)</f>
        <v/>
      </c>
      <c r="O238" s="6">
        <f>IF(M238="","",M238+N(N238))</f>
        <v/>
      </c>
      <c r="P238" s="9" t="n"/>
      <c r="Q238" s="4" t="inlineStr"/>
      <c r="R238" s="4" t="inlineStr"/>
      <c r="S238" s="9" t="n"/>
    </row>
    <row r="239" ht="34" customHeight="1">
      <c r="A239" s="4" t="inlineStr">
        <is>
          <t>1.6</t>
        </is>
      </c>
      <c r="B239" s="9" t="n">
        <v>26</v>
      </c>
      <c r="C239" s="4" t="inlineStr">
        <is>
          <t>Клапан запорный 15нж65нж Ду 80 Ру 16</t>
        </is>
      </c>
      <c r="D239" s="9" t="n">
        <v>1</v>
      </c>
      <c r="E239" s="4" t="inlineStr">
        <is>
          <t>шт</t>
        </is>
      </c>
      <c r="F239" s="9" t="n">
        <v>80</v>
      </c>
      <c r="G239" s="9" t="n">
        <v>1.6</v>
      </c>
      <c r="H239" s="4" t="inlineStr">
        <is>
          <t>сталь AISI 304</t>
        </is>
      </c>
      <c r="I239" s="4" t="inlineStr">
        <is>
          <t>ручной (маховик)</t>
        </is>
      </c>
      <c r="J239" s="13" t="n"/>
      <c r="K239" s="6">
        <f>IF(J239="","",J239*(1-0.1))</f>
        <v/>
      </c>
      <c r="L239" s="9" t="n"/>
      <c r="M239" s="6">
        <f>IF(J239="","",K239*D239)</f>
        <v/>
      </c>
      <c r="N239" s="6">
        <f>IF(L239="","",L239*D239*55)</f>
        <v/>
      </c>
      <c r="O239" s="6">
        <f>IF(M239="","",M239+N(N239))</f>
        <v/>
      </c>
      <c r="P239" s="9" t="n"/>
      <c r="Q239" s="4" t="inlineStr"/>
      <c r="R239" s="4" t="inlineStr"/>
      <c r="S239" s="9" t="n"/>
    </row>
    <row r="240" ht="34" customHeight="1">
      <c r="A240" s="4" t="inlineStr">
        <is>
          <t>1.6</t>
        </is>
      </c>
      <c r="B240" s="9" t="n">
        <v>27</v>
      </c>
      <c r="C240" s="4" t="inlineStr">
        <is>
          <t>Клапан запорный 15нж65нж Ду 100 Ру 16</t>
        </is>
      </c>
      <c r="D240" s="9" t="n">
        <v>1</v>
      </c>
      <c r="E240" s="4" t="inlineStr">
        <is>
          <t>шт</t>
        </is>
      </c>
      <c r="F240" s="9" t="n">
        <v>100</v>
      </c>
      <c r="G240" s="9" t="n">
        <v>1.6</v>
      </c>
      <c r="H240" s="4" t="inlineStr">
        <is>
          <t>сталь AISI 304</t>
        </is>
      </c>
      <c r="I240" s="4" t="inlineStr">
        <is>
          <t>ручной (маховик)</t>
        </is>
      </c>
      <c r="J240" s="13" t="n"/>
      <c r="K240" s="6">
        <f>IF(J240="","",J240*(1-0.1))</f>
        <v/>
      </c>
      <c r="L240" s="9" t="n"/>
      <c r="M240" s="6">
        <f>IF(J240="","",K240*D240)</f>
        <v/>
      </c>
      <c r="N240" s="6">
        <f>IF(L240="","",L240*D240*55)</f>
        <v/>
      </c>
      <c r="O240" s="6">
        <f>IF(M240="","",M240+N(N240))</f>
        <v/>
      </c>
      <c r="P240" s="9" t="n"/>
      <c r="Q240" s="4" t="inlineStr"/>
      <c r="R240" s="4" t="inlineStr"/>
      <c r="S240" s="9" t="n"/>
    </row>
    <row r="241" ht="34" customHeight="1">
      <c r="A241" s="4" t="inlineStr">
        <is>
          <t>1.6</t>
        </is>
      </c>
      <c r="B241" s="9" t="n">
        <v>28</v>
      </c>
      <c r="C241" s="4" t="inlineStr">
        <is>
          <t>Клапан запорный 15нж65нж Ду 32 Ру 16</t>
        </is>
      </c>
      <c r="D241" s="9" t="n">
        <v>1</v>
      </c>
      <c r="E241" s="4" t="inlineStr">
        <is>
          <t>шт</t>
        </is>
      </c>
      <c r="F241" s="9" t="n">
        <v>32</v>
      </c>
      <c r="G241" s="9" t="n">
        <v>1.6</v>
      </c>
      <c r="H241" s="4" t="inlineStr">
        <is>
          <t>сталь AISI 304</t>
        </is>
      </c>
      <c r="I241" s="4" t="inlineStr">
        <is>
          <t>ручной (маховик)</t>
        </is>
      </c>
      <c r="J241" s="13" t="n"/>
      <c r="K241" s="6">
        <f>IF(J241="","",J241*(1-0.1))</f>
        <v/>
      </c>
      <c r="L241" s="9" t="n"/>
      <c r="M241" s="6">
        <f>IF(J241="","",K241*D241)</f>
        <v/>
      </c>
      <c r="N241" s="6">
        <f>IF(L241="","",L241*D241*55)</f>
        <v/>
      </c>
      <c r="O241" s="6">
        <f>IF(M241="","",M241+N(N241))</f>
        <v/>
      </c>
      <c r="P241" s="9" t="n"/>
      <c r="Q241" s="4" t="inlineStr"/>
      <c r="R241" s="4" t="inlineStr"/>
      <c r="S241" s="9" t="n"/>
    </row>
    <row r="242" ht="34" customHeight="1">
      <c r="A242" s="4" t="inlineStr">
        <is>
          <t>1.6</t>
        </is>
      </c>
      <c r="B242" s="9" t="n">
        <v>29</v>
      </c>
      <c r="C242" s="4" t="inlineStr">
        <is>
          <t>Клапан стальной запорный фланцевый 15с18нж Ду 32 Ру 16</t>
        </is>
      </c>
      <c r="D242" s="9" t="n">
        <v>2</v>
      </c>
      <c r="E242" s="4" t="inlineStr">
        <is>
          <t>шт</t>
        </is>
      </c>
      <c r="F242" s="9" t="n">
        <v>32</v>
      </c>
      <c r="G242" s="9" t="n">
        <v>1.6</v>
      </c>
      <c r="H242" s="4" t="inlineStr">
        <is>
          <t>Углеродистая сталь</t>
        </is>
      </c>
      <c r="I242" s="4" t="inlineStr">
        <is>
          <t>ручной (маховик)</t>
        </is>
      </c>
      <c r="J242" s="13" t="n"/>
      <c r="K242" s="6">
        <f>IF(J242="","",J242*(1-0.1))</f>
        <v/>
      </c>
      <c r="L242" s="9" t="n"/>
      <c r="M242" s="6">
        <f>IF(J242="","",K242*D242)</f>
        <v/>
      </c>
      <c r="N242" s="6">
        <f>IF(L242="","",L242*D242*55)</f>
        <v/>
      </c>
      <c r="O242" s="6">
        <f>IF(M242="","",M242+N(N242))</f>
        <v/>
      </c>
      <c r="P242" s="9" t="n"/>
      <c r="Q242" s="4" t="inlineStr"/>
      <c r="R242" s="4" t="inlineStr"/>
      <c r="S242" s="9" t="n"/>
    </row>
    <row r="243" ht="34" customHeight="1">
      <c r="A243" s="4" t="inlineStr">
        <is>
          <t>1.6</t>
        </is>
      </c>
      <c r="B243" s="9" t="n">
        <v>30</v>
      </c>
      <c r="C243" s="4" t="inlineStr">
        <is>
          <t>Клапан запорный 15с18п Ду 80 Ру 25</t>
        </is>
      </c>
      <c r="D243" s="9" t="n">
        <v>1</v>
      </c>
      <c r="E243" s="4" t="inlineStr">
        <is>
          <t>шт</t>
        </is>
      </c>
      <c r="F243" s="9" t="n">
        <v>80</v>
      </c>
      <c r="G243" s="9" t="n">
        <v>2.5</v>
      </c>
      <c r="H243" s="4" t="inlineStr">
        <is>
          <t xml:space="preserve">	сталь 25Л</t>
        </is>
      </c>
      <c r="I243" s="4" t="inlineStr">
        <is>
          <t>ручной (маховик)</t>
        </is>
      </c>
      <c r="J243" s="13" t="n"/>
      <c r="K243" s="6">
        <f>IF(J243="","",J243*(1-0.1))</f>
        <v/>
      </c>
      <c r="L243" s="9" t="n"/>
      <c r="M243" s="6">
        <f>IF(J243="","",K243*D243)</f>
        <v/>
      </c>
      <c r="N243" s="6">
        <f>IF(L243="","",L243*D243*55)</f>
        <v/>
      </c>
      <c r="O243" s="6">
        <f>IF(M243="","",M243+N(N243))</f>
        <v/>
      </c>
      <c r="P243" s="9" t="n"/>
      <c r="Q243" s="4" t="inlineStr"/>
      <c r="R243" s="4" t="inlineStr"/>
      <c r="S243" s="9" t="n"/>
    </row>
    <row r="244" ht="34" customHeight="1">
      <c r="A244" s="4" t="inlineStr">
        <is>
          <t>1.6</t>
        </is>
      </c>
      <c r="B244" s="9" t="n">
        <v>31</v>
      </c>
      <c r="C244" s="4" t="inlineStr">
        <is>
          <t>Клапан запорный 15с18п Ду 100 Ру 25</t>
        </is>
      </c>
      <c r="D244" s="9" t="n">
        <v>1</v>
      </c>
      <c r="E244" s="4" t="inlineStr">
        <is>
          <t>шт</t>
        </is>
      </c>
      <c r="F244" s="9" t="n">
        <v>100</v>
      </c>
      <c r="G244" s="9" t="n">
        <v>2.5</v>
      </c>
      <c r="H244" s="4" t="inlineStr">
        <is>
          <t xml:space="preserve">	сталь 25Л</t>
        </is>
      </c>
      <c r="I244" s="4" t="inlineStr">
        <is>
          <t>ручной (маховик)</t>
        </is>
      </c>
      <c r="J244" s="13" t="n"/>
      <c r="K244" s="6">
        <f>IF(J244="","",J244*(1-0.1))</f>
        <v/>
      </c>
      <c r="L244" s="9" t="n"/>
      <c r="M244" s="6">
        <f>IF(J244="","",K244*D244)</f>
        <v/>
      </c>
      <c r="N244" s="6">
        <f>IF(L244="","",L244*D244*55)</f>
        <v/>
      </c>
      <c r="O244" s="6">
        <f>IF(M244="","",M244+N(N244))</f>
        <v/>
      </c>
      <c r="P244" s="9" t="n"/>
      <c r="Q244" s="4" t="inlineStr"/>
      <c r="R244" s="4" t="inlineStr"/>
      <c r="S244" s="9" t="n"/>
    </row>
    <row r="245" ht="34" customHeight="1">
      <c r="A245" s="4" t="inlineStr">
        <is>
          <t>1.6</t>
        </is>
      </c>
      <c r="B245" s="9" t="n">
        <v>32</v>
      </c>
      <c r="C245" s="4" t="inlineStr">
        <is>
          <t>Клапан запорный 15с22нж Ду 25 Ру 40</t>
        </is>
      </c>
      <c r="D245" s="9" t="n">
        <v>1</v>
      </c>
      <c r="E245" s="4" t="inlineStr">
        <is>
          <t>шт</t>
        </is>
      </c>
      <c r="F245" s="9" t="n">
        <v>25</v>
      </c>
      <c r="G245" s="9" t="n">
        <v>4</v>
      </c>
      <c r="H245" s="4" t="inlineStr">
        <is>
          <t>сталь 25Л</t>
        </is>
      </c>
      <c r="I245" s="4" t="inlineStr">
        <is>
          <t>ручной (маховик)</t>
        </is>
      </c>
      <c r="J245" s="13" t="n"/>
      <c r="K245" s="6">
        <f>IF(J245="","",J245*(1-0.1))</f>
        <v/>
      </c>
      <c r="L245" s="9" t="n"/>
      <c r="M245" s="6">
        <f>IF(J245="","",K245*D245)</f>
        <v/>
      </c>
      <c r="N245" s="6">
        <f>IF(L245="","",L245*D245*55)</f>
        <v/>
      </c>
      <c r="O245" s="6">
        <f>IF(M245="","",M245+N(N245))</f>
        <v/>
      </c>
      <c r="P245" s="9" t="n"/>
      <c r="Q245" s="4" t="inlineStr"/>
      <c r="R245" s="4" t="inlineStr"/>
      <c r="S245" s="9" t="n"/>
    </row>
    <row r="246" ht="34" customHeight="1">
      <c r="A246" s="4" t="inlineStr">
        <is>
          <t>1.6</t>
        </is>
      </c>
      <c r="B246" s="9" t="n">
        <v>33</v>
      </c>
      <c r="C246" s="4" t="inlineStr">
        <is>
          <t>Клапан запорный 15с22нж Ду 32 Ру 40</t>
        </is>
      </c>
      <c r="D246" s="9" t="n">
        <v>5</v>
      </c>
      <c r="E246" s="4" t="inlineStr">
        <is>
          <t>шт</t>
        </is>
      </c>
      <c r="F246" s="9" t="n">
        <v>32</v>
      </c>
      <c r="G246" s="9" t="n">
        <v>4</v>
      </c>
      <c r="H246" s="4" t="inlineStr">
        <is>
          <t>сталь 25Л</t>
        </is>
      </c>
      <c r="I246" s="4" t="inlineStr">
        <is>
          <t>ручной (маховик)</t>
        </is>
      </c>
      <c r="J246" s="13" t="n"/>
      <c r="K246" s="6">
        <f>IF(J246="","",J246*(1-0.1))</f>
        <v/>
      </c>
      <c r="L246" s="9" t="n"/>
      <c r="M246" s="6">
        <f>IF(J246="","",K246*D246)</f>
        <v/>
      </c>
      <c r="N246" s="6">
        <f>IF(L246="","",L246*D246*55)</f>
        <v/>
      </c>
      <c r="O246" s="6">
        <f>IF(M246="","",M246+N(N246))</f>
        <v/>
      </c>
      <c r="P246" s="9" t="n"/>
      <c r="Q246" s="4" t="inlineStr"/>
      <c r="R246" s="4" t="inlineStr"/>
      <c r="S246" s="9" t="n"/>
    </row>
    <row r="247" ht="34" customHeight="1">
      <c r="A247" s="4" t="inlineStr">
        <is>
          <t>1.6</t>
        </is>
      </c>
      <c r="B247" s="9" t="n">
        <v>34</v>
      </c>
      <c r="C247" s="4" t="inlineStr">
        <is>
          <t>Клапан запорный 15с22нж Ду 40 Ру 40</t>
        </is>
      </c>
      <c r="D247" s="9" t="n">
        <v>2</v>
      </c>
      <c r="E247" s="4" t="inlineStr">
        <is>
          <t>шт</t>
        </is>
      </c>
      <c r="F247" s="9" t="n">
        <v>40</v>
      </c>
      <c r="G247" s="9" t="n">
        <v>4</v>
      </c>
      <c r="H247" s="4" t="inlineStr">
        <is>
          <t>сталь 25Л</t>
        </is>
      </c>
      <c r="I247" s="4" t="inlineStr">
        <is>
          <t>ручной (маховик)</t>
        </is>
      </c>
      <c r="J247" s="13" t="n"/>
      <c r="K247" s="6">
        <f>IF(J247="","",J247*(1-0.1))</f>
        <v/>
      </c>
      <c r="L247" s="9" t="n"/>
      <c r="M247" s="6">
        <f>IF(J247="","",K247*D247)</f>
        <v/>
      </c>
      <c r="N247" s="6">
        <f>IF(L247="","",L247*D247*55)</f>
        <v/>
      </c>
      <c r="O247" s="6">
        <f>IF(M247="","",M247+N(N247))</f>
        <v/>
      </c>
      <c r="P247" s="9" t="n"/>
      <c r="Q247" s="4" t="inlineStr"/>
      <c r="R247" s="4" t="inlineStr"/>
      <c r="S247" s="9" t="n"/>
    </row>
    <row r="248" ht="34" customHeight="1">
      <c r="A248" s="4" t="inlineStr">
        <is>
          <t>1.6</t>
        </is>
      </c>
      <c r="B248" s="9" t="n">
        <v>35</v>
      </c>
      <c r="C248" s="4" t="inlineStr">
        <is>
          <t>Клапан запорный 15с22нж Ду 50 Ру 40</t>
        </is>
      </c>
      <c r="D248" s="9" t="n">
        <v>4</v>
      </c>
      <c r="E248" s="4" t="inlineStr">
        <is>
          <t>шт</t>
        </is>
      </c>
      <c r="F248" s="9" t="n">
        <v>50</v>
      </c>
      <c r="G248" s="9" t="n">
        <v>4</v>
      </c>
      <c r="H248" s="4" t="inlineStr">
        <is>
          <t>сталь 25Л</t>
        </is>
      </c>
      <c r="I248" s="4" t="inlineStr">
        <is>
          <t>ручной (маховик)</t>
        </is>
      </c>
      <c r="J248" s="13" t="n"/>
      <c r="K248" s="6">
        <f>IF(J248="","",J248*(1-0.1))</f>
        <v/>
      </c>
      <c r="L248" s="9" t="n"/>
      <c r="M248" s="6">
        <f>IF(J248="","",K248*D248)</f>
        <v/>
      </c>
      <c r="N248" s="6">
        <f>IF(L248="","",L248*D248*55)</f>
        <v/>
      </c>
      <c r="O248" s="6">
        <f>IF(M248="","",M248+N(N248))</f>
        <v/>
      </c>
      <c r="P248" s="9" t="n"/>
      <c r="Q248" s="4" t="inlineStr"/>
      <c r="R248" s="4" t="inlineStr"/>
      <c r="S248" s="9" t="n"/>
    </row>
    <row r="249" ht="34" customHeight="1">
      <c r="A249" s="4" t="inlineStr">
        <is>
          <t>1.6</t>
        </is>
      </c>
      <c r="B249" s="9" t="n">
        <v>36</v>
      </c>
      <c r="C249" s="4" t="inlineStr">
        <is>
          <t>Клапан запорный 15с22нж Ду 80 Ру 40</t>
        </is>
      </c>
      <c r="D249" s="9" t="n">
        <v>2</v>
      </c>
      <c r="E249" s="4" t="inlineStr">
        <is>
          <t>шт</t>
        </is>
      </c>
      <c r="F249" s="9" t="n">
        <v>80</v>
      </c>
      <c r="G249" s="9" t="n">
        <v>4</v>
      </c>
      <c r="H249" s="4" t="inlineStr">
        <is>
          <t>сталь 25Л</t>
        </is>
      </c>
      <c r="I249" s="4" t="inlineStr">
        <is>
          <t>ручной (маховик)</t>
        </is>
      </c>
      <c r="J249" s="13" t="n"/>
      <c r="K249" s="6">
        <f>IF(J249="","",J249*(1-0.1))</f>
        <v/>
      </c>
      <c r="L249" s="9" t="n"/>
      <c r="M249" s="6">
        <f>IF(J249="","",K249*D249)</f>
        <v/>
      </c>
      <c r="N249" s="6">
        <f>IF(L249="","",L249*D249*55)</f>
        <v/>
      </c>
      <c r="O249" s="6">
        <f>IF(M249="","",M249+N(N249))</f>
        <v/>
      </c>
      <c r="P249" s="9" t="n"/>
      <c r="Q249" s="4" t="inlineStr"/>
      <c r="R249" s="4" t="inlineStr"/>
      <c r="S249" s="9" t="n"/>
    </row>
    <row r="250" ht="34" customHeight="1">
      <c r="A250" s="4" t="inlineStr">
        <is>
          <t>1.6</t>
        </is>
      </c>
      <c r="B250" s="9" t="n">
        <v>37</v>
      </c>
      <c r="C250" s="4" t="inlineStr">
        <is>
          <t>Клапан запорный 15с65нж Ду 100 Ру 16 с КОФ</t>
        </is>
      </c>
      <c r="D250" s="9" t="n">
        <v>1</v>
      </c>
      <c r="E250" s="4" t="inlineStr">
        <is>
          <t>шт</t>
        </is>
      </c>
      <c r="F250" s="9" t="n">
        <v>100</v>
      </c>
      <c r="G250" s="9" t="n">
        <v>1.6</v>
      </c>
      <c r="H250" s="4" t="inlineStr">
        <is>
          <t>сталь 25Л</t>
        </is>
      </c>
      <c r="I250" s="4" t="inlineStr">
        <is>
          <t>ручной (маховик)</t>
        </is>
      </c>
      <c r="J250" s="13" t="n"/>
      <c r="K250" s="6">
        <f>IF(J250="","",J250*(1-0.1))</f>
        <v/>
      </c>
      <c r="L250" s="9" t="n"/>
      <c r="M250" s="6">
        <f>IF(J250="","",K250*D250)</f>
        <v/>
      </c>
      <c r="N250" s="6">
        <f>IF(L250="","",L250*D250*55)</f>
        <v/>
      </c>
      <c r="O250" s="6">
        <f>IF(M250="","",M250+N(N250))</f>
        <v/>
      </c>
      <c r="P250" s="9" t="n"/>
      <c r="Q250" s="4" t="inlineStr"/>
      <c r="R250" s="4" t="inlineStr"/>
      <c r="S250" s="9" t="n"/>
    </row>
    <row r="251" ht="34" customHeight="1">
      <c r="A251" s="4" t="inlineStr">
        <is>
          <t>1.6</t>
        </is>
      </c>
      <c r="B251" s="9" t="n">
        <v>38</v>
      </c>
      <c r="C251" s="4" t="inlineStr">
        <is>
          <t>Клапан запорный 15с65нж Ду 25 Ру 16 с КОФ</t>
        </is>
      </c>
      <c r="D251" s="9" t="n">
        <v>1</v>
      </c>
      <c r="E251" s="4" t="inlineStr">
        <is>
          <t>шт</t>
        </is>
      </c>
      <c r="F251" s="9" t="n">
        <v>25</v>
      </c>
      <c r="G251" s="9" t="n">
        <v>1.6</v>
      </c>
      <c r="H251" s="4" t="inlineStr">
        <is>
          <t>сталь 25Л</t>
        </is>
      </c>
      <c r="I251" s="4" t="inlineStr">
        <is>
          <t>ручной (маховик)</t>
        </is>
      </c>
      <c r="J251" s="13" t="n"/>
      <c r="K251" s="6">
        <f>IF(J251="","",J251*(1-0.1))</f>
        <v/>
      </c>
      <c r="L251" s="9" t="n"/>
      <c r="M251" s="6">
        <f>IF(J251="","",K251*D251)</f>
        <v/>
      </c>
      <c r="N251" s="6">
        <f>IF(L251="","",L251*D251*55)</f>
        <v/>
      </c>
      <c r="O251" s="6">
        <f>IF(M251="","",M251+N(N251))</f>
        <v/>
      </c>
      <c r="P251" s="9" t="n"/>
      <c r="Q251" s="4" t="inlineStr"/>
      <c r="R251" s="4" t="inlineStr"/>
      <c r="S251" s="9" t="n"/>
    </row>
    <row r="252" ht="34" customHeight="1">
      <c r="A252" s="4" t="inlineStr">
        <is>
          <t>1.6</t>
        </is>
      </c>
      <c r="B252" s="9" t="n">
        <v>39</v>
      </c>
      <c r="C252" s="4" t="inlineStr">
        <is>
          <t>Клапан запорный 15с65нж Ду 40 Ру 16 с КОФ</t>
        </is>
      </c>
      <c r="D252" s="9" t="n">
        <v>1</v>
      </c>
      <c r="E252" s="4" t="inlineStr">
        <is>
          <t>шт</t>
        </is>
      </c>
      <c r="F252" s="9" t="n">
        <v>40</v>
      </c>
      <c r="G252" s="9" t="n">
        <v>1.6</v>
      </c>
      <c r="H252" s="4" t="inlineStr">
        <is>
          <t>сталь 25Л</t>
        </is>
      </c>
      <c r="I252" s="4" t="inlineStr">
        <is>
          <t>ручной (маховик)</t>
        </is>
      </c>
      <c r="J252" s="13" t="n"/>
      <c r="K252" s="6">
        <f>IF(J252="","",J252*(1-0.1))</f>
        <v/>
      </c>
      <c r="L252" s="9" t="n"/>
      <c r="M252" s="6">
        <f>IF(J252="","",K252*D252)</f>
        <v/>
      </c>
      <c r="N252" s="6">
        <f>IF(L252="","",L252*D252*55)</f>
        <v/>
      </c>
      <c r="O252" s="6">
        <f>IF(M252="","",M252+N(N252))</f>
        <v/>
      </c>
      <c r="P252" s="9" t="n"/>
      <c r="Q252" s="4" t="inlineStr"/>
      <c r="R252" s="4" t="inlineStr"/>
      <c r="S252" s="9" t="n"/>
    </row>
    <row r="253" ht="34" customHeight="1">
      <c r="A253" s="4" t="inlineStr">
        <is>
          <t>1.6</t>
        </is>
      </c>
      <c r="B253" s="9" t="n">
        <v>40</v>
      </c>
      <c r="C253" s="4" t="inlineStr">
        <is>
          <t>Клапан запорный 15с65нж Ду 50 Ру 16 с КОФ</t>
        </is>
      </c>
      <c r="D253" s="9" t="n">
        <v>2</v>
      </c>
      <c r="E253" s="4" t="inlineStr">
        <is>
          <t>шт</t>
        </is>
      </c>
      <c r="F253" s="9" t="n">
        <v>50</v>
      </c>
      <c r="G253" s="9" t="n">
        <v>1.6</v>
      </c>
      <c r="H253" s="4" t="inlineStr">
        <is>
          <t>сталь 25Л</t>
        </is>
      </c>
      <c r="I253" s="4" t="inlineStr">
        <is>
          <t>ручной (маховик)</t>
        </is>
      </c>
      <c r="J253" s="13" t="n"/>
      <c r="K253" s="6">
        <f>IF(J253="","",J253*(1-0.1))</f>
        <v/>
      </c>
      <c r="L253" s="9" t="n"/>
      <c r="M253" s="6">
        <f>IF(J253="","",K253*D253)</f>
        <v/>
      </c>
      <c r="N253" s="6">
        <f>IF(L253="","",L253*D253*55)</f>
        <v/>
      </c>
      <c r="O253" s="6">
        <f>IF(M253="","",M253+N(N253))</f>
        <v/>
      </c>
      <c r="P253" s="9" t="n"/>
      <c r="Q253" s="4" t="inlineStr"/>
      <c r="R253" s="4" t="inlineStr"/>
      <c r="S253" s="9" t="n"/>
    </row>
    <row r="254" ht="34" customHeight="1">
      <c r="A254" s="4" t="inlineStr">
        <is>
          <t>1.6</t>
        </is>
      </c>
      <c r="B254" s="9" t="n">
        <v>41</v>
      </c>
      <c r="C254" s="4" t="inlineStr">
        <is>
          <t>Задвижка 30нж41нж Ду 80 Ру 16 1исп. САЗ</t>
        </is>
      </c>
      <c r="D254" s="9" t="n">
        <v>1</v>
      </c>
      <c r="E254" s="4" t="inlineStr">
        <is>
          <t>шт</t>
        </is>
      </c>
      <c r="F254" s="9" t="n">
        <v>80</v>
      </c>
      <c r="G254" s="9" t="n">
        <v>1.6</v>
      </c>
      <c r="H254" s="4" t="inlineStr">
        <is>
          <t>сталь 12Х18Н9ТЛ</t>
        </is>
      </c>
      <c r="I254" s="4" t="inlineStr">
        <is>
          <t>ручной (маховик)</t>
        </is>
      </c>
      <c r="J254" s="13" t="n"/>
      <c r="K254" s="6">
        <f>IF(J254="","",J254*(1-0.1))</f>
        <v/>
      </c>
      <c r="L254" s="9" t="n"/>
      <c r="M254" s="6">
        <f>IF(J254="","",K254*D254)</f>
        <v/>
      </c>
      <c r="N254" s="6">
        <f>IF(L254="","",L254*D254*55)</f>
        <v/>
      </c>
      <c r="O254" s="6">
        <f>IF(M254="","",M254+N(N254))</f>
        <v/>
      </c>
      <c r="P254" s="9" t="n"/>
      <c r="Q254" s="4" t="inlineStr"/>
      <c r="R254" s="4" t="inlineStr"/>
      <c r="S254" s="9" t="n"/>
    </row>
    <row r="255" ht="34" customHeight="1">
      <c r="A255" s="4" t="inlineStr">
        <is>
          <t>1.6</t>
        </is>
      </c>
      <c r="B255" s="9" t="n">
        <v>42</v>
      </c>
      <c r="C255" s="4" t="inlineStr">
        <is>
          <t>Задвижка 30с41нж Ду 50 Ру 16</t>
        </is>
      </c>
      <c r="D255" s="9" t="n">
        <v>14</v>
      </c>
      <c r="E255" s="4" t="inlineStr">
        <is>
          <t>шт</t>
        </is>
      </c>
      <c r="F255" s="9" t="n">
        <v>50</v>
      </c>
      <c r="G255" s="9" t="n">
        <v>1.6</v>
      </c>
      <c r="H255" s="4" t="inlineStr">
        <is>
          <t>сталь 25Л</t>
        </is>
      </c>
      <c r="I255" s="4" t="inlineStr">
        <is>
          <t>ручной (маховик)</t>
        </is>
      </c>
      <c r="J255" s="13" t="n"/>
      <c r="K255" s="6">
        <f>IF(J255="","",J255*(1-0.1))</f>
        <v/>
      </c>
      <c r="L255" s="9" t="n"/>
      <c r="M255" s="6">
        <f>IF(J255="","",K255*D255)</f>
        <v/>
      </c>
      <c r="N255" s="6">
        <f>IF(L255="","",L255*D255*55)</f>
        <v/>
      </c>
      <c r="O255" s="6">
        <f>IF(M255="","",M255+N(N255))</f>
        <v/>
      </c>
      <c r="P255" s="9" t="n"/>
      <c r="Q255" s="4" t="inlineStr"/>
      <c r="R255" s="4" t="inlineStr"/>
      <c r="S255" s="9" t="n"/>
    </row>
    <row r="256" ht="34" customHeight="1">
      <c r="A256" s="4" t="inlineStr">
        <is>
          <t>1.6</t>
        </is>
      </c>
      <c r="B256" s="9" t="n">
        <v>43</v>
      </c>
      <c r="C256" s="4" t="inlineStr">
        <is>
          <t>Задвижка 30с41нж Ду 80 Ру 16</t>
        </is>
      </c>
      <c r="D256" s="9" t="n">
        <v>11</v>
      </c>
      <c r="E256" s="4" t="inlineStr">
        <is>
          <t>шт</t>
        </is>
      </c>
      <c r="F256" s="9" t="n">
        <v>80</v>
      </c>
      <c r="G256" s="9" t="n">
        <v>1.6</v>
      </c>
      <c r="H256" s="4" t="inlineStr">
        <is>
          <t>сталь 25Л</t>
        </is>
      </c>
      <c r="I256" s="4" t="inlineStr">
        <is>
          <t>ручной (маховик)</t>
        </is>
      </c>
      <c r="J256" s="13" t="n"/>
      <c r="K256" s="6">
        <f>IF(J256="","",J256*(1-0.1))</f>
        <v/>
      </c>
      <c r="L256" s="9" t="n"/>
      <c r="M256" s="6">
        <f>IF(J256="","",K256*D256)</f>
        <v/>
      </c>
      <c r="N256" s="6">
        <f>IF(L256="","",L256*D256*55)</f>
        <v/>
      </c>
      <c r="O256" s="6">
        <f>IF(M256="","",M256+N(N256))</f>
        <v/>
      </c>
      <c r="P256" s="9" t="n"/>
      <c r="Q256" s="4" t="inlineStr"/>
      <c r="R256" s="4" t="inlineStr"/>
      <c r="S256" s="9" t="n"/>
    </row>
    <row r="257" ht="34" customHeight="1">
      <c r="A257" s="4" t="inlineStr">
        <is>
          <t>1.6</t>
        </is>
      </c>
      <c r="B257" s="9" t="n">
        <v>44</v>
      </c>
      <c r="C257" s="4" t="inlineStr">
        <is>
          <t>Задвижка 30с41нж Ду 100 Ру 16</t>
        </is>
      </c>
      <c r="D257" s="9" t="n">
        <v>10</v>
      </c>
      <c r="E257" s="4" t="inlineStr">
        <is>
          <t>шт</t>
        </is>
      </c>
      <c r="F257" s="9" t="n">
        <v>100</v>
      </c>
      <c r="G257" s="9" t="n">
        <v>1.6</v>
      </c>
      <c r="H257" s="4" t="inlineStr">
        <is>
          <t>сталь 25Л</t>
        </is>
      </c>
      <c r="I257" s="4" t="inlineStr">
        <is>
          <t>ручной (маховик)</t>
        </is>
      </c>
      <c r="J257" s="13" t="n"/>
      <c r="K257" s="6">
        <f>IF(J257="","",J257*(1-0.1))</f>
        <v/>
      </c>
      <c r="L257" s="9" t="n"/>
      <c r="M257" s="6">
        <f>IF(J257="","",K257*D257)</f>
        <v/>
      </c>
      <c r="N257" s="6">
        <f>IF(L257="","",L257*D257*55)</f>
        <v/>
      </c>
      <c r="O257" s="6">
        <f>IF(M257="","",M257+N(N257))</f>
        <v/>
      </c>
      <c r="P257" s="9" t="n"/>
      <c r="Q257" s="4" t="inlineStr"/>
      <c r="R257" s="4" t="inlineStr"/>
      <c r="S257" s="9" t="n"/>
    </row>
    <row r="258" ht="34" customHeight="1">
      <c r="A258" s="4" t="inlineStr">
        <is>
          <t>1.6</t>
        </is>
      </c>
      <c r="B258" s="9" t="n">
        <v>45</v>
      </c>
      <c r="C258" s="4" t="inlineStr">
        <is>
          <t>Задвижка 30с41нж Ду 150 Ру 16</t>
        </is>
      </c>
      <c r="D258" s="9" t="n">
        <v>7</v>
      </c>
      <c r="E258" s="4" t="inlineStr">
        <is>
          <t>шт</t>
        </is>
      </c>
      <c r="F258" s="9" t="n">
        <v>150</v>
      </c>
      <c r="G258" s="9" t="n">
        <v>1.6</v>
      </c>
      <c r="H258" s="4" t="inlineStr">
        <is>
          <t>сталь 25Л</t>
        </is>
      </c>
      <c r="I258" s="4" t="inlineStr">
        <is>
          <t>ручной (маховик)</t>
        </is>
      </c>
      <c r="J258" s="13" t="n"/>
      <c r="K258" s="6">
        <f>IF(J258="","",J258*(1-0.1))</f>
        <v/>
      </c>
      <c r="L258" s="9" t="n"/>
      <c r="M258" s="6">
        <f>IF(J258="","",K258*D258)</f>
        <v/>
      </c>
      <c r="N258" s="6">
        <f>IF(L258="","",L258*D258*55)</f>
        <v/>
      </c>
      <c r="O258" s="6">
        <f>IF(M258="","",M258+N(N258))</f>
        <v/>
      </c>
      <c r="P258" s="9" t="n"/>
      <c r="Q258" s="4" t="inlineStr"/>
      <c r="R258" s="4" t="inlineStr"/>
      <c r="S258" s="9" t="n"/>
    </row>
    <row r="259" ht="34" customHeight="1">
      <c r="A259" s="4" t="inlineStr">
        <is>
          <t>1.6</t>
        </is>
      </c>
      <c r="B259" s="9" t="n">
        <v>46</v>
      </c>
      <c r="C259" s="4" t="inlineStr">
        <is>
          <t>Задвижка 30с41нж Ду 200 Ру 16</t>
        </is>
      </c>
      <c r="D259" s="9" t="n">
        <v>2</v>
      </c>
      <c r="E259" s="4" t="inlineStr">
        <is>
          <t>шт</t>
        </is>
      </c>
      <c r="F259" s="9" t="n">
        <v>200</v>
      </c>
      <c r="G259" s="9" t="n">
        <v>1.6</v>
      </c>
      <c r="H259" s="4" t="inlineStr">
        <is>
          <t>сталь 25Л</t>
        </is>
      </c>
      <c r="I259" s="4" t="inlineStr">
        <is>
          <t>ручной (маховик)</t>
        </is>
      </c>
      <c r="J259" s="13" t="n"/>
      <c r="K259" s="6">
        <f>IF(J259="","",J259*(1-0.1))</f>
        <v/>
      </c>
      <c r="L259" s="9" t="n"/>
      <c r="M259" s="6">
        <f>IF(J259="","",K259*D259)</f>
        <v/>
      </c>
      <c r="N259" s="6">
        <f>IF(L259="","",L259*D259*55)</f>
        <v/>
      </c>
      <c r="O259" s="6">
        <f>IF(M259="","",M259+N(N259))</f>
        <v/>
      </c>
      <c r="P259" s="9" t="n"/>
      <c r="Q259" s="4" t="inlineStr"/>
      <c r="R259" s="4" t="inlineStr"/>
      <c r="S259" s="9" t="n"/>
    </row>
    <row r="260" ht="34" customHeight="1">
      <c r="A260" s="4" t="inlineStr">
        <is>
          <t>1.6</t>
        </is>
      </c>
      <c r="B260" s="9" t="n">
        <v>47</v>
      </c>
      <c r="C260" s="4" t="inlineStr">
        <is>
          <t>Задвижка 30ч6бр Ду 50 Ру 10</t>
        </is>
      </c>
      <c r="D260" s="9" t="n">
        <v>9</v>
      </c>
      <c r="E260" s="4" t="inlineStr">
        <is>
          <t>шт</t>
        </is>
      </c>
      <c r="F260" s="9" t="n">
        <v>50</v>
      </c>
      <c r="G260" s="9" t="n">
        <v>1</v>
      </c>
      <c r="H260" s="4" t="inlineStr">
        <is>
          <t>серый чугун СЧ 18 (СЧ 20)</t>
        </is>
      </c>
      <c r="I260" s="4" t="inlineStr">
        <is>
          <t>ручной (маховик)</t>
        </is>
      </c>
      <c r="J260" s="13" t="n"/>
      <c r="K260" s="6">
        <f>IF(J260="","",J260*(1-0.1))</f>
        <v/>
      </c>
      <c r="L260" s="9" t="n"/>
      <c r="M260" s="6">
        <f>IF(J260="","",K260*D260)</f>
        <v/>
      </c>
      <c r="N260" s="6">
        <f>IF(L260="","",L260*D260*55)</f>
        <v/>
      </c>
      <c r="O260" s="6">
        <f>IF(M260="","",M260+N(N260))</f>
        <v/>
      </c>
      <c r="P260" s="9" t="n"/>
      <c r="Q260" s="4" t="inlineStr"/>
      <c r="R260" s="4" t="inlineStr"/>
      <c r="S260" s="9" t="n"/>
    </row>
    <row r="261" ht="34" customHeight="1">
      <c r="A261" s="4" t="inlineStr">
        <is>
          <t>1.6</t>
        </is>
      </c>
      <c r="B261" s="9" t="n">
        <v>48</v>
      </c>
      <c r="C261" s="4" t="inlineStr">
        <is>
          <t>Задвижка 30ч6бр Ду 80 Ру 10</t>
        </is>
      </c>
      <c r="D261" s="9" t="n">
        <v>3</v>
      </c>
      <c r="E261" s="4" t="inlineStr">
        <is>
          <t>шт</t>
        </is>
      </c>
      <c r="F261" s="9" t="n">
        <v>80</v>
      </c>
      <c r="G261" s="9" t="n">
        <v>1</v>
      </c>
      <c r="H261" s="4" t="inlineStr">
        <is>
          <t>серый чугун СЧ 18 (СЧ 20)</t>
        </is>
      </c>
      <c r="I261" s="4" t="inlineStr">
        <is>
          <t>ручной (маховик)</t>
        </is>
      </c>
      <c r="J261" s="13" t="n"/>
      <c r="K261" s="6">
        <f>IF(J261="","",J261*(1-0.1))</f>
        <v/>
      </c>
      <c r="L261" s="9" t="n"/>
      <c r="M261" s="6">
        <f>IF(J261="","",K261*D261)</f>
        <v/>
      </c>
      <c r="N261" s="6">
        <f>IF(L261="","",L261*D261*55)</f>
        <v/>
      </c>
      <c r="O261" s="6">
        <f>IF(M261="","",M261+N(N261))</f>
        <v/>
      </c>
      <c r="P261" s="9" t="n"/>
      <c r="Q261" s="4" t="inlineStr"/>
      <c r="R261" s="4" t="inlineStr"/>
      <c r="S261" s="9" t="n"/>
    </row>
    <row r="262" ht="34" customHeight="1">
      <c r="A262" s="4" t="inlineStr">
        <is>
          <t>1.6</t>
        </is>
      </c>
      <c r="B262" s="9" t="n">
        <v>49</v>
      </c>
      <c r="C262" s="4" t="inlineStr">
        <is>
          <t>Задвижка 30ч6бр Ду 100 Ру 10</t>
        </is>
      </c>
      <c r="D262" s="9" t="n">
        <v>3</v>
      </c>
      <c r="E262" s="4" t="inlineStr">
        <is>
          <t>шт</t>
        </is>
      </c>
      <c r="F262" s="9" t="n">
        <v>100</v>
      </c>
      <c r="G262" s="9" t="n">
        <v>1</v>
      </c>
      <c r="H262" s="4" t="inlineStr">
        <is>
          <t>серый чугун СЧ 18 (СЧ 20)</t>
        </is>
      </c>
      <c r="I262" s="4" t="inlineStr">
        <is>
          <t>ручной (маховик)</t>
        </is>
      </c>
      <c r="J262" s="13" t="n"/>
      <c r="K262" s="6">
        <f>IF(J262="","",J262*(1-0.1))</f>
        <v/>
      </c>
      <c r="L262" s="9" t="n"/>
      <c r="M262" s="6">
        <f>IF(J262="","",K262*D262)</f>
        <v/>
      </c>
      <c r="N262" s="6">
        <f>IF(L262="","",L262*D262*55)</f>
        <v/>
      </c>
      <c r="O262" s="6">
        <f>IF(M262="","",M262+N(N262))</f>
        <v/>
      </c>
      <c r="P262" s="9" t="n"/>
      <c r="Q262" s="4" t="inlineStr"/>
      <c r="R262" s="4" t="inlineStr"/>
      <c r="S262" s="9" t="n"/>
    </row>
    <row r="263" ht="34" customHeight="1">
      <c r="A263" s="4" t="inlineStr">
        <is>
          <t>1.6</t>
        </is>
      </c>
      <c r="B263" s="9" t="n">
        <v>50</v>
      </c>
      <c r="C263" s="4" t="inlineStr">
        <is>
          <t>Кран шаровой 11б27п(м) Ду 015 Ру16 3-х ходовой для манометров</t>
        </is>
      </c>
      <c r="D263" s="9" t="n">
        <v>132</v>
      </c>
      <c r="E263" s="4" t="inlineStr">
        <is>
          <t>шт</t>
        </is>
      </c>
      <c r="F263" s="9" t="n">
        <v>15</v>
      </c>
      <c r="G263" s="9" t="n">
        <v>1.6</v>
      </c>
      <c r="H263" s="4" t="inlineStr">
        <is>
          <t>латунь ЛЦ40Сд</t>
        </is>
      </c>
      <c r="I263" s="4" t="inlineStr">
        <is>
          <t>ручной (рукоятка)</t>
        </is>
      </c>
      <c r="J263" s="13" t="n"/>
      <c r="K263" s="6">
        <f>IF(J263="","",J263*(1-0.1))</f>
        <v/>
      </c>
      <c r="L263" s="9" t="n"/>
      <c r="M263" s="6">
        <f>IF(J263="","",K263*D263)</f>
        <v/>
      </c>
      <c r="N263" s="6">
        <f>IF(L263="","",L263*D263*55)</f>
        <v/>
      </c>
      <c r="O263" s="6">
        <f>IF(M263="","",M263+N(N263))</f>
        <v/>
      </c>
      <c r="P263" s="9" t="n"/>
      <c r="Q263" s="4" t="inlineStr"/>
      <c r="R263" s="4" t="inlineStr"/>
      <c r="S263" s="9" t="n"/>
    </row>
    <row r="264" ht="34" customHeight="1">
      <c r="A264" s="4" t="inlineStr">
        <is>
          <t>1.6</t>
        </is>
      </c>
      <c r="B264" s="9" t="n">
        <v>51</v>
      </c>
      <c r="C264" s="4" t="inlineStr">
        <is>
          <t>Кран шаровой 11б27п1 Ду 15 Ру 16</t>
        </is>
      </c>
      <c r="D264" s="9" t="n">
        <v>47</v>
      </c>
      <c r="E264" s="4" t="inlineStr">
        <is>
          <t>шт</t>
        </is>
      </c>
      <c r="F264" s="9" t="n">
        <v>15</v>
      </c>
      <c r="G264" s="9" t="n">
        <v>1.6</v>
      </c>
      <c r="H264" s="4" t="inlineStr">
        <is>
          <t>латунь ЛЦ40Сд</t>
        </is>
      </c>
      <c r="I264" s="4" t="inlineStr">
        <is>
          <t>ручной (рукоятка)</t>
        </is>
      </c>
      <c r="J264" s="13" t="n"/>
      <c r="K264" s="6">
        <f>IF(J264="","",J264*(1-0.1))</f>
        <v/>
      </c>
      <c r="L264" s="9" t="n"/>
      <c r="M264" s="6">
        <f>IF(J264="","",K264*D264)</f>
        <v/>
      </c>
      <c r="N264" s="6">
        <f>IF(L264="","",L264*D264*55)</f>
        <v/>
      </c>
      <c r="O264" s="6">
        <f>IF(M264="","",M264+N(N264))</f>
        <v/>
      </c>
      <c r="P264" s="9" t="n"/>
      <c r="Q264" s="4" t="inlineStr"/>
      <c r="R264" s="4" t="inlineStr"/>
      <c r="S264" s="9" t="n"/>
    </row>
    <row r="265" ht="34" customHeight="1">
      <c r="A265" s="4" t="inlineStr">
        <is>
          <t>1.6</t>
        </is>
      </c>
      <c r="B265" s="9" t="n">
        <v>52</v>
      </c>
      <c r="C265" s="4" t="inlineStr">
        <is>
          <t>Кран шаровой 11б27п1 Ду 20 Ру 16</t>
        </is>
      </c>
      <c r="D265" s="9" t="n">
        <v>63</v>
      </c>
      <c r="E265" s="4" t="inlineStr">
        <is>
          <t>шт</t>
        </is>
      </c>
      <c r="F265" s="9" t="n">
        <v>20</v>
      </c>
      <c r="G265" s="9" t="n">
        <v>1.6</v>
      </c>
      <c r="H265" s="4" t="inlineStr">
        <is>
          <t>латунь ЛЦ40Сд</t>
        </is>
      </c>
      <c r="I265" s="4" t="inlineStr">
        <is>
          <t>ручной (рукоятка)</t>
        </is>
      </c>
      <c r="J265" s="13" t="n"/>
      <c r="K265" s="6">
        <f>IF(J265="","",J265*(1-0.1))</f>
        <v/>
      </c>
      <c r="L265" s="9" t="n"/>
      <c r="M265" s="6">
        <f>IF(J265="","",K265*D265)</f>
        <v/>
      </c>
      <c r="N265" s="6">
        <f>IF(L265="","",L265*D265*55)</f>
        <v/>
      </c>
      <c r="O265" s="6">
        <f>IF(M265="","",M265+N(N265))</f>
        <v/>
      </c>
      <c r="P265" s="9" t="n"/>
      <c r="Q265" s="4" t="inlineStr"/>
      <c r="R265" s="4" t="inlineStr"/>
      <c r="S265" s="9" t="n"/>
    </row>
    <row r="266" ht="34" customHeight="1">
      <c r="A266" s="4" t="inlineStr">
        <is>
          <t>1.6</t>
        </is>
      </c>
      <c r="B266" s="9" t="n">
        <v>53</v>
      </c>
      <c r="C266" s="4" t="inlineStr">
        <is>
          <t>Кран шаровой 11б27п1 Ду 25 Ру 16</t>
        </is>
      </c>
      <c r="D266" s="9" t="n">
        <v>40</v>
      </c>
      <c r="E266" s="4" t="inlineStr">
        <is>
          <t>шт</t>
        </is>
      </c>
      <c r="F266" s="9" t="n">
        <v>25</v>
      </c>
      <c r="G266" s="9" t="n">
        <v>1.6</v>
      </c>
      <c r="H266" s="4" t="inlineStr">
        <is>
          <t>латунь ЛЦ40Сд</t>
        </is>
      </c>
      <c r="I266" s="4" t="inlineStr">
        <is>
          <t>ручной (рукоятка)</t>
        </is>
      </c>
      <c r="J266" s="13" t="n"/>
      <c r="K266" s="6">
        <f>IF(J266="","",J266*(1-0.1))</f>
        <v/>
      </c>
      <c r="L266" s="9" t="n"/>
      <c r="M266" s="6">
        <f>IF(J266="","",K266*D266)</f>
        <v/>
      </c>
      <c r="N266" s="6">
        <f>IF(L266="","",L266*D266*55)</f>
        <v/>
      </c>
      <c r="O266" s="6">
        <f>IF(M266="","",M266+N(N266))</f>
        <v/>
      </c>
      <c r="P266" s="9" t="n"/>
      <c r="Q266" s="4" t="inlineStr"/>
      <c r="R266" s="4" t="inlineStr"/>
      <c r="S266" s="9" t="n"/>
    </row>
    <row r="267" ht="34" customHeight="1">
      <c r="A267" s="4" t="inlineStr">
        <is>
          <t>1.6</t>
        </is>
      </c>
      <c r="B267" s="9" t="n">
        <v>54</v>
      </c>
      <c r="C267" s="4" t="inlineStr">
        <is>
          <t>Кран шаровой 11б27п1 Ду 32 Ру 16</t>
        </is>
      </c>
      <c r="D267" s="9" t="n">
        <v>77</v>
      </c>
      <c r="E267" s="4" t="inlineStr">
        <is>
          <t>шт</t>
        </is>
      </c>
      <c r="F267" s="9" t="n">
        <v>32</v>
      </c>
      <c r="G267" s="9" t="n">
        <v>1.6</v>
      </c>
      <c r="H267" s="4" t="inlineStr">
        <is>
          <t>латунь ЛЦ40Сд</t>
        </is>
      </c>
      <c r="I267" s="4" t="inlineStr">
        <is>
          <t>ручной (рукоятка)</t>
        </is>
      </c>
      <c r="J267" s="13" t="n"/>
      <c r="K267" s="6">
        <f>IF(J267="","",J267*(1-0.1))</f>
        <v/>
      </c>
      <c r="L267" s="9" t="n"/>
      <c r="M267" s="6">
        <f>IF(J267="","",K267*D267)</f>
        <v/>
      </c>
      <c r="N267" s="6">
        <f>IF(L267="","",L267*D267*55)</f>
        <v/>
      </c>
      <c r="O267" s="6">
        <f>IF(M267="","",M267+N(N267))</f>
        <v/>
      </c>
      <c r="P267" s="9" t="n"/>
      <c r="Q267" s="4" t="inlineStr"/>
      <c r="R267" s="4" t="inlineStr"/>
      <c r="S267" s="9" t="n"/>
    </row>
    <row r="268" ht="34" customHeight="1">
      <c r="A268" s="4" t="inlineStr">
        <is>
          <t>1.6</t>
        </is>
      </c>
      <c r="B268" s="9" t="n">
        <v>55</v>
      </c>
      <c r="C268" s="4" t="inlineStr">
        <is>
          <t>Кран шаровой 11б27п1 Ду 40 Ру 16</t>
        </is>
      </c>
      <c r="D268" s="9" t="n">
        <v>2</v>
      </c>
      <c r="E268" s="4" t="inlineStr">
        <is>
          <t>шт</t>
        </is>
      </c>
      <c r="F268" s="9" t="n">
        <v>40</v>
      </c>
      <c r="G268" s="9" t="n">
        <v>1.6</v>
      </c>
      <c r="H268" s="4" t="inlineStr">
        <is>
          <t>латунь ЛЦ40Сд</t>
        </is>
      </c>
      <c r="I268" s="4" t="inlineStr">
        <is>
          <t>ручной (рукоятка)</t>
        </is>
      </c>
      <c r="J268" s="13" t="n"/>
      <c r="K268" s="6">
        <f>IF(J268="","",J268*(1-0.1))</f>
        <v/>
      </c>
      <c r="L268" s="9" t="n"/>
      <c r="M268" s="6">
        <f>IF(J268="","",K268*D268)</f>
        <v/>
      </c>
      <c r="N268" s="6">
        <f>IF(L268="","",L268*D268*55)</f>
        <v/>
      </c>
      <c r="O268" s="6">
        <f>IF(M268="","",M268+N(N268))</f>
        <v/>
      </c>
      <c r="P268" s="9" t="n"/>
      <c r="Q268" s="4" t="inlineStr"/>
      <c r="R268" s="4" t="inlineStr"/>
      <c r="S268" s="9" t="n"/>
    </row>
    <row r="269" ht="34" customHeight="1">
      <c r="A269" s="4" t="inlineStr">
        <is>
          <t>1.6</t>
        </is>
      </c>
      <c r="B269" s="9" t="n">
        <v>56</v>
      </c>
      <c r="C269" s="4" t="inlineStr">
        <is>
          <t>Кран шаровой 11б27п1 Ду 50 Ру 16</t>
        </is>
      </c>
      <c r="D269" s="9" t="n">
        <v>6</v>
      </c>
      <c r="E269" s="4" t="inlineStr">
        <is>
          <t>шт</t>
        </is>
      </c>
      <c r="F269" s="9" t="n">
        <v>50</v>
      </c>
      <c r="G269" s="9" t="n">
        <v>1.6</v>
      </c>
      <c r="H269" s="4" t="inlineStr">
        <is>
          <t>латунь ЛЦ40Сд</t>
        </is>
      </c>
      <c r="I269" s="4" t="inlineStr">
        <is>
          <t>ручной (рукоятка)</t>
        </is>
      </c>
      <c r="J269" s="13" t="n"/>
      <c r="K269" s="6">
        <f>IF(J269="","",J269*(1-0.1))</f>
        <v/>
      </c>
      <c r="L269" s="9" t="n"/>
      <c r="M269" s="6">
        <f>IF(J269="","",K269*D269)</f>
        <v/>
      </c>
      <c r="N269" s="6">
        <f>IF(L269="","",L269*D269*55)</f>
        <v/>
      </c>
      <c r="O269" s="6">
        <f>IF(M269="","",M269+N(N269))</f>
        <v/>
      </c>
      <c r="P269" s="9" t="n"/>
      <c r="Q269" s="4" t="inlineStr"/>
      <c r="R269" s="4" t="inlineStr"/>
      <c r="S269" s="9" t="n"/>
    </row>
    <row r="270" ht="34" customHeight="1">
      <c r="A270" s="4" t="inlineStr">
        <is>
          <t>1.6</t>
        </is>
      </c>
      <c r="B270" s="9" t="n">
        <v>57</v>
      </c>
      <c r="C270" s="4" t="inlineStr">
        <is>
          <t>Кран шаровой 11с22п Ду 32 Ру 16</t>
        </is>
      </c>
      <c r="D270" s="9" t="n">
        <v>55</v>
      </c>
      <c r="E270" s="4" t="inlineStr">
        <is>
          <t>шт</t>
        </is>
      </c>
      <c r="F270" s="9" t="n">
        <v>32</v>
      </c>
      <c r="G270" s="9" t="n">
        <v>1.6</v>
      </c>
      <c r="H270" s="4" t="inlineStr">
        <is>
          <t>сталь 20</t>
        </is>
      </c>
      <c r="I270" s="4" t="inlineStr">
        <is>
          <t>ручной (рукоятка)</t>
        </is>
      </c>
      <c r="J270" s="13" t="n"/>
      <c r="K270" s="6">
        <f>IF(J270="","",J270*(1-0.1))</f>
        <v/>
      </c>
      <c r="L270" s="9" t="n"/>
      <c r="M270" s="6">
        <f>IF(J270="","",K270*D270)</f>
        <v/>
      </c>
      <c r="N270" s="6">
        <f>IF(L270="","",L270*D270*55)</f>
        <v/>
      </c>
      <c r="O270" s="6">
        <f>IF(M270="","",M270+N(N270))</f>
        <v/>
      </c>
      <c r="P270" s="9" t="n"/>
      <c r="Q270" s="4" t="inlineStr"/>
      <c r="R270" s="4" t="inlineStr"/>
      <c r="S270" s="9" t="n"/>
    </row>
    <row r="271" ht="34" customHeight="1">
      <c r="A271" s="4" t="inlineStr">
        <is>
          <t>1.6</t>
        </is>
      </c>
      <c r="B271" s="9" t="n">
        <v>58</v>
      </c>
      <c r="C271" s="4" t="inlineStr">
        <is>
          <t>Кран шаровой 11с22п Ду 50 Ру 16</t>
        </is>
      </c>
      <c r="D271" s="9" t="n">
        <v>35</v>
      </c>
      <c r="E271" s="4" t="inlineStr">
        <is>
          <t>шт</t>
        </is>
      </c>
      <c r="F271" s="9" t="n">
        <v>50</v>
      </c>
      <c r="G271" s="9" t="n">
        <v>1.6</v>
      </c>
      <c r="H271" s="4" t="inlineStr">
        <is>
          <t>сталь 20</t>
        </is>
      </c>
      <c r="I271" s="4" t="inlineStr">
        <is>
          <t>ручной (рукоятка)</t>
        </is>
      </c>
      <c r="J271" s="13" t="n"/>
      <c r="K271" s="6">
        <f>IF(J271="","",J271*(1-0.1))</f>
        <v/>
      </c>
      <c r="L271" s="9" t="n"/>
      <c r="M271" s="6">
        <f>IF(J271="","",K271*D271)</f>
        <v/>
      </c>
      <c r="N271" s="6">
        <f>IF(L271="","",L271*D271*55)</f>
        <v/>
      </c>
      <c r="O271" s="6">
        <f>IF(M271="","",M271+N(N271))</f>
        <v/>
      </c>
      <c r="P271" s="9" t="n"/>
      <c r="Q271" s="4" t="inlineStr"/>
      <c r="R271" s="4" t="inlineStr"/>
      <c r="S271" s="9" t="n"/>
    </row>
    <row r="272" ht="34" customHeight="1">
      <c r="A272" s="4" t="inlineStr">
        <is>
          <t>1.6</t>
        </is>
      </c>
      <c r="B272" s="9" t="n">
        <v>59</v>
      </c>
      <c r="C272" s="4" t="inlineStr">
        <is>
          <t>Кран шаровой 11с22п Ду 80 Ру 16</t>
        </is>
      </c>
      <c r="D272" s="9" t="n">
        <v>24</v>
      </c>
      <c r="E272" s="4" t="inlineStr">
        <is>
          <t>шт</t>
        </is>
      </c>
      <c r="F272" s="9" t="n">
        <v>80</v>
      </c>
      <c r="G272" s="9" t="n">
        <v>1.6</v>
      </c>
      <c r="H272" s="4" t="inlineStr">
        <is>
          <t>сталь 20</t>
        </is>
      </c>
      <c r="I272" s="4" t="inlineStr">
        <is>
          <t>ручной (рукоятка)</t>
        </is>
      </c>
      <c r="J272" s="13" t="n"/>
      <c r="K272" s="6">
        <f>IF(J272="","",J272*(1-0.1))</f>
        <v/>
      </c>
      <c r="L272" s="9" t="n"/>
      <c r="M272" s="6">
        <f>IF(J272="","",K272*D272)</f>
        <v/>
      </c>
      <c r="N272" s="6">
        <f>IF(L272="","",L272*D272*55)</f>
        <v/>
      </c>
      <c r="O272" s="6">
        <f>IF(M272="","",M272+N(N272))</f>
        <v/>
      </c>
      <c r="P272" s="9" t="n"/>
      <c r="Q272" s="4" t="inlineStr"/>
      <c r="R272" s="4" t="inlineStr"/>
      <c r="S272" s="9" t="n"/>
    </row>
    <row r="273" ht="34" customHeight="1">
      <c r="A273" s="4" t="inlineStr">
        <is>
          <t>1.6</t>
        </is>
      </c>
      <c r="B273" s="9" t="n">
        <v>60</v>
      </c>
      <c r="C273" s="4" t="inlineStr">
        <is>
          <t>Кран шаровой 11с22п Ду 100 Ру 16</t>
        </is>
      </c>
      <c r="D273" s="9" t="n">
        <v>27</v>
      </c>
      <c r="E273" s="4" t="inlineStr">
        <is>
          <t>шт</t>
        </is>
      </c>
      <c r="F273" s="9" t="n">
        <v>100</v>
      </c>
      <c r="G273" s="9" t="n">
        <v>1.6</v>
      </c>
      <c r="H273" s="4" t="inlineStr">
        <is>
          <t>сталь 20</t>
        </is>
      </c>
      <c r="I273" s="4" t="inlineStr">
        <is>
          <t>ручной (рукоятка)</t>
        </is>
      </c>
      <c r="J273" s="13" t="n"/>
      <c r="K273" s="6">
        <f>IF(J273="","",J273*(1-0.1))</f>
        <v/>
      </c>
      <c r="L273" s="9" t="n"/>
      <c r="M273" s="6">
        <f>IF(J273="","",K273*D273)</f>
        <v/>
      </c>
      <c r="N273" s="6">
        <f>IF(L273="","",L273*D273*55)</f>
        <v/>
      </c>
      <c r="O273" s="6">
        <f>IF(M273="","",M273+N(N273))</f>
        <v/>
      </c>
      <c r="P273" s="9" t="n"/>
      <c r="Q273" s="4" t="inlineStr"/>
      <c r="R273" s="4" t="inlineStr"/>
      <c r="S273" s="9" t="n"/>
    </row>
    <row r="274" ht="34" customHeight="1">
      <c r="A274" s="4" t="inlineStr">
        <is>
          <t>1.6</t>
        </is>
      </c>
      <c r="B274" s="9" t="n">
        <v>61</v>
      </c>
      <c r="C274" s="4" t="inlineStr">
        <is>
          <t>Кран шаровой 11с22п Ду 150 Ру 16</t>
        </is>
      </c>
      <c r="D274" s="9" t="n">
        <v>13</v>
      </c>
      <c r="E274" s="4" t="inlineStr">
        <is>
          <t>шт</t>
        </is>
      </c>
      <c r="F274" s="9" t="n">
        <v>150</v>
      </c>
      <c r="G274" s="9" t="n">
        <v>1.6</v>
      </c>
      <c r="H274" s="4" t="inlineStr">
        <is>
          <t>сталь 20</t>
        </is>
      </c>
      <c r="I274" s="4" t="inlineStr">
        <is>
          <t>ручной (рукоятка)</t>
        </is>
      </c>
      <c r="J274" s="13" t="n"/>
      <c r="K274" s="6">
        <f>IF(J274="","",J274*(1-0.1))</f>
        <v/>
      </c>
      <c r="L274" s="9" t="n"/>
      <c r="M274" s="6">
        <f>IF(J274="","",K274*D274)</f>
        <v/>
      </c>
      <c r="N274" s="6">
        <f>IF(L274="","",L274*D274*55)</f>
        <v/>
      </c>
      <c r="O274" s="6">
        <f>IF(M274="","",M274+N(N274))</f>
        <v/>
      </c>
      <c r="P274" s="9" t="n"/>
      <c r="Q274" s="4" t="inlineStr"/>
      <c r="R274" s="4" t="inlineStr"/>
      <c r="S274" s="9" t="n"/>
    </row>
    <row r="275" ht="34" customHeight="1">
      <c r="A275" s="4" t="inlineStr">
        <is>
          <t>1.6</t>
        </is>
      </c>
      <c r="B275" s="9" t="n">
        <v>62</v>
      </c>
      <c r="C275" s="4" t="inlineStr">
        <is>
          <t>Кран шаровой 11с22п Ду 200 Ру 16</t>
        </is>
      </c>
      <c r="D275" s="9" t="n">
        <v>3</v>
      </c>
      <c r="E275" s="4" t="inlineStr">
        <is>
          <t>шт</t>
        </is>
      </c>
      <c r="F275" s="9" t="n">
        <v>200</v>
      </c>
      <c r="G275" s="9" t="n">
        <v>1.6</v>
      </c>
      <c r="H275" s="4" t="inlineStr">
        <is>
          <t>сталь 20</t>
        </is>
      </c>
      <c r="I275" s="4" t="inlineStr">
        <is>
          <t>ручной (рукоятка)</t>
        </is>
      </c>
      <c r="J275" s="13" t="n"/>
      <c r="K275" s="6">
        <f>IF(J275="","",J275*(1-0.1))</f>
        <v/>
      </c>
      <c r="L275" s="9" t="n"/>
      <c r="M275" s="6">
        <f>IF(J275="","",K275*D275)</f>
        <v/>
      </c>
      <c r="N275" s="6">
        <f>IF(L275="","",L275*D275*55)</f>
        <v/>
      </c>
      <c r="O275" s="6">
        <f>IF(M275="","",M275+N(N275))</f>
        <v/>
      </c>
      <c r="P275" s="9" t="n"/>
      <c r="Q275" s="4" t="inlineStr"/>
      <c r="R275" s="4" t="inlineStr"/>
      <c r="S275" s="9" t="n"/>
    </row>
    <row r="276" ht="34" customHeight="1">
      <c r="A276" s="4" t="inlineStr">
        <is>
          <t>1.6</t>
        </is>
      </c>
      <c r="B276" s="9" t="n">
        <v>63</v>
      </c>
      <c r="C276" s="4" t="inlineStr">
        <is>
          <t>Кран запорный шаровой 11С67П Ду 100 Ру 16</t>
        </is>
      </c>
      <c r="D276" s="9" t="n">
        <v>25</v>
      </c>
      <c r="E276" s="4" t="inlineStr">
        <is>
          <t>шт</t>
        </is>
      </c>
      <c r="F276" s="9" t="n">
        <v>100</v>
      </c>
      <c r="G276" s="9" t="n">
        <v>1.6</v>
      </c>
      <c r="H276" s="4" t="inlineStr">
        <is>
          <t>сталь 20</t>
        </is>
      </c>
      <c r="I276" s="4" t="inlineStr">
        <is>
          <t>ручной (рукоятка)</t>
        </is>
      </c>
      <c r="J276" s="13" t="n"/>
      <c r="K276" s="6">
        <f>IF(J276="","",J276*(1-0.1))</f>
        <v/>
      </c>
      <c r="L276" s="9" t="n"/>
      <c r="M276" s="6">
        <f>IF(J276="","",K276*D276)</f>
        <v/>
      </c>
      <c r="N276" s="6">
        <f>IF(L276="","",L276*D276*55)</f>
        <v/>
      </c>
      <c r="O276" s="6">
        <f>IF(M276="","",M276+N(N276))</f>
        <v/>
      </c>
      <c r="P276" s="9" t="n"/>
      <c r="Q276" s="4" t="inlineStr"/>
      <c r="R276" s="4" t="inlineStr"/>
      <c r="S276" s="9" t="n"/>
    </row>
    <row r="277" ht="34" customHeight="1">
      <c r="A277" s="4" t="inlineStr">
        <is>
          <t>1.6</t>
        </is>
      </c>
      <c r="B277" s="9" t="n">
        <v>64</v>
      </c>
      <c r="C277" s="4" t="inlineStr">
        <is>
          <t>Кран запорный шаровой 11С67П Ду 150 Ру 16</t>
        </is>
      </c>
      <c r="D277" s="9" t="n">
        <v>9</v>
      </c>
      <c r="E277" s="4" t="inlineStr">
        <is>
          <t>шт</t>
        </is>
      </c>
      <c r="F277" s="9" t="n">
        <v>150</v>
      </c>
      <c r="G277" s="9" t="n">
        <v>1.6</v>
      </c>
      <c r="H277" s="4" t="inlineStr">
        <is>
          <t>сталь 20</t>
        </is>
      </c>
      <c r="I277" s="4" t="inlineStr">
        <is>
          <t>ручной (рукоятка)</t>
        </is>
      </c>
      <c r="J277" s="13" t="n"/>
      <c r="K277" s="6">
        <f>IF(J277="","",J277*(1-0.1))</f>
        <v/>
      </c>
      <c r="L277" s="9" t="n"/>
      <c r="M277" s="6">
        <f>IF(J277="","",K277*D277)</f>
        <v/>
      </c>
      <c r="N277" s="6">
        <f>IF(L277="","",L277*D277*55)</f>
        <v/>
      </c>
      <c r="O277" s="6">
        <f>IF(M277="","",M277+N(N277))</f>
        <v/>
      </c>
      <c r="P277" s="9" t="n"/>
      <c r="Q277" s="4" t="inlineStr"/>
      <c r="R277" s="4" t="inlineStr"/>
      <c r="S277" s="9" t="n"/>
    </row>
    <row r="278" ht="34" customHeight="1">
      <c r="A278" s="4" t="inlineStr">
        <is>
          <t>1.6</t>
        </is>
      </c>
      <c r="B278" s="9" t="n">
        <v>65</v>
      </c>
      <c r="C278" s="4" t="inlineStr">
        <is>
          <t>Кран запорный шаровой 11С67П Ду 200 Ру 16</t>
        </is>
      </c>
      <c r="D278" s="9" t="n">
        <v>2</v>
      </c>
      <c r="E278" s="4" t="inlineStr">
        <is>
          <t>шт</t>
        </is>
      </c>
      <c r="F278" s="9" t="n">
        <v>200</v>
      </c>
      <c r="G278" s="9" t="n">
        <v>1.6</v>
      </c>
      <c r="H278" s="4" t="inlineStr">
        <is>
          <t>сталь 20</t>
        </is>
      </c>
      <c r="I278" s="4" t="inlineStr">
        <is>
          <t>ручной (рукоятка)</t>
        </is>
      </c>
      <c r="J278" s="13" t="n"/>
      <c r="K278" s="6">
        <f>IF(J278="","",J278*(1-0.1))</f>
        <v/>
      </c>
      <c r="L278" s="9" t="n"/>
      <c r="M278" s="6">
        <f>IF(J278="","",K278*D278)</f>
        <v/>
      </c>
      <c r="N278" s="6">
        <f>IF(L278="","",L278*D278*55)</f>
        <v/>
      </c>
      <c r="O278" s="6">
        <f>IF(M278="","",M278+N(N278))</f>
        <v/>
      </c>
      <c r="P278" s="9" t="n"/>
      <c r="Q278" s="4" t="inlineStr"/>
      <c r="R278" s="4" t="inlineStr"/>
      <c r="S278" s="9" t="n"/>
    </row>
    <row r="279" ht="34" customHeight="1">
      <c r="A279" s="4" t="inlineStr">
        <is>
          <t>1.6</t>
        </is>
      </c>
      <c r="B279" s="9" t="n">
        <v>66</v>
      </c>
      <c r="C279" s="4" t="inlineStr">
        <is>
          <t>Кран запорный шаровой 11С67П Ду 50 Ру 16</t>
        </is>
      </c>
      <c r="D279" s="9" t="n">
        <v>25</v>
      </c>
      <c r="E279" s="4" t="inlineStr">
        <is>
          <t>шт</t>
        </is>
      </c>
      <c r="F279" s="9" t="n">
        <v>50</v>
      </c>
      <c r="G279" s="9" t="n">
        <v>1.6</v>
      </c>
      <c r="H279" s="4" t="inlineStr">
        <is>
          <t>сталь 20</t>
        </is>
      </c>
      <c r="I279" s="4" t="inlineStr">
        <is>
          <t>ручной (рукоятка)</t>
        </is>
      </c>
      <c r="J279" s="13" t="n"/>
      <c r="K279" s="6">
        <f>IF(J279="","",J279*(1-0.1))</f>
        <v/>
      </c>
      <c r="L279" s="9" t="n"/>
      <c r="M279" s="6">
        <f>IF(J279="","",K279*D279)</f>
        <v/>
      </c>
      <c r="N279" s="6">
        <f>IF(L279="","",L279*D279*55)</f>
        <v/>
      </c>
      <c r="O279" s="6">
        <f>IF(M279="","",M279+N(N279))</f>
        <v/>
      </c>
      <c r="P279" s="9" t="n"/>
      <c r="Q279" s="4" t="inlineStr"/>
      <c r="R279" s="4" t="inlineStr"/>
      <c r="S279" s="9" t="n"/>
    </row>
    <row r="280" ht="34" customHeight="1">
      <c r="A280" s="4" t="inlineStr">
        <is>
          <t>1.6</t>
        </is>
      </c>
      <c r="B280" s="9" t="n">
        <v>67</v>
      </c>
      <c r="C280" s="4" t="inlineStr">
        <is>
          <t>Кран запорный шаровой 11С67П Ду 80 Ру 16</t>
        </is>
      </c>
      <c r="D280" s="9" t="n">
        <v>22</v>
      </c>
      <c r="E280" s="4" t="inlineStr">
        <is>
          <t>шт</t>
        </is>
      </c>
      <c r="F280" s="9" t="n">
        <v>80</v>
      </c>
      <c r="G280" s="9" t="n">
        <v>1.6</v>
      </c>
      <c r="H280" s="4" t="inlineStr">
        <is>
          <t>сталь 20</t>
        </is>
      </c>
      <c r="I280" s="4" t="inlineStr">
        <is>
          <t>ручной (рукоятка)</t>
        </is>
      </c>
      <c r="J280" s="13" t="n"/>
      <c r="K280" s="6">
        <f>IF(J280="","",J280*(1-0.1))</f>
        <v/>
      </c>
      <c r="L280" s="9" t="n"/>
      <c r="M280" s="6">
        <f>IF(J280="","",K280*D280)</f>
        <v/>
      </c>
      <c r="N280" s="6">
        <f>IF(L280="","",L280*D280*55)</f>
        <v/>
      </c>
      <c r="O280" s="6">
        <f>IF(M280="","",M280+N(N280))</f>
        <v/>
      </c>
      <c r="P280" s="9" t="n"/>
      <c r="Q280" s="4" t="inlineStr"/>
      <c r="R280" s="4" t="inlineStr"/>
      <c r="S280" s="9" t="n"/>
    </row>
    <row r="281" ht="34" customHeight="1">
      <c r="A281" s="4" t="inlineStr">
        <is>
          <t>1.6</t>
        </is>
      </c>
      <c r="B281" s="9" t="n">
        <v>68</v>
      </c>
      <c r="C281" s="4" t="inlineStr">
        <is>
          <t>Кран шаровой 11с67п Ду 25 Ру 25 цельносварной под приварку</t>
        </is>
      </c>
      <c r="D281" s="9" t="n">
        <v>36</v>
      </c>
      <c r="E281" s="4" t="inlineStr">
        <is>
          <t>шт</t>
        </is>
      </c>
      <c r="F281" s="9" t="n">
        <v>25</v>
      </c>
      <c r="G281" s="9" t="n">
        <v>2.5</v>
      </c>
      <c r="H281" s="4" t="inlineStr">
        <is>
          <t>сталь 20</t>
        </is>
      </c>
      <c r="I281" s="4" t="inlineStr">
        <is>
          <t>ручной (рукоятка)</t>
        </is>
      </c>
      <c r="J281" s="13" t="n"/>
      <c r="K281" s="6">
        <f>IF(J281="","",J281*(1-0.1))</f>
        <v/>
      </c>
      <c r="L281" s="9" t="n"/>
      <c r="M281" s="6">
        <f>IF(J281="","",K281*D281)</f>
        <v/>
      </c>
      <c r="N281" s="6">
        <f>IF(L281="","",L281*D281*55)</f>
        <v/>
      </c>
      <c r="O281" s="6">
        <f>IF(M281="","",M281+N(N281))</f>
        <v/>
      </c>
      <c r="P281" s="9" t="n"/>
      <c r="Q281" s="4" t="inlineStr"/>
      <c r="R281" s="4" t="inlineStr"/>
      <c r="S281" s="9" t="n"/>
    </row>
    <row r="282" ht="34" customHeight="1">
      <c r="A282" s="4" t="inlineStr">
        <is>
          <t>1.6</t>
        </is>
      </c>
      <c r="B282" s="9" t="n">
        <v>69</v>
      </c>
      <c r="C282" s="4" t="inlineStr">
        <is>
          <t>Кран шаровой 11с67п Ду 32 Ру 25 цельносварной под приварку</t>
        </is>
      </c>
      <c r="D282" s="9" t="n">
        <v>6</v>
      </c>
      <c r="E282" s="4" t="inlineStr">
        <is>
          <t>шт</t>
        </is>
      </c>
      <c r="F282" s="9" t="n">
        <v>32</v>
      </c>
      <c r="G282" s="9" t="n">
        <v>2.5</v>
      </c>
      <c r="H282" s="4" t="inlineStr">
        <is>
          <t>сталь 20</t>
        </is>
      </c>
      <c r="I282" s="4" t="inlineStr">
        <is>
          <t>ручной (рукоятка)</t>
        </is>
      </c>
      <c r="J282" s="13" t="n"/>
      <c r="K282" s="6">
        <f>IF(J282="","",J282*(1-0.1))</f>
        <v/>
      </c>
      <c r="L282" s="9" t="n"/>
      <c r="M282" s="6">
        <f>IF(J282="","",K282*D282)</f>
        <v/>
      </c>
      <c r="N282" s="6">
        <f>IF(L282="","",L282*D282*55)</f>
        <v/>
      </c>
      <c r="O282" s="6">
        <f>IF(M282="","",M282+N(N282))</f>
        <v/>
      </c>
      <c r="P282" s="9" t="n"/>
      <c r="Q282" s="4" t="inlineStr"/>
      <c r="R282" s="4" t="inlineStr"/>
      <c r="S282" s="9" t="n"/>
    </row>
    <row r="283" ht="34" customHeight="1">
      <c r="A283" s="4" t="inlineStr">
        <is>
          <t>1.6</t>
        </is>
      </c>
      <c r="B283" s="9" t="n">
        <v>70</v>
      </c>
      <c r="C283" s="4" t="inlineStr">
        <is>
          <t>Кран шаровой 11с67п Ду 40 Ру 25 цельносварной под приварку</t>
        </is>
      </c>
      <c r="D283" s="9" t="n">
        <v>10</v>
      </c>
      <c r="E283" s="4" t="inlineStr">
        <is>
          <t>шт</t>
        </is>
      </c>
      <c r="F283" s="9" t="n">
        <v>40</v>
      </c>
      <c r="G283" s="9" t="n">
        <v>2.5</v>
      </c>
      <c r="H283" s="4" t="inlineStr">
        <is>
          <t>сталь 20</t>
        </is>
      </c>
      <c r="I283" s="4" t="inlineStr">
        <is>
          <t>ручной (рукоятка)</t>
        </is>
      </c>
      <c r="J283" s="13" t="n"/>
      <c r="K283" s="6">
        <f>IF(J283="","",J283*(1-0.1))</f>
        <v/>
      </c>
      <c r="L283" s="9" t="n"/>
      <c r="M283" s="6">
        <f>IF(J283="","",K283*D283)</f>
        <v/>
      </c>
      <c r="N283" s="6">
        <f>IF(L283="","",L283*D283*55)</f>
        <v/>
      </c>
      <c r="O283" s="6">
        <f>IF(M283="","",M283+N(N283))</f>
        <v/>
      </c>
      <c r="P283" s="9" t="n"/>
      <c r="Q283" s="4" t="inlineStr"/>
      <c r="R283" s="4" t="inlineStr"/>
      <c r="S283" s="9" t="n"/>
    </row>
    <row r="284" ht="34" customHeight="1">
      <c r="A284" s="4" t="inlineStr">
        <is>
          <t>1.6</t>
        </is>
      </c>
      <c r="B284" s="9" t="n">
        <v>71</v>
      </c>
      <c r="C284" s="4" t="inlineStr">
        <is>
          <t>Кран шаровой 11с67п Ду 20 Ру 25 полнопрох. с КОФ (КЗШС41нж)</t>
        </is>
      </c>
      <c r="D284" s="9" t="n">
        <v>2</v>
      </c>
      <c r="E284" s="4" t="inlineStr">
        <is>
          <t>шт</t>
        </is>
      </c>
      <c r="F284" s="9" t="n">
        <v>20</v>
      </c>
      <c r="G284" s="9" t="n">
        <v>2.5</v>
      </c>
      <c r="H284" s="4" t="inlineStr">
        <is>
          <t>сталь 20</t>
        </is>
      </c>
      <c r="I284" s="4" t="inlineStr">
        <is>
          <t>ручной (рукоятка)</t>
        </is>
      </c>
      <c r="J284" s="13" t="n"/>
      <c r="K284" s="6">
        <f>IF(J284="","",J284*(1-0.1))</f>
        <v/>
      </c>
      <c r="L284" s="9" t="n"/>
      <c r="M284" s="6">
        <f>IF(J284="","",K284*D284)</f>
        <v/>
      </c>
      <c r="N284" s="6">
        <f>IF(L284="","",L284*D284*55)</f>
        <v/>
      </c>
      <c r="O284" s="6">
        <f>IF(M284="","",M284+N(N284))</f>
        <v/>
      </c>
      <c r="P284" s="9" t="n"/>
      <c r="Q284" s="4" t="inlineStr"/>
      <c r="R284" s="4" t="inlineStr"/>
      <c r="S284" s="9" t="n"/>
    </row>
    <row r="285" ht="34" customHeight="1">
      <c r="A285" s="4" t="inlineStr">
        <is>
          <t>1.6</t>
        </is>
      </c>
      <c r="B285" s="9" t="n">
        <v>72</v>
      </c>
      <c r="C285" s="4" t="inlineStr">
        <is>
          <t>Кран шаровой 11с67п Ду 25 Ру 25 полнопрох. с КОФ (КЗШС41нж)</t>
        </is>
      </c>
      <c r="D285" s="9" t="n">
        <v>9</v>
      </c>
      <c r="E285" s="4" t="inlineStr">
        <is>
          <t>шт</t>
        </is>
      </c>
      <c r="F285" s="9" t="n">
        <v>25</v>
      </c>
      <c r="G285" s="9" t="n">
        <v>2.5</v>
      </c>
      <c r="H285" s="4" t="inlineStr">
        <is>
          <t>сталь 20</t>
        </is>
      </c>
      <c r="I285" s="4" t="inlineStr">
        <is>
          <t>ручной (рукоятка)</t>
        </is>
      </c>
      <c r="J285" s="13" t="n"/>
      <c r="K285" s="6">
        <f>IF(J285="","",J285*(1-0.1))</f>
        <v/>
      </c>
      <c r="L285" s="9" t="n"/>
      <c r="M285" s="6">
        <f>IF(J285="","",K285*D285)</f>
        <v/>
      </c>
      <c r="N285" s="6">
        <f>IF(L285="","",L285*D285*55)</f>
        <v/>
      </c>
      <c r="O285" s="6">
        <f>IF(M285="","",M285+N(N285))</f>
        <v/>
      </c>
      <c r="P285" s="9" t="n"/>
      <c r="Q285" s="4" t="inlineStr"/>
      <c r="R285" s="4" t="inlineStr"/>
      <c r="S285" s="9" t="n"/>
    </row>
    <row r="286" ht="34" customHeight="1">
      <c r="A286" s="4" t="inlineStr">
        <is>
          <t>1.6</t>
        </is>
      </c>
      <c r="B286" s="9" t="n">
        <v>73</v>
      </c>
      <c r="C286" s="4" t="inlineStr">
        <is>
          <t>Кран шаровой 11с67п Ду 32 Ру 25 полнопрох. с КОФ (КЗШС41нж)</t>
        </is>
      </c>
      <c r="D286" s="9" t="n">
        <v>10</v>
      </c>
      <c r="E286" s="4" t="inlineStr">
        <is>
          <t>шт</t>
        </is>
      </c>
      <c r="F286" s="9" t="n">
        <v>32</v>
      </c>
      <c r="G286" s="9" t="n">
        <v>2.5</v>
      </c>
      <c r="H286" s="4" t="inlineStr">
        <is>
          <t>сталь 20</t>
        </is>
      </c>
      <c r="I286" s="4" t="inlineStr">
        <is>
          <t>ручной (рукоятка)</t>
        </is>
      </c>
      <c r="J286" s="13" t="n"/>
      <c r="K286" s="6">
        <f>IF(J286="","",J286*(1-0.1))</f>
        <v/>
      </c>
      <c r="L286" s="9" t="n"/>
      <c r="M286" s="6">
        <f>IF(J286="","",K286*D286)</f>
        <v/>
      </c>
      <c r="N286" s="6">
        <f>IF(L286="","",L286*D286*55)</f>
        <v/>
      </c>
      <c r="O286" s="6">
        <f>IF(M286="","",M286+N(N286))</f>
        <v/>
      </c>
      <c r="P286" s="9" t="n"/>
      <c r="Q286" s="4" t="inlineStr"/>
      <c r="R286" s="4" t="inlineStr"/>
      <c r="S286" s="9" t="n"/>
    </row>
    <row r="287" ht="34" customHeight="1">
      <c r="A287" s="4" t="inlineStr">
        <is>
          <t>1.6</t>
        </is>
      </c>
      <c r="B287" s="9" t="n">
        <v>74</v>
      </c>
      <c r="C287" s="4" t="inlineStr">
        <is>
          <t>Кран шаровой 11с67п Ду 40 Ру 25 полнопрох. с КОФ (КЗШС41нж)</t>
        </is>
      </c>
      <c r="D287" s="9" t="n">
        <v>2</v>
      </c>
      <c r="E287" s="4" t="inlineStr">
        <is>
          <t>шт</t>
        </is>
      </c>
      <c r="F287" s="9" t="n">
        <v>40</v>
      </c>
      <c r="G287" s="9" t="n">
        <v>2.5</v>
      </c>
      <c r="H287" s="4" t="inlineStr">
        <is>
          <t>сталь 20</t>
        </is>
      </c>
      <c r="I287" s="4" t="inlineStr">
        <is>
          <t>ручной (рукоятка)</t>
        </is>
      </c>
      <c r="J287" s="13" t="n"/>
      <c r="K287" s="6">
        <f>IF(J287="","",J287*(1-0.1))</f>
        <v/>
      </c>
      <c r="L287" s="9" t="n"/>
      <c r="M287" s="6">
        <f>IF(J287="","",K287*D287)</f>
        <v/>
      </c>
      <c r="N287" s="6">
        <f>IF(L287="","",L287*D287*55)</f>
        <v/>
      </c>
      <c r="O287" s="6">
        <f>IF(M287="","",M287+N(N287))</f>
        <v/>
      </c>
      <c r="P287" s="9" t="n"/>
      <c r="Q287" s="4" t="inlineStr"/>
      <c r="R287" s="4" t="inlineStr"/>
      <c r="S287" s="9" t="n"/>
    </row>
    <row r="288" ht="34" customHeight="1">
      <c r="A288" s="4" t="inlineStr">
        <is>
          <t>1.6</t>
        </is>
      </c>
      <c r="B288" s="9" t="n">
        <v>75</v>
      </c>
      <c r="C288" s="4" t="inlineStr">
        <is>
          <t>Кран шаровой 11с67п Ду 50 Ру 25 полнопрох. с КОФ (КЗШС41нж)</t>
        </is>
      </c>
      <c r="D288" s="9" t="n">
        <v>9</v>
      </c>
      <c r="E288" s="4" t="inlineStr">
        <is>
          <t>шт</t>
        </is>
      </c>
      <c r="F288" s="9" t="n">
        <v>50</v>
      </c>
      <c r="G288" s="9" t="n">
        <v>2.5</v>
      </c>
      <c r="H288" s="4" t="inlineStr">
        <is>
          <t>сталь 20</t>
        </is>
      </c>
      <c r="I288" s="4" t="inlineStr">
        <is>
          <t>ручной (рукоятка)</t>
        </is>
      </c>
      <c r="J288" s="13" t="n"/>
      <c r="K288" s="6">
        <f>IF(J288="","",J288*(1-0.1))</f>
        <v/>
      </c>
      <c r="L288" s="9" t="n"/>
      <c r="M288" s="6">
        <f>IF(J288="","",K288*D288)</f>
        <v/>
      </c>
      <c r="N288" s="6">
        <f>IF(L288="","",L288*D288*55)</f>
        <v/>
      </c>
      <c r="O288" s="6">
        <f>IF(M288="","",M288+N(N288))</f>
        <v/>
      </c>
      <c r="P288" s="9" t="n"/>
      <c r="Q288" s="4" t="inlineStr"/>
      <c r="R288" s="4" t="inlineStr"/>
      <c r="S288" s="9" t="n"/>
    </row>
    <row r="289" ht="34" customHeight="1">
      <c r="A289" s="4" t="inlineStr">
        <is>
          <t>1.6</t>
        </is>
      </c>
      <c r="B289" s="9" t="n">
        <v>76</v>
      </c>
      <c r="C289" s="4" t="inlineStr">
        <is>
          <t>Кран шаровой 11с67п Ду 80 Ру 25 полнопрох. с КОФ (КЗШС41нж)</t>
        </is>
      </c>
      <c r="D289" s="9" t="n">
        <v>9</v>
      </c>
      <c r="E289" s="4" t="inlineStr">
        <is>
          <t>шт</t>
        </is>
      </c>
      <c r="F289" s="9" t="n">
        <v>80</v>
      </c>
      <c r="G289" s="9" t="n">
        <v>2.5</v>
      </c>
      <c r="H289" s="4" t="inlineStr">
        <is>
          <t>сталь 20</t>
        </is>
      </c>
      <c r="I289" s="4" t="inlineStr">
        <is>
          <t>ручной (рукоятка)</t>
        </is>
      </c>
      <c r="J289" s="13" t="n"/>
      <c r="K289" s="6">
        <f>IF(J289="","",J289*(1-0.1))</f>
        <v/>
      </c>
      <c r="L289" s="9" t="n"/>
      <c r="M289" s="6">
        <f>IF(J289="","",K289*D289)</f>
        <v/>
      </c>
      <c r="N289" s="6">
        <f>IF(L289="","",L289*D289*55)</f>
        <v/>
      </c>
      <c r="O289" s="6">
        <f>IF(M289="","",M289+N(N289))</f>
        <v/>
      </c>
      <c r="P289" s="9" t="n"/>
      <c r="Q289" s="4" t="inlineStr"/>
      <c r="R289" s="4" t="inlineStr"/>
      <c r="S289" s="9" t="n"/>
    </row>
    <row r="290" ht="34" customHeight="1">
      <c r="A290" s="4" t="inlineStr">
        <is>
          <t>1.6</t>
        </is>
      </c>
      <c r="B290" s="9" t="n">
        <v>77</v>
      </c>
      <c r="C290" s="4" t="inlineStr">
        <is>
          <t>Кран шаровой 11с67п Ду 100 Ру 16 ЦУФ.001 КШ укороченный полнопроходной фланцевый с рукояткой</t>
        </is>
      </c>
      <c r="D290" s="9" t="n">
        <v>4</v>
      </c>
      <c r="E290" s="4" t="inlineStr">
        <is>
          <t>шт</t>
        </is>
      </c>
      <c r="F290" s="9" t="n">
        <v>100</v>
      </c>
      <c r="G290" s="9" t="n">
        <v>1.6</v>
      </c>
      <c r="H290" s="4" t="inlineStr">
        <is>
          <t xml:space="preserve">сталь </t>
        </is>
      </c>
      <c r="I290" s="4" t="inlineStr">
        <is>
          <t>Ручка-рычаг</t>
        </is>
      </c>
      <c r="J290" s="13" t="n"/>
      <c r="K290" s="6">
        <f>IF(J290="","",J290*(1-0.1))</f>
        <v/>
      </c>
      <c r="L290" s="9" t="n"/>
      <c r="M290" s="6">
        <f>IF(J290="","",K290*D290)</f>
        <v/>
      </c>
      <c r="N290" s="6">
        <f>IF(L290="","",L290*D290*55)</f>
        <v/>
      </c>
      <c r="O290" s="6">
        <f>IF(M290="","",M290+N(N290))</f>
        <v/>
      </c>
      <c r="P290" s="9" t="n"/>
      <c r="Q290" s="4" t="inlineStr"/>
      <c r="R290" s="4" t="inlineStr"/>
      <c r="S290" s="9" t="n"/>
    </row>
    <row r="291" ht="34" customHeight="1">
      <c r="A291" s="4" t="inlineStr">
        <is>
          <t>1.6</t>
        </is>
      </c>
      <c r="B291" s="9" t="n">
        <v>78</v>
      </c>
      <c r="C291" s="4" t="inlineStr">
        <is>
          <t>Кран шаровой 11с67п Ду 32 Ру 16 ЦУФ.001 КШ укороченный полнопроходной фланцевый с рукояткой</t>
        </is>
      </c>
      <c r="D291" s="9" t="n">
        <v>1</v>
      </c>
      <c r="E291" s="4" t="inlineStr">
        <is>
          <t>шт</t>
        </is>
      </c>
      <c r="F291" s="9" t="n">
        <v>32</v>
      </c>
      <c r="G291" s="9" t="n">
        <v>1.6</v>
      </c>
      <c r="H291" s="4" t="inlineStr">
        <is>
          <t xml:space="preserve">сталь </t>
        </is>
      </c>
      <c r="I291" s="4" t="inlineStr">
        <is>
          <t>Ручка-рычаг</t>
        </is>
      </c>
      <c r="J291" s="13" t="n"/>
      <c r="K291" s="6">
        <f>IF(J291="","",J291*(1-0.1))</f>
        <v/>
      </c>
      <c r="L291" s="9" t="n"/>
      <c r="M291" s="6">
        <f>IF(J291="","",K291*D291)</f>
        <v/>
      </c>
      <c r="N291" s="6">
        <f>IF(L291="","",L291*D291*55)</f>
        <v/>
      </c>
      <c r="O291" s="6">
        <f>IF(M291="","",M291+N(N291))</f>
        <v/>
      </c>
      <c r="P291" s="9" t="n"/>
      <c r="Q291" s="4" t="inlineStr"/>
      <c r="R291" s="4" t="inlineStr"/>
      <c r="S291" s="9" t="n"/>
    </row>
    <row r="292" ht="34" customHeight="1">
      <c r="A292" s="4" t="inlineStr">
        <is>
          <t>1.6</t>
        </is>
      </c>
      <c r="B292" s="9" t="n">
        <v>79</v>
      </c>
      <c r="C292" s="4" t="inlineStr">
        <is>
          <t>Кран шаровой 11с67п Ду 40 Ру 16 ЦУФ.001 КШ укороченный полнопроходной фланцевый с рукояткой</t>
        </is>
      </c>
      <c r="D292" s="9" t="n">
        <v>1</v>
      </c>
      <c r="E292" s="4" t="inlineStr">
        <is>
          <t>шт</t>
        </is>
      </c>
      <c r="F292" s="9" t="n">
        <v>40</v>
      </c>
      <c r="G292" s="9" t="n">
        <v>1.6</v>
      </c>
      <c r="H292" s="4" t="inlineStr">
        <is>
          <t xml:space="preserve">сталь </t>
        </is>
      </c>
      <c r="I292" s="4" t="inlineStr">
        <is>
          <t>Ручка-рычаг</t>
        </is>
      </c>
      <c r="J292" s="13" t="n"/>
      <c r="K292" s="6">
        <f>IF(J292="","",J292*(1-0.1))</f>
        <v/>
      </c>
      <c r="L292" s="9" t="n"/>
      <c r="M292" s="6">
        <f>IF(J292="","",K292*D292)</f>
        <v/>
      </c>
      <c r="N292" s="6">
        <f>IF(L292="","",L292*D292*55)</f>
        <v/>
      </c>
      <c r="O292" s="6">
        <f>IF(M292="","",M292+N(N292))</f>
        <v/>
      </c>
      <c r="P292" s="9" t="n"/>
      <c r="Q292" s="4" t="inlineStr"/>
      <c r="R292" s="4" t="inlineStr"/>
      <c r="S292" s="9" t="n"/>
    </row>
    <row r="293" ht="34" customHeight="1">
      <c r="A293" s="4" t="inlineStr">
        <is>
          <t>1.6</t>
        </is>
      </c>
      <c r="B293" s="9" t="n">
        <v>80</v>
      </c>
      <c r="C293" s="4" t="inlineStr">
        <is>
          <t>Кран шаровой 11с67п Ду 50 Ру 16 ЦУФ.001 КШ укороченный полнопроходной фланцевый с рукояткой</t>
        </is>
      </c>
      <c r="D293" s="9" t="n">
        <v>3</v>
      </c>
      <c r="E293" s="4" t="inlineStr">
        <is>
          <t>шт</t>
        </is>
      </c>
      <c r="F293" s="9" t="n">
        <v>50</v>
      </c>
      <c r="G293" s="9" t="n">
        <v>1.6</v>
      </c>
      <c r="H293" s="4" t="inlineStr">
        <is>
          <t xml:space="preserve">сталь </t>
        </is>
      </c>
      <c r="I293" s="4" t="inlineStr">
        <is>
          <t>Ручка-рычаг</t>
        </is>
      </c>
      <c r="J293" s="13" t="n"/>
      <c r="K293" s="6">
        <f>IF(J293="","",J293*(1-0.1))</f>
        <v/>
      </c>
      <c r="L293" s="9" t="n"/>
      <c r="M293" s="6">
        <f>IF(J293="","",K293*D293)</f>
        <v/>
      </c>
      <c r="N293" s="6">
        <f>IF(L293="","",L293*D293*55)</f>
        <v/>
      </c>
      <c r="O293" s="6">
        <f>IF(M293="","",M293+N(N293))</f>
        <v/>
      </c>
      <c r="P293" s="9" t="n"/>
      <c r="Q293" s="4" t="inlineStr"/>
      <c r="R293" s="4" t="inlineStr"/>
      <c r="S293" s="9" t="n"/>
    </row>
    <row r="294" ht="34" customHeight="1">
      <c r="A294" s="4" t="inlineStr">
        <is>
          <t>1.6</t>
        </is>
      </c>
      <c r="B294" s="9" t="n">
        <v>81</v>
      </c>
      <c r="C294" s="4" t="inlineStr">
        <is>
          <t>Кран шаровой 11с67п Ду 80 Ру 16 ЦУФ.001 КШ укороченный полнопроходной фланцевый с рукояткой</t>
        </is>
      </c>
      <c r="D294" s="9" t="n">
        <v>6</v>
      </c>
      <c r="E294" s="4" t="inlineStr">
        <is>
          <t>шт</t>
        </is>
      </c>
      <c r="F294" s="9" t="n">
        <v>80</v>
      </c>
      <c r="G294" s="9" t="n">
        <v>1.6</v>
      </c>
      <c r="H294" s="4" t="inlineStr">
        <is>
          <t xml:space="preserve">сталь </t>
        </is>
      </c>
      <c r="I294" s="4" t="inlineStr">
        <is>
          <t>Ручка-рычаг</t>
        </is>
      </c>
      <c r="J294" s="13" t="n"/>
      <c r="K294" s="6">
        <f>IF(J294="","",J294*(1-0.1))</f>
        <v/>
      </c>
      <c r="L294" s="9" t="n"/>
      <c r="M294" s="6">
        <f>IF(J294="","",K294*D294)</f>
        <v/>
      </c>
      <c r="N294" s="6">
        <f>IF(L294="","",L294*D294*55)</f>
        <v/>
      </c>
      <c r="O294" s="6">
        <f>IF(M294="","",M294+N(N294))</f>
        <v/>
      </c>
      <c r="P294" s="9" t="n"/>
      <c r="Q294" s="4" t="inlineStr"/>
      <c r="R294" s="4" t="inlineStr"/>
      <c r="S294" s="9" t="n"/>
    </row>
    <row r="295" ht="34" customHeight="1">
      <c r="A295" s="4" t="inlineStr">
        <is>
          <t>1.6</t>
        </is>
      </c>
      <c r="B295" s="9" t="n">
        <v>82</v>
      </c>
      <c r="C295" s="4" t="inlineStr">
        <is>
          <t>Кран шаровой TEMPER 28020025 муфтовый, Ду 25, Ру 40</t>
        </is>
      </c>
      <c r="D295" s="9" t="n">
        <v>2</v>
      </c>
      <c r="E295" s="4" t="inlineStr">
        <is>
          <t>шт</t>
        </is>
      </c>
      <c r="F295" s="9" t="n">
        <v>25</v>
      </c>
      <c r="G295" s="9" t="n">
        <v>4</v>
      </c>
      <c r="H295" s="4" t="inlineStr">
        <is>
          <t xml:space="preserve">сталь </t>
        </is>
      </c>
      <c r="I295" s="4" t="inlineStr">
        <is>
          <t>ручной (рукоятка)</t>
        </is>
      </c>
      <c r="J295" s="13" t="n"/>
      <c r="K295" s="6">
        <f>IF(J295="","",J295*(1-0.1))</f>
        <v/>
      </c>
      <c r="L295" s="9" t="n"/>
      <c r="M295" s="6">
        <f>IF(J295="","",K295*D295)</f>
        <v/>
      </c>
      <c r="N295" s="6">
        <f>IF(L295="","",L295*D295*55)</f>
        <v/>
      </c>
      <c r="O295" s="6">
        <f>IF(M295="","",M295+N(N295))</f>
        <v/>
      </c>
      <c r="P295" s="9" t="n"/>
      <c r="Q295" s="4" t="inlineStr"/>
      <c r="R295" s="4" t="inlineStr"/>
      <c r="S295" s="9" t="n"/>
    </row>
    <row r="296" ht="34" customHeight="1">
      <c r="A296" s="4" t="inlineStr">
        <is>
          <t>1.6</t>
        </is>
      </c>
      <c r="B296" s="9" t="n">
        <v>83</v>
      </c>
      <c r="C296" s="4" t="inlineStr">
        <is>
          <t>Кран шаровый LD полнопроходной 11с67п КШРФ Ду 100 Ру 16 с КОФ</t>
        </is>
      </c>
      <c r="D296" s="9" t="n">
        <v>3</v>
      </c>
      <c r="E296" s="4" t="inlineStr">
        <is>
          <t>шт</t>
        </is>
      </c>
      <c r="F296" s="9" t="n">
        <v>100</v>
      </c>
      <c r="G296" s="9" t="n">
        <v>1.6</v>
      </c>
      <c r="H296" s="4" t="inlineStr">
        <is>
          <t xml:space="preserve">сталь </t>
        </is>
      </c>
      <c r="I296" s="4" t="inlineStr">
        <is>
          <t>-</t>
        </is>
      </c>
      <c r="J296" s="13" t="n"/>
      <c r="K296" s="6">
        <f>IF(J296="","",J296*(1-0.1))</f>
        <v/>
      </c>
      <c r="L296" s="9" t="n"/>
      <c r="M296" s="6">
        <f>IF(J296="","",K296*D296)</f>
        <v/>
      </c>
      <c r="N296" s="6">
        <f>IF(L296="","",L296*D296*55)</f>
        <v/>
      </c>
      <c r="O296" s="6">
        <f>IF(M296="","",M296+N(N296))</f>
        <v/>
      </c>
      <c r="P296" s="9" t="n"/>
      <c r="Q296" s="4" t="inlineStr"/>
      <c r="R296" s="4" t="inlineStr"/>
      <c r="S296" s="9" t="n"/>
    </row>
    <row r="297" ht="34" customHeight="1">
      <c r="A297" s="4" t="inlineStr">
        <is>
          <t>1.6</t>
        </is>
      </c>
      <c r="B297" s="9" t="n">
        <v>84</v>
      </c>
      <c r="C297" s="4" t="inlineStr">
        <is>
          <t>Кран шаровый LD полнопроходной 11с67п КШРФ Ду 150 Ру 16 с КОФ</t>
        </is>
      </c>
      <c r="D297" s="9" t="n">
        <v>1</v>
      </c>
      <c r="E297" s="4" t="inlineStr">
        <is>
          <t>шт</t>
        </is>
      </c>
      <c r="F297" s="9" t="n">
        <v>150</v>
      </c>
      <c r="G297" s="9" t="n">
        <v>1.6</v>
      </c>
      <c r="H297" s="4" t="inlineStr">
        <is>
          <t xml:space="preserve">сталь </t>
        </is>
      </c>
      <c r="I297" s="4" t="inlineStr">
        <is>
          <t>-</t>
        </is>
      </c>
      <c r="J297" s="13" t="n"/>
      <c r="K297" s="6">
        <f>IF(J297="","",J297*(1-0.1))</f>
        <v/>
      </c>
      <c r="L297" s="9" t="n"/>
      <c r="M297" s="6">
        <f>IF(J297="","",K297*D297)</f>
        <v/>
      </c>
      <c r="N297" s="6">
        <f>IF(L297="","",L297*D297*55)</f>
        <v/>
      </c>
      <c r="O297" s="6">
        <f>IF(M297="","",M297+N(N297))</f>
        <v/>
      </c>
      <c r="P297" s="9" t="n"/>
      <c r="Q297" s="4" t="inlineStr"/>
      <c r="R297" s="4" t="inlineStr"/>
      <c r="S297" s="9" t="n"/>
    </row>
    <row r="298" ht="34" customHeight="1">
      <c r="A298" s="4" t="inlineStr">
        <is>
          <t>1.6</t>
        </is>
      </c>
      <c r="B298" s="9" t="n">
        <v>85</v>
      </c>
      <c r="C298" s="4" t="inlineStr">
        <is>
          <t>Кран шаровый LD полнопроходной 11с67п КШРФ Ду 25 Ру 16 с КОФ</t>
        </is>
      </c>
      <c r="D298" s="9" t="n">
        <v>2</v>
      </c>
      <c r="E298" s="4" t="inlineStr">
        <is>
          <t>шт</t>
        </is>
      </c>
      <c r="F298" s="9" t="n">
        <v>25</v>
      </c>
      <c r="G298" s="9" t="n">
        <v>1.6</v>
      </c>
      <c r="H298" s="4" t="inlineStr">
        <is>
          <t xml:space="preserve">сталь </t>
        </is>
      </c>
      <c r="I298" s="4" t="inlineStr">
        <is>
          <t>-</t>
        </is>
      </c>
      <c r="J298" s="13" t="n"/>
      <c r="K298" s="6">
        <f>IF(J298="","",J298*(1-0.1))</f>
        <v/>
      </c>
      <c r="L298" s="9" t="n"/>
      <c r="M298" s="6">
        <f>IF(J298="","",K298*D298)</f>
        <v/>
      </c>
      <c r="N298" s="6">
        <f>IF(L298="","",L298*D298*55)</f>
        <v/>
      </c>
      <c r="O298" s="6">
        <f>IF(M298="","",M298+N(N298))</f>
        <v/>
      </c>
      <c r="P298" s="9" t="n"/>
      <c r="Q298" s="4" t="inlineStr"/>
      <c r="R298" s="4" t="inlineStr"/>
      <c r="S298" s="9" t="n"/>
    </row>
    <row r="299" ht="34" customHeight="1">
      <c r="A299" s="4" t="inlineStr">
        <is>
          <t>1.6</t>
        </is>
      </c>
      <c r="B299" s="9" t="n">
        <v>86</v>
      </c>
      <c r="C299" s="4" t="inlineStr">
        <is>
          <t>Кран шаровый LD полнопроходной 11с67п КШРФ Ду 40 Ру 16 с КОФ</t>
        </is>
      </c>
      <c r="D299" s="9" t="n">
        <v>6</v>
      </c>
      <c r="E299" s="4" t="inlineStr">
        <is>
          <t>шт</t>
        </is>
      </c>
      <c r="F299" s="9" t="n">
        <v>40</v>
      </c>
      <c r="G299" s="9" t="n">
        <v>1.6</v>
      </c>
      <c r="H299" s="4" t="inlineStr">
        <is>
          <t xml:space="preserve">сталь </t>
        </is>
      </c>
      <c r="I299" s="4" t="inlineStr">
        <is>
          <t>-</t>
        </is>
      </c>
      <c r="J299" s="13" t="n"/>
      <c r="K299" s="6">
        <f>IF(J299="","",J299*(1-0.1))</f>
        <v/>
      </c>
      <c r="L299" s="9" t="n"/>
      <c r="M299" s="6">
        <f>IF(J299="","",K299*D299)</f>
        <v/>
      </c>
      <c r="N299" s="6">
        <f>IF(L299="","",L299*D299*55)</f>
        <v/>
      </c>
      <c r="O299" s="6">
        <f>IF(M299="","",M299+N(N299))</f>
        <v/>
      </c>
      <c r="P299" s="9" t="n"/>
      <c r="Q299" s="4" t="inlineStr"/>
      <c r="R299" s="4" t="inlineStr"/>
      <c r="S299" s="9" t="n"/>
    </row>
    <row r="300" ht="34" customHeight="1">
      <c r="A300" s="4" t="inlineStr">
        <is>
          <t>1.6</t>
        </is>
      </c>
      <c r="B300" s="9" t="n">
        <v>87</v>
      </c>
      <c r="C300" s="4" t="inlineStr">
        <is>
          <t>Кран шаровый LD полнопроходной 11с67п КШРФ Ду 50 Ру 16 с КОФ</t>
        </is>
      </c>
      <c r="D300" s="9" t="n">
        <v>5</v>
      </c>
      <c r="E300" s="4" t="inlineStr">
        <is>
          <t>шт</t>
        </is>
      </c>
      <c r="F300" s="9" t="n">
        <v>50</v>
      </c>
      <c r="G300" s="9" t="n">
        <v>1.6</v>
      </c>
      <c r="H300" s="4" t="inlineStr">
        <is>
          <t xml:space="preserve">сталь </t>
        </is>
      </c>
      <c r="I300" s="4" t="inlineStr">
        <is>
          <t>-</t>
        </is>
      </c>
      <c r="J300" s="13" t="n"/>
      <c r="K300" s="6">
        <f>IF(J300="","",J300*(1-0.1))</f>
        <v/>
      </c>
      <c r="L300" s="9" t="n"/>
      <c r="M300" s="6">
        <f>IF(J300="","",K300*D300)</f>
        <v/>
      </c>
      <c r="N300" s="6">
        <f>IF(L300="","",L300*D300*55)</f>
        <v/>
      </c>
      <c r="O300" s="6">
        <f>IF(M300="","",M300+N(N300))</f>
        <v/>
      </c>
      <c r="P300" s="9" t="n"/>
      <c r="Q300" s="4" t="inlineStr"/>
      <c r="R300" s="4" t="inlineStr"/>
      <c r="S300" s="9" t="n"/>
    </row>
    <row r="301" ht="34" customHeight="1">
      <c r="A301" s="4" t="inlineStr">
        <is>
          <t>1.6</t>
        </is>
      </c>
      <c r="B301" s="9" t="n">
        <v>88</v>
      </c>
      <c r="C301" s="4" t="inlineStr">
        <is>
          <t>Кран шаровый LD полнопроходной 11с67п КШРФ Ду 80 Ру 16 с КОФ</t>
        </is>
      </c>
      <c r="D301" s="9" t="n">
        <v>6</v>
      </c>
      <c r="E301" s="4" t="inlineStr">
        <is>
          <t>шт</t>
        </is>
      </c>
      <c r="F301" s="9" t="n">
        <v>80</v>
      </c>
      <c r="G301" s="9" t="n">
        <v>1.6</v>
      </c>
      <c r="H301" s="4" t="inlineStr">
        <is>
          <t xml:space="preserve">сталь </t>
        </is>
      </c>
      <c r="I301" s="4" t="inlineStr">
        <is>
          <t>-</t>
        </is>
      </c>
      <c r="J301" s="13" t="n"/>
      <c r="K301" s="6">
        <f>IF(J301="","",J301*(1-0.1))</f>
        <v/>
      </c>
      <c r="L301" s="9" t="n"/>
      <c r="M301" s="6">
        <f>IF(J301="","",K301*D301)</f>
        <v/>
      </c>
      <c r="N301" s="6">
        <f>IF(L301="","",L301*D301*55)</f>
        <v/>
      </c>
      <c r="O301" s="6">
        <f>IF(M301="","",M301+N(N301))</f>
        <v/>
      </c>
      <c r="P301" s="9" t="n"/>
      <c r="Q301" s="4" t="inlineStr"/>
      <c r="R301" s="4" t="inlineStr"/>
      <c r="S301" s="9" t="n"/>
    </row>
    <row r="302" ht="34" customHeight="1">
      <c r="A302" s="4" t="inlineStr">
        <is>
          <t>1.6</t>
        </is>
      </c>
      <c r="B302" s="9" t="n">
        <v>89</v>
      </c>
      <c r="C302" s="4" t="inlineStr">
        <is>
          <t>Затвор дисковый поворотный(ГРЭНВЭЛ) ЗП ТЛ Ду 100 Ру 16</t>
        </is>
      </c>
      <c r="D302" s="9" t="n">
        <v>2</v>
      </c>
      <c r="E302" s="4" t="inlineStr">
        <is>
          <t>шт</t>
        </is>
      </c>
      <c r="F302" s="9" t="n">
        <v>100</v>
      </c>
      <c r="G302" s="9" t="n">
        <v>1.6</v>
      </c>
      <c r="H302" s="4" t="inlineStr">
        <is>
          <t>серый чугун GG25</t>
        </is>
      </c>
      <c r="I302" s="4" t="inlineStr">
        <is>
          <t>-</t>
        </is>
      </c>
      <c r="J302" s="13" t="n"/>
      <c r="K302" s="6">
        <f>IF(J302="","",J302*(1-0.1))</f>
        <v/>
      </c>
      <c r="L302" s="9" t="n"/>
      <c r="M302" s="6">
        <f>IF(J302="","",K302*D302)</f>
        <v/>
      </c>
      <c r="N302" s="6">
        <f>IF(L302="","",L302*D302*55)</f>
        <v/>
      </c>
      <c r="O302" s="6">
        <f>IF(M302="","",M302+N(N302))</f>
        <v/>
      </c>
      <c r="P302" s="9" t="n"/>
      <c r="Q302" s="4" t="inlineStr"/>
      <c r="R302" s="4" t="inlineStr"/>
      <c r="S302" s="9" t="n"/>
    </row>
    <row r="303" ht="34" customHeight="1">
      <c r="A303" s="4" t="inlineStr">
        <is>
          <t>1.6</t>
        </is>
      </c>
      <c r="B303" s="9" t="n">
        <v>90</v>
      </c>
      <c r="C303" s="4" t="inlineStr">
        <is>
          <t>Затвор дисковый поворотный(ГРЭНВЭЛ) ЗП ТЛ Ду 80 Ру 16</t>
        </is>
      </c>
      <c r="D303" s="9" t="n">
        <v>1</v>
      </c>
      <c r="E303" s="4" t="inlineStr">
        <is>
          <t>шт</t>
        </is>
      </c>
      <c r="F303" s="9" t="n">
        <v>80</v>
      </c>
      <c r="G303" s="9" t="n">
        <v>1.6</v>
      </c>
      <c r="H303" s="4" t="inlineStr">
        <is>
          <t>серый чугун GG25</t>
        </is>
      </c>
      <c r="I303" s="4" t="inlineStr">
        <is>
          <t>-</t>
        </is>
      </c>
      <c r="J303" s="13" t="n"/>
      <c r="K303" s="6">
        <f>IF(J303="","",J303*(1-0.1))</f>
        <v/>
      </c>
      <c r="L303" s="9" t="n"/>
      <c r="M303" s="6">
        <f>IF(J303="","",K303*D303)</f>
        <v/>
      </c>
      <c r="N303" s="6">
        <f>IF(L303="","",L303*D303*55)</f>
        <v/>
      </c>
      <c r="O303" s="6">
        <f>IF(M303="","",M303+N(N303))</f>
        <v/>
      </c>
      <c r="P303" s="9" t="n"/>
      <c r="Q303" s="4" t="inlineStr"/>
      <c r="R303" s="4" t="inlineStr"/>
      <c r="S303" s="9" t="n"/>
    </row>
    <row r="304" ht="34" customHeight="1">
      <c r="A304" s="4" t="inlineStr">
        <is>
          <t>1.6</t>
        </is>
      </c>
      <c r="B304" s="9" t="n">
        <v>91</v>
      </c>
      <c r="C304" s="4" t="inlineStr">
        <is>
          <t>Затвор дисковый поворотный(ГРЭНВЭЛ) Тип /серия FL(w)-3-MR-E Ду 80 Ру 16</t>
        </is>
      </c>
      <c r="D304" s="9" t="n">
        <v>1</v>
      </c>
      <c r="E304" s="4" t="inlineStr">
        <is>
          <t>шт</t>
        </is>
      </c>
      <c r="F304" s="9" t="n">
        <v>80</v>
      </c>
      <c r="G304" s="9" t="n">
        <v>1.6</v>
      </c>
      <c r="H304" s="4" t="inlineStr">
        <is>
          <t>серый чугун GG25</t>
        </is>
      </c>
      <c r="I304" s="4" t="inlineStr">
        <is>
          <t>ручной (рукоятка)</t>
        </is>
      </c>
      <c r="J304" s="13" t="n"/>
      <c r="K304" s="6">
        <f>IF(J304="","",J304*(1-0.1))</f>
        <v/>
      </c>
      <c r="L304" s="9" t="n"/>
      <c r="M304" s="6">
        <f>IF(J304="","",K304*D304)</f>
        <v/>
      </c>
      <c r="N304" s="6">
        <f>IF(L304="","",L304*D304*55)</f>
        <v/>
      </c>
      <c r="O304" s="6">
        <f>IF(M304="","",M304+N(N304))</f>
        <v/>
      </c>
      <c r="P304" s="9" t="n"/>
      <c r="Q304" s="4" t="inlineStr"/>
      <c r="R304" s="4" t="inlineStr"/>
      <c r="S304" s="9" t="n"/>
    </row>
    <row r="305" ht="34" customHeight="1">
      <c r="A305" s="4" t="inlineStr">
        <is>
          <t>1.6</t>
        </is>
      </c>
      <c r="B305" s="9" t="n">
        <v>92</v>
      </c>
      <c r="C305" s="4" t="inlineStr">
        <is>
          <t>Газовый клапан Dungs LGV 507/5 230 V, 119271</t>
        </is>
      </c>
      <c r="D305" s="9" t="n">
        <v>2</v>
      </c>
      <c r="E305" s="4" t="inlineStr">
        <is>
          <t>шт</t>
        </is>
      </c>
      <c r="F305" s="4" t="inlineStr">
        <is>
          <t>-</t>
        </is>
      </c>
      <c r="G305" s="4" t="inlineStr">
        <is>
          <t>-</t>
        </is>
      </c>
      <c r="H305" s="4" t="inlineStr">
        <is>
          <t xml:space="preserve">
корпус: алюминий, сталь;</t>
        </is>
      </c>
      <c r="I305" s="4" t="inlineStr">
        <is>
          <t>-</t>
        </is>
      </c>
      <c r="J305" s="13" t="n"/>
      <c r="K305" s="6">
        <f>IF(J305="","",J305*(1-0.1))</f>
        <v/>
      </c>
      <c r="L305" s="9" t="n"/>
      <c r="M305" s="6">
        <f>IF(J305="","",K305*D305)</f>
        <v/>
      </c>
      <c r="N305" s="6">
        <f>IF(L305="","",L305*D305*55)</f>
        <v/>
      </c>
      <c r="O305" s="6">
        <f>IF(M305="","",M305+N(N305))</f>
        <v/>
      </c>
      <c r="P305" s="9" t="n"/>
      <c r="Q305" s="4" t="inlineStr"/>
      <c r="R305" s="4" t="inlineStr"/>
      <c r="S305" s="9" t="n"/>
    </row>
    <row r="306" ht="34" customHeight="1">
      <c r="A306" s="4" t="inlineStr">
        <is>
          <t>1.6</t>
        </is>
      </c>
      <c r="B306" s="9" t="n">
        <v>93</v>
      </c>
      <c r="C306" s="4" t="inlineStr">
        <is>
          <t>Электропривод Esbe 95 - 12051900</t>
        </is>
      </c>
      <c r="D306" s="9" t="n">
        <v>1</v>
      </c>
      <c r="E306" s="4" t="inlineStr">
        <is>
          <t>шт</t>
        </is>
      </c>
      <c r="F306" s="4" t="inlineStr">
        <is>
          <t>-</t>
        </is>
      </c>
      <c r="G306" s="4" t="inlineStr">
        <is>
          <t>-</t>
        </is>
      </c>
      <c r="H306" s="4" t="inlineStr">
        <is>
          <t>-</t>
        </is>
      </c>
      <c r="I306" s="4" t="inlineStr">
        <is>
          <t>-</t>
        </is>
      </c>
      <c r="J306" s="13" t="n"/>
      <c r="K306" s="6">
        <f>IF(J306="","",J306*(1-0.1))</f>
        <v/>
      </c>
      <c r="L306" s="9" t="n"/>
      <c r="M306" s="6">
        <f>IF(J306="","",K306*D306)</f>
        <v/>
      </c>
      <c r="N306" s="6">
        <f>IF(L306="","",L306*D306*55)</f>
        <v/>
      </c>
      <c r="O306" s="6">
        <f>IF(M306="","",M306+N(N306))</f>
        <v/>
      </c>
      <c r="P306" s="9" t="n"/>
      <c r="Q306" s="4" t="inlineStr"/>
      <c r="R306" s="4" t="inlineStr"/>
      <c r="S306" s="9" t="n"/>
    </row>
    <row r="307" ht="34" customHeight="1">
      <c r="A307" s="4" t="inlineStr">
        <is>
          <t>1.7</t>
        </is>
      </c>
      <c r="B307" s="9" t="n">
        <v>1</v>
      </c>
      <c r="C307" s="4" t="inlineStr">
        <is>
          <t>АРТ-85 Ду 50 Ру 16 "после себя"</t>
        </is>
      </c>
      <c r="D307" s="9" t="n">
        <v>1</v>
      </c>
      <c r="E307" s="4" t="inlineStr">
        <is>
          <t>шт</t>
        </is>
      </c>
      <c r="F307" s="9" t="n">
        <v>50</v>
      </c>
      <c r="G307" s="9" t="n">
        <v>1.6</v>
      </c>
      <c r="H307" s="4" t="inlineStr">
        <is>
          <t>-</t>
        </is>
      </c>
      <c r="I307" s="4" t="inlineStr">
        <is>
          <t>-</t>
        </is>
      </c>
      <c r="J307" s="13" t="n"/>
      <c r="K307" s="6">
        <f>IF(J307="","",J307*(1-0.1))</f>
        <v/>
      </c>
      <c r="L307" s="9" t="n"/>
      <c r="M307" s="6">
        <f>IF(J307="","",K307*D307)</f>
        <v/>
      </c>
      <c r="N307" s="6">
        <f>IF(L307="","",L307*D307*55)</f>
        <v/>
      </c>
      <c r="O307" s="6">
        <f>IF(M307="","",M307+N(N307))</f>
        <v/>
      </c>
      <c r="P307" s="9" t="n"/>
      <c r="Q307" s="4" t="inlineStr"/>
      <c r="R307" s="4" t="inlineStr"/>
      <c r="S307" s="9" t="n"/>
    </row>
    <row r="308" ht="34" customHeight="1">
      <c r="A308" s="4" t="inlineStr">
        <is>
          <t>1.7</t>
        </is>
      </c>
      <c r="B308" s="9" t="n">
        <v>2</v>
      </c>
      <c r="C308" s="4" t="inlineStr">
        <is>
          <t>Кран шаровой 11с67п Ду 25 Ру 25 цельносварной под приварку</t>
        </is>
      </c>
      <c r="D308" s="9" t="n">
        <v>12</v>
      </c>
      <c r="E308" s="4" t="inlineStr">
        <is>
          <t>шт</t>
        </is>
      </c>
      <c r="F308" s="9" t="n">
        <v>25</v>
      </c>
      <c r="G308" s="9" t="n">
        <v>2.5</v>
      </c>
      <c r="H308" s="4" t="inlineStr">
        <is>
          <t>сталь 20</t>
        </is>
      </c>
      <c r="I308" s="4" t="inlineStr">
        <is>
          <t>ручной (рукоятка)</t>
        </is>
      </c>
      <c r="J308" s="13" t="n"/>
      <c r="K308" s="6">
        <f>IF(J308="","",J308*(1-0.1))</f>
        <v/>
      </c>
      <c r="L308" s="9" t="n"/>
      <c r="M308" s="6">
        <f>IF(J308="","",K308*D308)</f>
        <v/>
      </c>
      <c r="N308" s="6">
        <f>IF(L308="","",L308*D308*55)</f>
        <v/>
      </c>
      <c r="O308" s="6">
        <f>IF(M308="","",M308+N(N308))</f>
        <v/>
      </c>
      <c r="P308" s="9" t="n"/>
      <c r="Q308" s="4" t="inlineStr"/>
      <c r="R308" s="4" t="inlineStr"/>
      <c r="S308" s="9" t="n"/>
    </row>
    <row r="309" ht="34" customHeight="1">
      <c r="A309" s="4" t="inlineStr">
        <is>
          <t>1.7</t>
        </is>
      </c>
      <c r="B309" s="9" t="n">
        <v>3</v>
      </c>
      <c r="C309" s="4" t="inlineStr">
        <is>
          <t>Кран шаровой 11с67п Ду 32 Ру 25 цельносварной под приварку</t>
        </is>
      </c>
      <c r="D309" s="9" t="n">
        <v>12</v>
      </c>
      <c r="E309" s="4" t="inlineStr">
        <is>
          <t>шт</t>
        </is>
      </c>
      <c r="F309" s="9" t="n">
        <v>32</v>
      </c>
      <c r="G309" s="9" t="n">
        <v>2.5</v>
      </c>
      <c r="H309" s="4" t="inlineStr">
        <is>
          <t>сталь 20</t>
        </is>
      </c>
      <c r="I309" s="4" t="inlineStr">
        <is>
          <t>ручной (рукоятка)</t>
        </is>
      </c>
      <c r="J309" s="13" t="n"/>
      <c r="K309" s="6">
        <f>IF(J309="","",J309*(1-0.1))</f>
        <v/>
      </c>
      <c r="L309" s="9" t="n"/>
      <c r="M309" s="6">
        <f>IF(J309="","",K309*D309)</f>
        <v/>
      </c>
      <c r="N309" s="6">
        <f>IF(L309="","",L309*D309*55)</f>
        <v/>
      </c>
      <c r="O309" s="6">
        <f>IF(M309="","",M309+N(N309))</f>
        <v/>
      </c>
      <c r="P309" s="9" t="n"/>
      <c r="Q309" s="4" t="inlineStr"/>
      <c r="R309" s="4" t="inlineStr"/>
      <c r="S309" s="9" t="n"/>
    </row>
    <row r="310" ht="34" customHeight="1">
      <c r="A310" s="4" t="inlineStr">
        <is>
          <t>1.7</t>
        </is>
      </c>
      <c r="B310" s="9" t="n">
        <v>4</v>
      </c>
      <c r="C310" s="4" t="inlineStr">
        <is>
          <t>Кран шаровой 11с67п Ду 40 Ру 25 цельносварной под приварку</t>
        </is>
      </c>
      <c r="D310" s="9" t="n">
        <v>10</v>
      </c>
      <c r="E310" s="4" t="inlineStr">
        <is>
          <t>шт</t>
        </is>
      </c>
      <c r="F310" s="9" t="n">
        <v>40</v>
      </c>
      <c r="G310" s="9" t="n">
        <v>2.5</v>
      </c>
      <c r="H310" s="4" t="inlineStr">
        <is>
          <t>сталь 20</t>
        </is>
      </c>
      <c r="I310" s="4" t="inlineStr">
        <is>
          <t>ручной (рукоятка)</t>
        </is>
      </c>
      <c r="J310" s="13" t="n"/>
      <c r="K310" s="6">
        <f>IF(J310="","",J310*(1-0.1))</f>
        <v/>
      </c>
      <c r="L310" s="9" t="n"/>
      <c r="M310" s="6">
        <f>IF(J310="","",K310*D310)</f>
        <v/>
      </c>
      <c r="N310" s="6">
        <f>IF(L310="","",L310*D310*55)</f>
        <v/>
      </c>
      <c r="O310" s="6">
        <f>IF(M310="","",M310+N(N310))</f>
        <v/>
      </c>
      <c r="P310" s="9" t="n"/>
      <c r="Q310" s="4" t="inlineStr"/>
      <c r="R310" s="4" t="inlineStr"/>
      <c r="S310" s="9" t="n"/>
    </row>
    <row r="311" ht="34" customHeight="1">
      <c r="A311" s="4" t="inlineStr">
        <is>
          <t>1.8</t>
        </is>
      </c>
      <c r="B311" s="9" t="n">
        <v>1</v>
      </c>
      <c r="C311" s="4" t="inlineStr">
        <is>
          <t>Задвижка 30нж41нж Ду 80 Ру 16 1исп. САЗ</t>
        </is>
      </c>
      <c r="D311" s="9" t="n">
        <v>1</v>
      </c>
      <c r="E311" s="4" t="inlineStr">
        <is>
          <t>шт</t>
        </is>
      </c>
      <c r="F311" s="9" t="n">
        <v>80</v>
      </c>
      <c r="G311" s="9" t="n">
        <v>1.6</v>
      </c>
      <c r="H311" s="4" t="inlineStr">
        <is>
          <t>углеродистая сталь</t>
        </is>
      </c>
      <c r="I311" s="4" t="inlineStr">
        <is>
          <t xml:space="preserve">Ручное </t>
        </is>
      </c>
      <c r="J311" s="13" t="n"/>
      <c r="K311" s="6">
        <f>IF(J311="","",J311*(1-0.1))</f>
        <v/>
      </c>
      <c r="L311" s="9" t="n"/>
      <c r="M311" s="6">
        <f>IF(J311="","",K311*D311)</f>
        <v/>
      </c>
      <c r="N311" s="6">
        <f>IF(L311="","",L311*D311*55)</f>
        <v/>
      </c>
      <c r="O311" s="6">
        <f>IF(M311="","",M311+N(N311))</f>
        <v/>
      </c>
      <c r="P311" s="9" t="n"/>
      <c r="Q311" s="4" t="inlineStr"/>
      <c r="R311" s="4" t="inlineStr"/>
      <c r="S311" s="9" t="n"/>
    </row>
    <row r="312" ht="34" customHeight="1">
      <c r="A312" s="4" t="inlineStr">
        <is>
          <t>1.8</t>
        </is>
      </c>
      <c r="B312" s="9" t="n">
        <v>2</v>
      </c>
      <c r="C312" s="4" t="inlineStr">
        <is>
          <t>Кран шаровой 10нж45фт 2ЦФ Ду 20 Ру 16</t>
        </is>
      </c>
      <c r="D312" s="9" t="n">
        <v>2</v>
      </c>
      <c r="E312" s="4" t="inlineStr">
        <is>
          <t>шт</t>
        </is>
      </c>
      <c r="F312" s="9" t="n">
        <v>20</v>
      </c>
      <c r="G312" s="9" t="n">
        <v>1.6</v>
      </c>
      <c r="H312" s="4" t="inlineStr">
        <is>
          <t>нержавеющая сталь 12Х18Н10Т</t>
        </is>
      </c>
      <c r="I312" s="4" t="inlineStr">
        <is>
          <t xml:space="preserve">Ручное </t>
        </is>
      </c>
      <c r="J312" s="13" t="n"/>
      <c r="K312" s="6">
        <f>IF(J312="","",J312*(1-0.1))</f>
        <v/>
      </c>
      <c r="L312" s="9" t="n"/>
      <c r="M312" s="6">
        <f>IF(J312="","",K312*D312)</f>
        <v/>
      </c>
      <c r="N312" s="6">
        <f>IF(L312="","",L312*D312*55)</f>
        <v/>
      </c>
      <c r="O312" s="6">
        <f>IF(M312="","",M312+N(N312))</f>
        <v/>
      </c>
      <c r="P312" s="9" t="n"/>
      <c r="Q312" s="4" t="inlineStr"/>
      <c r="R312" s="4" t="inlineStr"/>
      <c r="S312" s="9" t="n"/>
    </row>
    <row r="313" ht="34" customHeight="1">
      <c r="A313" s="4" t="inlineStr">
        <is>
          <t>1.8</t>
        </is>
      </c>
      <c r="B313" s="9" t="n">
        <v>3</v>
      </c>
      <c r="C313" s="4" t="inlineStr">
        <is>
          <t>Кран шаровой 10нж45фт 2ЦФ Ду 25 Ру 16</t>
        </is>
      </c>
      <c r="D313" s="9" t="n">
        <v>2</v>
      </c>
      <c r="E313" s="4" t="inlineStr">
        <is>
          <t>шт</t>
        </is>
      </c>
      <c r="F313" s="9" t="n">
        <v>25</v>
      </c>
      <c r="G313" s="9" t="n">
        <v>1.6</v>
      </c>
      <c r="H313" s="4" t="inlineStr">
        <is>
          <t>нержавеющая сталь 12Х18Н10Т</t>
        </is>
      </c>
      <c r="I313" s="4" t="inlineStr">
        <is>
          <t xml:space="preserve">Ручное </t>
        </is>
      </c>
      <c r="J313" s="13" t="n"/>
      <c r="K313" s="6">
        <f>IF(J313="","",J313*(1-0.1))</f>
        <v/>
      </c>
      <c r="L313" s="9" t="n"/>
      <c r="M313" s="6">
        <f>IF(J313="","",K313*D313)</f>
        <v/>
      </c>
      <c r="N313" s="6">
        <f>IF(L313="","",L313*D313*55)</f>
        <v/>
      </c>
      <c r="O313" s="6">
        <f>IF(M313="","",M313+N(N313))</f>
        <v/>
      </c>
      <c r="P313" s="9" t="n"/>
      <c r="Q313" s="4" t="inlineStr"/>
      <c r="R313" s="4" t="inlineStr"/>
      <c r="S313" s="9" t="n"/>
    </row>
    <row r="314" ht="34" customHeight="1">
      <c r="A314" s="4" t="inlineStr">
        <is>
          <t>1.8</t>
        </is>
      </c>
      <c r="B314" s="9" t="n">
        <v>4</v>
      </c>
      <c r="C314" s="4" t="inlineStr">
        <is>
          <t>Кран шаровой 10нж45фт 2ЦФ Ду 32 Ру 16</t>
        </is>
      </c>
      <c r="D314" s="9" t="n">
        <v>2</v>
      </c>
      <c r="E314" s="4" t="inlineStr">
        <is>
          <t>шт</t>
        </is>
      </c>
      <c r="F314" s="9" t="n">
        <v>32</v>
      </c>
      <c r="G314" s="9" t="n">
        <v>1.6</v>
      </c>
      <c r="H314" s="4" t="inlineStr">
        <is>
          <t>нержавеющая сталь 12Х18Н10Т</t>
        </is>
      </c>
      <c r="I314" s="4" t="inlineStr">
        <is>
          <t xml:space="preserve">Ручное </t>
        </is>
      </c>
      <c r="J314" s="13" t="n"/>
      <c r="K314" s="6">
        <f>IF(J314="","",J314*(1-0.1))</f>
        <v/>
      </c>
      <c r="L314" s="9" t="n"/>
      <c r="M314" s="6">
        <f>IF(J314="","",K314*D314)</f>
        <v/>
      </c>
      <c r="N314" s="6">
        <f>IF(L314="","",L314*D314*55)</f>
        <v/>
      </c>
      <c r="O314" s="6">
        <f>IF(M314="","",M314+N(N314))</f>
        <v/>
      </c>
      <c r="P314" s="9" t="n"/>
      <c r="Q314" s="4" t="inlineStr"/>
      <c r="R314" s="4" t="inlineStr"/>
      <c r="S314" s="9" t="n"/>
    </row>
    <row r="315" ht="34" customHeight="1">
      <c r="A315" s="4" t="inlineStr">
        <is>
          <t>1.8</t>
        </is>
      </c>
      <c r="B315" s="9" t="n">
        <v>5</v>
      </c>
      <c r="C315" s="4" t="inlineStr">
        <is>
          <t>Кран шаровой 11с22п Ду 80 Ру 16</t>
        </is>
      </c>
      <c r="D315" s="9" t="n">
        <v>2</v>
      </c>
      <c r="E315" s="4" t="inlineStr">
        <is>
          <t>шт</t>
        </is>
      </c>
      <c r="F315" s="9" t="n">
        <v>80</v>
      </c>
      <c r="G315" s="9" t="n">
        <v>1.6</v>
      </c>
      <c r="H315" s="4" t="inlineStr">
        <is>
          <t>сталь 20</t>
        </is>
      </c>
      <c r="I315" s="4" t="inlineStr">
        <is>
          <t>ручной (рукоятка)</t>
        </is>
      </c>
      <c r="J315" s="13" t="n"/>
      <c r="K315" s="6">
        <f>IF(J315="","",J315*(1-0.1))</f>
        <v/>
      </c>
      <c r="L315" s="9" t="n"/>
      <c r="M315" s="6">
        <f>IF(J315="","",K315*D315)</f>
        <v/>
      </c>
      <c r="N315" s="6">
        <f>IF(L315="","",L315*D315*55)</f>
        <v/>
      </c>
      <c r="O315" s="6">
        <f>IF(M315="","",M315+N(N315))</f>
        <v/>
      </c>
      <c r="P315" s="9" t="n"/>
      <c r="Q315" s="4" t="inlineStr"/>
      <c r="R315" s="4" t="inlineStr"/>
      <c r="S315" s="9" t="n"/>
    </row>
    <row r="316" ht="34" customHeight="1">
      <c r="A316" s="4" t="inlineStr">
        <is>
          <t>1.8</t>
        </is>
      </c>
      <c r="B316" s="9" t="n">
        <v>6</v>
      </c>
      <c r="C316" s="4" t="inlineStr">
        <is>
          <t>Кран шаровой 11с22п Ду 100 Ру 16</t>
        </is>
      </c>
      <c r="D316" s="9" t="n">
        <v>1</v>
      </c>
      <c r="E316" s="4" t="inlineStr">
        <is>
          <t>шт</t>
        </is>
      </c>
      <c r="F316" s="9" t="n">
        <v>100</v>
      </c>
      <c r="G316" s="9" t="n">
        <v>1.6</v>
      </c>
      <c r="H316" s="4" t="inlineStr">
        <is>
          <t>сталь 20</t>
        </is>
      </c>
      <c r="I316" s="4" t="inlineStr">
        <is>
          <t>ручной (рукоятка)</t>
        </is>
      </c>
      <c r="J316" s="13" t="n"/>
      <c r="K316" s="6">
        <f>IF(J316="","",J316*(1-0.1))</f>
        <v/>
      </c>
      <c r="L316" s="9" t="n"/>
      <c r="M316" s="6">
        <f>IF(J316="","",K316*D316)</f>
        <v/>
      </c>
      <c r="N316" s="6">
        <f>IF(L316="","",L316*D316*55)</f>
        <v/>
      </c>
      <c r="O316" s="6">
        <f>IF(M316="","",M316+N(N316))</f>
        <v/>
      </c>
      <c r="P316" s="9" t="n"/>
      <c r="Q316" s="4" t="inlineStr"/>
      <c r="R316" s="4" t="inlineStr"/>
      <c r="S316" s="9" t="n"/>
    </row>
    <row r="317" ht="34" customHeight="1">
      <c r="A317" s="4" t="inlineStr">
        <is>
          <t>1.8</t>
        </is>
      </c>
      <c r="B317" s="9" t="n">
        <v>7</v>
      </c>
      <c r="C317" s="4" t="inlineStr">
        <is>
          <t>Кран шаровой 11с67п Ду 50 Ру 25 полнопрох. с КОФ (КЗШС41нж)</t>
        </is>
      </c>
      <c r="D317" s="9" t="n">
        <v>4</v>
      </c>
      <c r="E317" s="4" t="inlineStr">
        <is>
          <t>шт</t>
        </is>
      </c>
      <c r="F317" s="9" t="n">
        <v>20</v>
      </c>
      <c r="G317" s="9" t="n">
        <v>2.5</v>
      </c>
      <c r="H317" s="4" t="inlineStr">
        <is>
          <t>Сталь 20</t>
        </is>
      </c>
      <c r="I317" s="4" t="inlineStr">
        <is>
          <t xml:space="preserve">Ручное </t>
        </is>
      </c>
      <c r="J317" s="13" t="n"/>
      <c r="K317" s="6">
        <f>IF(J317="","",J317*(1-0.1))</f>
        <v/>
      </c>
      <c r="L317" s="9" t="n"/>
      <c r="M317" s="6">
        <f>IF(J317="","",K317*D317)</f>
        <v/>
      </c>
      <c r="N317" s="6">
        <f>IF(L317="","",L317*D317*55)</f>
        <v/>
      </c>
      <c r="O317" s="6">
        <f>IF(M317="","",M317+N(N317))</f>
        <v/>
      </c>
      <c r="P317" s="9" t="n"/>
      <c r="Q317" s="4" t="inlineStr"/>
      <c r="R317" s="4" t="inlineStr"/>
      <c r="S317" s="9" t="n"/>
    </row>
    <row r="318" ht="34" customHeight="1">
      <c r="A318" s="14" t="inlineStr"/>
      <c r="B318" s="14" t="inlineStr"/>
      <c r="C318" s="14" t="inlineStr">
        <is>
          <t>ИТОГО</t>
        </is>
      </c>
      <c r="D318" s="14">
        <f>SUM(D3:D317)</f>
        <v/>
      </c>
      <c r="E318" s="14" t="inlineStr"/>
      <c r="F318" s="14" t="inlineStr"/>
      <c r="G318" s="14" t="inlineStr"/>
      <c r="H318" s="14" t="inlineStr"/>
      <c r="I318" s="14" t="inlineStr"/>
      <c r="J318" s="14" t="inlineStr"/>
      <c r="K318" s="14" t="inlineStr"/>
      <c r="L318" s="14" t="inlineStr"/>
      <c r="M318" s="15">
        <f>SUM(M3:M317)</f>
        <v/>
      </c>
      <c r="N318" s="15">
        <f>SUM(N3:N317)</f>
        <v/>
      </c>
      <c r="O318" s="15">
        <f>SUM(O3:O317)</f>
        <v/>
      </c>
      <c r="P318" s="16" t="n"/>
      <c r="Q318" s="16" t="n"/>
      <c r="R318" s="16" t="n"/>
      <c r="S318" s="16" t="n"/>
    </row>
  </sheetData>
  <autoFilter ref="A2:S317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workbookViewId="0">
      <selection activeCell="A1" sqref="A1"/>
    </sheetView>
  </sheetViews>
  <sheetFormatPr baseColWidth="8" defaultRowHeight="15"/>
  <cols>
    <col width="9" customWidth="1" min="1" max="1"/>
    <col width="48" customWidth="1" min="2" max="2"/>
    <col width="10" customWidth="1" min="3" max="3"/>
    <col width="10" customWidth="1" min="4" max="4"/>
    <col width="12" customWidth="1" min="5" max="5"/>
    <col width="22" customWidth="1" min="6" max="6"/>
  </cols>
  <sheetData>
    <row r="1" ht="48" customHeight="1">
      <c r="A1" s="3" t="inlineStr">
        <is>
          <t>Таблица</t>
        </is>
      </c>
      <c r="B1" s="3" t="inlineStr">
        <is>
          <t>Грузополучатель / статья</t>
        </is>
      </c>
      <c r="C1" s="3" t="inlineStr">
        <is>
          <t>Позиций</t>
        </is>
      </c>
      <c r="D1" s="3" t="inlineStr">
        <is>
          <t>Единиц</t>
        </is>
      </c>
      <c r="E1" s="3" t="inlineStr">
        <is>
          <t>Цен найдено</t>
        </is>
      </c>
      <c r="F1" s="3" t="inlineStr">
        <is>
          <t>Себестоимость найденных, ₽</t>
        </is>
      </c>
    </row>
    <row r="2" ht="34" customHeight="1">
      <c r="A2" s="4" t="inlineStr">
        <is>
          <t>1.1</t>
        </is>
      </c>
      <c r="B2" s="4" t="inlineStr">
        <is>
          <t>Спец. №1 · Возобновляемая энергетика · ремонт</t>
        </is>
      </c>
      <c r="C2" s="4">
        <f>COUNTIF(Позиции!A3:A317,"1.1")</f>
        <v/>
      </c>
      <c r="D2" s="4">
        <f>SUMIF(Позиции!A3:A317,"1.1",Позиции!D3:D317)</f>
        <v/>
      </c>
      <c r="E2" s="4">
        <f>COUNTIFS(Позиции!A3:A317,"1.1",Позиции!J3:J317,"&gt;0")</f>
        <v/>
      </c>
      <c r="F2" s="6">
        <f>SUMIF(Позиции!A3:A317,"1.1",Позиции!O3:O317)</f>
        <v/>
      </c>
    </row>
    <row r="3" ht="34" customHeight="1">
      <c r="A3" s="4" t="inlineStr">
        <is>
          <t>1.2</t>
        </is>
      </c>
      <c r="B3" s="4" t="inlineStr">
        <is>
          <t>Спец. №2 · КТЭЦ · ремонт арендованного</t>
        </is>
      </c>
      <c r="C3" s="4">
        <f>COUNTIF(Позиции!A3:A317,"1.2")</f>
        <v/>
      </c>
      <c r="D3" s="4">
        <f>SUMIF(Позиции!A3:A317,"1.2",Позиции!D3:D317)</f>
        <v/>
      </c>
      <c r="E3" s="4">
        <f>COUNTIFS(Позиции!A3:A317,"1.2",Позиции!J3:J317,"&gt;0")</f>
        <v/>
      </c>
      <c r="F3" s="6">
        <f>SUMIF(Позиции!A3:A317,"1.2",Позиции!O3:O317)</f>
        <v/>
      </c>
    </row>
    <row r="4" ht="34" customHeight="1">
      <c r="A4" s="4" t="inlineStr">
        <is>
          <t>1.3</t>
        </is>
      </c>
      <c r="B4" s="4" t="inlineStr">
        <is>
          <t>Спец. №2 · КТЭЦ · ремонт</t>
        </is>
      </c>
      <c r="C4" s="4">
        <f>COUNTIF(Позиции!A3:A317,"1.3")</f>
        <v/>
      </c>
      <c r="D4" s="4">
        <f>SUMIF(Позиции!A3:A317,"1.3",Позиции!D3:D317)</f>
        <v/>
      </c>
      <c r="E4" s="4">
        <f>COUNTIFS(Позиции!A3:A317,"1.3",Позиции!J3:J317,"&gt;0")</f>
        <v/>
      </c>
      <c r="F4" s="6">
        <f>SUMIF(Позиции!A3:A317,"1.3",Позиции!O3:O317)</f>
        <v/>
      </c>
    </row>
    <row r="5" ht="34" customHeight="1">
      <c r="A5" s="4" t="inlineStr">
        <is>
          <t>1.4</t>
        </is>
      </c>
      <c r="B5" s="4" t="inlineStr">
        <is>
          <t>Спец. №2 · КТЭЦ · эксплуатация</t>
        </is>
      </c>
      <c r="C5" s="4">
        <f>COUNTIF(Позиции!A3:A317,"1.4")</f>
        <v/>
      </c>
      <c r="D5" s="4">
        <f>SUMIF(Позиции!A3:A317,"1.4",Позиции!D3:D317)</f>
        <v/>
      </c>
      <c r="E5" s="4">
        <f>COUNTIFS(Позиции!A3:A317,"1.4",Позиции!J3:J317,"&gt;0")</f>
        <v/>
      </c>
      <c r="F5" s="6">
        <f>SUMIF(Позиции!A3:A317,"1.4",Позиции!O3:O317)</f>
        <v/>
      </c>
    </row>
    <row r="6" ht="34" customHeight="1">
      <c r="A6" s="4" t="inlineStr">
        <is>
          <t>1.5</t>
        </is>
      </c>
      <c r="B6" s="4" t="inlineStr">
        <is>
          <t>Спец. №2 · КТЭЦ · ТО</t>
        </is>
      </c>
      <c r="C6" s="4">
        <f>COUNTIF(Позиции!A3:A317,"1.5")</f>
        <v/>
      </c>
      <c r="D6" s="4">
        <f>SUMIF(Позиции!A3:A317,"1.5",Позиции!D3:D317)</f>
        <v/>
      </c>
      <c r="E6" s="4">
        <f>COUNTIFS(Позиции!A3:A317,"1.5",Позиции!J3:J317,"&gt;0")</f>
        <v/>
      </c>
      <c r="F6" s="6">
        <f>SUMIF(Позиции!A3:A317,"1.5",Позиции!O3:O317)</f>
        <v/>
      </c>
    </row>
    <row r="7" ht="34" customHeight="1">
      <c r="A7" s="4" t="inlineStr">
        <is>
          <t>1.6</t>
        </is>
      </c>
      <c r="B7" s="4" t="inlineStr">
        <is>
          <t>Спец. №3 · Коммунальная энергетика · ремонт</t>
        </is>
      </c>
      <c r="C7" s="4">
        <f>COUNTIF(Позиции!A3:A317,"1.6")</f>
        <v/>
      </c>
      <c r="D7" s="4">
        <f>SUMIF(Позиции!A3:A317,"1.6",Позиции!D3:D317)</f>
        <v/>
      </c>
      <c r="E7" s="4">
        <f>COUNTIFS(Позиции!A3:A317,"1.6",Позиции!J3:J317,"&gt;0")</f>
        <v/>
      </c>
      <c r="F7" s="6">
        <f>SUMIF(Позиции!A3:A317,"1.6",Позиции!O3:O317)</f>
        <v/>
      </c>
    </row>
    <row r="8" ht="34" customHeight="1">
      <c r="A8" s="4" t="inlineStr">
        <is>
          <t>1.7</t>
        </is>
      </c>
      <c r="B8" s="4" t="inlineStr">
        <is>
          <t>Спец. №3 · Коммунальная энергетика · ТО</t>
        </is>
      </c>
      <c r="C8" s="4">
        <f>COUNTIF(Позиции!A3:A317,"1.7")</f>
        <v/>
      </c>
      <c r="D8" s="4">
        <f>SUMIF(Позиции!A3:A317,"1.7",Позиции!D3:D317)</f>
        <v/>
      </c>
      <c r="E8" s="4">
        <f>COUNTIFS(Позиции!A3:A317,"1.7",Позиции!J3:J317,"&gt;0")</f>
        <v/>
      </c>
      <c r="F8" s="6">
        <f>SUMIF(Позиции!A3:A317,"1.7",Позиции!O3:O317)</f>
        <v/>
      </c>
    </row>
    <row r="9" ht="34" customHeight="1">
      <c r="A9" s="4" t="inlineStr">
        <is>
          <t>1.8</t>
        </is>
      </c>
      <c r="B9" s="4" t="inlineStr">
        <is>
          <t>Спец. №4 · ЦЭС · ремонт</t>
        </is>
      </c>
      <c r="C9" s="4">
        <f>COUNTIF(Позиции!A3:A317,"1.8")</f>
        <v/>
      </c>
      <c r="D9" s="4">
        <f>SUMIF(Позиции!A3:A317,"1.8",Позиции!D3:D317)</f>
        <v/>
      </c>
      <c r="E9" s="4">
        <f>COUNTIFS(Позиции!A3:A317,"1.8",Позиции!J3:J317,"&gt;0")</f>
        <v/>
      </c>
      <c r="F9" s="6">
        <f>SUMIF(Позиции!A3:A317,"1.8",Позиции!O3:O317)</f>
        <v/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2026-10-19T22:27:52Z</dcterms:created>
  <dcterms:modified xmlns:dcterms="http://purl.org/dc/terms/" xmlns:xsi="http://www.w3.org/2001/XMLSchema-instance" xsi:type="dcterms:W3CDTF">2026-10-19T22:27:53Z</dcterms:modified>
</cp:coreProperties>
</file>