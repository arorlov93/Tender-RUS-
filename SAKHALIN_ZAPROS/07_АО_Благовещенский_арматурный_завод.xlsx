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«Благовещенский арматурный завод» (АО «БАЗ»)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5</v>
      </c>
      <c r="D6" s="5" t="inlineStr">
        <is>
          <t>Фланец ГОСТ 33259-2015 (ГОСТ 12820-80)  Ду 100 Ру 6 исп.B (1исп.)</t>
        </is>
      </c>
      <c r="E6" s="6" t="n">
        <v>40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33</v>
      </c>
      <c r="D7" s="5" t="inlineStr">
        <is>
          <t>Клапан обратный КО 200.16.3311  DN 200 PN 16 исп F (шлаковая пульпа)</t>
        </is>
      </c>
      <c r="E7" s="6" t="n">
        <v>3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57</v>
      </c>
      <c r="D8" s="5" t="inlineStr">
        <is>
          <t>Клапан обратный с КОФ  19с76нж Ру25 Ду200</t>
        </is>
      </c>
      <c r="E8" s="6" t="n">
        <v>3</v>
      </c>
      <c r="F8" s="5" t="inlineStr">
        <is>
          <t>шт</t>
        </is>
      </c>
      <c r="G8" s="10" t="inlineStr">
        <is>
          <t>Клапан (затвор) обратный поворотный стальной 19с76нж Ду200 Ру25 с КОФ</t>
        </is>
      </c>
      <c r="H8" s="10" t="inlineStr">
        <is>
          <t>АО «Благовещенский арматурный завод» (АО «БАЗ»)</t>
        </is>
      </c>
      <c r="I8" s="10" t="inlineStr">
        <is>
          <t>Россия</t>
        </is>
      </c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60</v>
      </c>
      <c r="D9" s="5" t="inlineStr">
        <is>
          <t>Задвижка стальная клиновая с выдвижным шпинделем  30с64нж Ду200 Ру25</t>
        </is>
      </c>
      <c r="E9" s="6" t="n">
        <v>1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1</t>
        </is>
      </c>
      <c r="C10" s="6" t="n">
        <v>61</v>
      </c>
      <c r="D10" s="5" t="inlineStr">
        <is>
          <t>Задвижка стальная  30с964нж Ду200 Ру25 под электропривод AUMA  SAR10.2-90+AM01/1</t>
        </is>
      </c>
      <c r="E10" s="6" t="n">
        <v>1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11201</t>
        </is>
      </c>
      <c r="B11" s="5" t="inlineStr">
        <is>
          <t>№ 1</t>
        </is>
      </c>
      <c r="C11" s="6" t="n">
        <v>63</v>
      </c>
      <c r="D11" s="5" t="inlineStr">
        <is>
          <t>Клапан обратный  КО 200.16.3312  DN 200 PN 16</t>
        </is>
      </c>
      <c r="E11" s="6" t="n">
        <v>4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11201</t>
        </is>
      </c>
      <c r="B12" s="5" t="inlineStr">
        <is>
          <t>№ 2</t>
        </is>
      </c>
      <c r="C12" s="6" t="n">
        <v>3</v>
      </c>
      <c r="D12" s="5" t="inlineStr">
        <is>
          <t>Задвижка стальная с электроприводом 30с964нж DN 50 PN 25 1исп. тип А</t>
        </is>
      </c>
      <c r="E12" s="6" t="n">
        <v>18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11201</t>
        </is>
      </c>
      <c r="B13" s="5" t="inlineStr">
        <is>
          <t>№ 2</t>
        </is>
      </c>
      <c r="C13" s="6" t="n">
        <v>4</v>
      </c>
      <c r="D13" s="5" t="inlineStr">
        <is>
          <t>Задвижка стальная с КОФ  30с64нж DN150 PN 25 1исп.</t>
        </is>
      </c>
      <c r="E13" s="6" t="n">
        <v>5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11201</t>
        </is>
      </c>
      <c r="B14" s="5" t="inlineStr">
        <is>
          <t>№ 2</t>
        </is>
      </c>
      <c r="C14" s="6" t="n">
        <v>5</v>
      </c>
      <c r="D14" s="5" t="inlineStr">
        <is>
          <t>Задвижка стальная  30с64нж DN 200 PN 25 1исп.</t>
        </is>
      </c>
      <c r="E14" s="6" t="n">
        <v>3</v>
      </c>
      <c r="F14" s="5" t="inlineStr">
        <is>
          <t>шт</t>
        </is>
      </c>
      <c r="G14" s="7" t="n"/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11201</t>
        </is>
      </c>
      <c r="B15" s="5" t="inlineStr">
        <is>
          <t>№ 2</t>
        </is>
      </c>
      <c r="C15" s="6" t="n">
        <v>6</v>
      </c>
      <c r="D15" s="5" t="inlineStr">
        <is>
          <t>Фланец ГОСТ 33259-2015 (ГОСТ 12820-80)   Ду 150 Ру 6 исп.B (1исп.)</t>
        </is>
      </c>
      <c r="E15" s="6" t="n">
        <v>4</v>
      </c>
      <c r="F15" s="5" t="inlineStr">
        <is>
          <t>шт</t>
        </is>
      </c>
      <c r="G15" s="7" t="n"/>
      <c r="H15" s="7" t="n"/>
      <c r="I15" s="7" t="n"/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11201</t>
        </is>
      </c>
      <c r="B16" s="5" t="inlineStr">
        <is>
          <t>№ 2</t>
        </is>
      </c>
      <c r="C16" s="6" t="n">
        <v>7</v>
      </c>
      <c r="D16" s="5" t="inlineStr">
        <is>
          <t>Фланец ГОСТ 33259-2015 (ГОСТ 12820-80)  Ду 100 Ру 6 исп.B (1исп.)</t>
        </is>
      </c>
      <c r="E16" s="6" t="n">
        <v>6</v>
      </c>
      <c r="F16" s="5" t="inlineStr">
        <is>
          <t>шт</t>
        </is>
      </c>
      <c r="G16" s="7" t="n"/>
      <c r="H16" s="7" t="n"/>
      <c r="I16" s="7" t="n"/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11</v>
      </c>
      <c r="D17" s="5" t="inlineStr">
        <is>
          <t>Задвижка стальная с КОФ 30с64нж DN 50 PN 25 1исп.</t>
        </is>
      </c>
      <c r="E17" s="6" t="n">
        <v>23</v>
      </c>
      <c r="F17" s="5" t="inlineStr">
        <is>
          <t>шт</t>
        </is>
      </c>
      <c r="G17" s="7" t="n"/>
      <c r="H17" s="7" t="n"/>
      <c r="I17" s="7" t="n"/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12</v>
      </c>
      <c r="D18" s="5" t="inlineStr">
        <is>
          <t>Задвижка стальная 30с64нж DN 200 PN 25 1исп.</t>
        </is>
      </c>
      <c r="E18" s="6" t="n">
        <v>2</v>
      </c>
      <c r="F18" s="5" t="inlineStr">
        <is>
          <t>шт</t>
        </is>
      </c>
      <c r="G18" s="7" t="n"/>
      <c r="H18" s="7" t="n"/>
      <c r="I18" s="7" t="n"/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44</v>
      </c>
      <c r="D19" s="5" t="inlineStr">
        <is>
          <t>Задвижка стальная 30с64нж DN 80 PN 25 1исп.</t>
        </is>
      </c>
      <c r="E19" s="6" t="n">
        <v>5</v>
      </c>
      <c r="F19" s="5" t="inlineStr">
        <is>
          <t>шт</t>
        </is>
      </c>
      <c r="G19" s="7" t="n"/>
      <c r="H19" s="7" t="n"/>
      <c r="I19" s="7" t="n"/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5" t="inlineStr">
        <is>
          <t>11202</t>
        </is>
      </c>
      <c r="B20" s="5" t="inlineStr">
        <is>
          <t>№ 1</t>
        </is>
      </c>
      <c r="C20" s="6" t="n">
        <v>55</v>
      </c>
      <c r="D20" s="5" t="inlineStr">
        <is>
          <t>Задвижка стальная 30с64нж DN 250 PN 25 1исп.</t>
        </is>
      </c>
      <c r="E20" s="6" t="n">
        <v>3</v>
      </c>
      <c r="F20" s="5" t="inlineStr">
        <is>
          <t>шт</t>
        </is>
      </c>
      <c r="G20" s="7" t="n"/>
      <c r="H20" s="7" t="n"/>
      <c r="I20" s="7" t="n"/>
      <c r="J20" s="7" t="n"/>
      <c r="K20" s="7" t="n"/>
      <c r="L20" s="7" t="n"/>
      <c r="M20" s="8" t="n"/>
      <c r="N20" s="9">
        <f>M20*E20</f>
        <v/>
      </c>
      <c r="O20" s="7" t="n"/>
      <c r="P20" s="7" t="n"/>
      <c r="Q20" s="7" t="n"/>
    </row>
    <row r="21" ht="48" customHeight="1">
      <c r="A21" s="5" t="inlineStr">
        <is>
          <t>11202</t>
        </is>
      </c>
      <c r="B21" s="5" t="inlineStr">
        <is>
          <t>№ 1</t>
        </is>
      </c>
      <c r="C21" s="6" t="n">
        <v>56</v>
      </c>
      <c r="D21" s="5" t="inlineStr">
        <is>
          <t>Задвижка стальная 30с64нж DN 300 PN 25 1исп.</t>
        </is>
      </c>
      <c r="E21" s="6" t="n">
        <v>1</v>
      </c>
      <c r="F21" s="5" t="inlineStr">
        <is>
          <t>шт</t>
        </is>
      </c>
      <c r="G21" s="7" t="n"/>
      <c r="H21" s="7" t="n"/>
      <c r="I21" s="7" t="n"/>
      <c r="J21" s="7" t="n"/>
      <c r="K21" s="7" t="n"/>
      <c r="L21" s="7" t="n"/>
      <c r="M21" s="8" t="n"/>
      <c r="N21" s="9">
        <f>M21*E21</f>
        <v/>
      </c>
      <c r="O21" s="7" t="n"/>
      <c r="P21" s="7" t="n"/>
      <c r="Q21" s="7" t="n"/>
    </row>
    <row r="22" ht="48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>
        <is>
          <t>ИТОГО</t>
        </is>
      </c>
      <c r="N22" s="12">
        <f>SUM(N6:N21)</f>
        <v/>
      </c>
      <c r="O22" s="2" t="n"/>
      <c r="P22" s="2" t="n"/>
      <c r="Q2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