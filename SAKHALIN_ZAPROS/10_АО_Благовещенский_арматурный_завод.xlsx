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полни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BF8F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11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60" customWidth="1" min="4" max="4"/>
    <col width="7" customWidth="1" min="5" max="5"/>
    <col width="5" customWidth="1" min="6" max="6"/>
    <col width="26" customWidth="1" min="7" max="7"/>
    <col width="26" customWidth="1" min="8" max="8"/>
    <col width="14" customWidth="1" min="9" max="9"/>
    <col width="26" customWidth="1" min="10" max="10"/>
    <col width="13" customWidth="1" min="11" max="11"/>
    <col width="24" customWidth="1" min="12" max="12"/>
    <col width="13" customWidth="1" min="13" max="13"/>
    <col width="14" customWidth="1" min="14" max="14"/>
    <col width="14" customWidth="1" min="15" max="15"/>
    <col width="14" customWidth="1" min="16" max="16"/>
    <col width="20" customWidth="1" min="17" max="17"/>
  </cols>
  <sheetData>
    <row r="1" ht="18" customHeight="1">
      <c r="A1" s="1" t="inlineStr">
        <is>
          <t>Запрос КП — ООО «ГИДРОПАС» (ИНН 9729231965) для ПАО «Сахалинэнерго» (группа РусГидро). Получатель: АО «Благовещенский арматурный завод» (АО «БАЗ»)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18" customHeight="1">
      <c r="A2" s="2" t="inlineStr">
        <is>
          <t>Просим заполнить жёлтые графы. Наименование и характеристики — дословно из технических требований заказчика (марки носят описательный характер, эквивалент допускается с подробным описанием).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 ht="18" customHeight="1">
      <c r="A3" s="2" t="inlineStr">
        <is>
          <t>Нацрежим ПП 1875 (ограничение): обязательны производитель и ДЕЙСТВУЮЩИЙ номер реестровой записи ПП 719 / евразийского реестра, производитель должен совпадать с записью. Приложите выписку из ГИСП.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 ht="18" customHeight="1">
      <c r="A4" s="2" t="inlineStr">
        <is>
          <t>Товар новый 2026–2027 гг. выпуска; сертификаты/декларации ТР ТС 010/2011 и 032/2013; гарантия по паспорту завода; упаковка для морской перевозки. Доставка — до г. Южно-Сахалинск (укажите вес и габариты).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 ht="51" customHeight="1">
      <c r="A5" s="3" t="inlineStr">
        <is>
          <t>Лот</t>
        </is>
      </c>
      <c r="B5" s="3" t="inlineStr">
        <is>
          <t>Партия</t>
        </is>
      </c>
      <c r="C5" s="3" t="inlineStr">
        <is>
          <t>№ п/п в ТТ</t>
        </is>
      </c>
      <c r="D5" s="3" t="inlineStr">
        <is>
          <t>Наименование продукции и требования заказчика (дословно из ТТ)</t>
        </is>
      </c>
      <c r="E5" s="3" t="inlineStr">
        <is>
          <t>Кол-во</t>
        </is>
      </c>
      <c r="F5" s="3" t="inlineStr">
        <is>
          <t>Ед.</t>
        </is>
      </c>
      <c r="G5" s="4" t="inlineStr">
        <is>
          <t>Предлагаемая марка / обозначение</t>
        </is>
      </c>
      <c r="H5" s="4" t="inlineStr">
        <is>
          <t>Производитель (завод)</t>
        </is>
      </c>
      <c r="I5" s="4" t="inlineStr">
        <is>
          <t>Страна происхождения</t>
        </is>
      </c>
      <c r="J5" s="4" t="inlineStr">
        <is>
          <t>№ реестровой записи (ПП 719) или евразийского реестра</t>
        </is>
      </c>
      <c r="K5" s="4" t="inlineStr">
        <is>
          <t>Срок действия записи</t>
        </is>
      </c>
      <c r="L5" s="4" t="inlineStr">
        <is>
          <t>Соответствие ТТ: «да» или отличия</t>
        </is>
      </c>
      <c r="M5" s="4" t="inlineStr">
        <is>
          <t>Цена за ед. с НДС, ₽</t>
        </is>
      </c>
      <c r="N5" s="4" t="inlineStr">
        <is>
          <t>Сумма с НДС, ₽</t>
        </is>
      </c>
      <c r="O5" s="4" t="inlineStr">
        <is>
          <t>Срок изготовления / отгрузки</t>
        </is>
      </c>
      <c r="P5" s="4" t="inlineStr">
        <is>
          <t>Вес ед., кг / габариты</t>
        </is>
      </c>
      <c r="Q5" s="4" t="inlineStr">
        <is>
          <t>Сертификат / декларация ТР ТС №</t>
        </is>
      </c>
    </row>
    <row r="6" ht="48" customHeight="1">
      <c r="A6" s="5" t="inlineStr">
        <is>
          <t>11202</t>
        </is>
      </c>
      <c r="B6" s="5" t="inlineStr">
        <is>
          <t>№ 1</t>
        </is>
      </c>
      <c r="C6" s="6" t="n">
        <v>11</v>
      </c>
      <c r="D6" s="5" t="inlineStr">
        <is>
          <t>Задвижка стальная с КОФ 30с64нж DN 50 PN 25 1исп.</t>
        </is>
      </c>
      <c r="E6" s="6" t="n">
        <v>23</v>
      </c>
      <c r="F6" s="5" t="inlineStr">
        <is>
          <t>шт</t>
        </is>
      </c>
      <c r="G6" s="7" t="n"/>
      <c r="H6" s="7" t="n"/>
      <c r="I6" s="7" t="n"/>
      <c r="J6" s="7" t="n"/>
      <c r="K6" s="7" t="n"/>
      <c r="L6" s="7" t="n"/>
      <c r="M6" s="8" t="n"/>
      <c r="N6" s="9">
        <f>M6*E6</f>
        <v/>
      </c>
      <c r="O6" s="7" t="n"/>
      <c r="P6" s="7" t="n"/>
      <c r="Q6" s="7" t="n"/>
    </row>
    <row r="7" ht="48" customHeight="1">
      <c r="A7" s="5" t="inlineStr">
        <is>
          <t>11202</t>
        </is>
      </c>
      <c r="B7" s="5" t="inlineStr">
        <is>
          <t>№ 1</t>
        </is>
      </c>
      <c r="C7" s="6" t="n">
        <v>12</v>
      </c>
      <c r="D7" s="5" t="inlineStr">
        <is>
          <t>Задвижка стальная 30с64нж DN 200 PN 25 1исп.</t>
        </is>
      </c>
      <c r="E7" s="6" t="n">
        <v>2</v>
      </c>
      <c r="F7" s="5" t="inlineStr">
        <is>
          <t>шт</t>
        </is>
      </c>
      <c r="G7" s="7" t="n"/>
      <c r="H7" s="7" t="n"/>
      <c r="I7" s="7" t="n"/>
      <c r="J7" s="7" t="n"/>
      <c r="K7" s="7" t="n"/>
      <c r="L7" s="7" t="n"/>
      <c r="M7" s="8" t="n"/>
      <c r="N7" s="9">
        <f>M7*E7</f>
        <v/>
      </c>
      <c r="O7" s="7" t="n"/>
      <c r="P7" s="7" t="n"/>
      <c r="Q7" s="7" t="n"/>
    </row>
    <row r="8" ht="48" customHeight="1">
      <c r="A8" s="5" t="inlineStr">
        <is>
          <t>11202</t>
        </is>
      </c>
      <c r="B8" s="5" t="inlineStr">
        <is>
          <t>№ 1</t>
        </is>
      </c>
      <c r="C8" s="6" t="n">
        <v>44</v>
      </c>
      <c r="D8" s="5" t="inlineStr">
        <is>
          <t>Задвижка стальная 30с64нж DN 80 PN 25 1исп.</t>
        </is>
      </c>
      <c r="E8" s="6" t="n">
        <v>5</v>
      </c>
      <c r="F8" s="5" t="inlineStr">
        <is>
          <t>шт</t>
        </is>
      </c>
      <c r="G8" s="7" t="n"/>
      <c r="H8" s="7" t="n"/>
      <c r="I8" s="7" t="n"/>
      <c r="J8" s="7" t="n"/>
      <c r="K8" s="7" t="n"/>
      <c r="L8" s="7" t="n"/>
      <c r="M8" s="8" t="n"/>
      <c r="N8" s="9">
        <f>M8*E8</f>
        <v/>
      </c>
      <c r="O8" s="7" t="n"/>
      <c r="P8" s="7" t="n"/>
      <c r="Q8" s="7" t="n"/>
    </row>
    <row r="9" ht="48" customHeight="1">
      <c r="A9" s="5" t="inlineStr">
        <is>
          <t>11202</t>
        </is>
      </c>
      <c r="B9" s="5" t="inlineStr">
        <is>
          <t>№ 1</t>
        </is>
      </c>
      <c r="C9" s="6" t="n">
        <v>55</v>
      </c>
      <c r="D9" s="5" t="inlineStr">
        <is>
          <t>Задвижка стальная 30с64нж DN 250 PN 25 1исп.</t>
        </is>
      </c>
      <c r="E9" s="6" t="n">
        <v>3</v>
      </c>
      <c r="F9" s="5" t="inlineStr">
        <is>
          <t>шт</t>
        </is>
      </c>
      <c r="G9" s="7" t="n"/>
      <c r="H9" s="7" t="n"/>
      <c r="I9" s="7" t="n"/>
      <c r="J9" s="7" t="n"/>
      <c r="K9" s="7" t="n"/>
      <c r="L9" s="7" t="n"/>
      <c r="M9" s="8" t="n"/>
      <c r="N9" s="9">
        <f>M9*E9</f>
        <v/>
      </c>
      <c r="O9" s="7" t="n"/>
      <c r="P9" s="7" t="n"/>
      <c r="Q9" s="7" t="n"/>
    </row>
    <row r="10" ht="48" customHeight="1">
      <c r="A10" s="5" t="inlineStr">
        <is>
          <t>11202</t>
        </is>
      </c>
      <c r="B10" s="5" t="inlineStr">
        <is>
          <t>№ 1</t>
        </is>
      </c>
      <c r="C10" s="6" t="n">
        <v>56</v>
      </c>
      <c r="D10" s="5" t="inlineStr">
        <is>
          <t>Задвижка стальная 30с64нж DN 300 PN 25 1исп.</t>
        </is>
      </c>
      <c r="E10" s="6" t="n">
        <v>1</v>
      </c>
      <c r="F10" s="5" t="inlineStr">
        <is>
          <t>шт</t>
        </is>
      </c>
      <c r="G10" s="7" t="n"/>
      <c r="H10" s="7" t="n"/>
      <c r="I10" s="7" t="n"/>
      <c r="J10" s="7" t="n"/>
      <c r="K10" s="7" t="n"/>
      <c r="L10" s="7" t="n"/>
      <c r="M10" s="8" t="n"/>
      <c r="N10" s="9">
        <f>M10*E10</f>
        <v/>
      </c>
      <c r="O10" s="7" t="n"/>
      <c r="P10" s="7" t="n"/>
      <c r="Q10" s="7" t="n"/>
    </row>
    <row r="11" ht="48" customHeight="1">
      <c r="A11" s="10" t="inlineStr"/>
      <c r="B11" s="10" t="inlineStr"/>
      <c r="C11" s="10" t="inlineStr"/>
      <c r="D11" s="10" t="inlineStr"/>
      <c r="E11" s="10" t="inlineStr"/>
      <c r="F11" s="10" t="inlineStr"/>
      <c r="G11" s="10" t="inlineStr"/>
      <c r="H11" s="10" t="inlineStr"/>
      <c r="I11" s="10" t="inlineStr"/>
      <c r="J11" s="10" t="inlineStr"/>
      <c r="K11" s="10" t="inlineStr"/>
      <c r="L11" s="10" t="inlineStr"/>
      <c r="M11" s="10" t="inlineStr">
        <is>
          <t>ИТОГО</t>
        </is>
      </c>
      <c r="N11" s="11">
        <f>SUM(N6:N10)</f>
        <v/>
      </c>
      <c r="O11" s="2" t="n"/>
      <c r="P11" s="2" t="n"/>
      <c r="Q11" s="2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2026-10-28T13:45:16Z</dcterms:created>
  <dcterms:modified xmlns:dcterms="http://purl.org/dc/terms/" xmlns:xsi="http://www.w3.org/2001/XMLSchema-instance" xsi:type="dcterms:W3CDTF">2026-10-28T13:45:16Z</dcterms:modified>
</cp:coreProperties>
</file>