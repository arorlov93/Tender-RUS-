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ОАО «Литейно-механический завод» (г. Семёнов)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13</v>
      </c>
      <c r="D6" s="5" t="inlineStr">
        <is>
          <t>Задвижка чугунная с КОФ 30ч6бр Ду 50 Ру 10/16 1исп.</t>
        </is>
      </c>
      <c r="E6" s="6" t="n">
        <v>40</v>
      </c>
      <c r="F6" s="5" t="inlineStr">
        <is>
          <t>шт</t>
        </is>
      </c>
      <c r="G6" s="7" t="inlineStr">
        <is>
          <t>Задвижка чугунная параллельная 30ч6бр Ду50 Ру16 с КОФ</t>
        </is>
      </c>
      <c r="H6" s="7" t="inlineStr">
        <is>
          <t>ОАО «Литейно-механический завод» (г. Семёнов)</t>
        </is>
      </c>
      <c r="I6" s="7" t="inlineStr">
        <is>
          <t>Россия</t>
        </is>
      </c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14</v>
      </c>
      <c r="D7" s="5" t="inlineStr">
        <is>
          <t>Задвижка чугунная с КОФ 30ч6бр Ду 100 Ру 10/16 1исп.</t>
        </is>
      </c>
      <c r="E7" s="6" t="n">
        <v>28</v>
      </c>
      <c r="F7" s="5" t="inlineStr">
        <is>
          <t>шт</t>
        </is>
      </c>
      <c r="G7" s="7" t="inlineStr">
        <is>
          <t>Задвижка чугунная параллельная 30ч6бр Ду100 Ру16 с КОФ</t>
        </is>
      </c>
      <c r="H7" s="7" t="inlineStr">
        <is>
          <t>ОАО «Литейно-механический завод» (г. Семёнов)</t>
        </is>
      </c>
      <c r="I7" s="7" t="inlineStr">
        <is>
          <t>Россия</t>
        </is>
      </c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15</v>
      </c>
      <c r="D8" s="5" t="inlineStr">
        <is>
          <t>Задвижка чугунная с КОФ 30ч6бр Ду 150 Ру 10/16 1исп.</t>
        </is>
      </c>
      <c r="E8" s="6" t="n">
        <v>13</v>
      </c>
      <c r="F8" s="5" t="inlineStr">
        <is>
          <t>шт</t>
        </is>
      </c>
      <c r="G8" s="7" t="inlineStr">
        <is>
          <t>Задвижка чугунная параллельная 30ч6бр Ду150 Ру16 с КОФ</t>
        </is>
      </c>
      <c r="H8" s="7" t="inlineStr">
        <is>
          <t>ОАО «Литейно-механический завод» (г. Семёнов)</t>
        </is>
      </c>
      <c r="I8" s="7" t="inlineStr">
        <is>
          <t>Россия</t>
        </is>
      </c>
      <c r="J8" s="8" t="n"/>
      <c r="K8" s="8" t="n"/>
      <c r="L8" s="8" t="n"/>
      <c r="M8" s="9" t="n"/>
      <c r="N8" s="10">
        <f>M8*E8</f>
        <v/>
      </c>
      <c r="O8" s="8" t="n"/>
      <c r="P8" s="8" t="n"/>
      <c r="Q8" s="8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16</v>
      </c>
      <c r="D9" s="5" t="inlineStr">
        <is>
          <t>Задвижка чугунная с КОФ 30ч6бр Ду 200 Ру 10 1исп.</t>
        </is>
      </c>
      <c r="E9" s="6" t="n">
        <v>16</v>
      </c>
      <c r="F9" s="5" t="inlineStr">
        <is>
          <t>шт</t>
        </is>
      </c>
      <c r="G9" s="7" t="inlineStr">
        <is>
          <t>Задвижка чугунная параллельная 30ч6бр Ду200 Ру10 с КОФ</t>
        </is>
      </c>
      <c r="H9" s="7" t="inlineStr">
        <is>
          <t>ОАО «Литейно-механический завод» (г. Семёнов)</t>
        </is>
      </c>
      <c r="I9" s="7" t="inlineStr">
        <is>
          <t>Россия</t>
        </is>
      </c>
      <c r="J9" s="8" t="n"/>
      <c r="K9" s="8" t="n"/>
      <c r="L9" s="8" t="n"/>
      <c r="M9" s="9" t="n"/>
      <c r="N9" s="10">
        <f>M9*E9</f>
        <v/>
      </c>
      <c r="O9" s="8" t="n"/>
      <c r="P9" s="8" t="n"/>
      <c r="Q9" s="8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17</v>
      </c>
      <c r="D10" s="5" t="inlineStr">
        <is>
          <t>Задвижка чугунная с КОФ 30ч6бр Ду 250 Ру 10 1исп.</t>
        </is>
      </c>
      <c r="E10" s="6" t="n">
        <v>3</v>
      </c>
      <c r="F10" s="5" t="inlineStr">
        <is>
          <t>шт</t>
        </is>
      </c>
      <c r="G10" s="7" t="inlineStr">
        <is>
          <t>Задвижка чугунная параллельная 30ч6бр Ду250 Ру10 с КОФ</t>
        </is>
      </c>
      <c r="H10" s="7" t="inlineStr">
        <is>
          <t>ОАО «Литейно-механический завод» (г. Семёнов)</t>
        </is>
      </c>
      <c r="I10" s="7" t="inlineStr">
        <is>
          <t>Россия</t>
        </is>
      </c>
      <c r="J10" s="8" t="n"/>
      <c r="K10" s="8" t="n"/>
      <c r="L10" s="8" t="n"/>
      <c r="M10" s="9" t="n"/>
      <c r="N10" s="10">
        <f>M10*E10</f>
        <v/>
      </c>
      <c r="O10" s="8" t="n"/>
      <c r="P10" s="8" t="n"/>
      <c r="Q10" s="8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43</v>
      </c>
      <c r="D11" s="5" t="inlineStr">
        <is>
          <t>Задвижка стальная 30с41нж DN 80 PN 16 1исп.</t>
        </is>
      </c>
      <c r="E11" s="6" t="n">
        <v>10</v>
      </c>
      <c r="F11" s="5" t="inlineStr">
        <is>
          <t>шт</t>
        </is>
      </c>
      <c r="G11" s="8" t="n"/>
      <c r="H11" s="8" t="n"/>
      <c r="I11" s="8" t="n"/>
      <c r="J11" s="8" t="n"/>
      <c r="K11" s="8" t="n"/>
      <c r="L11" s="8" t="n"/>
      <c r="M11" s="9" t="n"/>
      <c r="N11" s="10">
        <f>M11*E11</f>
        <v/>
      </c>
      <c r="O11" s="8" t="n"/>
      <c r="P11" s="8" t="n"/>
      <c r="Q11" s="8" t="n"/>
    </row>
    <row r="12" ht="48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>
        <is>
          <t>ИТОГО</t>
        </is>
      </c>
      <c r="N12" s="12">
        <f>SUM(N6:N11)</f>
        <v/>
      </c>
      <c r="O12" s="2" t="n"/>
      <c r="P12" s="2" t="n"/>
      <c r="Q1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