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«Инженерные системы» (ВФЗ — Владимирский фланцевый завод)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5</v>
      </c>
      <c r="D6" s="5" t="inlineStr">
        <is>
          <t>Фланец ГОСТ 33259-2015 (ГОСТ 12820-80)  Ду 100 Ру 6 исп.B (1исп.)</t>
        </is>
      </c>
      <c r="E6" s="6" t="n">
        <v>40</v>
      </c>
      <c r="F6" s="5" t="inlineStr">
        <is>
          <t>шт</t>
        </is>
      </c>
      <c r="G6" s="7" t="inlineStr">
        <is>
          <t>Фланец плоский 100-6-01-1-B-Ст.20-IV ГОСТ 33259-2015 (ВФЗ)</t>
        </is>
      </c>
      <c r="H6" s="7" t="inlineStr">
        <is>
          <t>ООО «Инженерные системы» (ВФЗ — Владимирский фланцевый завод)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10</v>
      </c>
      <c r="D7" s="5" t="inlineStr">
        <is>
          <t>Фланец ГОСТ 33259-2015 (ГОСТ 12820-80)  Ду 200 Ру 16 исп.B (1исп.)</t>
        </is>
      </c>
      <c r="E7" s="6" t="n">
        <v>10</v>
      </c>
      <c r="F7" s="5" t="inlineStr">
        <is>
          <t>шт</t>
        </is>
      </c>
      <c r="G7" s="7" t="inlineStr">
        <is>
          <t>Фланец плоский 200-16-01-1-B-Ст.20 ГОСТ 33259-2015</t>
        </is>
      </c>
      <c r="H7" s="7" t="inlineStr">
        <is>
          <t>ООО «Инженерные системы» (ВФЗ — Владимирский фланцевый завод)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24</v>
      </c>
      <c r="D8" s="5" t="inlineStr">
        <is>
          <t>Фланец ГОСТ 33259-2015 (ГОСТ 12820-80)  Ду 32 Ру 10 исп.B (1исп.)</t>
        </is>
      </c>
      <c r="E8" s="6" t="n">
        <v>10</v>
      </c>
      <c r="F8" s="5" t="inlineStr">
        <is>
          <t>шт</t>
        </is>
      </c>
      <c r="G8" s="7" t="inlineStr">
        <is>
          <t>Фланец плоский 32-10-01-1-B-Ст.20 ГОСТ 33259-2015</t>
        </is>
      </c>
      <c r="H8" s="7" t="inlineStr">
        <is>
          <t>ООО «Инженерные системы» (ВФЗ — Владимирский фланцевый завод)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25</v>
      </c>
      <c r="D9" s="5" t="inlineStr">
        <is>
          <t>Фланец ГОСТ 33259-2015 (ГОСТ 12820-80)  Ду 50 Ру 10 исп.B (1исп.)</t>
        </is>
      </c>
      <c r="E9" s="6" t="n">
        <v>10</v>
      </c>
      <c r="F9" s="5" t="inlineStr">
        <is>
          <t>шт</t>
        </is>
      </c>
      <c r="G9" s="7" t="inlineStr">
        <is>
          <t>Фланец плоский 50-10-01-1-B-Ст.20 ГОСТ 33259-2015</t>
        </is>
      </c>
      <c r="H9" s="7" t="inlineStr">
        <is>
          <t>ООО «Инженерные системы» (ВФЗ — Владимирский фланцевый завод)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26</v>
      </c>
      <c r="D10" s="5" t="inlineStr">
        <is>
          <t>Фланец ГОСТ 33259-2015 (ГОСТ 12820-80)  Ду 80 Ру 10 исп.B (1исп.)</t>
        </is>
      </c>
      <c r="E10" s="6" t="n">
        <v>30</v>
      </c>
      <c r="F10" s="5" t="inlineStr">
        <is>
          <t>шт</t>
        </is>
      </c>
      <c r="G10" s="7" t="inlineStr">
        <is>
          <t>Фланец плоский 80-10-01-1-B-Ст.20 ГОСТ 33259-2015</t>
        </is>
      </c>
      <c r="H10" s="7" t="inlineStr">
        <is>
          <t>ООО «Инженерные системы» (ВФЗ — Владимирский фланцевый завод)</t>
        </is>
      </c>
      <c r="I10" s="7" t="inlineStr">
        <is>
          <t>Россия</t>
        </is>
      </c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27</v>
      </c>
      <c r="D11" s="5" t="inlineStr">
        <is>
          <t>Фланец ГОСТ 33259-2015 (ГОСТ 12820-80)  Ду 100 Ру 10 исп.B (1исп.)</t>
        </is>
      </c>
      <c r="E11" s="6" t="n">
        <v>34</v>
      </c>
      <c r="F11" s="5" t="inlineStr">
        <is>
          <t>шт</t>
        </is>
      </c>
      <c r="G11" s="7" t="inlineStr">
        <is>
          <t>Фланец плоский 100-10-01-1-B-Ст.20 ГОСТ 33259-2015</t>
        </is>
      </c>
      <c r="H11" s="7" t="inlineStr">
        <is>
          <t>ООО «Инженерные системы» (ВФЗ — Владимирский фланцевый завод)</t>
        </is>
      </c>
      <c r="I11" s="7" t="inlineStr">
        <is>
          <t>Россия</t>
        </is>
      </c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11201</t>
        </is>
      </c>
      <c r="B12" s="5" t="inlineStr">
        <is>
          <t>№ 1</t>
        </is>
      </c>
      <c r="C12" s="6" t="n">
        <v>28</v>
      </c>
      <c r="D12" s="5" t="inlineStr">
        <is>
          <t>Фланец ГОСТ 33259-2015 (ГОСТ 12820-80)  Ду 150 Ру 10 исп.B (1исп.)</t>
        </is>
      </c>
      <c r="E12" s="6" t="n">
        <v>10</v>
      </c>
      <c r="F12" s="5" t="inlineStr">
        <is>
          <t>шт</t>
        </is>
      </c>
      <c r="G12" s="7" t="inlineStr">
        <is>
          <t>Фланец плоский 150-10-01-1-B-Ст.20 ГОСТ 33259-2015</t>
        </is>
      </c>
      <c r="H12" s="7" t="inlineStr">
        <is>
          <t>ООО «Инженерные системы» (ВФЗ — Владимирский фланцевый завод)</t>
        </is>
      </c>
      <c r="I12" s="7" t="inlineStr">
        <is>
          <t>Россия</t>
        </is>
      </c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11201</t>
        </is>
      </c>
      <c r="B13" s="5" t="inlineStr">
        <is>
          <t>№ 2</t>
        </is>
      </c>
      <c r="C13" s="6" t="n">
        <v>6</v>
      </c>
      <c r="D13" s="5" t="inlineStr">
        <is>
          <t>Фланец ГОСТ 33259-2015 (ГОСТ 12820-80)   Ду 150 Ру 6 исп.B (1исп.)</t>
        </is>
      </c>
      <c r="E13" s="6" t="n">
        <v>4</v>
      </c>
      <c r="F13" s="5" t="inlineStr">
        <is>
          <t>шт</t>
        </is>
      </c>
      <c r="G13" s="7" t="inlineStr">
        <is>
          <t>Фланец плоский 150-6-01-1-B-Ст.20-IV ГОСТ 33259-2015 (ВФЗ)</t>
        </is>
      </c>
      <c r="H13" s="7" t="inlineStr">
        <is>
          <t>ООО «Инженерные системы» (ВФЗ — Владимирский фланцевый завод)</t>
        </is>
      </c>
      <c r="I13" s="7" t="inlineStr">
        <is>
          <t>Россия</t>
        </is>
      </c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11201</t>
        </is>
      </c>
      <c r="B14" s="5" t="inlineStr">
        <is>
          <t>№ 2</t>
        </is>
      </c>
      <c r="C14" s="6" t="n">
        <v>7</v>
      </c>
      <c r="D14" s="5" t="inlineStr">
        <is>
          <t>Фланец ГОСТ 33259-2015 (ГОСТ 12820-80)  Ду 100 Ру 6 исп.B (1исп.)</t>
        </is>
      </c>
      <c r="E14" s="6" t="n">
        <v>6</v>
      </c>
      <c r="F14" s="5" t="inlineStr">
        <is>
          <t>шт</t>
        </is>
      </c>
      <c r="G14" s="7" t="inlineStr">
        <is>
          <t>Фланец плоский 100-6-01-1-B-Ст.20-IV ГОСТ 33259-2015 (ВФЗ)</t>
        </is>
      </c>
      <c r="H14" s="7" t="inlineStr">
        <is>
          <t>ООО «Инженерные системы» (ВФЗ — Владимирский фланцевый завод)</t>
        </is>
      </c>
      <c r="I14" s="7" t="inlineStr">
        <is>
          <t>Россия</t>
        </is>
      </c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11201</t>
        </is>
      </c>
      <c r="B15" s="5" t="inlineStr">
        <is>
          <t>№ 2</t>
        </is>
      </c>
      <c r="C15" s="6" t="n">
        <v>8</v>
      </c>
      <c r="D15" s="5" t="inlineStr">
        <is>
          <t>Фланец ГОСТ 33259-2015 (ГОСТ 12820-80)   Ду 50 Ру 10 исп.B (1исп.)</t>
        </is>
      </c>
      <c r="E15" s="6" t="n">
        <v>12</v>
      </c>
      <c r="F15" s="5" t="inlineStr">
        <is>
          <t>шт</t>
        </is>
      </c>
      <c r="G15" s="7" t="inlineStr">
        <is>
          <t>Фланец плоский 50-10-01-1-B-Ст.20 ГОСТ 33259-2015</t>
        </is>
      </c>
      <c r="H15" s="7" t="inlineStr">
        <is>
          <t>ООО «Инженерные системы» (ВФЗ — Владимирский фланцевый завод)</t>
        </is>
      </c>
      <c r="I15" s="7" t="inlineStr">
        <is>
          <t>Россия</t>
        </is>
      </c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>
        <is>
          <t>ИТОГО</t>
        </is>
      </c>
      <c r="N16" s="12">
        <f>SUM(N6:N15)</f>
        <v/>
      </c>
      <c r="O16" s="2" t="n"/>
      <c r="P16" s="2" t="n"/>
      <c r="Q1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