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1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ООО «Торговый Дом АДЛ» (бренды «Гранвэл», «Гранлок», «Гранар», «Гранвент»)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11202</t>
        </is>
      </c>
      <c r="B6" s="5" t="inlineStr">
        <is>
          <t>№ 1</t>
        </is>
      </c>
      <c r="C6" s="6" t="n">
        <v>18</v>
      </c>
      <c r="D6" s="5" t="inlineStr">
        <is>
          <t>Клапан обратный 19ч16бр Ду 250 Ру 16</t>
        </is>
      </c>
      <c r="E6" s="6" t="n">
        <v>6</v>
      </c>
      <c r="F6" s="5" t="inlineStr">
        <is>
          <t>шт</t>
        </is>
      </c>
      <c r="G6" s="7" t="n"/>
      <c r="H6" s="7" t="n"/>
      <c r="I6" s="7" t="n"/>
      <c r="J6" s="7" t="n"/>
      <c r="K6" s="7" t="n"/>
      <c r="L6" s="7" t="n"/>
      <c r="M6" s="8" t="n"/>
      <c r="N6" s="9">
        <f>M6*E6</f>
        <v/>
      </c>
      <c r="O6" s="7" t="n"/>
      <c r="P6" s="7" t="n"/>
      <c r="Q6" s="7" t="n"/>
    </row>
    <row r="7" ht="48" customHeight="1">
      <c r="A7" s="5" t="inlineStr">
        <is>
          <t>11202</t>
        </is>
      </c>
      <c r="B7" s="5" t="inlineStr">
        <is>
          <t>№ 1</t>
        </is>
      </c>
      <c r="C7" s="6" t="n">
        <v>36</v>
      </c>
      <c r="D7" s="5" t="inlineStr">
        <is>
          <t>ГРАНВЭЛ® Затвор Поворотный Дисковый ЗПВС - FL(w)-3-100-MN-Е, Ду100, Ру16, межфланцевый, рукоятка, корпус - GG25, диск - GGG40, седло - EPDM, Траб=-15...+95°С</t>
        </is>
      </c>
      <c r="E7" s="6" t="n">
        <v>3</v>
      </c>
      <c r="F7" s="5" t="inlineStr">
        <is>
          <t>шт</t>
        </is>
      </c>
      <c r="G7" s="10" t="inlineStr">
        <is>
          <t>Затвор дисковый Гранвэл ЗПВС-FL(W)-3-100-MN-E, Ду100, Ру16, межфланцевый, GG25/GGG40/EPDM</t>
        </is>
      </c>
      <c r="H7" s="10" t="inlineStr">
        <is>
          <t>ООО «Торговый Дом АДЛ» (бренды «Гранвэл», «Гранлок», «Гранар», «Гранвент»)</t>
        </is>
      </c>
      <c r="I7" s="10" t="inlineStr">
        <is>
          <t>Россия</t>
        </is>
      </c>
      <c r="J7" s="10" t="inlineStr">
        <is>
          <t>10837159</t>
        </is>
      </c>
      <c r="K7" s="10" t="inlineStr">
        <is>
          <t>13.07.2029</t>
        </is>
      </c>
      <c r="L7" s="7" t="n"/>
      <c r="M7" s="8" t="n"/>
      <c r="N7" s="9">
        <f>M7*E7</f>
        <v/>
      </c>
      <c r="O7" s="7" t="n"/>
      <c r="P7" s="7" t="n"/>
      <c r="Q7" s="7" t="n"/>
    </row>
    <row r="8" ht="48" customHeight="1">
      <c r="A8" s="5" t="inlineStr">
        <is>
          <t>11202</t>
        </is>
      </c>
      <c r="B8" s="5" t="inlineStr">
        <is>
          <t>№ 1</t>
        </is>
      </c>
      <c r="C8" s="6" t="n">
        <v>37</v>
      </c>
      <c r="D8" s="5" t="inlineStr">
        <is>
          <t>ГРАНВЭЛ® Затвор Поворотный Дисковый ЗПВС - FL(w)-3-150-MN-Е, Ду150, Ру16, межфланцевый, рукоятка, корпус - GG25, диск - GGG40, седло - EPDM, Траб=-15...+95С</t>
        </is>
      </c>
      <c r="E8" s="6" t="n">
        <v>5</v>
      </c>
      <c r="F8" s="5" t="inlineStr">
        <is>
          <t>шт</t>
        </is>
      </c>
      <c r="G8" s="10" t="inlineStr">
        <is>
          <t>Затвор дисковый Гранвэл ЗПВС-FL(W)-3-150-MN-E, Ду150, Ру16, межфланцевый, GG25/GGG40/EPDM</t>
        </is>
      </c>
      <c r="H8" s="10" t="inlineStr">
        <is>
          <t>ООО «Торговый Дом АДЛ» (бренды «Гранвэл», «Гранлок», «Гранар», «Гранвент»)</t>
        </is>
      </c>
      <c r="I8" s="10" t="inlineStr">
        <is>
          <t>Россия</t>
        </is>
      </c>
      <c r="J8" s="10" t="inlineStr">
        <is>
          <t>10837159</t>
        </is>
      </c>
      <c r="K8" s="10" t="inlineStr">
        <is>
          <t>13.07.2029</t>
        </is>
      </c>
      <c r="L8" s="7" t="n"/>
      <c r="M8" s="8" t="n"/>
      <c r="N8" s="9">
        <f>M8*E8</f>
        <v/>
      </c>
      <c r="O8" s="7" t="n"/>
      <c r="P8" s="7" t="n"/>
      <c r="Q8" s="7" t="n"/>
    </row>
    <row r="9" ht="48" customHeight="1">
      <c r="A9" s="5" t="inlineStr">
        <is>
          <t>11202</t>
        </is>
      </c>
      <c r="B9" s="5" t="inlineStr">
        <is>
          <t>№ 1</t>
        </is>
      </c>
      <c r="C9" s="6" t="n">
        <v>41</v>
      </c>
      <c r="D9" s="5" t="inlineStr">
        <is>
          <t>Клапан обратный чугун шаровой фланцевый Ду 150 Ру16</t>
        </is>
      </c>
      <c r="E9" s="6" t="n">
        <v>3</v>
      </c>
      <c r="F9" s="5" t="inlineStr">
        <is>
          <t>шт</t>
        </is>
      </c>
      <c r="G9" s="10" t="inlineStr">
        <is>
          <t>Клапан обратный чугунный фланцевый Гранлок Ду150 Ру16 (аналог шарового — согласовать)</t>
        </is>
      </c>
      <c r="H9" s="7" t="n"/>
      <c r="I9" s="7" t="n"/>
      <c r="J9" s="7" t="n"/>
      <c r="K9" s="7" t="n"/>
      <c r="L9" s="7" t="n"/>
      <c r="M9" s="8" t="n"/>
      <c r="N9" s="9">
        <f>M9*E9</f>
        <v/>
      </c>
      <c r="O9" s="7" t="n"/>
      <c r="P9" s="7" t="n"/>
      <c r="Q9" s="7" t="n"/>
    </row>
    <row r="10" ht="48" customHeight="1">
      <c r="A10" s="5" t="inlineStr">
        <is>
          <t>11202</t>
        </is>
      </c>
      <c r="B10" s="5" t="inlineStr">
        <is>
          <t>№ 1</t>
        </is>
      </c>
      <c r="C10" s="6" t="n">
        <v>42</v>
      </c>
      <c r="D10" s="5" t="inlineStr">
        <is>
          <t>Клапан обратный чугун шаровой фланцевый Ду 100 Ру16</t>
        </is>
      </c>
      <c r="E10" s="6" t="n">
        <v>3</v>
      </c>
      <c r="F10" s="5" t="inlineStr">
        <is>
          <t>шт</t>
        </is>
      </c>
      <c r="G10" s="10" t="inlineStr">
        <is>
          <t>Клапан обратный чугунный фланцевый Гранлок Ду100 Ру16 (аналог шарового — согласовать)</t>
        </is>
      </c>
      <c r="H10" s="7" t="n"/>
      <c r="I10" s="7" t="n"/>
      <c r="J10" s="7" t="n"/>
      <c r="K10" s="7" t="n"/>
      <c r="L10" s="7" t="n"/>
      <c r="M10" s="8" t="n"/>
      <c r="N10" s="9">
        <f>M10*E10</f>
        <v/>
      </c>
      <c r="O10" s="7" t="n"/>
      <c r="P10" s="7" t="n"/>
      <c r="Q10" s="7" t="n"/>
    </row>
    <row r="11" ht="48" customHeight="1">
      <c r="A11" s="11" t="inlineStr"/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  <c r="L11" s="11" t="inlineStr"/>
      <c r="M11" s="11" t="inlineStr">
        <is>
          <t>ИТОГО</t>
        </is>
      </c>
      <c r="N11" s="12">
        <f>SUM(N6:N10)</f>
        <v/>
      </c>
      <c r="O11" s="2" t="n"/>
      <c r="P11" s="2" t="n"/>
      <c r="Q11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2026-10-28T13:45:16Z</dcterms:created>
  <dcterms:modified xmlns:dcterms="http://purl.org/dc/terms/" xmlns:xsi="http://www.w3.org/2001/XMLSchema-instance" xsi:type="dcterms:W3CDTF">2026-10-28T13:45:16Z</dcterms:modified>
</cp:coreProperties>
</file>