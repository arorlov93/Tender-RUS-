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«Ярдос» (завод шаровых кранов ЗАРД/ЗАРДП; юрадрес: Химки г.о., д. Брехово, Промплощадка, стр. 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58</v>
      </c>
      <c r="D6" s="5" t="inlineStr">
        <is>
          <t>Кран шаровой запорный разборный фланцевый   (исполнение B по ГОСТ 33259-2015) из стали 14Х17Н2, в несейсмостойком исполнении С0, диаметр проходного сечения 29 мм, ЗАРД 032.016.21-01Р DN 32 PN 16 с ручным управлением</t>
        </is>
      </c>
      <c r="E6" s="6" t="n">
        <v>2</v>
      </c>
      <c r="F6" s="5" t="inlineStr">
        <is>
          <t>шт</t>
        </is>
      </c>
      <c r="G6" s="7" t="inlineStr">
        <is>
          <t>Кран шаровой ЗАРД 032.016.21-01Р DN32 PN16 (Ярдос)</t>
        </is>
      </c>
      <c r="H6" s="7" t="inlineStr">
        <is>
          <t>«Ярдос» (завод шаровых кранов ЗАРД/ЗАРДП; юрадрес: Химки г.о., д. Брехово, Промплощадка, стр. 2)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59</v>
      </c>
      <c r="D7" s="5" t="inlineStr">
        <is>
          <t>Кран шаровой запорный разборный полнопроходной  штуцерно-ниппельный из стали 14Х17Н2, в несейсмостойком исполнении С0, диаметр проходного сечения 10 мм, ЗАРДП 010.080.30-01Р DN 10 PN 80 с ручным управлением</t>
        </is>
      </c>
      <c r="E7" s="6" t="n">
        <v>2</v>
      </c>
      <c r="F7" s="5" t="inlineStr">
        <is>
          <t>шт</t>
        </is>
      </c>
      <c r="G7" s="7" t="inlineStr">
        <is>
          <t>Кран шаровой ЗАРДП 010.080.30-01Р DN10 PN80 (Ярдос)</t>
        </is>
      </c>
      <c r="H7" s="7" t="inlineStr">
        <is>
          <t>«Ярдос» (завод шаровых кранов ЗАРД/ЗАРДП; юрадрес: Химки г.о., д. Брехово, Промплощадка, стр. 2)</t>
        </is>
      </c>
      <c r="I7" s="7" t="inlineStr">
        <is>
          <t>Россия</t>
        </is>
      </c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60</v>
      </c>
      <c r="D8" s="5" t="inlineStr">
        <is>
          <t>Кран шаровой запорный разборный полнопроходной фланцевый  (исполнение E по ГОСТ 33259-2015) из стали 14Х17Н2, в несейсмостойком исполнении С0, диаметр проходного сечения 65 мм, ЗАРДП 065.063.22-01Р DN 65 PN 63 с ручным управлением</t>
        </is>
      </c>
      <c r="E8" s="6" t="n">
        <v>2</v>
      </c>
      <c r="F8" s="5" t="inlineStr">
        <is>
          <t>шт</t>
        </is>
      </c>
      <c r="G8" s="7" t="inlineStr">
        <is>
          <t>Кран шаровой ЗАРДП 065.063.22-01Р DN65 PN63 (Ярдос)</t>
        </is>
      </c>
      <c r="H8" s="7" t="inlineStr">
        <is>
          <t>«Ярдос» (завод шаровых кранов ЗАРД/ЗАРДП; юрадрес: Химки г.о., д. Брехово, Промплощадка, стр. 2)</t>
        </is>
      </c>
      <c r="I8" s="7" t="inlineStr">
        <is>
          <t>Россия</t>
        </is>
      </c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61</v>
      </c>
      <c r="D9" s="5" t="inlineStr">
        <is>
          <t>Кран шаровой запорный разборный фланцевый  (исполнение B по ГОСТ 33259-2015) из стали 14Х17Н2, в несейсмостойком исполнении С0, диаметр проходного сечения 36 мм, ЗАРД 040.016.21-01Р DN 40 PN 16 с ручным управлением</t>
        </is>
      </c>
      <c r="E9" s="6" t="n">
        <v>2</v>
      </c>
      <c r="F9" s="5" t="inlineStr">
        <is>
          <t>шт</t>
        </is>
      </c>
      <c r="G9" s="7" t="inlineStr">
        <is>
          <t>Кран шаровой ЗАРД 040.016.21-01Р DN40 PN16 (Ярдос)</t>
        </is>
      </c>
      <c r="H9" s="7" t="inlineStr">
        <is>
          <t>«Ярдос» (завод шаровых кранов ЗАРД/ЗАРДП; юрадрес: Химки г.о., д. Брехово, Промплощадка, стр. 2)</t>
        </is>
      </c>
      <c r="I9" s="7" t="inlineStr">
        <is>
          <t>Россия</t>
        </is>
      </c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62</v>
      </c>
      <c r="D10" s="5" t="inlineStr">
        <is>
          <t>Кран шаровой запорный разборный фланцевый   (исполнение B по ГОСТ 33259-2015) из стали 14Х17Н2, в несейсмостойком исполнении С0, диаметр проходного сечения 17 мм, ЗАРД 020.016.21-01Р DN 20 PN 16 с ручным управлением</t>
        </is>
      </c>
      <c r="E10" s="6" t="n">
        <v>2</v>
      </c>
      <c r="F10" s="5" t="inlineStr">
        <is>
          <t>шт</t>
        </is>
      </c>
      <c r="G10" s="7" t="inlineStr">
        <is>
          <t>Кран шаровой ЗАРД 020.016.21-01Р DN20 PN16 (Ярдос)</t>
        </is>
      </c>
      <c r="H10" s="7" t="inlineStr">
        <is>
          <t>«Ярдос» (завод шаровых кранов ЗАРД/ЗАРДП; юрадрес: Химки г.о., д. Брехово, Промплощадка, стр. 2)</t>
        </is>
      </c>
      <c r="I10" s="7" t="inlineStr">
        <is>
          <t>Россия</t>
        </is>
      </c>
      <c r="J10" s="8" t="n"/>
      <c r="K10" s="8" t="n"/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63</v>
      </c>
      <c r="D11" s="5" t="inlineStr">
        <is>
          <t>Кран шаровой запорный разборный полнопроходной фланцевый   (исполнение F по ГОСТ 33259-2015) из стали 12Х18Н10Т, в несейсмостойком исполнении С0, диаметр проходного сечения 25 мм, ЗАРДП 025.160.23-02Р DN 25 PN 160 с ручным управлением</t>
        </is>
      </c>
      <c r="E11" s="6" t="n">
        <v>2</v>
      </c>
      <c r="F11" s="5" t="inlineStr">
        <is>
          <t>шт</t>
        </is>
      </c>
      <c r="G11" s="7" t="inlineStr">
        <is>
          <t>Кран шаровой ЗАРДП 025.160.23-02Р DN25 PN160 (Ярдос)</t>
        </is>
      </c>
      <c r="H11" s="7" t="inlineStr">
        <is>
          <t>«Ярдос» (завод шаровых кранов ЗАРД/ЗАРДП; юрадрес: Химки г.о., д. Брехово, Промплощадка, стр. 2)</t>
        </is>
      </c>
      <c r="I11" s="7" t="inlineStr">
        <is>
          <t>Россия</t>
        </is>
      </c>
      <c r="J11" s="8" t="n"/>
      <c r="K11" s="8" t="n"/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>
        <is>
          <t>ИТОГО</t>
        </is>
      </c>
      <c r="N12" s="12">
        <f>SUM(N6:N11)</f>
        <v/>
      </c>
      <c r="O12" s="2" t="n"/>
      <c r="P12" s="2" t="n"/>
      <c r="Q12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