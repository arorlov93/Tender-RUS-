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ОАО «Литейно-механический завод» (г. Семёнов)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9</v>
      </c>
      <c r="D6" s="5" t="inlineStr">
        <is>
          <t>Задвижка стальная 30с41нж DN 150 PN 16 1исп.</t>
        </is>
      </c>
      <c r="E6" s="6" t="n">
        <v>7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18</v>
      </c>
      <c r="D7" s="5" t="inlineStr">
        <is>
          <t>Задвижка чугун 30ч39р МЗВ обрезиненный клин EPDM Ду 80 Ру10/16 фл</t>
        </is>
      </c>
      <c r="E7" s="6" t="n">
        <v>4</v>
      </c>
      <c r="F7" s="5" t="inlineStr">
        <is>
          <t>шт</t>
        </is>
      </c>
      <c r="G7" s="10" t="inlineStr">
        <is>
          <t>Задвижка 30ч39р (обрезиненный клин EPDM, ВЧ50) Ду80 Ру16</t>
        </is>
      </c>
      <c r="H7" s="10" t="inlineStr">
        <is>
          <t>ОАО «Литейно-механический завод» (г. Семёнов)</t>
        </is>
      </c>
      <c r="I7" s="10" t="inlineStr">
        <is>
          <t>Россия</t>
        </is>
      </c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11201</t>
        </is>
      </c>
      <c r="B8" s="5" t="inlineStr">
        <is>
          <t>№ 1</t>
        </is>
      </c>
      <c r="C8" s="6" t="n">
        <v>23</v>
      </c>
      <c r="D8" s="5" t="inlineStr">
        <is>
          <t>Задвижка под электропривод 30ч906бр Ду 200 Ру 10</t>
        </is>
      </c>
      <c r="E8" s="6" t="n">
        <v>4</v>
      </c>
      <c r="F8" s="5" t="inlineStr">
        <is>
          <t>шт</t>
        </is>
      </c>
      <c r="G8" s="10" t="inlineStr">
        <is>
          <t>Задвижка чугунная 30ч906бр Ду200 Ру10 под электропривод</t>
        </is>
      </c>
      <c r="H8" s="10" t="inlineStr">
        <is>
          <t>ОАО «Литейно-механический завод» (г. Семёнов)</t>
        </is>
      </c>
      <c r="I8" s="10" t="inlineStr">
        <is>
          <t>Россия</t>
        </is>
      </c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11201</t>
        </is>
      </c>
      <c r="B9" s="5" t="inlineStr">
        <is>
          <t>№ 1</t>
        </is>
      </c>
      <c r="C9" s="6" t="n">
        <v>40</v>
      </c>
      <c r="D9" s="5" t="inlineStr">
        <is>
          <t>Затвор чуг/чуг упл. EPDM Ду80 Ру16</t>
        </is>
      </c>
      <c r="E9" s="6" t="n">
        <v>3</v>
      </c>
      <c r="F9" s="5" t="inlineStr">
        <is>
          <t>шт</t>
        </is>
      </c>
      <c r="G9" s="10" t="inlineStr">
        <is>
          <t>Затвор дисковый 32ч1р Ду80 PN16, корпус/диск СЧ20, EPDM</t>
        </is>
      </c>
      <c r="H9" s="10" t="inlineStr">
        <is>
          <t>ОАО «Литейно-механический завод» (г. Семёнов)</t>
        </is>
      </c>
      <c r="I9" s="10" t="inlineStr">
        <is>
          <t>Россия</t>
        </is>
      </c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11201</t>
        </is>
      </c>
      <c r="B10" s="5" t="inlineStr">
        <is>
          <t>№ 1</t>
        </is>
      </c>
      <c r="C10" s="6" t="n">
        <v>41</v>
      </c>
      <c r="D10" s="5" t="inlineStr">
        <is>
          <t>Затвор чуг/чуг упл. EPDM Ду100 Ру16</t>
        </is>
      </c>
      <c r="E10" s="6" t="n">
        <v>6</v>
      </c>
      <c r="F10" s="5" t="inlineStr">
        <is>
          <t>шт</t>
        </is>
      </c>
      <c r="G10" s="10" t="inlineStr">
        <is>
          <t>Затвор дисковый 32ч1р Ду100 PN16, корпус/диск СЧ20, EPDM</t>
        </is>
      </c>
      <c r="H10" s="10" t="inlineStr">
        <is>
          <t>ОАО «Литейно-механический завод» (г. Семёнов)</t>
        </is>
      </c>
      <c r="I10" s="10" t="inlineStr">
        <is>
          <t>Россия</t>
        </is>
      </c>
      <c r="J10" s="7" t="n"/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5" t="inlineStr">
        <is>
          <t>11201</t>
        </is>
      </c>
      <c r="B11" s="5" t="inlineStr">
        <is>
          <t>№ 1</t>
        </is>
      </c>
      <c r="C11" s="6" t="n">
        <v>49</v>
      </c>
      <c r="D11" s="5" t="inlineStr">
        <is>
          <t>Затвор дисковый поворотный межфланцевый Ду200 Ру16 корпус — чугун, диск — коррозионностойкая сталь, уплотнение — EPDM Затвор дисковый поворотный Ду 200 Ру 10 / 16 чугунный межфланцевый, диск — чугун. Управление-редуктор, электропривод</t>
        </is>
      </c>
      <c r="E11" s="6" t="n">
        <v>2</v>
      </c>
      <c r="F11" s="5" t="inlineStr">
        <is>
          <t>шт</t>
        </is>
      </c>
      <c r="G11" s="7" t="n"/>
      <c r="H11" s="7" t="n"/>
      <c r="I11" s="7" t="n"/>
      <c r="J11" s="7" t="n"/>
      <c r="K11" s="7" t="n"/>
      <c r="L11" s="7" t="n"/>
      <c r="M11" s="8" t="n"/>
      <c r="N11" s="9">
        <f>M11*E11</f>
        <v/>
      </c>
      <c r="O11" s="7" t="n"/>
      <c r="P11" s="7" t="n"/>
      <c r="Q11" s="7" t="n"/>
    </row>
    <row r="12" ht="48" customHeight="1">
      <c r="A12" s="5" t="inlineStr">
        <is>
          <t>11201</t>
        </is>
      </c>
      <c r="B12" s="5" t="inlineStr">
        <is>
          <t>№ 1</t>
        </is>
      </c>
      <c r="C12" s="6" t="n">
        <v>50</v>
      </c>
      <c r="D12" s="5" t="inlineStr">
        <is>
          <t>Затвор дисковый поворотный межфланцевый Ду80 Ру16 корпус — чугун, диск — коррозионностойкая сталь, уплотнение — EPDM Затвор дисковый поворотный 32ч901р DN 80 PN 16 межфланцевый диск-чугун уплотнение-EPDM под электропривод, редуктор</t>
        </is>
      </c>
      <c r="E12" s="6" t="n">
        <v>12</v>
      </c>
      <c r="F12" s="5" t="inlineStr">
        <is>
          <t>шт</t>
        </is>
      </c>
      <c r="G12" s="7" t="n"/>
      <c r="H12" s="7" t="n"/>
      <c r="I12" s="7" t="n"/>
      <c r="J12" s="7" t="n"/>
      <c r="K12" s="7" t="n"/>
      <c r="L12" s="7" t="n"/>
      <c r="M12" s="8" t="n"/>
      <c r="N12" s="9">
        <f>M12*E12</f>
        <v/>
      </c>
      <c r="O12" s="7" t="n"/>
      <c r="P12" s="7" t="n"/>
      <c r="Q12" s="7" t="n"/>
    </row>
    <row r="13" ht="48" customHeight="1">
      <c r="A13" s="5" t="inlineStr">
        <is>
          <t>11201</t>
        </is>
      </c>
      <c r="B13" s="5" t="inlineStr">
        <is>
          <t>№ 1</t>
        </is>
      </c>
      <c r="C13" s="6" t="n">
        <v>51</v>
      </c>
      <c r="D13" s="5" t="inlineStr">
        <is>
          <t>Затвор дисковый поворотный межфланцевый Ду100 Ру16 корпус — чугун, диск — коррозионностойкая сталь, уплотнение — EPDM Затвор дисковый поворотный 32ч901р DN 100 PN 16 межфланцевый диск-чугун уплотнение-EPDM под электропривод, редуктор</t>
        </is>
      </c>
      <c r="E13" s="6" t="n">
        <v>8</v>
      </c>
      <c r="F13" s="5" t="inlineStr">
        <is>
          <t>шт</t>
        </is>
      </c>
      <c r="G13" s="7" t="n"/>
      <c r="H13" s="7" t="n"/>
      <c r="I13" s="7" t="n"/>
      <c r="J13" s="7" t="n"/>
      <c r="K13" s="7" t="n"/>
      <c r="L13" s="7" t="n"/>
      <c r="M13" s="8" t="n"/>
      <c r="N13" s="9">
        <f>M13*E13</f>
        <v/>
      </c>
      <c r="O13" s="7" t="n"/>
      <c r="P13" s="7" t="n"/>
      <c r="Q13" s="7" t="n"/>
    </row>
    <row r="14" ht="48" customHeight="1">
      <c r="A14" s="5" t="inlineStr">
        <is>
          <t>11201</t>
        </is>
      </c>
      <c r="B14" s="5" t="inlineStr">
        <is>
          <t>№ 1</t>
        </is>
      </c>
      <c r="C14" s="6" t="n">
        <v>58</v>
      </c>
      <c r="D14" s="5" t="inlineStr">
        <is>
          <t>Задвижка клиновая с выдвижным шпинделем  30с41нж Ду125 Ру-16 с КОФ</t>
        </is>
      </c>
      <c r="E14" s="6" t="n">
        <v>2</v>
      </c>
      <c r="F14" s="5" t="inlineStr">
        <is>
          <t>шт</t>
        </is>
      </c>
      <c r="G14" s="7" t="n"/>
      <c r="H14" s="7" t="n"/>
      <c r="I14" s="7" t="n"/>
      <c r="J14" s="7" t="n"/>
      <c r="K14" s="7" t="n"/>
      <c r="L14" s="7" t="n"/>
      <c r="M14" s="8" t="n"/>
      <c r="N14" s="9">
        <f>M14*E14</f>
        <v/>
      </c>
      <c r="O14" s="7" t="n"/>
      <c r="P14" s="7" t="n"/>
      <c r="Q14" s="7" t="n"/>
    </row>
    <row r="15" ht="48" customHeight="1">
      <c r="A15" s="5" t="inlineStr">
        <is>
          <t>11202</t>
        </is>
      </c>
      <c r="B15" s="5" t="inlineStr">
        <is>
          <t>№ 1</t>
        </is>
      </c>
      <c r="C15" s="6" t="n">
        <v>13</v>
      </c>
      <c r="D15" s="5" t="inlineStr">
        <is>
          <t>Задвижка чугунная с КОФ 30ч6бр Ду 50 Ру 10/16 1исп.</t>
        </is>
      </c>
      <c r="E15" s="6" t="n">
        <v>40</v>
      </c>
      <c r="F15" s="5" t="inlineStr">
        <is>
          <t>шт</t>
        </is>
      </c>
      <c r="G15" s="10" t="inlineStr">
        <is>
          <t>Задвижка чугунная параллельная 30ч6бр Ду50 Ру16 с КОФ</t>
        </is>
      </c>
      <c r="H15" s="10" t="inlineStr">
        <is>
          <t>ОАО «Литейно-механический завод» (г. Семёнов)</t>
        </is>
      </c>
      <c r="I15" s="10" t="inlineStr">
        <is>
          <t>Россия</t>
        </is>
      </c>
      <c r="J15" s="7" t="n"/>
      <c r="K15" s="7" t="n"/>
      <c r="L15" s="7" t="n"/>
      <c r="M15" s="8" t="n"/>
      <c r="N15" s="9">
        <f>M15*E15</f>
        <v/>
      </c>
      <c r="O15" s="7" t="n"/>
      <c r="P15" s="7" t="n"/>
      <c r="Q15" s="7" t="n"/>
    </row>
    <row r="16" ht="48" customHeight="1">
      <c r="A16" s="5" t="inlineStr">
        <is>
          <t>11202</t>
        </is>
      </c>
      <c r="B16" s="5" t="inlineStr">
        <is>
          <t>№ 1</t>
        </is>
      </c>
      <c r="C16" s="6" t="n">
        <v>14</v>
      </c>
      <c r="D16" s="5" t="inlineStr">
        <is>
          <t>Задвижка чугунная с КОФ 30ч6бр Ду 100 Ру 10/16 1исп.</t>
        </is>
      </c>
      <c r="E16" s="6" t="n">
        <v>28</v>
      </c>
      <c r="F16" s="5" t="inlineStr">
        <is>
          <t>шт</t>
        </is>
      </c>
      <c r="G16" s="10" t="inlineStr">
        <is>
          <t>Задвижка чугунная параллельная 30ч6бр Ду100 Ру16 с КОФ</t>
        </is>
      </c>
      <c r="H16" s="10" t="inlineStr">
        <is>
          <t>ОАО «Литейно-механический завод» (г. Семёнов)</t>
        </is>
      </c>
      <c r="I16" s="10" t="inlineStr">
        <is>
          <t>Россия</t>
        </is>
      </c>
      <c r="J16" s="7" t="n"/>
      <c r="K16" s="7" t="n"/>
      <c r="L16" s="7" t="n"/>
      <c r="M16" s="8" t="n"/>
      <c r="N16" s="9">
        <f>M16*E16</f>
        <v/>
      </c>
      <c r="O16" s="7" t="n"/>
      <c r="P16" s="7" t="n"/>
      <c r="Q16" s="7" t="n"/>
    </row>
    <row r="17" ht="48" customHeight="1">
      <c r="A17" s="5" t="inlineStr">
        <is>
          <t>11202</t>
        </is>
      </c>
      <c r="B17" s="5" t="inlineStr">
        <is>
          <t>№ 1</t>
        </is>
      </c>
      <c r="C17" s="6" t="n">
        <v>15</v>
      </c>
      <c r="D17" s="5" t="inlineStr">
        <is>
          <t>Задвижка чугунная с КОФ 30ч6бр Ду 150 Ру 10/16 1исп.</t>
        </is>
      </c>
      <c r="E17" s="6" t="n">
        <v>13</v>
      </c>
      <c r="F17" s="5" t="inlineStr">
        <is>
          <t>шт</t>
        </is>
      </c>
      <c r="G17" s="10" t="inlineStr">
        <is>
          <t>Задвижка чугунная параллельная 30ч6бр Ду150 Ру16 с КОФ</t>
        </is>
      </c>
      <c r="H17" s="10" t="inlineStr">
        <is>
          <t>ОАО «Литейно-механический завод» (г. Семёнов)</t>
        </is>
      </c>
      <c r="I17" s="10" t="inlineStr">
        <is>
          <t>Россия</t>
        </is>
      </c>
      <c r="J17" s="7" t="n"/>
      <c r="K17" s="7" t="n"/>
      <c r="L17" s="7" t="n"/>
      <c r="M17" s="8" t="n"/>
      <c r="N17" s="9">
        <f>M17*E17</f>
        <v/>
      </c>
      <c r="O17" s="7" t="n"/>
      <c r="P17" s="7" t="n"/>
      <c r="Q17" s="7" t="n"/>
    </row>
    <row r="18" ht="48" customHeight="1">
      <c r="A18" s="5" t="inlineStr">
        <is>
          <t>11202</t>
        </is>
      </c>
      <c r="B18" s="5" t="inlineStr">
        <is>
          <t>№ 1</t>
        </is>
      </c>
      <c r="C18" s="6" t="n">
        <v>16</v>
      </c>
      <c r="D18" s="5" t="inlineStr">
        <is>
          <t>Задвижка чугунная с КОФ 30ч6бр Ду 200 Ру 10 1исп.</t>
        </is>
      </c>
      <c r="E18" s="6" t="n">
        <v>16</v>
      </c>
      <c r="F18" s="5" t="inlineStr">
        <is>
          <t>шт</t>
        </is>
      </c>
      <c r="G18" s="10" t="inlineStr">
        <is>
          <t>Задвижка чугунная параллельная 30ч6бр Ду200 Ру10 с КОФ</t>
        </is>
      </c>
      <c r="H18" s="10" t="inlineStr">
        <is>
          <t>ОАО «Литейно-механический завод» (г. Семёнов)</t>
        </is>
      </c>
      <c r="I18" s="10" t="inlineStr">
        <is>
          <t>Россия</t>
        </is>
      </c>
      <c r="J18" s="7" t="n"/>
      <c r="K18" s="7" t="n"/>
      <c r="L18" s="7" t="n"/>
      <c r="M18" s="8" t="n"/>
      <c r="N18" s="9">
        <f>M18*E18</f>
        <v/>
      </c>
      <c r="O18" s="7" t="n"/>
      <c r="P18" s="7" t="n"/>
      <c r="Q18" s="7" t="n"/>
    </row>
    <row r="19" ht="48" customHeight="1">
      <c r="A19" s="5" t="inlineStr">
        <is>
          <t>11202</t>
        </is>
      </c>
      <c r="B19" s="5" t="inlineStr">
        <is>
          <t>№ 1</t>
        </is>
      </c>
      <c r="C19" s="6" t="n">
        <v>17</v>
      </c>
      <c r="D19" s="5" t="inlineStr">
        <is>
          <t>Задвижка чугунная с КОФ 30ч6бр Ду 250 Ру 10 1исп.</t>
        </is>
      </c>
      <c r="E19" s="6" t="n">
        <v>3</v>
      </c>
      <c r="F19" s="5" t="inlineStr">
        <is>
          <t>шт</t>
        </is>
      </c>
      <c r="G19" s="10" t="inlineStr">
        <is>
          <t>Задвижка чугунная параллельная 30ч6бр Ду250 Ру10 с КОФ</t>
        </is>
      </c>
      <c r="H19" s="10" t="inlineStr">
        <is>
          <t>ОАО «Литейно-механический завод» (г. Семёнов)</t>
        </is>
      </c>
      <c r="I19" s="10" t="inlineStr">
        <is>
          <t>Россия</t>
        </is>
      </c>
      <c r="J19" s="7" t="n"/>
      <c r="K19" s="7" t="n"/>
      <c r="L19" s="7" t="n"/>
      <c r="M19" s="8" t="n"/>
      <c r="N19" s="9">
        <f>M19*E19</f>
        <v/>
      </c>
      <c r="O19" s="7" t="n"/>
      <c r="P19" s="7" t="n"/>
      <c r="Q19" s="7" t="n"/>
    </row>
    <row r="20" ht="48" customHeight="1">
      <c r="A20" s="5" t="inlineStr">
        <is>
          <t>11202</t>
        </is>
      </c>
      <c r="B20" s="5" t="inlineStr">
        <is>
          <t>№ 1</t>
        </is>
      </c>
      <c r="C20" s="6" t="n">
        <v>43</v>
      </c>
      <c r="D20" s="5" t="inlineStr">
        <is>
          <t>Задвижка стальная 30с41нж DN 80 PN 16 1исп.</t>
        </is>
      </c>
      <c r="E20" s="6" t="n">
        <v>10</v>
      </c>
      <c r="F20" s="5" t="inlineStr">
        <is>
          <t>шт</t>
        </is>
      </c>
      <c r="G20" s="7" t="n"/>
      <c r="H20" s="7" t="n"/>
      <c r="I20" s="7" t="n"/>
      <c r="J20" s="7" t="n"/>
      <c r="K20" s="7" t="n"/>
      <c r="L20" s="7" t="n"/>
      <c r="M20" s="8" t="n"/>
      <c r="N20" s="9">
        <f>M20*E20</f>
        <v/>
      </c>
      <c r="O20" s="7" t="n"/>
      <c r="P20" s="7" t="n"/>
      <c r="Q20" s="7" t="n"/>
    </row>
    <row r="21" ht="48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>
        <is>
          <t>ИТОГО</t>
        </is>
      </c>
      <c r="N21" s="12">
        <f>SUM(N6:N20)</f>
        <v/>
      </c>
      <c r="O21" s="2" t="n"/>
      <c r="P21" s="2" t="n"/>
      <c r="Q21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