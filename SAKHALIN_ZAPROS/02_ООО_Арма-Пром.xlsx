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7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ООО «Арма-Пром» (Старооскольский арматурный завод, ГК «Авангард», ТМ САЗ)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11201</t>
        </is>
      </c>
      <c r="B6" s="5" t="inlineStr">
        <is>
          <t>№ 1</t>
        </is>
      </c>
      <c r="C6" s="6" t="n">
        <v>9</v>
      </c>
      <c r="D6" s="5" t="inlineStr">
        <is>
          <t>Задвижка стальная 30с41нж DN 150 PN 16 1исп.</t>
        </is>
      </c>
      <c r="E6" s="6" t="n">
        <v>7</v>
      </c>
      <c r="F6" s="5" t="inlineStr">
        <is>
          <t>шт</t>
        </is>
      </c>
      <c r="G6" s="7" t="inlineStr">
        <is>
          <t>Задвижка стальная клиновая 30с41нж Ду150 Ру16</t>
        </is>
      </c>
      <c r="H6" s="7" t="inlineStr">
        <is>
          <t>ООО «Арма-Пром» (Старооскольский арматурный завод, ГК «Авангард», ТМ САЗ)</t>
        </is>
      </c>
      <c r="I6" s="7" t="inlineStr">
        <is>
          <t>Россия</t>
        </is>
      </c>
      <c r="J6" s="8" t="n"/>
      <c r="K6" s="8" t="n"/>
      <c r="L6" s="8" t="n"/>
      <c r="M6" s="9" t="n"/>
      <c r="N6" s="10">
        <f>M6*E6</f>
        <v/>
      </c>
      <c r="O6" s="8" t="n"/>
      <c r="P6" s="8" t="n"/>
      <c r="Q6" s="8" t="n"/>
    </row>
    <row r="7" ht="48" customHeight="1">
      <c r="A7" s="5" t="inlineStr">
        <is>
          <t>11201</t>
        </is>
      </c>
      <c r="B7" s="5" t="inlineStr">
        <is>
          <t>№ 1</t>
        </is>
      </c>
      <c r="C7" s="6" t="n">
        <v>18</v>
      </c>
      <c r="D7" s="5" t="inlineStr">
        <is>
          <t>Задвижка чугун 30ч39р МЗВ обрезиненный клин EPDM Ду 80 Ру10/16 фл</t>
        </is>
      </c>
      <c r="E7" s="6" t="n">
        <v>4</v>
      </c>
      <c r="F7" s="5" t="inlineStr">
        <is>
          <t>шт</t>
        </is>
      </c>
      <c r="G7" s="8" t="n"/>
      <c r="H7" s="8" t="n"/>
      <c r="I7" s="8" t="n"/>
      <c r="J7" s="8" t="n"/>
      <c r="K7" s="8" t="n"/>
      <c r="L7" s="8" t="n"/>
      <c r="M7" s="9" t="n"/>
      <c r="N7" s="10">
        <f>M7*E7</f>
        <v/>
      </c>
      <c r="O7" s="8" t="n"/>
      <c r="P7" s="8" t="n"/>
      <c r="Q7" s="8" t="n"/>
    </row>
    <row r="8" ht="48" customHeight="1">
      <c r="A8" s="5" t="inlineStr">
        <is>
          <t>11201</t>
        </is>
      </c>
      <c r="B8" s="5" t="inlineStr">
        <is>
          <t>№ 1</t>
        </is>
      </c>
      <c r="C8" s="6" t="n">
        <v>23</v>
      </c>
      <c r="D8" s="5" t="inlineStr">
        <is>
          <t>Задвижка под электропривод 30ч906бр Ду 200 Ру 10</t>
        </is>
      </c>
      <c r="E8" s="6" t="n">
        <v>4</v>
      </c>
      <c r="F8" s="5" t="inlineStr">
        <is>
          <t>шт</t>
        </is>
      </c>
      <c r="G8" s="8" t="n"/>
      <c r="H8" s="8" t="n"/>
      <c r="I8" s="8" t="n"/>
      <c r="J8" s="8" t="n"/>
      <c r="K8" s="8" t="n"/>
      <c r="L8" s="8" t="n"/>
      <c r="M8" s="9" t="n"/>
      <c r="N8" s="10">
        <f>M8*E8</f>
        <v/>
      </c>
      <c r="O8" s="8" t="n"/>
      <c r="P8" s="8" t="n"/>
      <c r="Q8" s="8" t="n"/>
    </row>
    <row r="9" ht="48" customHeight="1">
      <c r="A9" s="5" t="inlineStr">
        <is>
          <t>11201</t>
        </is>
      </c>
      <c r="B9" s="5" t="inlineStr">
        <is>
          <t>№ 1</t>
        </is>
      </c>
      <c r="C9" s="6" t="n">
        <v>33</v>
      </c>
      <c r="D9" s="5" t="inlineStr">
        <is>
          <t>Клапан обратный КО 200.16.3311  DN 200 PN 16 исп F (шлаковая пульпа)</t>
        </is>
      </c>
      <c r="E9" s="6" t="n">
        <v>3</v>
      </c>
      <c r="F9" s="5" t="inlineStr">
        <is>
          <t>шт</t>
        </is>
      </c>
      <c r="G9" s="7" t="inlineStr">
        <is>
          <t>Клапан обратный поворотный 19с76нж Ду200 Ру16 (эквивалент КО 200.16.3311 исп. F — для шлаковой пульпы)</t>
        </is>
      </c>
      <c r="H9" s="7" t="inlineStr">
        <is>
          <t>ООО «Арма-Пром» (Старооскольский арматурный завод, ГК «Авангард», ТМ САЗ)</t>
        </is>
      </c>
      <c r="I9" s="7" t="inlineStr">
        <is>
          <t>Россия</t>
        </is>
      </c>
      <c r="J9" s="8" t="n"/>
      <c r="K9" s="8" t="n"/>
      <c r="L9" s="8" t="n"/>
      <c r="M9" s="9" t="n"/>
      <c r="N9" s="10">
        <f>M9*E9</f>
        <v/>
      </c>
      <c r="O9" s="8" t="n"/>
      <c r="P9" s="8" t="n"/>
      <c r="Q9" s="8" t="n"/>
    </row>
    <row r="10" ht="48" customHeight="1">
      <c r="A10" s="5" t="inlineStr">
        <is>
          <t>11201</t>
        </is>
      </c>
      <c r="B10" s="5" t="inlineStr">
        <is>
          <t>№ 1</t>
        </is>
      </c>
      <c r="C10" s="6" t="n">
        <v>57</v>
      </c>
      <c r="D10" s="5" t="inlineStr">
        <is>
          <t>Клапан обратный с КОФ  19с76нж Ру25 Ду200</t>
        </is>
      </c>
      <c r="E10" s="6" t="n">
        <v>3</v>
      </c>
      <c r="F10" s="5" t="inlineStr">
        <is>
          <t>шт</t>
        </is>
      </c>
      <c r="G10" s="8" t="n"/>
      <c r="H10" s="8" t="n"/>
      <c r="I10" s="8" t="n"/>
      <c r="J10" s="8" t="n"/>
      <c r="K10" s="8" t="n"/>
      <c r="L10" s="8" t="n"/>
      <c r="M10" s="9" t="n"/>
      <c r="N10" s="10">
        <f>M10*E10</f>
        <v/>
      </c>
      <c r="O10" s="8" t="n"/>
      <c r="P10" s="8" t="n"/>
      <c r="Q10" s="8" t="n"/>
    </row>
    <row r="11" ht="48" customHeight="1">
      <c r="A11" s="5" t="inlineStr">
        <is>
          <t>11201</t>
        </is>
      </c>
      <c r="B11" s="5" t="inlineStr">
        <is>
          <t>№ 1</t>
        </is>
      </c>
      <c r="C11" s="6" t="n">
        <v>58</v>
      </c>
      <c r="D11" s="5" t="inlineStr">
        <is>
          <t>Задвижка клиновая с выдвижным шпинделем  30с41нж Ду125 Ру-16 с КОФ</t>
        </is>
      </c>
      <c r="E11" s="6" t="n">
        <v>2</v>
      </c>
      <c r="F11" s="5" t="inlineStr">
        <is>
          <t>шт</t>
        </is>
      </c>
      <c r="G11" s="7" t="inlineStr">
        <is>
          <t>Задвижка стальная клиновая 30с41нж Ду125 Ру16 с КОФ</t>
        </is>
      </c>
      <c r="H11" s="7" t="inlineStr">
        <is>
          <t>ООО «Арма-Пром» (Старооскольский арматурный завод, ГК «Авангард», ТМ САЗ)</t>
        </is>
      </c>
      <c r="I11" s="7" t="inlineStr">
        <is>
          <t>Россия</t>
        </is>
      </c>
      <c r="J11" s="8" t="n"/>
      <c r="K11" s="8" t="n"/>
      <c r="L11" s="8" t="n"/>
      <c r="M11" s="9" t="n"/>
      <c r="N11" s="10">
        <f>M11*E11</f>
        <v/>
      </c>
      <c r="O11" s="8" t="n"/>
      <c r="P11" s="8" t="n"/>
      <c r="Q11" s="8" t="n"/>
    </row>
    <row r="12" ht="48" customHeight="1">
      <c r="A12" s="5" t="inlineStr">
        <is>
          <t>11201</t>
        </is>
      </c>
      <c r="B12" s="5" t="inlineStr">
        <is>
          <t>№ 1</t>
        </is>
      </c>
      <c r="C12" s="6" t="n">
        <v>59</v>
      </c>
      <c r="D12" s="5" t="inlineStr">
        <is>
          <t>Клапан регулирующий  25с947нж с КОФ Ду 200 Ру 25 под электропривод AUMA SAR14.6-32(F14)+AM02.1</t>
        </is>
      </c>
      <c r="E12" s="6" t="n">
        <v>1</v>
      </c>
      <c r="F12" s="5" t="inlineStr">
        <is>
          <t>шт</t>
        </is>
      </c>
      <c r="G12" s="7" t="inlineStr">
        <is>
          <t>Клапан регулирующий 25с947нж Ду200 Ру25 с КОФ под электропривод (AUMA SAR14.6 по ТЗ — либо рос. ЭИМ)</t>
        </is>
      </c>
      <c r="H12" s="7" t="inlineStr">
        <is>
          <t>ООО «Арма-Пром» (Старооскольский арматурный завод, ГК «Авангард», ТМ САЗ)</t>
        </is>
      </c>
      <c r="I12" s="7" t="inlineStr">
        <is>
          <t>Россия</t>
        </is>
      </c>
      <c r="J12" s="8" t="n"/>
      <c r="K12" s="8" t="n"/>
      <c r="L12" s="8" t="n"/>
      <c r="M12" s="9" t="n"/>
      <c r="N12" s="10">
        <f>M12*E12</f>
        <v/>
      </c>
      <c r="O12" s="8" t="n"/>
      <c r="P12" s="8" t="n"/>
      <c r="Q12" s="8" t="n"/>
    </row>
    <row r="13" ht="48" customHeight="1">
      <c r="A13" s="5" t="inlineStr">
        <is>
          <t>11201</t>
        </is>
      </c>
      <c r="B13" s="5" t="inlineStr">
        <is>
          <t>№ 1</t>
        </is>
      </c>
      <c r="C13" s="6" t="n">
        <v>60</v>
      </c>
      <c r="D13" s="5" t="inlineStr">
        <is>
          <t>Задвижка стальная клиновая с выдвижным шпинделем  30с64нж Ду200 Ру25</t>
        </is>
      </c>
      <c r="E13" s="6" t="n">
        <v>1</v>
      </c>
      <c r="F13" s="5" t="inlineStr">
        <is>
          <t>шт</t>
        </is>
      </c>
      <c r="G13" s="7" t="inlineStr">
        <is>
          <t>Задвижка стальная клиновая 30с64нж Ду200 Ру25</t>
        </is>
      </c>
      <c r="H13" s="7" t="inlineStr">
        <is>
          <t>ООО «Арма-Пром» (Старооскольский арматурный завод, ГК «Авангард», ТМ САЗ)</t>
        </is>
      </c>
      <c r="I13" s="7" t="inlineStr">
        <is>
          <t>Россия</t>
        </is>
      </c>
      <c r="J13" s="8" t="n"/>
      <c r="K13" s="8" t="n"/>
      <c r="L13" s="8" t="n"/>
      <c r="M13" s="9" t="n"/>
      <c r="N13" s="10">
        <f>M13*E13</f>
        <v/>
      </c>
      <c r="O13" s="8" t="n"/>
      <c r="P13" s="8" t="n"/>
      <c r="Q13" s="8" t="n"/>
    </row>
    <row r="14" ht="48" customHeight="1">
      <c r="A14" s="5" t="inlineStr">
        <is>
          <t>11201</t>
        </is>
      </c>
      <c r="B14" s="5" t="inlineStr">
        <is>
          <t>№ 1</t>
        </is>
      </c>
      <c r="C14" s="6" t="n">
        <v>61</v>
      </c>
      <c r="D14" s="5" t="inlineStr">
        <is>
          <t>Задвижка стальная  30с964нж Ду200 Ру25 под электропривод AUMA  SAR10.2-90+AM01/1</t>
        </is>
      </c>
      <c r="E14" s="6" t="n">
        <v>1</v>
      </c>
      <c r="F14" s="5" t="inlineStr">
        <is>
          <t>шт</t>
        </is>
      </c>
      <c r="G14" s="7" t="inlineStr">
        <is>
          <t>Задвижка стальная 30с964нж Ду200 Ру25 под электропривод (AUMA SAR10.2 по ТЗ — либо рос. ЭП)</t>
        </is>
      </c>
      <c r="H14" s="7" t="inlineStr">
        <is>
          <t>ООО «Арма-Пром» (Старооскольский арматурный завод, ГК «Авангард», ТМ САЗ)</t>
        </is>
      </c>
      <c r="I14" s="7" t="inlineStr">
        <is>
          <t>Россия</t>
        </is>
      </c>
      <c r="J14" s="8" t="n"/>
      <c r="K14" s="8" t="n"/>
      <c r="L14" s="8" t="n"/>
      <c r="M14" s="9" t="n"/>
      <c r="N14" s="10">
        <f>M14*E14</f>
        <v/>
      </c>
      <c r="O14" s="8" t="n"/>
      <c r="P14" s="8" t="n"/>
      <c r="Q14" s="8" t="n"/>
    </row>
    <row r="15" ht="48" customHeight="1">
      <c r="A15" s="5" t="inlineStr">
        <is>
          <t>11201</t>
        </is>
      </c>
      <c r="B15" s="5" t="inlineStr">
        <is>
          <t>№ 1</t>
        </is>
      </c>
      <c r="C15" s="6" t="n">
        <v>63</v>
      </c>
      <c r="D15" s="5" t="inlineStr">
        <is>
          <t>Клапан обратный  КО 200.16.3312  DN 200 PN 16</t>
        </is>
      </c>
      <c r="E15" s="6" t="n">
        <v>4</v>
      </c>
      <c r="F15" s="5" t="inlineStr">
        <is>
          <t>шт</t>
        </is>
      </c>
      <c r="G15" s="7" t="inlineStr">
        <is>
          <t>Клапан обратный поворотный 19с76нж Ду200 Ру16 (эквивалент КО 200.16.3312)</t>
        </is>
      </c>
      <c r="H15" s="7" t="inlineStr">
        <is>
          <t>ООО «Арма-Пром» (Старооскольский арматурный завод, ГК «Авангард», ТМ САЗ)</t>
        </is>
      </c>
      <c r="I15" s="7" t="inlineStr">
        <is>
          <t>Россия</t>
        </is>
      </c>
      <c r="J15" s="8" t="n"/>
      <c r="K15" s="8" t="n"/>
      <c r="L15" s="8" t="n"/>
      <c r="M15" s="9" t="n"/>
      <c r="N15" s="10">
        <f>M15*E15</f>
        <v/>
      </c>
      <c r="O15" s="8" t="n"/>
      <c r="P15" s="8" t="n"/>
      <c r="Q15" s="8" t="n"/>
    </row>
    <row r="16" ht="48" customHeight="1">
      <c r="A16" s="5" t="inlineStr">
        <is>
          <t>11201</t>
        </is>
      </c>
      <c r="B16" s="5" t="inlineStr">
        <is>
          <t>№ 2</t>
        </is>
      </c>
      <c r="C16" s="6" t="n">
        <v>1</v>
      </c>
      <c r="D16" s="5" t="inlineStr">
        <is>
          <t>Задвижка из нержавеющей стали  30нж41нж DN 150 PN 16 1исп.</t>
        </is>
      </c>
      <c r="E16" s="6" t="n">
        <v>2</v>
      </c>
      <c r="F16" s="5" t="inlineStr">
        <is>
          <t>шт</t>
        </is>
      </c>
      <c r="G16" s="7" t="inlineStr">
        <is>
          <t>Задвижка нержавеющая 30нж41нж Ду150 Ру16</t>
        </is>
      </c>
      <c r="H16" s="7" t="inlineStr">
        <is>
          <t>ООО «Арма-Пром» (Старооскольский арматурный завод, ГК «Авангард», ТМ САЗ)</t>
        </is>
      </c>
      <c r="I16" s="7" t="inlineStr">
        <is>
          <t>Россия</t>
        </is>
      </c>
      <c r="J16" s="8" t="n"/>
      <c r="K16" s="8" t="n"/>
      <c r="L16" s="8" t="n"/>
      <c r="M16" s="9" t="n"/>
      <c r="N16" s="10">
        <f>M16*E16</f>
        <v/>
      </c>
      <c r="O16" s="8" t="n"/>
      <c r="P16" s="8" t="n"/>
      <c r="Q16" s="8" t="n"/>
    </row>
    <row r="17" ht="48" customHeight="1">
      <c r="A17" s="5" t="inlineStr">
        <is>
          <t>11201</t>
        </is>
      </c>
      <c r="B17" s="5" t="inlineStr">
        <is>
          <t>№ 2</t>
        </is>
      </c>
      <c r="C17" s="6" t="n">
        <v>3</v>
      </c>
      <c r="D17" s="5" t="inlineStr">
        <is>
          <t>Задвижка стальная с электроприводом 30с964нж DN 50 PN 25 1исп. тип А</t>
        </is>
      </c>
      <c r="E17" s="6" t="n">
        <v>18</v>
      </c>
      <c r="F17" s="5" t="inlineStr">
        <is>
          <t>шт</t>
        </is>
      </c>
      <c r="G17" s="7" t="inlineStr">
        <is>
          <t>Задвижка стальная 30с964нж Ду50 Ру25 под электропривод в комплекте с рос. электроприводом, 1 исп., тип А</t>
        </is>
      </c>
      <c r="H17" s="7" t="inlineStr">
        <is>
          <t>ООО «Арма-Пром» (Старооскольский арматурный завод, ГК «Авангард», ТМ САЗ)</t>
        </is>
      </c>
      <c r="I17" s="7" t="inlineStr">
        <is>
          <t>Россия</t>
        </is>
      </c>
      <c r="J17" s="8" t="n"/>
      <c r="K17" s="8" t="n"/>
      <c r="L17" s="8" t="n"/>
      <c r="M17" s="9" t="n"/>
      <c r="N17" s="10">
        <f>M17*E17</f>
        <v/>
      </c>
      <c r="O17" s="8" t="n"/>
      <c r="P17" s="8" t="n"/>
      <c r="Q17" s="8" t="n"/>
    </row>
    <row r="18" ht="48" customHeight="1">
      <c r="A18" s="5" t="inlineStr">
        <is>
          <t>11201</t>
        </is>
      </c>
      <c r="B18" s="5" t="inlineStr">
        <is>
          <t>№ 2</t>
        </is>
      </c>
      <c r="C18" s="6" t="n">
        <v>4</v>
      </c>
      <c r="D18" s="5" t="inlineStr">
        <is>
          <t>Задвижка стальная с КОФ  30с64нж DN150 PN 25 1исп.</t>
        </is>
      </c>
      <c r="E18" s="6" t="n">
        <v>5</v>
      </c>
      <c r="F18" s="5" t="inlineStr">
        <is>
          <t>шт</t>
        </is>
      </c>
      <c r="G18" s="7" t="inlineStr">
        <is>
          <t>Задвижка стальная клиновая 30с64нж Ду150 Ру25 с КОФ</t>
        </is>
      </c>
      <c r="H18" s="7" t="inlineStr">
        <is>
          <t>ООО «Арма-Пром» (Старооскольский арматурный завод, ГК «Авангард», ТМ САЗ)</t>
        </is>
      </c>
      <c r="I18" s="7" t="inlineStr">
        <is>
          <t>Россия</t>
        </is>
      </c>
      <c r="J18" s="8" t="n"/>
      <c r="K18" s="8" t="n"/>
      <c r="L18" s="8" t="n"/>
      <c r="M18" s="9" t="n"/>
      <c r="N18" s="10">
        <f>M18*E18</f>
        <v/>
      </c>
      <c r="O18" s="8" t="n"/>
      <c r="P18" s="8" t="n"/>
      <c r="Q18" s="8" t="n"/>
    </row>
    <row r="19" ht="48" customHeight="1">
      <c r="A19" s="5" t="inlineStr">
        <is>
          <t>11201</t>
        </is>
      </c>
      <c r="B19" s="5" t="inlineStr">
        <is>
          <t>№ 2</t>
        </is>
      </c>
      <c r="C19" s="6" t="n">
        <v>5</v>
      </c>
      <c r="D19" s="5" t="inlineStr">
        <is>
          <t>Задвижка стальная  30с64нж DN 200 PN 25 1исп.</t>
        </is>
      </c>
      <c r="E19" s="6" t="n">
        <v>3</v>
      </c>
      <c r="F19" s="5" t="inlineStr">
        <is>
          <t>шт</t>
        </is>
      </c>
      <c r="G19" s="7" t="inlineStr">
        <is>
          <t>Задвижка стальная клиновая 30с64нж Ду200 Ру25</t>
        </is>
      </c>
      <c r="H19" s="7" t="inlineStr">
        <is>
          <t>ООО «Арма-Пром» (Старооскольский арматурный завод, ГК «Авангард», ТМ САЗ)</t>
        </is>
      </c>
      <c r="I19" s="7" t="inlineStr">
        <is>
          <t>Россия</t>
        </is>
      </c>
      <c r="J19" s="8" t="n"/>
      <c r="K19" s="8" t="n"/>
      <c r="L19" s="8" t="n"/>
      <c r="M19" s="9" t="n"/>
      <c r="N19" s="10">
        <f>M19*E19</f>
        <v/>
      </c>
      <c r="O19" s="8" t="n"/>
      <c r="P19" s="8" t="n"/>
      <c r="Q19" s="8" t="n"/>
    </row>
    <row r="20" ht="48" customHeight="1">
      <c r="A20" s="5" t="inlineStr">
        <is>
          <t>11201</t>
        </is>
      </c>
      <c r="B20" s="5" t="inlineStr">
        <is>
          <t>№ 2</t>
        </is>
      </c>
      <c r="C20" s="6" t="n">
        <v>10</v>
      </c>
      <c r="D20" s="5" t="inlineStr">
        <is>
          <t>Задвижка ДУ 100 РУ16 30НЖ41НЖ</t>
        </is>
      </c>
      <c r="E20" s="6" t="n">
        <v>1</v>
      </c>
      <c r="F20" s="5" t="inlineStr">
        <is>
          <t>шт</t>
        </is>
      </c>
      <c r="G20" s="7" t="inlineStr">
        <is>
          <t>Задвижка нержавеющая 30нж41нж Ду100 Ру16</t>
        </is>
      </c>
      <c r="H20" s="7" t="inlineStr">
        <is>
          <t>ООО «Арма-Пром» (Старооскольский арматурный завод, ГК «Авангард», ТМ САЗ)</t>
        </is>
      </c>
      <c r="I20" s="7" t="inlineStr">
        <is>
          <t>Россия</t>
        </is>
      </c>
      <c r="J20" s="8" t="n"/>
      <c r="K20" s="8" t="n"/>
      <c r="L20" s="8" t="n"/>
      <c r="M20" s="9" t="n"/>
      <c r="N20" s="10">
        <f>M20*E20</f>
        <v/>
      </c>
      <c r="O20" s="8" t="n"/>
      <c r="P20" s="8" t="n"/>
      <c r="Q20" s="8" t="n"/>
    </row>
    <row r="21" ht="48" customHeight="1">
      <c r="A21" s="5" t="inlineStr">
        <is>
          <t>11201</t>
        </is>
      </c>
      <c r="B21" s="5" t="inlineStr">
        <is>
          <t>№ 2</t>
        </is>
      </c>
      <c r="C21" s="6" t="n">
        <v>12</v>
      </c>
      <c r="D21" s="5" t="inlineStr">
        <is>
          <t>Задвижка ДУ 100 РУ16 30НЖ41НЖ</t>
        </is>
      </c>
      <c r="E21" s="6" t="n">
        <v>1</v>
      </c>
      <c r="F21" s="5" t="inlineStr">
        <is>
          <t>шт</t>
        </is>
      </c>
      <c r="G21" s="7" t="inlineStr">
        <is>
          <t>Задвижка нержавеющая 30нж41нж Ду100 Ру16</t>
        </is>
      </c>
      <c r="H21" s="7" t="inlineStr">
        <is>
          <t>ООО «Арма-Пром» (Старооскольский арматурный завод, ГК «Авангард», ТМ САЗ)</t>
        </is>
      </c>
      <c r="I21" s="7" t="inlineStr">
        <is>
          <t>Россия</t>
        </is>
      </c>
      <c r="J21" s="8" t="n"/>
      <c r="K21" s="8" t="n"/>
      <c r="L21" s="8" t="n"/>
      <c r="M21" s="9" t="n"/>
      <c r="N21" s="10">
        <f>M21*E21</f>
        <v/>
      </c>
      <c r="O21" s="8" t="n"/>
      <c r="P21" s="8" t="n"/>
      <c r="Q21" s="8" t="n"/>
    </row>
    <row r="22" ht="48" customHeight="1">
      <c r="A22" s="5" t="inlineStr">
        <is>
          <t>11201</t>
        </is>
      </c>
      <c r="B22" s="5" t="inlineStr">
        <is>
          <t>№ 2</t>
        </is>
      </c>
      <c r="C22" s="6" t="n">
        <v>13</v>
      </c>
      <c r="D22" s="5" t="inlineStr">
        <is>
          <t>Задвижка ДУ 80 РУ16 30НЖ41НЖ</t>
        </is>
      </c>
      <c r="E22" s="6" t="n">
        <v>2</v>
      </c>
      <c r="F22" s="5" t="inlineStr">
        <is>
          <t>шт</t>
        </is>
      </c>
      <c r="G22" s="7" t="inlineStr">
        <is>
          <t>Задвижка нержавеющая 30нж41нж Ду80 Ру16</t>
        </is>
      </c>
      <c r="H22" s="7" t="inlineStr">
        <is>
          <t>ООО «Арма-Пром» (Старооскольский арматурный завод, ГК «Авангард», ТМ САЗ)</t>
        </is>
      </c>
      <c r="I22" s="7" t="inlineStr">
        <is>
          <t>Россия</t>
        </is>
      </c>
      <c r="J22" s="8" t="n"/>
      <c r="K22" s="8" t="n"/>
      <c r="L22" s="8" t="n"/>
      <c r="M22" s="9" t="n"/>
      <c r="N22" s="10">
        <f>M22*E22</f>
        <v/>
      </c>
      <c r="O22" s="8" t="n"/>
      <c r="P22" s="8" t="n"/>
      <c r="Q22" s="8" t="n"/>
    </row>
    <row r="23" ht="48" customHeight="1">
      <c r="A23" s="5" t="inlineStr">
        <is>
          <t>11202</t>
        </is>
      </c>
      <c r="B23" s="5" t="inlineStr">
        <is>
          <t>№ 1</t>
        </is>
      </c>
      <c r="C23" s="6" t="n">
        <v>11</v>
      </c>
      <c r="D23" s="5" t="inlineStr">
        <is>
          <t>Задвижка стальная с КОФ 30с64нж DN 50 PN 25 1исп.</t>
        </is>
      </c>
      <c r="E23" s="6" t="n">
        <v>23</v>
      </c>
      <c r="F23" s="5" t="inlineStr">
        <is>
          <t>шт</t>
        </is>
      </c>
      <c r="G23" s="7" t="inlineStr">
        <is>
          <t>Задвижка стальная клиновая 30с64нж Ду50 Ру25 с КОФ</t>
        </is>
      </c>
      <c r="H23" s="7" t="inlineStr">
        <is>
          <t>ООО «Арма-Пром» (Старооскольский арматурный завод, ГК «Авангард», ТМ САЗ)</t>
        </is>
      </c>
      <c r="I23" s="7" t="inlineStr">
        <is>
          <t>Россия</t>
        </is>
      </c>
      <c r="J23" s="8" t="n"/>
      <c r="K23" s="8" t="n"/>
      <c r="L23" s="8" t="n"/>
      <c r="M23" s="9" t="n"/>
      <c r="N23" s="10">
        <f>M23*E23</f>
        <v/>
      </c>
      <c r="O23" s="8" t="n"/>
      <c r="P23" s="8" t="n"/>
      <c r="Q23" s="8" t="n"/>
    </row>
    <row r="24" ht="48" customHeight="1">
      <c r="A24" s="5" t="inlineStr">
        <is>
          <t>11202</t>
        </is>
      </c>
      <c r="B24" s="5" t="inlineStr">
        <is>
          <t>№ 1</t>
        </is>
      </c>
      <c r="C24" s="6" t="n">
        <v>12</v>
      </c>
      <c r="D24" s="5" t="inlineStr">
        <is>
          <t>Задвижка стальная 30с64нж DN 200 PN 25 1исп.</t>
        </is>
      </c>
      <c r="E24" s="6" t="n">
        <v>2</v>
      </c>
      <c r="F24" s="5" t="inlineStr">
        <is>
          <t>шт</t>
        </is>
      </c>
      <c r="G24" s="7" t="inlineStr">
        <is>
          <t>Задвижка стальная клиновая 30с64нж Ду200 Ру25</t>
        </is>
      </c>
      <c r="H24" s="7" t="inlineStr">
        <is>
          <t>ООО «Арма-Пром» (Старооскольский арматурный завод, ГК «Авангард», ТМ САЗ)</t>
        </is>
      </c>
      <c r="I24" s="7" t="inlineStr">
        <is>
          <t>Россия</t>
        </is>
      </c>
      <c r="J24" s="8" t="n"/>
      <c r="K24" s="8" t="n"/>
      <c r="L24" s="8" t="n"/>
      <c r="M24" s="9" t="n"/>
      <c r="N24" s="10">
        <f>M24*E24</f>
        <v/>
      </c>
      <c r="O24" s="8" t="n"/>
      <c r="P24" s="8" t="n"/>
      <c r="Q24" s="8" t="n"/>
    </row>
    <row r="25" ht="48" customHeight="1">
      <c r="A25" s="5" t="inlineStr">
        <is>
          <t>11202</t>
        </is>
      </c>
      <c r="B25" s="5" t="inlineStr">
        <is>
          <t>№ 1</t>
        </is>
      </c>
      <c r="C25" s="6" t="n">
        <v>13</v>
      </c>
      <c r="D25" s="5" t="inlineStr">
        <is>
          <t>Задвижка чугунная с КОФ 30ч6бр Ду 50 Ру 10/16 1исп.</t>
        </is>
      </c>
      <c r="E25" s="6" t="n">
        <v>40</v>
      </c>
      <c r="F25" s="5" t="inlineStr">
        <is>
          <t>шт</t>
        </is>
      </c>
      <c r="G25" s="8" t="n"/>
      <c r="H25" s="8" t="n"/>
      <c r="I25" s="8" t="n"/>
      <c r="J25" s="8" t="n"/>
      <c r="K25" s="8" t="n"/>
      <c r="L25" s="8" t="n"/>
      <c r="M25" s="9" t="n"/>
      <c r="N25" s="10">
        <f>M25*E25</f>
        <v/>
      </c>
      <c r="O25" s="8" t="n"/>
      <c r="P25" s="8" t="n"/>
      <c r="Q25" s="8" t="n"/>
    </row>
    <row r="26" ht="48" customHeight="1">
      <c r="A26" s="5" t="inlineStr">
        <is>
          <t>11202</t>
        </is>
      </c>
      <c r="B26" s="5" t="inlineStr">
        <is>
          <t>№ 1</t>
        </is>
      </c>
      <c r="C26" s="6" t="n">
        <v>14</v>
      </c>
      <c r="D26" s="5" t="inlineStr">
        <is>
          <t>Задвижка чугунная с КОФ 30ч6бр Ду 100 Ру 10/16 1исп.</t>
        </is>
      </c>
      <c r="E26" s="6" t="n">
        <v>28</v>
      </c>
      <c r="F26" s="5" t="inlineStr">
        <is>
          <t>шт</t>
        </is>
      </c>
      <c r="G26" s="8" t="n"/>
      <c r="H26" s="8" t="n"/>
      <c r="I26" s="8" t="n"/>
      <c r="J26" s="8" t="n"/>
      <c r="K26" s="8" t="n"/>
      <c r="L26" s="8" t="n"/>
      <c r="M26" s="9" t="n"/>
      <c r="N26" s="10">
        <f>M26*E26</f>
        <v/>
      </c>
      <c r="O26" s="8" t="n"/>
      <c r="P26" s="8" t="n"/>
      <c r="Q26" s="8" t="n"/>
    </row>
    <row r="27" ht="48" customHeight="1">
      <c r="A27" s="5" t="inlineStr">
        <is>
          <t>11202</t>
        </is>
      </c>
      <c r="B27" s="5" t="inlineStr">
        <is>
          <t>№ 1</t>
        </is>
      </c>
      <c r="C27" s="6" t="n">
        <v>15</v>
      </c>
      <c r="D27" s="5" t="inlineStr">
        <is>
          <t>Задвижка чугунная с КОФ 30ч6бр Ду 150 Ру 10/16 1исп.</t>
        </is>
      </c>
      <c r="E27" s="6" t="n">
        <v>13</v>
      </c>
      <c r="F27" s="5" t="inlineStr">
        <is>
          <t>шт</t>
        </is>
      </c>
      <c r="G27" s="8" t="n"/>
      <c r="H27" s="8" t="n"/>
      <c r="I27" s="8" t="n"/>
      <c r="J27" s="8" t="n"/>
      <c r="K27" s="8" t="n"/>
      <c r="L27" s="8" t="n"/>
      <c r="M27" s="9" t="n"/>
      <c r="N27" s="10">
        <f>M27*E27</f>
        <v/>
      </c>
      <c r="O27" s="8" t="n"/>
      <c r="P27" s="8" t="n"/>
      <c r="Q27" s="8" t="n"/>
    </row>
    <row r="28" ht="48" customHeight="1">
      <c r="A28" s="5" t="inlineStr">
        <is>
          <t>11202</t>
        </is>
      </c>
      <c r="B28" s="5" t="inlineStr">
        <is>
          <t>№ 1</t>
        </is>
      </c>
      <c r="C28" s="6" t="n">
        <v>16</v>
      </c>
      <c r="D28" s="5" t="inlineStr">
        <is>
          <t>Задвижка чугунная с КОФ 30ч6бр Ду 200 Ру 10 1исп.</t>
        </is>
      </c>
      <c r="E28" s="6" t="n">
        <v>16</v>
      </c>
      <c r="F28" s="5" t="inlineStr">
        <is>
          <t>шт</t>
        </is>
      </c>
      <c r="G28" s="8" t="n"/>
      <c r="H28" s="8" t="n"/>
      <c r="I28" s="8" t="n"/>
      <c r="J28" s="8" t="n"/>
      <c r="K28" s="8" t="n"/>
      <c r="L28" s="8" t="n"/>
      <c r="M28" s="9" t="n"/>
      <c r="N28" s="10">
        <f>M28*E28</f>
        <v/>
      </c>
      <c r="O28" s="8" t="n"/>
      <c r="P28" s="8" t="n"/>
      <c r="Q28" s="8" t="n"/>
    </row>
    <row r="29" ht="48" customHeight="1">
      <c r="A29" s="5" t="inlineStr">
        <is>
          <t>11202</t>
        </is>
      </c>
      <c r="B29" s="5" t="inlineStr">
        <is>
          <t>№ 1</t>
        </is>
      </c>
      <c r="C29" s="6" t="n">
        <v>17</v>
      </c>
      <c r="D29" s="5" t="inlineStr">
        <is>
          <t>Задвижка чугунная с КОФ 30ч6бр Ду 250 Ру 10 1исп.</t>
        </is>
      </c>
      <c r="E29" s="6" t="n">
        <v>3</v>
      </c>
      <c r="F29" s="5" t="inlineStr">
        <is>
          <t>шт</t>
        </is>
      </c>
      <c r="G29" s="8" t="n"/>
      <c r="H29" s="8" t="n"/>
      <c r="I29" s="8" t="n"/>
      <c r="J29" s="8" t="n"/>
      <c r="K29" s="8" t="n"/>
      <c r="L29" s="8" t="n"/>
      <c r="M29" s="9" t="n"/>
      <c r="N29" s="10">
        <f>M29*E29</f>
        <v/>
      </c>
      <c r="O29" s="8" t="n"/>
      <c r="P29" s="8" t="n"/>
      <c r="Q29" s="8" t="n"/>
    </row>
    <row r="30" ht="48" customHeight="1">
      <c r="A30" s="5" t="inlineStr">
        <is>
          <t>11202</t>
        </is>
      </c>
      <c r="B30" s="5" t="inlineStr">
        <is>
          <t>№ 1</t>
        </is>
      </c>
      <c r="C30" s="6" t="n">
        <v>38</v>
      </c>
      <c r="D30" s="5" t="inlineStr">
        <is>
          <t>Вентиль стальной фланцевый 15с65нж Ду25 Ру16</t>
        </is>
      </c>
      <c r="E30" s="6" t="n">
        <v>5</v>
      </c>
      <c r="F30" s="5" t="inlineStr">
        <is>
          <t>шт</t>
        </is>
      </c>
      <c r="G30" s="7" t="inlineStr">
        <is>
          <t>Вентиль (клапан) запорный стальной фланцевый 15с65нж Ду25 Ру16</t>
        </is>
      </c>
      <c r="H30" s="7" t="inlineStr">
        <is>
          <t>ООО «Арма-Пром» (Старооскольский арматурный завод, ГК «Авангард», ТМ САЗ)</t>
        </is>
      </c>
      <c r="I30" s="7" t="inlineStr">
        <is>
          <t>Россия</t>
        </is>
      </c>
      <c r="J30" s="8" t="n"/>
      <c r="K30" s="8" t="n"/>
      <c r="L30" s="8" t="n"/>
      <c r="M30" s="9" t="n"/>
      <c r="N30" s="10">
        <f>M30*E30</f>
        <v/>
      </c>
      <c r="O30" s="8" t="n"/>
      <c r="P30" s="8" t="n"/>
      <c r="Q30" s="8" t="n"/>
    </row>
    <row r="31" ht="48" customHeight="1">
      <c r="A31" s="5" t="inlineStr">
        <is>
          <t>11202</t>
        </is>
      </c>
      <c r="B31" s="5" t="inlineStr">
        <is>
          <t>№ 1</t>
        </is>
      </c>
      <c r="C31" s="6" t="n">
        <v>43</v>
      </c>
      <c r="D31" s="5" t="inlineStr">
        <is>
          <t>Задвижка стальная 30с41нж DN 80 PN 16 1исп.</t>
        </is>
      </c>
      <c r="E31" s="6" t="n">
        <v>10</v>
      </c>
      <c r="F31" s="5" t="inlineStr">
        <is>
          <t>шт</t>
        </is>
      </c>
      <c r="G31" s="7" t="inlineStr">
        <is>
          <t>Задвижка стальная клиновая 30с41нж Ду80 Ру16</t>
        </is>
      </c>
      <c r="H31" s="7" t="inlineStr">
        <is>
          <t>ООО «Арма-Пром» (Старооскольский арматурный завод, ГК «Авангард», ТМ САЗ)</t>
        </is>
      </c>
      <c r="I31" s="7" t="inlineStr">
        <is>
          <t>Россия</t>
        </is>
      </c>
      <c r="J31" s="8" t="n"/>
      <c r="K31" s="8" t="n"/>
      <c r="L31" s="8" t="n"/>
      <c r="M31" s="9" t="n"/>
      <c r="N31" s="10">
        <f>M31*E31</f>
        <v/>
      </c>
      <c r="O31" s="8" t="n"/>
      <c r="P31" s="8" t="n"/>
      <c r="Q31" s="8" t="n"/>
    </row>
    <row r="32" ht="48" customHeight="1">
      <c r="A32" s="5" t="inlineStr">
        <is>
          <t>11202</t>
        </is>
      </c>
      <c r="B32" s="5" t="inlineStr">
        <is>
          <t>№ 1</t>
        </is>
      </c>
      <c r="C32" s="6" t="n">
        <v>44</v>
      </c>
      <c r="D32" s="5" t="inlineStr">
        <is>
          <t>Задвижка стальная 30с64нж DN 80 PN 25 1исп.</t>
        </is>
      </c>
      <c r="E32" s="6" t="n">
        <v>5</v>
      </c>
      <c r="F32" s="5" t="inlineStr">
        <is>
          <t>шт</t>
        </is>
      </c>
      <c r="G32" s="7" t="inlineStr">
        <is>
          <t>Задвижка стальная клиновая 30с64нж Ду80 Ру25</t>
        </is>
      </c>
      <c r="H32" s="7" t="inlineStr">
        <is>
          <t>ООО «Арма-Пром» (Старооскольский арматурный завод, ГК «Авангард», ТМ САЗ)</t>
        </is>
      </c>
      <c r="I32" s="7" t="inlineStr">
        <is>
          <t>Россия</t>
        </is>
      </c>
      <c r="J32" s="8" t="n"/>
      <c r="K32" s="8" t="n"/>
      <c r="L32" s="8" t="n"/>
      <c r="M32" s="9" t="n"/>
      <c r="N32" s="10">
        <f>M32*E32</f>
        <v/>
      </c>
      <c r="O32" s="8" t="n"/>
      <c r="P32" s="8" t="n"/>
      <c r="Q32" s="8" t="n"/>
    </row>
    <row r="33" ht="48" customHeight="1">
      <c r="A33" s="5" t="inlineStr">
        <is>
          <t>11202</t>
        </is>
      </c>
      <c r="B33" s="5" t="inlineStr">
        <is>
          <t>№ 1</t>
        </is>
      </c>
      <c r="C33" s="6" t="n">
        <v>53</v>
      </c>
      <c r="D33" s="5" t="inlineStr">
        <is>
          <t>Задвижка 30лс964нж Ду500 Ру25 под приварку с эл.пр. ЭП4Н-Г-3000-16-Э16-3-11111</t>
        </is>
      </c>
      <c r="E33" s="6" t="n">
        <v>2</v>
      </c>
      <c r="F33" s="5" t="inlineStr">
        <is>
          <t>м</t>
        </is>
      </c>
      <c r="G33" s="7" t="inlineStr">
        <is>
          <t>Задвижка 30лс964нж Ду500 Ру25 под приварку под электропривод (ЭП4Н-Г-3000 — по ТЗ)</t>
        </is>
      </c>
      <c r="H33" s="7" t="inlineStr">
        <is>
          <t>ООО «Арма-Пром» (Старооскольский арматурный завод, ГК «Авангард», ТМ САЗ)</t>
        </is>
      </c>
      <c r="I33" s="7" t="inlineStr">
        <is>
          <t>Россия</t>
        </is>
      </c>
      <c r="J33" s="8" t="n"/>
      <c r="K33" s="8" t="n"/>
      <c r="L33" s="8" t="n"/>
      <c r="M33" s="9" t="n"/>
      <c r="N33" s="10">
        <f>M33*E33</f>
        <v/>
      </c>
      <c r="O33" s="8" t="n"/>
      <c r="P33" s="8" t="n"/>
      <c r="Q33" s="8" t="n"/>
    </row>
    <row r="34" ht="48" customHeight="1">
      <c r="A34" s="5" t="inlineStr">
        <is>
          <t>11202</t>
        </is>
      </c>
      <c r="B34" s="5" t="inlineStr">
        <is>
          <t>№ 1</t>
        </is>
      </c>
      <c r="C34" s="6" t="n">
        <v>54</v>
      </c>
      <c r="D34" s="5" t="inlineStr">
        <is>
          <t>Задвижка чугунная с КОФ 30ч6бр Ду 400 Ру 10 1исп.</t>
        </is>
      </c>
      <c r="E34" s="6" t="n">
        <v>5</v>
      </c>
      <c r="F34" s="5" t="inlineStr">
        <is>
          <t>шт</t>
        </is>
      </c>
      <c r="G34" s="7" t="inlineStr">
        <is>
          <t>Задвижка чугунная 30ч6бр Ду400 Ру10 с КОФ</t>
        </is>
      </c>
      <c r="H34" s="7" t="inlineStr">
        <is>
          <t>ООО «Арма-Пром» (Старооскольский арматурный завод, ГК «Авангард», ТМ САЗ)</t>
        </is>
      </c>
      <c r="I34" s="7" t="inlineStr">
        <is>
          <t>Россия</t>
        </is>
      </c>
      <c r="J34" s="8" t="n"/>
      <c r="K34" s="8" t="n"/>
      <c r="L34" s="8" t="n"/>
      <c r="M34" s="9" t="n"/>
      <c r="N34" s="10">
        <f>M34*E34</f>
        <v/>
      </c>
      <c r="O34" s="8" t="n"/>
      <c r="P34" s="8" t="n"/>
      <c r="Q34" s="8" t="n"/>
    </row>
    <row r="35" ht="48" customHeight="1">
      <c r="A35" s="5" t="inlineStr">
        <is>
          <t>11202</t>
        </is>
      </c>
      <c r="B35" s="5" t="inlineStr">
        <is>
          <t>№ 1</t>
        </is>
      </c>
      <c r="C35" s="6" t="n">
        <v>55</v>
      </c>
      <c r="D35" s="5" t="inlineStr">
        <is>
          <t>Задвижка стальная 30с64нж DN 250 PN 25 1исп.</t>
        </is>
      </c>
      <c r="E35" s="6" t="n">
        <v>3</v>
      </c>
      <c r="F35" s="5" t="inlineStr">
        <is>
          <t>шт</t>
        </is>
      </c>
      <c r="G35" s="7" t="inlineStr">
        <is>
          <t>Задвижка стальная клиновая 30с64нж Ду250 Ру25</t>
        </is>
      </c>
      <c r="H35" s="7" t="inlineStr">
        <is>
          <t>ООО «Арма-Пром» (Старооскольский арматурный завод, ГК «Авангард», ТМ САЗ)</t>
        </is>
      </c>
      <c r="I35" s="7" t="inlineStr">
        <is>
          <t>Россия</t>
        </is>
      </c>
      <c r="J35" s="8" t="n"/>
      <c r="K35" s="8" t="n"/>
      <c r="L35" s="8" t="n"/>
      <c r="M35" s="9" t="n"/>
      <c r="N35" s="10">
        <f>M35*E35</f>
        <v/>
      </c>
      <c r="O35" s="8" t="n"/>
      <c r="P35" s="8" t="n"/>
      <c r="Q35" s="8" t="n"/>
    </row>
    <row r="36" ht="48" customHeight="1">
      <c r="A36" s="5" t="inlineStr">
        <is>
          <t>11202</t>
        </is>
      </c>
      <c r="B36" s="5" t="inlineStr">
        <is>
          <t>№ 1</t>
        </is>
      </c>
      <c r="C36" s="6" t="n">
        <v>56</v>
      </c>
      <c r="D36" s="5" t="inlineStr">
        <is>
          <t>Задвижка стальная 30с64нж DN 300 PN 25 1исп.</t>
        </is>
      </c>
      <c r="E36" s="6" t="n">
        <v>1</v>
      </c>
      <c r="F36" s="5" t="inlineStr">
        <is>
          <t>шт</t>
        </is>
      </c>
      <c r="G36" s="7" t="inlineStr">
        <is>
          <t>Задвижка стальная клиновая 30с64нж Ду300 Ру25</t>
        </is>
      </c>
      <c r="H36" s="7" t="inlineStr">
        <is>
          <t>ООО «Арма-Пром» (Старооскольский арматурный завод, ГК «Авангард», ТМ САЗ)</t>
        </is>
      </c>
      <c r="I36" s="7" t="inlineStr">
        <is>
          <t>Россия</t>
        </is>
      </c>
      <c r="J36" s="8" t="n"/>
      <c r="K36" s="8" t="n"/>
      <c r="L36" s="8" t="n"/>
      <c r="M36" s="9" t="n"/>
      <c r="N36" s="10">
        <f>M36*E36</f>
        <v/>
      </c>
      <c r="O36" s="8" t="n"/>
      <c r="P36" s="8" t="n"/>
      <c r="Q36" s="8" t="n"/>
    </row>
    <row r="37" ht="48" customHeight="1">
      <c r="A37" s="11" t="inlineStr"/>
      <c r="B37" s="11" t="inlineStr"/>
      <c r="C37" s="11" t="inlineStr"/>
      <c r="D37" s="11" t="inlineStr"/>
      <c r="E37" s="11" t="inlineStr"/>
      <c r="F37" s="11" t="inlineStr"/>
      <c r="G37" s="11" t="inlineStr"/>
      <c r="H37" s="11" t="inlineStr"/>
      <c r="I37" s="11" t="inlineStr"/>
      <c r="J37" s="11" t="inlineStr"/>
      <c r="K37" s="11" t="inlineStr"/>
      <c r="L37" s="11" t="inlineStr"/>
      <c r="M37" s="11" t="inlineStr">
        <is>
          <t>ИТОГО</t>
        </is>
      </c>
      <c r="N37" s="12">
        <f>SUM(N6:N36)</f>
        <v/>
      </c>
      <c r="O37" s="2" t="n"/>
      <c r="P37" s="2" t="n"/>
      <c r="Q37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2026-10-27T17:14:39Z</dcterms:created>
  <dcterms:modified xmlns:dcterms="http://purl.org/dc/terms/" xmlns:xsi="http://www.w3.org/2001/XMLSchema-instance" xsi:type="dcterms:W3CDTF">2026-10-27T17:14:39Z</dcterms:modified>
</cp:coreProperties>
</file>