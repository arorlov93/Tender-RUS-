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«АЛСО» (завод стальных шаровых кранов ALSO)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11202</t>
        </is>
      </c>
      <c r="B6" s="5" t="inlineStr">
        <is>
          <t>№ 1</t>
        </is>
      </c>
      <c r="C6" s="6" t="n">
        <v>3</v>
      </c>
      <c r="D6" s="5" t="inlineStr">
        <is>
          <t>Кран шаровый LD КШЦП из стали 20 Ду15 Ру4,0МПа</t>
        </is>
      </c>
      <c r="E6" s="6" t="n">
        <v>83</v>
      </c>
      <c r="F6" s="5" t="inlineStr">
        <is>
          <t>шт</t>
        </is>
      </c>
      <c r="G6" s="7" t="n"/>
      <c r="H6" s="7" t="n"/>
      <c r="I6" s="7" t="n"/>
      <c r="J6" s="7" t="n"/>
      <c r="K6" s="7" t="n"/>
      <c r="L6" s="7" t="n"/>
      <c r="M6" s="8" t="n"/>
      <c r="N6" s="9">
        <f>M6*E6</f>
        <v/>
      </c>
      <c r="O6" s="7" t="n"/>
      <c r="P6" s="7" t="n"/>
      <c r="Q6" s="7" t="n"/>
    </row>
    <row r="7" ht="48" customHeight="1">
      <c r="A7" s="5" t="inlineStr">
        <is>
          <t>11202</t>
        </is>
      </c>
      <c r="B7" s="5" t="inlineStr">
        <is>
          <t>№ 1</t>
        </is>
      </c>
      <c r="C7" s="6" t="n">
        <v>4</v>
      </c>
      <c r="D7" s="5" t="inlineStr">
        <is>
          <t>Кран шаровый LD КШЦП из стали 20 Ду20 Ру4,0МПа</t>
        </is>
      </c>
      <c r="E7" s="6" t="n">
        <v>7</v>
      </c>
      <c r="F7" s="5" t="inlineStr">
        <is>
          <t>шт</t>
        </is>
      </c>
      <c r="G7" s="7" t="n"/>
      <c r="H7" s="7" t="n"/>
      <c r="I7" s="7" t="n"/>
      <c r="J7" s="7" t="n"/>
      <c r="K7" s="7" t="n"/>
      <c r="L7" s="7" t="n"/>
      <c r="M7" s="8" t="n"/>
      <c r="N7" s="9">
        <f>M7*E7</f>
        <v/>
      </c>
      <c r="O7" s="7" t="n"/>
      <c r="P7" s="7" t="n"/>
      <c r="Q7" s="7" t="n"/>
    </row>
    <row r="8" ht="48" customHeight="1">
      <c r="A8" s="5" t="inlineStr">
        <is>
          <t>11202</t>
        </is>
      </c>
      <c r="B8" s="5" t="inlineStr">
        <is>
          <t>№ 1</t>
        </is>
      </c>
      <c r="C8" s="6" t="n">
        <v>5</v>
      </c>
      <c r="D8" s="5" t="inlineStr">
        <is>
          <t>Кран шаровый LD КШЦП из стали 20 Ду20 Ру4,0МПа</t>
        </is>
      </c>
      <c r="E8" s="6" t="n">
        <v>18</v>
      </c>
      <c r="F8" s="5" t="inlineStr">
        <is>
          <t>шт</t>
        </is>
      </c>
      <c r="G8" s="7" t="n"/>
      <c r="H8" s="7" t="n"/>
      <c r="I8" s="7" t="n"/>
      <c r="J8" s="7" t="n"/>
      <c r="K8" s="7" t="n"/>
      <c r="L8" s="7" t="n"/>
      <c r="M8" s="8" t="n"/>
      <c r="N8" s="9">
        <f>M8*E8</f>
        <v/>
      </c>
      <c r="O8" s="7" t="n"/>
      <c r="P8" s="7" t="n"/>
      <c r="Q8" s="7" t="n"/>
    </row>
    <row r="9" ht="48" customHeight="1">
      <c r="A9" s="5" t="inlineStr">
        <is>
          <t>11202</t>
        </is>
      </c>
      <c r="B9" s="5" t="inlineStr">
        <is>
          <t>№ 1</t>
        </is>
      </c>
      <c r="C9" s="6" t="n">
        <v>6</v>
      </c>
      <c r="D9" s="5" t="inlineStr">
        <is>
          <t>Кран шаровый LD КШЦП из стали 20 Ду20 Ру4,0МПа</t>
        </is>
      </c>
      <c r="E9" s="6" t="n">
        <v>18</v>
      </c>
      <c r="F9" s="5" t="inlineStr">
        <is>
          <t>шт</t>
        </is>
      </c>
      <c r="G9" s="7" t="n"/>
      <c r="H9" s="7" t="n"/>
      <c r="I9" s="7" t="n"/>
      <c r="J9" s="7" t="n"/>
      <c r="K9" s="7" t="n"/>
      <c r="L9" s="7" t="n"/>
      <c r="M9" s="8" t="n"/>
      <c r="N9" s="9">
        <f>M9*E9</f>
        <v/>
      </c>
      <c r="O9" s="7" t="n"/>
      <c r="P9" s="7" t="n"/>
      <c r="Q9" s="7" t="n"/>
    </row>
    <row r="10" ht="48" customHeight="1">
      <c r="A10" s="5" t="inlineStr">
        <is>
          <t>11202</t>
        </is>
      </c>
      <c r="B10" s="5" t="inlineStr">
        <is>
          <t>№ 1</t>
        </is>
      </c>
      <c r="C10" s="6" t="n">
        <v>7</v>
      </c>
      <c r="D10" s="5" t="inlineStr">
        <is>
          <t>Кран шаровый LD КШЦП из стали 20 Ду25 Ру4,0МПа</t>
        </is>
      </c>
      <c r="E10" s="6" t="n">
        <v>84</v>
      </c>
      <c r="F10" s="5" t="inlineStr">
        <is>
          <t>шт</t>
        </is>
      </c>
      <c r="G10" s="7" t="n"/>
      <c r="H10" s="7" t="n"/>
      <c r="I10" s="7" t="n"/>
      <c r="J10" s="7" t="n"/>
      <c r="K10" s="7" t="n"/>
      <c r="L10" s="7" t="n"/>
      <c r="M10" s="8" t="n"/>
      <c r="N10" s="9">
        <f>M10*E10</f>
        <v/>
      </c>
      <c r="O10" s="7" t="n"/>
      <c r="P10" s="7" t="n"/>
      <c r="Q10" s="7" t="n"/>
    </row>
    <row r="11" ht="48" customHeight="1">
      <c r="A11" s="5" t="inlineStr">
        <is>
          <t>11202</t>
        </is>
      </c>
      <c r="B11" s="5" t="inlineStr">
        <is>
          <t>№ 1</t>
        </is>
      </c>
      <c r="C11" s="6" t="n">
        <v>8</v>
      </c>
      <c r="D11" s="5" t="inlineStr">
        <is>
          <t>Кран шаровый LD КШЦП из стали 20 Ду32 Ру4,0МПа</t>
        </is>
      </c>
      <c r="E11" s="6" t="n">
        <v>24</v>
      </c>
      <c r="F11" s="5" t="inlineStr">
        <is>
          <t>шт</t>
        </is>
      </c>
      <c r="G11" s="7" t="n"/>
      <c r="H11" s="7" t="n"/>
      <c r="I11" s="7" t="n"/>
      <c r="J11" s="7" t="n"/>
      <c r="K11" s="7" t="n"/>
      <c r="L11" s="7" t="n"/>
      <c r="M11" s="8" t="n"/>
      <c r="N11" s="9">
        <f>M11*E11</f>
        <v/>
      </c>
      <c r="O11" s="7" t="n"/>
      <c r="P11" s="7" t="n"/>
      <c r="Q11" s="7" t="n"/>
    </row>
    <row r="12" ht="48" customHeight="1">
      <c r="A12" s="5" t="inlineStr">
        <is>
          <t>11202</t>
        </is>
      </c>
      <c r="B12" s="5" t="inlineStr">
        <is>
          <t>№ 1</t>
        </is>
      </c>
      <c r="C12" s="6" t="n">
        <v>9</v>
      </c>
      <c r="D12" s="5" t="inlineStr">
        <is>
          <t>Кран шаровый LD КШЦП из стали 20 Ду50 Ру4,0МПа</t>
        </is>
      </c>
      <c r="E12" s="6" t="n">
        <v>44</v>
      </c>
      <c r="F12" s="5" t="inlineStr">
        <is>
          <t>шт</t>
        </is>
      </c>
      <c r="G12" s="7" t="n"/>
      <c r="H12" s="7" t="n"/>
      <c r="I12" s="7" t="n"/>
      <c r="J12" s="7" t="n"/>
      <c r="K12" s="7" t="n"/>
      <c r="L12" s="7" t="n"/>
      <c r="M12" s="8" t="n"/>
      <c r="N12" s="9">
        <f>M12*E12</f>
        <v/>
      </c>
      <c r="O12" s="7" t="n"/>
      <c r="P12" s="7" t="n"/>
      <c r="Q12" s="7" t="n"/>
    </row>
    <row r="13" ht="48" customHeight="1">
      <c r="A13" s="5" t="inlineStr">
        <is>
          <t>11202</t>
        </is>
      </c>
      <c r="B13" s="5" t="inlineStr">
        <is>
          <t>№ 1</t>
        </is>
      </c>
      <c r="C13" s="6" t="n">
        <v>10</v>
      </c>
      <c r="D13" s="5" t="inlineStr">
        <is>
          <t>Кран шаровый LD КШЦП из стали 20 Ду50 Ру4,0МПа</t>
        </is>
      </c>
      <c r="E13" s="6" t="n">
        <v>2</v>
      </c>
      <c r="F13" s="5" t="inlineStr">
        <is>
          <t>шт</t>
        </is>
      </c>
      <c r="G13" s="7" t="n"/>
      <c r="H13" s="7" t="n"/>
      <c r="I13" s="7" t="n"/>
      <c r="J13" s="7" t="n"/>
      <c r="K13" s="7" t="n"/>
      <c r="L13" s="7" t="n"/>
      <c r="M13" s="8" t="n"/>
      <c r="N13" s="9">
        <f>M13*E13</f>
        <v/>
      </c>
      <c r="O13" s="7" t="n"/>
      <c r="P13" s="7" t="n"/>
      <c r="Q13" s="7" t="n"/>
    </row>
    <row r="14" ht="48" customHeight="1">
      <c r="A14" s="5" t="inlineStr">
        <is>
          <t>11202</t>
        </is>
      </c>
      <c r="B14" s="5" t="inlineStr">
        <is>
          <t>№ 1</t>
        </is>
      </c>
      <c r="C14" s="6" t="n">
        <v>57</v>
      </c>
      <c r="D14" s="5" t="inlineStr">
        <is>
          <t>Кран шаровый LD Ду 80 Ру 25 фланцевый стальной КШ.Ц.Ф.080/070.025.Н/П.02</t>
        </is>
      </c>
      <c r="E14" s="6" t="n">
        <v>6</v>
      </c>
      <c r="F14" s="5" t="inlineStr">
        <is>
          <t>шт</t>
        </is>
      </c>
      <c r="G14" s="7" t="n"/>
      <c r="H14" s="7" t="n"/>
      <c r="I14" s="7" t="n"/>
      <c r="J14" s="7" t="n"/>
      <c r="K14" s="7" t="n"/>
      <c r="L14" s="7" t="n"/>
      <c r="M14" s="8" t="n"/>
      <c r="N14" s="9">
        <f>M14*E14</f>
        <v/>
      </c>
      <c r="O14" s="7" t="n"/>
      <c r="P14" s="7" t="n"/>
      <c r="Q14" s="7" t="n"/>
    </row>
    <row r="15" ht="48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>
        <is>
          <t>ИТОГО</t>
        </is>
      </c>
      <c r="N15" s="11">
        <f>SUM(N6:N14)</f>
        <v/>
      </c>
      <c r="O15" s="2" t="n"/>
      <c r="P15" s="2" t="n"/>
      <c r="Q15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2026-10-28T13:45:16Z</dcterms:created>
  <dcterms:modified xmlns:dcterms="http://purl.org/dc/terms/" xmlns:xsi="http://www.w3.org/2001/XMLSchema-instance" xsi:type="dcterms:W3CDTF">2026-10-28T13:45:16Z</dcterms:modified>
</cp:coreProperties>
</file>