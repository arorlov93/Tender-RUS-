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«Арма-Пром» (Старооскольский арматурный завод, ГК «Авангард», ТМ САЗ)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11</v>
      </c>
      <c r="D6" s="5" t="inlineStr">
        <is>
          <t>Задвижка стальная с КОФ 30с64нж DN 50 PN 25 1исп.</t>
        </is>
      </c>
      <c r="E6" s="6" t="n">
        <v>23</v>
      </c>
      <c r="F6" s="5" t="inlineStr">
        <is>
          <t>шт</t>
        </is>
      </c>
      <c r="G6" s="7" t="inlineStr">
        <is>
          <t>Задвижка стальная клиновая 30с64нж Ду50 Ру25 с КОФ</t>
        </is>
      </c>
      <c r="H6" s="7" t="inlineStr">
        <is>
          <t>ООО «Арма-Пром» (Старооскольский арматурный завод, ГК «Авангард», ТМ САЗ)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12</v>
      </c>
      <c r="D7" s="5" t="inlineStr">
        <is>
          <t>Задвижка стальная 30с64нж DN 200 PN 25 1исп.</t>
        </is>
      </c>
      <c r="E7" s="6" t="n">
        <v>2</v>
      </c>
      <c r="F7" s="5" t="inlineStr">
        <is>
          <t>шт</t>
        </is>
      </c>
      <c r="G7" s="7" t="inlineStr">
        <is>
          <t>Задвижка стальная клиновая 30с64нж Ду200 Ру25</t>
        </is>
      </c>
      <c r="H7" s="7" t="inlineStr">
        <is>
          <t>ООО «Арма-Пром» (Старооскольский арматурный завод, ГК «Авангард», ТМ САЗ)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13</v>
      </c>
      <c r="D8" s="5" t="inlineStr">
        <is>
          <t>Задвижка чугунная с КОФ 30ч6бр Ду 50 Ру 10/16 1исп.</t>
        </is>
      </c>
      <c r="E8" s="6" t="n">
        <v>40</v>
      </c>
      <c r="F8" s="5" t="inlineStr">
        <is>
          <t>шт</t>
        </is>
      </c>
      <c r="G8" s="8" t="n"/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14</v>
      </c>
      <c r="D9" s="5" t="inlineStr">
        <is>
          <t>Задвижка чугунная с КОФ 30ч6бр Ду 100 Ру 10/16 1исп.</t>
        </is>
      </c>
      <c r="E9" s="6" t="n">
        <v>28</v>
      </c>
      <c r="F9" s="5" t="inlineStr">
        <is>
          <t>шт</t>
        </is>
      </c>
      <c r="G9" s="8" t="n"/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15</v>
      </c>
      <c r="D10" s="5" t="inlineStr">
        <is>
          <t>Задвижка чугунная с КОФ 30ч6бр Ду 150 Ру 10/16 1исп.</t>
        </is>
      </c>
      <c r="E10" s="6" t="n">
        <v>13</v>
      </c>
      <c r="F10" s="5" t="inlineStr">
        <is>
          <t>шт</t>
        </is>
      </c>
      <c r="G10" s="8" t="n"/>
      <c r="H10" s="8" t="n"/>
      <c r="I10" s="8" t="n"/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16</v>
      </c>
      <c r="D11" s="5" t="inlineStr">
        <is>
          <t>Задвижка чугунная с КОФ 30ч6бр Ду 200 Ру 10 1исп.</t>
        </is>
      </c>
      <c r="E11" s="6" t="n">
        <v>16</v>
      </c>
      <c r="F11" s="5" t="inlineStr">
        <is>
          <t>шт</t>
        </is>
      </c>
      <c r="G11" s="8" t="n"/>
      <c r="H11" s="8" t="n"/>
      <c r="I11" s="8" t="n"/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17</v>
      </c>
      <c r="D12" s="5" t="inlineStr">
        <is>
          <t>Задвижка чугунная с КОФ 30ч6бр Ду 250 Ру 10 1исп.</t>
        </is>
      </c>
      <c r="E12" s="6" t="n">
        <v>3</v>
      </c>
      <c r="F12" s="5" t="inlineStr">
        <is>
          <t>шт</t>
        </is>
      </c>
      <c r="G12" s="8" t="n"/>
      <c r="H12" s="8" t="n"/>
      <c r="I12" s="8" t="n"/>
      <c r="J12" s="8" t="n"/>
      <c r="K12" s="8" t="n"/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38</v>
      </c>
      <c r="D13" s="5" t="inlineStr">
        <is>
          <t>Вентиль стальной фланцевый 15с65нж Ду25 Ру16</t>
        </is>
      </c>
      <c r="E13" s="6" t="n">
        <v>5</v>
      </c>
      <c r="F13" s="5" t="inlineStr">
        <is>
          <t>шт</t>
        </is>
      </c>
      <c r="G13" s="7" t="inlineStr">
        <is>
          <t>Вентиль (клапан) запорный стальной фланцевый 15с65нж Ду25 Ру16</t>
        </is>
      </c>
      <c r="H13" s="7" t="inlineStr">
        <is>
          <t>ООО «Арма-Пром» (Старооскольский арматурный завод, ГК «Авангард», ТМ САЗ)</t>
        </is>
      </c>
      <c r="I13" s="7" t="inlineStr">
        <is>
          <t>Россия</t>
        </is>
      </c>
      <c r="J13" s="8" t="n"/>
      <c r="K13" s="8" t="n"/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43</v>
      </c>
      <c r="D14" s="5" t="inlineStr">
        <is>
          <t>Задвижка стальная 30с41нж DN 80 PN 16 1исп.</t>
        </is>
      </c>
      <c r="E14" s="6" t="n">
        <v>10</v>
      </c>
      <c r="F14" s="5" t="inlineStr">
        <is>
          <t>шт</t>
        </is>
      </c>
      <c r="G14" s="7" t="inlineStr">
        <is>
          <t>Задвижка стальная клиновая 30с41нж Ду80 Ру16</t>
        </is>
      </c>
      <c r="H14" s="7" t="inlineStr">
        <is>
          <t>ООО «Арма-Пром» (Старооскольский арматурный завод, ГК «Авангард», ТМ САЗ)</t>
        </is>
      </c>
      <c r="I14" s="7" t="inlineStr">
        <is>
          <t>Россия</t>
        </is>
      </c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44</v>
      </c>
      <c r="D15" s="5" t="inlineStr">
        <is>
          <t>Задвижка стальная 30с64нж DN 80 PN 25 1исп.</t>
        </is>
      </c>
      <c r="E15" s="6" t="n">
        <v>5</v>
      </c>
      <c r="F15" s="5" t="inlineStr">
        <is>
          <t>шт</t>
        </is>
      </c>
      <c r="G15" s="7" t="inlineStr">
        <is>
          <t>Задвижка стальная клиновая 30с64нж Ду80 Ру25</t>
        </is>
      </c>
      <c r="H15" s="7" t="inlineStr">
        <is>
          <t>ООО «Арма-Пром» (Старооскольский арматурный завод, ГК «Авангард», ТМ САЗ)</t>
        </is>
      </c>
      <c r="I15" s="7" t="inlineStr">
        <is>
          <t>Россия</t>
        </is>
      </c>
      <c r="J15" s="8" t="n"/>
      <c r="K15" s="8" t="n"/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53</v>
      </c>
      <c r="D16" s="5" t="inlineStr">
        <is>
          <t>Задвижка 30лс964нж Ду500 Ру25 под приварку с эл.пр. ЭП4Н-Г-3000-16-Э16-3-11111</t>
        </is>
      </c>
      <c r="E16" s="6" t="n">
        <v>2</v>
      </c>
      <c r="F16" s="5" t="inlineStr">
        <is>
          <t>м</t>
        </is>
      </c>
      <c r="G16" s="7" t="inlineStr">
        <is>
          <t>Задвижка 30лс964нж Ду500 Ру25 под приварку под электропривод (ЭП4Н-Г-3000 — по ТЗ)</t>
        </is>
      </c>
      <c r="H16" s="7" t="inlineStr">
        <is>
          <t>ООО «Арма-Пром» (Старооскольский арматурный завод, ГК «Авангард», ТМ САЗ)</t>
        </is>
      </c>
      <c r="I16" s="7" t="inlineStr">
        <is>
          <t>Россия</t>
        </is>
      </c>
      <c r="J16" s="8" t="n"/>
      <c r="K16" s="8" t="n"/>
      <c r="L16" s="8" t="n"/>
      <c r="M16" s="9" t="n"/>
      <c r="N16" s="10">
        <f>M16*E16</f>
        <v/>
      </c>
      <c r="O16" s="8" t="n"/>
      <c r="P16" s="8" t="n"/>
      <c r="Q16" s="8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54</v>
      </c>
      <c r="D17" s="5" t="inlineStr">
        <is>
          <t>Задвижка чугунная с КОФ 30ч6бр Ду 400 Ру 10 1исп.</t>
        </is>
      </c>
      <c r="E17" s="6" t="n">
        <v>5</v>
      </c>
      <c r="F17" s="5" t="inlineStr">
        <is>
          <t>шт</t>
        </is>
      </c>
      <c r="G17" s="7" t="inlineStr">
        <is>
          <t>Задвижка чугунная 30ч6бр Ду400 Ру10 с КОФ</t>
        </is>
      </c>
      <c r="H17" s="7" t="inlineStr">
        <is>
          <t>ООО «Арма-Пром» (Старооскольский арматурный завод, ГК «Авангард», ТМ САЗ)</t>
        </is>
      </c>
      <c r="I17" s="7" t="inlineStr">
        <is>
          <t>Россия</t>
        </is>
      </c>
      <c r="J17" s="8" t="n"/>
      <c r="K17" s="8" t="n"/>
      <c r="L17" s="8" t="n"/>
      <c r="M17" s="9" t="n"/>
      <c r="N17" s="10">
        <f>M17*E17</f>
        <v/>
      </c>
      <c r="O17" s="8" t="n"/>
      <c r="P17" s="8" t="n"/>
      <c r="Q17" s="8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55</v>
      </c>
      <c r="D18" s="5" t="inlineStr">
        <is>
          <t>Задвижка стальная 30с64нж DN 250 PN 25 1исп.</t>
        </is>
      </c>
      <c r="E18" s="6" t="n">
        <v>3</v>
      </c>
      <c r="F18" s="5" t="inlineStr">
        <is>
          <t>шт</t>
        </is>
      </c>
      <c r="G18" s="7" t="inlineStr">
        <is>
          <t>Задвижка стальная клиновая 30с64нж Ду250 Ру25</t>
        </is>
      </c>
      <c r="H18" s="7" t="inlineStr">
        <is>
          <t>ООО «Арма-Пром» (Старооскольский арматурный завод, ГК «Авангард», ТМ САЗ)</t>
        </is>
      </c>
      <c r="I18" s="7" t="inlineStr">
        <is>
          <t>Россия</t>
        </is>
      </c>
      <c r="J18" s="8" t="n"/>
      <c r="K18" s="8" t="n"/>
      <c r="L18" s="8" t="n"/>
      <c r="M18" s="9" t="n"/>
      <c r="N18" s="10">
        <f>M18*E18</f>
        <v/>
      </c>
      <c r="O18" s="8" t="n"/>
      <c r="P18" s="8" t="n"/>
      <c r="Q18" s="8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56</v>
      </c>
      <c r="D19" s="5" t="inlineStr">
        <is>
          <t>Задвижка стальная 30с64нж DN 300 PN 25 1исп.</t>
        </is>
      </c>
      <c r="E19" s="6" t="n">
        <v>1</v>
      </c>
      <c r="F19" s="5" t="inlineStr">
        <is>
          <t>шт</t>
        </is>
      </c>
      <c r="G19" s="7" t="inlineStr">
        <is>
          <t>Задвижка стальная клиновая 30с64нж Ду300 Ру25</t>
        </is>
      </c>
      <c r="H19" s="7" t="inlineStr">
        <is>
          <t>ООО «Арма-Пром» (Старооскольский арматурный завод, ГК «Авангард», ТМ САЗ)</t>
        </is>
      </c>
      <c r="I19" s="7" t="inlineStr">
        <is>
          <t>Россия</t>
        </is>
      </c>
      <c r="J19" s="8" t="n"/>
      <c r="K19" s="8" t="n"/>
      <c r="L19" s="8" t="n"/>
      <c r="M19" s="9" t="n"/>
      <c r="N19" s="10">
        <f>M19*E19</f>
        <v/>
      </c>
      <c r="O19" s="8" t="n"/>
      <c r="P19" s="8" t="n"/>
      <c r="Q19" s="8" t="n"/>
    </row>
    <row r="20" ht="48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>
        <is>
          <t>ИТОГО</t>
        </is>
      </c>
      <c r="N20" s="12">
        <f>SUM(N6:N19)</f>
        <v/>
      </c>
      <c r="O20" s="2" t="n"/>
      <c r="P20" s="2" t="n"/>
      <c r="Q2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