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21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60" customWidth="1" min="4" max="4"/>
    <col width="7" customWidth="1" min="5" max="5"/>
    <col width="5" customWidth="1" min="6" max="6"/>
    <col width="26" customWidth="1" min="7" max="7"/>
    <col width="26" customWidth="1" min="8" max="8"/>
    <col width="14" customWidth="1" min="9" max="9"/>
    <col width="26" customWidth="1" min="10" max="10"/>
    <col width="13" customWidth="1" min="11" max="11"/>
    <col width="24" customWidth="1" min="12" max="12"/>
    <col width="13" customWidth="1" min="13" max="13"/>
    <col width="14" customWidth="1" min="14" max="14"/>
    <col width="14" customWidth="1" min="15" max="15"/>
    <col width="14" customWidth="1" min="16" max="16"/>
    <col width="20" customWidth="1" min="17" max="17"/>
  </cols>
  <sheetData>
    <row r="1" ht="18" customHeight="1">
      <c r="A1" s="1" t="inlineStr">
        <is>
          <t>Запрос КП — ООО «ГИДРОПАС» (ИНН 9729231965) для ПАО «Сахалинэнерго» (группа РусГидро). Получатель: ООО «ГАЛЛОП» (Новосибирский арматурный завод)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2" t="inlineStr">
        <is>
          <t>Просим заполнить жёлтые графы. Наименование и характеристики — дословно из технических требований заказчика (марки носят описательный характер, эквивалент допускается с подробным описанием).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18" customHeight="1">
      <c r="A3" s="2" t="inlineStr">
        <is>
          <t>Нацрежим ПП 1875 (ограничение): обязательны производитель и ДЕЙСТВУЮЩИЙ номер реестровой записи ПП 719 / евразийского реестра, производитель должен совпадать с записью. Приложите выписку из ГИСП.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18" customHeight="1">
      <c r="A4" s="2" t="inlineStr">
        <is>
          <t>Товар новый 2026–2027 гг. выпуска; сертификаты/декларации ТР ТС 010/2011 и 032/2013; гарантия по паспорту завода; упаковка для морской перевозки. Доставка — до г. Южно-Сахалинск (укажите вес и габариты).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51" customHeight="1">
      <c r="A5" s="3" t="inlineStr">
        <is>
          <t>Лот</t>
        </is>
      </c>
      <c r="B5" s="3" t="inlineStr">
        <is>
          <t>Партия</t>
        </is>
      </c>
      <c r="C5" s="3" t="inlineStr">
        <is>
          <t>№ п/п в ТТ</t>
        </is>
      </c>
      <c r="D5" s="3" t="inlineStr">
        <is>
          <t>Наименование продукции и требования заказчика (дословно из ТТ)</t>
        </is>
      </c>
      <c r="E5" s="3" t="inlineStr">
        <is>
          <t>Кол-во</t>
        </is>
      </c>
      <c r="F5" s="3" t="inlineStr">
        <is>
          <t>Ед.</t>
        </is>
      </c>
      <c r="G5" s="4" t="inlineStr">
        <is>
          <t>Предлагаемая марка / обозначение</t>
        </is>
      </c>
      <c r="H5" s="4" t="inlineStr">
        <is>
          <t>Производитель (завод)</t>
        </is>
      </c>
      <c r="I5" s="4" t="inlineStr">
        <is>
          <t>Страна происхождения</t>
        </is>
      </c>
      <c r="J5" s="4" t="inlineStr">
        <is>
          <t>№ реестровой записи (ПП 719) или евразийского реестра</t>
        </is>
      </c>
      <c r="K5" s="4" t="inlineStr">
        <is>
          <t>Срок действия записи</t>
        </is>
      </c>
      <c r="L5" s="4" t="inlineStr">
        <is>
          <t>Соответствие ТТ: «да» или отличия</t>
        </is>
      </c>
      <c r="M5" s="4" t="inlineStr">
        <is>
          <t>Цена за ед. с НДС, ₽</t>
        </is>
      </c>
      <c r="N5" s="4" t="inlineStr">
        <is>
          <t>Сумма с НДС, ₽</t>
        </is>
      </c>
      <c r="O5" s="4" t="inlineStr">
        <is>
          <t>Срок изготовления / отгрузки</t>
        </is>
      </c>
      <c r="P5" s="4" t="inlineStr">
        <is>
          <t>Вес ед., кг / габариты</t>
        </is>
      </c>
      <c r="Q5" s="4" t="inlineStr">
        <is>
          <t>Сертификат / декларация ТР ТС №</t>
        </is>
      </c>
    </row>
    <row r="6" ht="48" customHeight="1">
      <c r="A6" s="5" t="inlineStr">
        <is>
          <t>11202</t>
        </is>
      </c>
      <c r="B6" s="5" t="inlineStr">
        <is>
          <t>№ 1</t>
        </is>
      </c>
      <c r="C6" s="6" t="n">
        <v>28</v>
      </c>
      <c r="D6" s="5" t="inlineStr">
        <is>
          <t>Кран шаровой VALTEC BASE, рукоятка 3/4" вн.-вн. VT.214.N.05</t>
        </is>
      </c>
      <c r="E6" s="6" t="n">
        <v>10</v>
      </c>
      <c r="F6" s="5" t="inlineStr">
        <is>
          <t>шт</t>
        </is>
      </c>
      <c r="G6" s="7" t="inlineStr">
        <is>
          <t>Кран шаровой ГАЛЛОП «Стандарт» ВхВ, рукоятка, 3/4"</t>
        </is>
      </c>
      <c r="H6" s="7" t="inlineStr">
        <is>
          <t>ООО «ГАЛЛОП» (Новосибирский арматурный завод)</t>
        </is>
      </c>
      <c r="I6" s="7" t="inlineStr">
        <is>
          <t>Россия</t>
        </is>
      </c>
      <c r="J6" s="8" t="n"/>
      <c r="K6" s="8" t="n"/>
      <c r="L6" s="8" t="n"/>
      <c r="M6" s="9" t="n"/>
      <c r="N6" s="10">
        <f>M6*E6</f>
        <v/>
      </c>
      <c r="O6" s="8" t="n"/>
      <c r="P6" s="8" t="n"/>
      <c r="Q6" s="8" t="n"/>
    </row>
    <row r="7" ht="48" customHeight="1">
      <c r="A7" s="5" t="inlineStr">
        <is>
          <t>11202</t>
        </is>
      </c>
      <c r="B7" s="5" t="inlineStr">
        <is>
          <t>№ 1</t>
        </is>
      </c>
      <c r="C7" s="6" t="n">
        <v>29</v>
      </c>
      <c r="D7" s="5" t="inlineStr">
        <is>
          <t>Кран шаровой VALTEC BASE, рукоятка 2" вн.-вн.VT.214.N.09</t>
        </is>
      </c>
      <c r="E7" s="6" t="n">
        <v>2</v>
      </c>
      <c r="F7" s="5" t="inlineStr">
        <is>
          <t>шт</t>
        </is>
      </c>
      <c r="G7" s="7" t="inlineStr">
        <is>
          <t>Кран шаровой ГАЛЛОП «Стандарт» ВхВ, рукоятка, 2"</t>
        </is>
      </c>
      <c r="H7" s="7" t="inlineStr">
        <is>
          <t>ООО «ГАЛЛОП» (Новосибирский арматурный завод)</t>
        </is>
      </c>
      <c r="I7" s="7" t="inlineStr">
        <is>
          <t>Россия</t>
        </is>
      </c>
      <c r="J7" s="8" t="n"/>
      <c r="K7" s="8" t="n"/>
      <c r="L7" s="8" t="n"/>
      <c r="M7" s="9" t="n"/>
      <c r="N7" s="10">
        <f>M7*E7</f>
        <v/>
      </c>
      <c r="O7" s="8" t="n"/>
      <c r="P7" s="8" t="n"/>
      <c r="Q7" s="8" t="n"/>
    </row>
    <row r="8" ht="48" customHeight="1">
      <c r="A8" s="5" t="inlineStr">
        <is>
          <t>11202</t>
        </is>
      </c>
      <c r="B8" s="5" t="inlineStr">
        <is>
          <t>№ 1</t>
        </is>
      </c>
      <c r="C8" s="6" t="n">
        <v>30</v>
      </c>
      <c r="D8" s="5" t="inlineStr">
        <is>
          <t>Кран шаровой VALTEC BASE, рукоятка 1" вн.-вн. VT.214.N.06</t>
        </is>
      </c>
      <c r="E8" s="6" t="n">
        <v>10</v>
      </c>
      <c r="F8" s="5" t="inlineStr">
        <is>
          <t>шт</t>
        </is>
      </c>
      <c r="G8" s="7" t="inlineStr">
        <is>
          <t>Кран шаровой ГАЛЛОП «Стандарт» ВхВ, рукоятка, 1"</t>
        </is>
      </c>
      <c r="H8" s="7" t="inlineStr">
        <is>
          <t>ООО «ГАЛЛОП» (Новосибирский арматурный завод)</t>
        </is>
      </c>
      <c r="I8" s="7" t="inlineStr">
        <is>
          <t>Россия</t>
        </is>
      </c>
      <c r="J8" s="8" t="n"/>
      <c r="K8" s="8" t="n"/>
      <c r="L8" s="8" t="n"/>
      <c r="M8" s="9" t="n"/>
      <c r="N8" s="10">
        <f>M8*E8</f>
        <v/>
      </c>
      <c r="O8" s="8" t="n"/>
      <c r="P8" s="8" t="n"/>
      <c r="Q8" s="8" t="n"/>
    </row>
    <row r="9" ht="48" customHeight="1">
      <c r="A9" s="5" t="inlineStr">
        <is>
          <t>11202</t>
        </is>
      </c>
      <c r="B9" s="5" t="inlineStr">
        <is>
          <t>№ 1</t>
        </is>
      </c>
      <c r="C9" s="6" t="n">
        <v>31</v>
      </c>
      <c r="D9" s="5" t="inlineStr">
        <is>
          <t>Кран шаровый Стандарт 1/2" ВВ бабочка VALTEC Артикул:VT. 122. GN. 04</t>
        </is>
      </c>
      <c r="E9" s="6" t="n">
        <v>20</v>
      </c>
      <c r="F9" s="5" t="inlineStr">
        <is>
          <t>шт</t>
        </is>
      </c>
      <c r="G9" s="8" t="n"/>
      <c r="H9" s="8" t="n"/>
      <c r="I9" s="8" t="n"/>
      <c r="J9" s="8" t="n"/>
      <c r="K9" s="8" t="n"/>
      <c r="L9" s="8" t="n"/>
      <c r="M9" s="9" t="n"/>
      <c r="N9" s="10">
        <f>M9*E9</f>
        <v/>
      </c>
      <c r="O9" s="8" t="n"/>
      <c r="P9" s="8" t="n"/>
      <c r="Q9" s="8" t="n"/>
    </row>
    <row r="10" ht="48" customHeight="1">
      <c r="A10" s="5" t="inlineStr">
        <is>
          <t>11202</t>
        </is>
      </c>
      <c r="B10" s="5" t="inlineStr">
        <is>
          <t>№ 1</t>
        </is>
      </c>
      <c r="C10" s="6" t="n">
        <v>40</v>
      </c>
      <c r="D10" s="5" t="inlineStr">
        <is>
          <t>Кран шаровый муфтовый 11б27п1 Ду 15 Ру 16</t>
        </is>
      </c>
      <c r="E10" s="6" t="n">
        <v>20</v>
      </c>
      <c r="F10" s="5" t="inlineStr">
        <is>
          <t>шт</t>
        </is>
      </c>
      <c r="G10" s="7" t="inlineStr">
        <is>
          <t>Кран шаровой латунный муфтовый ГАЛЛОП «Стандарт» Ду15 PN40 (аналог 11б27п1)</t>
        </is>
      </c>
      <c r="H10" s="7" t="inlineStr">
        <is>
          <t>ООО «ГАЛЛОП» (Новосибирский арматурный завод)</t>
        </is>
      </c>
      <c r="I10" s="7" t="inlineStr">
        <is>
          <t>Россия</t>
        </is>
      </c>
      <c r="J10" s="8" t="n"/>
      <c r="K10" s="8" t="n"/>
      <c r="L10" s="8" t="n"/>
      <c r="M10" s="9" t="n"/>
      <c r="N10" s="10">
        <f>M10*E10</f>
        <v/>
      </c>
      <c r="O10" s="8" t="n"/>
      <c r="P10" s="8" t="n"/>
      <c r="Q10" s="8" t="n"/>
    </row>
    <row r="11" ht="48" customHeight="1">
      <c r="A11" s="5" t="inlineStr">
        <is>
          <t>11202</t>
        </is>
      </c>
      <c r="B11" s="5" t="inlineStr">
        <is>
          <t>№ 2</t>
        </is>
      </c>
      <c r="C11" s="6" t="n">
        <v>3</v>
      </c>
      <c r="D11" s="5" t="inlineStr">
        <is>
          <t>Кран шаровой VALTEC BASE, рукоятка 3/4" вн.-вн. VT.214.N.05</t>
        </is>
      </c>
      <c r="E11" s="6" t="n">
        <v>10</v>
      </c>
      <c r="F11" s="5" t="inlineStr">
        <is>
          <t>шт</t>
        </is>
      </c>
      <c r="G11" s="7" t="inlineStr">
        <is>
          <t>Кран шаровой ГАЛЛОП «Стандарт» ВхВ, рукоятка, 3/4"</t>
        </is>
      </c>
      <c r="H11" s="7" t="inlineStr">
        <is>
          <t>ООО «ГАЛЛОП» (Новосибирский арматурный завод)</t>
        </is>
      </c>
      <c r="I11" s="7" t="inlineStr">
        <is>
          <t>Россия</t>
        </is>
      </c>
      <c r="J11" s="8" t="n"/>
      <c r="K11" s="8" t="n"/>
      <c r="L11" s="8" t="n"/>
      <c r="M11" s="9" t="n"/>
      <c r="N11" s="10">
        <f>M11*E11</f>
        <v/>
      </c>
      <c r="O11" s="8" t="n"/>
      <c r="P11" s="8" t="n"/>
      <c r="Q11" s="8" t="n"/>
    </row>
    <row r="12" ht="48" customHeight="1">
      <c r="A12" s="5" t="inlineStr">
        <is>
          <t>11202</t>
        </is>
      </c>
      <c r="B12" s="5" t="inlineStr">
        <is>
          <t>№ 2</t>
        </is>
      </c>
      <c r="C12" s="6" t="n">
        <v>4</v>
      </c>
      <c r="D12" s="5" t="inlineStr">
        <is>
          <t>Кран шаровый муфтовый 11б27п1 Ду 15 Ру 16</t>
        </is>
      </c>
      <c r="E12" s="6" t="n">
        <v>20</v>
      </c>
      <c r="F12" s="5" t="inlineStr">
        <is>
          <t>шт</t>
        </is>
      </c>
      <c r="G12" s="7" t="inlineStr">
        <is>
          <t>Кран шаровой латунный муфтовый ГАЛЛОП «Стандарт» Ду15 PN40 (аналог 11б27п1)</t>
        </is>
      </c>
      <c r="H12" s="7" t="inlineStr">
        <is>
          <t>ООО «ГАЛЛОП» (Новосибирский арматурный завод)</t>
        </is>
      </c>
      <c r="I12" s="7" t="inlineStr">
        <is>
          <t>Россия</t>
        </is>
      </c>
      <c r="J12" s="8" t="n"/>
      <c r="K12" s="8" t="n"/>
      <c r="L12" s="8" t="n"/>
      <c r="M12" s="9" t="n"/>
      <c r="N12" s="10">
        <f>M12*E12</f>
        <v/>
      </c>
      <c r="O12" s="8" t="n"/>
      <c r="P12" s="8" t="n"/>
      <c r="Q12" s="8" t="n"/>
    </row>
    <row r="13" ht="48" customHeight="1">
      <c r="A13" s="5" t="inlineStr">
        <is>
          <t>11202</t>
        </is>
      </c>
      <c r="B13" s="5" t="inlineStr">
        <is>
          <t>№ 2</t>
        </is>
      </c>
      <c r="C13" s="6" t="n">
        <v>5</v>
      </c>
      <c r="D13" s="5" t="inlineStr">
        <is>
          <t>Кран шаровый муфтовый  11б27п1 Ду 20 Ру 16</t>
        </is>
      </c>
      <c r="E13" s="6" t="n">
        <v>20</v>
      </c>
      <c r="F13" s="5" t="inlineStr">
        <is>
          <t>шт</t>
        </is>
      </c>
      <c r="G13" s="7" t="inlineStr">
        <is>
          <t>Кран шаровой латунный муфтовый ГАЛЛОП «Стандарт» Ду20 PN40 (аналог 11б27п1)</t>
        </is>
      </c>
      <c r="H13" s="7" t="inlineStr">
        <is>
          <t>ООО «ГАЛЛОП» (Новосибирский арматурный завод)</t>
        </is>
      </c>
      <c r="I13" s="7" t="inlineStr">
        <is>
          <t>Россия</t>
        </is>
      </c>
      <c r="J13" s="8" t="n"/>
      <c r="K13" s="8" t="n"/>
      <c r="L13" s="8" t="n"/>
      <c r="M13" s="9" t="n"/>
      <c r="N13" s="10">
        <f>M13*E13</f>
        <v/>
      </c>
      <c r="O13" s="8" t="n"/>
      <c r="P13" s="8" t="n"/>
      <c r="Q13" s="8" t="n"/>
    </row>
    <row r="14" ht="48" customHeight="1">
      <c r="A14" s="5" t="inlineStr">
        <is>
          <t>11202</t>
        </is>
      </c>
      <c r="B14" s="5" t="inlineStr">
        <is>
          <t>№ 2</t>
        </is>
      </c>
      <c r="C14" s="6" t="n">
        <v>6</v>
      </c>
      <c r="D14" s="5" t="inlineStr">
        <is>
          <t>Сгон сталь Ду 20 L=110мм ГОСТ 8969-75</t>
        </is>
      </c>
      <c r="E14" s="6" t="n">
        <v>20</v>
      </c>
      <c r="F14" s="5" t="inlineStr">
        <is>
          <t>шт</t>
        </is>
      </c>
      <c r="G14" s="7" t="inlineStr">
        <is>
          <t>Сгон стальной Ду20 L=110 ГОСТ 8969-75</t>
        </is>
      </c>
      <c r="H14" s="7" t="inlineStr">
        <is>
          <t>ООО «ГАЛЛОП» (Новосибирский арматурный завод)</t>
        </is>
      </c>
      <c r="I14" s="7" t="inlineStr">
        <is>
          <t>Россия</t>
        </is>
      </c>
      <c r="J14" s="8" t="n"/>
      <c r="K14" s="8" t="n"/>
      <c r="L14" s="8" t="n"/>
      <c r="M14" s="9" t="n"/>
      <c r="N14" s="10">
        <f>M14*E14</f>
        <v/>
      </c>
      <c r="O14" s="8" t="n"/>
      <c r="P14" s="8" t="n"/>
      <c r="Q14" s="8" t="n"/>
    </row>
    <row r="15" ht="48" customHeight="1">
      <c r="A15" s="5" t="inlineStr">
        <is>
          <t>11202</t>
        </is>
      </c>
      <c r="B15" s="5" t="inlineStr">
        <is>
          <t>№ 2</t>
        </is>
      </c>
      <c r="C15" s="6" t="n">
        <v>7</v>
      </c>
      <c r="D15" s="5" t="inlineStr">
        <is>
          <t>Сгон сталь оц Ду 15 L=110мм ГОСТ 8969-75</t>
        </is>
      </c>
      <c r="E15" s="6" t="n">
        <v>20</v>
      </c>
      <c r="F15" s="5" t="inlineStr">
        <is>
          <t>шт</t>
        </is>
      </c>
      <c r="G15" s="7" t="inlineStr">
        <is>
          <t>Сгон стальной оцинкованный Ду15 L=110 ГОСТ 8969-75</t>
        </is>
      </c>
      <c r="H15" s="7" t="inlineStr">
        <is>
          <t>ООО «ГАЛЛОП» (Новосибирский арматурный завод)</t>
        </is>
      </c>
      <c r="I15" s="7" t="inlineStr">
        <is>
          <t>Россия</t>
        </is>
      </c>
      <c r="J15" s="8" t="n"/>
      <c r="K15" s="8" t="n"/>
      <c r="L15" s="8" t="n"/>
      <c r="M15" s="9" t="n"/>
      <c r="N15" s="10">
        <f>M15*E15</f>
        <v/>
      </c>
      <c r="O15" s="8" t="n"/>
      <c r="P15" s="8" t="n"/>
      <c r="Q15" s="8" t="n"/>
    </row>
    <row r="16" ht="48" customHeight="1">
      <c r="A16" s="5" t="inlineStr">
        <is>
          <t>11202</t>
        </is>
      </c>
      <c r="B16" s="5" t="inlineStr">
        <is>
          <t>№ 2</t>
        </is>
      </c>
      <c r="C16" s="6" t="n">
        <v>9</v>
      </c>
      <c r="D16" s="5" t="inlineStr">
        <is>
          <t>Кран шаровый с характеристиками не ниже и отвечающий техническим требованиям: размер 1/2", 150гр.Ц, полнопроходной, корпус латунный, никелированный, резьба внутренняя/наружная. Либо VALTEC BAS VT.218.N.04</t>
        </is>
      </c>
      <c r="E16" s="6" t="n">
        <v>20</v>
      </c>
      <c r="F16" s="5" t="inlineStr">
        <is>
          <t>шт</t>
        </is>
      </c>
      <c r="G16" s="7" t="inlineStr">
        <is>
          <t>Кран шаровой ГАЛЛОП «Стандарт/Крепыш» ВхН, полнопроходной, никель, 1/2"</t>
        </is>
      </c>
      <c r="H16" s="7" t="inlineStr">
        <is>
          <t>ООО «ГАЛЛОП» (Новосибирский арматурный завод)</t>
        </is>
      </c>
      <c r="I16" s="7" t="inlineStr">
        <is>
          <t>Россия</t>
        </is>
      </c>
      <c r="J16" s="8" t="n"/>
      <c r="K16" s="8" t="n"/>
      <c r="L16" s="8" t="n"/>
      <c r="M16" s="9" t="n"/>
      <c r="N16" s="10">
        <f>M16*E16</f>
        <v/>
      </c>
      <c r="O16" s="8" t="n"/>
      <c r="P16" s="8" t="n"/>
      <c r="Q16" s="8" t="n"/>
    </row>
    <row r="17" ht="48" customHeight="1">
      <c r="A17" s="5" t="inlineStr">
        <is>
          <t>11202</t>
        </is>
      </c>
      <c r="B17" s="5" t="inlineStr">
        <is>
          <t>№ 2</t>
        </is>
      </c>
      <c r="C17" s="6" t="n">
        <v>10</v>
      </c>
      <c r="D17" s="5" t="inlineStr">
        <is>
          <t>Кран шаровый с характеристиками не ниже и отвечающий техническим требованиям: размер 3/4", 150 гр.Ц, полнопроходной, корпус латунный, никелированный, резьба внутренняя/наружная. Либо VALTEC BAS VT.218.N.05</t>
        </is>
      </c>
      <c r="E17" s="6" t="n">
        <v>20</v>
      </c>
      <c r="F17" s="5" t="inlineStr">
        <is>
          <t>шт</t>
        </is>
      </c>
      <c r="G17" s="7" t="inlineStr">
        <is>
          <t>Кран шаровой ГАЛЛОП «Стандарт/Крепыш» ВхН, полнопроходной, никель, 3/4"</t>
        </is>
      </c>
      <c r="H17" s="7" t="inlineStr">
        <is>
          <t>ООО «ГАЛЛОП» (Новосибирский арматурный завод)</t>
        </is>
      </c>
      <c r="I17" s="7" t="inlineStr">
        <is>
          <t>Россия</t>
        </is>
      </c>
      <c r="J17" s="8" t="n"/>
      <c r="K17" s="8" t="n"/>
      <c r="L17" s="8" t="n"/>
      <c r="M17" s="9" t="n"/>
      <c r="N17" s="10">
        <f>M17*E17</f>
        <v/>
      </c>
      <c r="O17" s="8" t="n"/>
      <c r="P17" s="8" t="n"/>
      <c r="Q17" s="8" t="n"/>
    </row>
    <row r="18" ht="48" customHeight="1">
      <c r="A18" s="5" t="inlineStr">
        <is>
          <t>11202</t>
        </is>
      </c>
      <c r="B18" s="5" t="inlineStr">
        <is>
          <t>№ 2</t>
        </is>
      </c>
      <c r="C18" s="6" t="n">
        <v>11</v>
      </c>
      <c r="D18" s="5" t="inlineStr">
        <is>
          <t>Кран шаровый с характеристиками не ниже и отвечающий техническим требованиям: размер 1/2", 150гр.Ц, полнопроходной, корпус латунный, никелированный, с полусгоном и наружной резьбой. Либо VALTEC BAS VT.226.N.04</t>
        </is>
      </c>
      <c r="E18" s="6" t="n">
        <v>10</v>
      </c>
      <c r="F18" s="5" t="inlineStr">
        <is>
          <t>шт</t>
        </is>
      </c>
      <c r="G18" s="7" t="inlineStr">
        <is>
          <t>Кран шаровой ГАЛЛОП «Крепыш 332» со сгоном (полусгон), никель, DN15</t>
        </is>
      </c>
      <c r="H18" s="7" t="inlineStr">
        <is>
          <t>ООО «ГАЛЛОП» (Новосибирский арматурный завод)</t>
        </is>
      </c>
      <c r="I18" s="7" t="inlineStr">
        <is>
          <t>Россия</t>
        </is>
      </c>
      <c r="J18" s="8" t="n"/>
      <c r="K18" s="8" t="n"/>
      <c r="L18" s="8" t="n"/>
      <c r="M18" s="9" t="n"/>
      <c r="N18" s="10">
        <f>M18*E18</f>
        <v/>
      </c>
      <c r="O18" s="8" t="n"/>
      <c r="P18" s="8" t="n"/>
      <c r="Q18" s="8" t="n"/>
    </row>
    <row r="19" ht="48" customHeight="1">
      <c r="A19" s="5" t="inlineStr">
        <is>
          <t>11202</t>
        </is>
      </c>
      <c r="B19" s="5" t="inlineStr">
        <is>
          <t>№ 2</t>
        </is>
      </c>
      <c r="C19" s="6" t="n">
        <v>12</v>
      </c>
      <c r="D19" s="5" t="inlineStr">
        <is>
          <t>Кран шаровый с характеристиками не ниже и отвечающий техническим требованиям: размер 3/4", 150гр.Ц , полнопроходной, корпус латунный, никелированный, с полусгоном и наружной резьбой. Либо VALTEC BAS VT.226.N.05</t>
        </is>
      </c>
      <c r="E19" s="6" t="n">
        <v>10</v>
      </c>
      <c r="F19" s="5" t="inlineStr">
        <is>
          <t>шт</t>
        </is>
      </c>
      <c r="G19" s="7" t="inlineStr">
        <is>
          <t>Кран шаровой ГАЛЛОП «Крепыш 332» со сгоном (полусгон), никель, DN20</t>
        </is>
      </c>
      <c r="H19" s="7" t="inlineStr">
        <is>
          <t>ООО «ГАЛЛОП» (Новосибирский арматурный завод)</t>
        </is>
      </c>
      <c r="I19" s="7" t="inlineStr">
        <is>
          <t>Россия</t>
        </is>
      </c>
      <c r="J19" s="8" t="n"/>
      <c r="K19" s="8" t="n"/>
      <c r="L19" s="8" t="n"/>
      <c r="M19" s="9" t="n"/>
      <c r="N19" s="10">
        <f>M19*E19</f>
        <v/>
      </c>
      <c r="O19" s="8" t="n"/>
      <c r="P19" s="8" t="n"/>
      <c r="Q19" s="8" t="n"/>
    </row>
    <row r="20" ht="48" customHeight="1">
      <c r="A20" s="5" t="inlineStr">
        <is>
          <t>11202</t>
        </is>
      </c>
      <c r="B20" s="5" t="inlineStr">
        <is>
          <t>№ 2</t>
        </is>
      </c>
      <c r="C20" s="6" t="n">
        <v>16</v>
      </c>
      <c r="D20" s="5" t="inlineStr">
        <is>
          <t>Кран шаровой ГАЛЛОП Практик 120 1″ Ду25 Ру16 стандартнопроходной,</t>
        </is>
      </c>
      <c r="E20" s="6" t="n">
        <v>10</v>
      </c>
      <c r="F20" s="5" t="inlineStr">
        <is>
          <t>шт</t>
        </is>
      </c>
      <c r="G20" s="7" t="inlineStr">
        <is>
          <t>Кран шаровой ГАЛЛОП «Практик 120» 1" Ду25 Ру16 ВхВ</t>
        </is>
      </c>
      <c r="H20" s="7" t="inlineStr">
        <is>
          <t>ООО «ГАЛЛОП» (Новосибирский арматурный завод)</t>
        </is>
      </c>
      <c r="I20" s="7" t="inlineStr">
        <is>
          <t>Россия</t>
        </is>
      </c>
      <c r="J20" s="8" t="n"/>
      <c r="K20" s="8" t="n"/>
      <c r="L20" s="8" t="n"/>
      <c r="M20" s="9" t="n"/>
      <c r="N20" s="10">
        <f>M20*E20</f>
        <v/>
      </c>
      <c r="O20" s="8" t="n"/>
      <c r="P20" s="8" t="n"/>
      <c r="Q20" s="8" t="n"/>
    </row>
    <row r="21" ht="48" customHeight="1">
      <c r="A21" s="11" t="inlineStr"/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  <c r="J21" s="11" t="inlineStr"/>
      <c r="K21" s="11" t="inlineStr"/>
      <c r="L21" s="11" t="inlineStr"/>
      <c r="M21" s="11" t="inlineStr">
        <is>
          <t>ИТОГО</t>
        </is>
      </c>
      <c r="N21" s="12">
        <f>SUM(N6:N20)</f>
        <v/>
      </c>
      <c r="O21" s="2" t="n"/>
      <c r="P21" s="2" t="n"/>
      <c r="Q21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2026-10-28T13:45:16Z</dcterms:created>
  <dcterms:modified xmlns:dcterms="http://purl.org/dc/terms/" xmlns:xsi="http://www.w3.org/2001/XMLSchema-instance" xsi:type="dcterms:W3CDTF">2026-10-28T13:45:16Z</dcterms:modified>
</cp:coreProperties>
</file>