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«АЛСО» (завод стальных шаровых кранов ALSO)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1</v>
      </c>
      <c r="D6" s="5" t="inlineStr">
        <is>
          <t>Кран шаровый LD КШЦП из стали 20 Ду15 Ру4,0МПа</t>
        </is>
      </c>
      <c r="E6" s="6" t="n">
        <v>10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2</v>
      </c>
      <c r="D7" s="5" t="inlineStr">
        <is>
          <t>Кран шаровый LD КШЦП из стали 20 Ду20 Ру4,0МПа</t>
        </is>
      </c>
      <c r="E7" s="6" t="n">
        <v>18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3</v>
      </c>
      <c r="D8" s="5" t="inlineStr">
        <is>
          <t>Кран шаровый LD КШЦП из стали 20 Ду25 Ру4,0МПа</t>
        </is>
      </c>
      <c r="E8" s="6" t="n">
        <v>18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11201</t>
        </is>
      </c>
      <c r="B9" s="5" t="inlineStr">
        <is>
          <t>№ 1</t>
        </is>
      </c>
      <c r="C9" s="6" t="n">
        <v>4</v>
      </c>
      <c r="D9" s="5" t="inlineStr">
        <is>
          <t>Кран шаровый LD КШЦП из стали 20 Ду50 Ру4,0МПа</t>
        </is>
      </c>
      <c r="E9" s="6" t="n">
        <v>25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11201</t>
        </is>
      </c>
      <c r="B10" s="5" t="inlineStr">
        <is>
          <t>№ 2</t>
        </is>
      </c>
      <c r="C10" s="6" t="n">
        <v>11</v>
      </c>
      <c r="D10" s="5" t="inlineStr">
        <is>
          <t>Кран шаровый стальной ALSO Ду-80; Ру-16 фланцевый полнопроходной Сталь 20 под задвижку</t>
        </is>
      </c>
      <c r="E10" s="6" t="n">
        <v>10</v>
      </c>
      <c r="F10" s="5" t="inlineStr">
        <is>
          <t>шт</t>
        </is>
      </c>
      <c r="G10" s="10" t="inlineStr">
        <is>
          <t>Кран шаровой ALSO фланцевый полнопроходной ст.20 Ду80 Ру16 (исп. «под задвижку» по ТЗ)</t>
        </is>
      </c>
      <c r="H10" s="10" t="inlineStr">
        <is>
          <t>ООО «АЛСО» (завод стальных шаровых кранов ALSO)</t>
        </is>
      </c>
      <c r="I10" s="10" t="inlineStr">
        <is>
          <t>Россия</t>
        </is>
      </c>
      <c r="J10" s="10" t="inlineStr">
        <is>
          <t>10647852</t>
        </is>
      </c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3</v>
      </c>
      <c r="D11" s="5" t="inlineStr">
        <is>
          <t>Кран шаровый LD КШЦП из стали 20 Ду15 Ру4,0МПа</t>
        </is>
      </c>
      <c r="E11" s="6" t="n">
        <v>83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4</v>
      </c>
      <c r="D12" s="5" t="inlineStr">
        <is>
          <t>Кран шаровый LD КШЦП из стали 20 Ду20 Ру4,0МПа</t>
        </is>
      </c>
      <c r="E12" s="6" t="n">
        <v>7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5</v>
      </c>
      <c r="D13" s="5" t="inlineStr">
        <is>
          <t>Кран шаровый LD КШЦП из стали 20 Ду20 Ру4,0МПа</t>
        </is>
      </c>
      <c r="E13" s="6" t="n">
        <v>18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6</v>
      </c>
      <c r="D14" s="5" t="inlineStr">
        <is>
          <t>Кран шаровый LD КШЦП из стали 20 Ду20 Ру4,0МПа</t>
        </is>
      </c>
      <c r="E14" s="6" t="n">
        <v>18</v>
      </c>
      <c r="F14" s="5" t="inlineStr">
        <is>
          <t>шт</t>
        </is>
      </c>
      <c r="G14" s="7" t="n"/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5" t="inlineStr">
        <is>
          <t>11202</t>
        </is>
      </c>
      <c r="B15" s="5" t="inlineStr">
        <is>
          <t>№ 1</t>
        </is>
      </c>
      <c r="C15" s="6" t="n">
        <v>7</v>
      </c>
      <c r="D15" s="5" t="inlineStr">
        <is>
          <t>Кран шаровый LD КШЦП из стали 20 Ду25 Ру4,0МПа</t>
        </is>
      </c>
      <c r="E15" s="6" t="n">
        <v>84</v>
      </c>
      <c r="F15" s="5" t="inlineStr">
        <is>
          <t>шт</t>
        </is>
      </c>
      <c r="G15" s="7" t="n"/>
      <c r="H15" s="7" t="n"/>
      <c r="I15" s="7" t="n"/>
      <c r="J15" s="7" t="n"/>
      <c r="K15" s="7" t="n"/>
      <c r="L15" s="7" t="n"/>
      <c r="M15" s="8" t="n"/>
      <c r="N15" s="9">
        <f>M15*E15</f>
        <v/>
      </c>
      <c r="O15" s="7" t="n"/>
      <c r="P15" s="7" t="n"/>
      <c r="Q15" s="7" t="n"/>
    </row>
    <row r="16" ht="48" customHeight="1">
      <c r="A16" s="5" t="inlineStr">
        <is>
          <t>11202</t>
        </is>
      </c>
      <c r="B16" s="5" t="inlineStr">
        <is>
          <t>№ 1</t>
        </is>
      </c>
      <c r="C16" s="6" t="n">
        <v>8</v>
      </c>
      <c r="D16" s="5" t="inlineStr">
        <is>
          <t>Кран шаровый LD КШЦП из стали 20 Ду32 Ру4,0МПа</t>
        </is>
      </c>
      <c r="E16" s="6" t="n">
        <v>24</v>
      </c>
      <c r="F16" s="5" t="inlineStr">
        <is>
          <t>шт</t>
        </is>
      </c>
      <c r="G16" s="7" t="n"/>
      <c r="H16" s="7" t="n"/>
      <c r="I16" s="7" t="n"/>
      <c r="J16" s="7" t="n"/>
      <c r="K16" s="7" t="n"/>
      <c r="L16" s="7" t="n"/>
      <c r="M16" s="8" t="n"/>
      <c r="N16" s="9">
        <f>M16*E16</f>
        <v/>
      </c>
      <c r="O16" s="7" t="n"/>
      <c r="P16" s="7" t="n"/>
      <c r="Q16" s="7" t="n"/>
    </row>
    <row r="17" ht="48" customHeight="1">
      <c r="A17" s="5" t="inlineStr">
        <is>
          <t>11202</t>
        </is>
      </c>
      <c r="B17" s="5" t="inlineStr">
        <is>
          <t>№ 1</t>
        </is>
      </c>
      <c r="C17" s="6" t="n">
        <v>9</v>
      </c>
      <c r="D17" s="5" t="inlineStr">
        <is>
          <t>Кран шаровый LD КШЦП из стали 20 Ду50 Ру4,0МПа</t>
        </is>
      </c>
      <c r="E17" s="6" t="n">
        <v>44</v>
      </c>
      <c r="F17" s="5" t="inlineStr">
        <is>
          <t>шт</t>
        </is>
      </c>
      <c r="G17" s="7" t="n"/>
      <c r="H17" s="7" t="n"/>
      <c r="I17" s="7" t="n"/>
      <c r="J17" s="7" t="n"/>
      <c r="K17" s="7" t="n"/>
      <c r="L17" s="7" t="n"/>
      <c r="M17" s="8" t="n"/>
      <c r="N17" s="9">
        <f>M17*E17</f>
        <v/>
      </c>
      <c r="O17" s="7" t="n"/>
      <c r="P17" s="7" t="n"/>
      <c r="Q17" s="7" t="n"/>
    </row>
    <row r="18" ht="48" customHeight="1">
      <c r="A18" s="5" t="inlineStr">
        <is>
          <t>11202</t>
        </is>
      </c>
      <c r="B18" s="5" t="inlineStr">
        <is>
          <t>№ 1</t>
        </is>
      </c>
      <c r="C18" s="6" t="n">
        <v>10</v>
      </c>
      <c r="D18" s="5" t="inlineStr">
        <is>
          <t>Кран шаровый LD КШЦП из стали 20 Ду50 Ру4,0МПа</t>
        </is>
      </c>
      <c r="E18" s="6" t="n">
        <v>2</v>
      </c>
      <c r="F18" s="5" t="inlineStr">
        <is>
          <t>шт</t>
        </is>
      </c>
      <c r="G18" s="7" t="n"/>
      <c r="H18" s="7" t="n"/>
      <c r="I18" s="7" t="n"/>
      <c r="J18" s="7" t="n"/>
      <c r="K18" s="7" t="n"/>
      <c r="L18" s="7" t="n"/>
      <c r="M18" s="8" t="n"/>
      <c r="N18" s="9">
        <f>M18*E18</f>
        <v/>
      </c>
      <c r="O18" s="7" t="n"/>
      <c r="P18" s="7" t="n"/>
      <c r="Q18" s="7" t="n"/>
    </row>
    <row r="19" ht="48" customHeight="1">
      <c r="A19" s="5" t="inlineStr">
        <is>
          <t>11202</t>
        </is>
      </c>
      <c r="B19" s="5" t="inlineStr">
        <is>
          <t>№ 1</t>
        </is>
      </c>
      <c r="C19" s="6" t="n">
        <v>57</v>
      </c>
      <c r="D19" s="5" t="inlineStr">
        <is>
          <t>Кран шаровый LD Ду 80 Ру 25 фланцевый стальной КШ.Ц.Ф.080/070.025.Н/П.02</t>
        </is>
      </c>
      <c r="E19" s="6" t="n">
        <v>6</v>
      </c>
      <c r="F19" s="5" t="inlineStr">
        <is>
          <t>шт</t>
        </is>
      </c>
      <c r="G19" s="7" t="n"/>
      <c r="H19" s="7" t="n"/>
      <c r="I19" s="7" t="n"/>
      <c r="J19" s="7" t="n"/>
      <c r="K19" s="7" t="n"/>
      <c r="L19" s="7" t="n"/>
      <c r="M19" s="8" t="n"/>
      <c r="N19" s="9">
        <f>M19*E19</f>
        <v/>
      </c>
      <c r="O19" s="7" t="n"/>
      <c r="P19" s="7" t="n"/>
      <c r="Q19" s="7" t="n"/>
    </row>
    <row r="20" ht="48" customHeight="1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>
        <is>
          <t>ИТОГО</t>
        </is>
      </c>
      <c r="N20" s="12">
        <f>SUM(N6:N19)</f>
        <v/>
      </c>
      <c r="O20" s="2" t="n"/>
      <c r="P20" s="2" t="n"/>
      <c r="Q2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