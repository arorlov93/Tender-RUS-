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«ПЗТА» (Пензенский завод трубопроводной арматуры, pzta.ru)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1</v>
      </c>
      <c r="D6" s="5" t="inlineStr">
        <is>
          <t>Клапан запорный латунный муфтовый 15б1п Ду 15 Ру 16</t>
        </is>
      </c>
      <c r="E6" s="6" t="n">
        <v>15</v>
      </c>
      <c r="F6" s="5" t="inlineStr">
        <is>
          <t>шт</t>
        </is>
      </c>
      <c r="G6" s="7" t="inlineStr">
        <is>
          <t>Клапан запорный латунный муфтовый 15б1п Ду15 Ру16</t>
        </is>
      </c>
      <c r="H6" s="8" t="n"/>
      <c r="I6" s="8" t="n"/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2</v>
      </c>
      <c r="D7" s="5" t="inlineStr">
        <is>
          <t>Клапан запорный латунный муфтовый 15б1п Ду 20 Ру 16</t>
        </is>
      </c>
      <c r="E7" s="6" t="n">
        <v>10</v>
      </c>
      <c r="F7" s="5" t="inlineStr">
        <is>
          <t>шт</t>
        </is>
      </c>
      <c r="G7" s="7" t="inlineStr">
        <is>
          <t>Клапан запорный латунный муфтовый 15б1п Ду20 Ру16</t>
        </is>
      </c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25</v>
      </c>
      <c r="D8" s="5" t="inlineStr">
        <is>
          <t>Клапан диафрагмовый химический ВДХ Ду50 Ру10</t>
        </is>
      </c>
      <c r="E8" s="6" t="n">
        <v>2</v>
      </c>
      <c r="F8" s="5" t="inlineStr">
        <is>
          <t>шт</t>
        </is>
      </c>
      <c r="G8" s="8" t="n"/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26</v>
      </c>
      <c r="D9" s="5" t="inlineStr">
        <is>
          <t>Клапан диафрагмовый химический ВДХ Ду100 Ру10</t>
        </is>
      </c>
      <c r="E9" s="6" t="n">
        <v>2</v>
      </c>
      <c r="F9" s="5" t="inlineStr">
        <is>
          <t>шт</t>
        </is>
      </c>
      <c r="G9" s="8" t="n"/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27</v>
      </c>
      <c r="D10" s="5" t="inlineStr">
        <is>
          <t>Клапан диафрагмовый химический ВДХ Ду150 Ру10</t>
        </is>
      </c>
      <c r="E10" s="6" t="n">
        <v>2</v>
      </c>
      <c r="F10" s="5" t="inlineStr">
        <is>
          <t>шт</t>
        </is>
      </c>
      <c r="G10" s="8" t="n"/>
      <c r="H10" s="8" t="n"/>
      <c r="I10" s="8" t="n"/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45</v>
      </c>
      <c r="D11" s="5" t="inlineStr">
        <is>
          <t>Вентиль чугунный муфтовый 15кч18п Ду15 Ру16</t>
        </is>
      </c>
      <c r="E11" s="6" t="n">
        <v>10</v>
      </c>
      <c r="F11" s="5" t="inlineStr">
        <is>
          <t>шт</t>
        </is>
      </c>
      <c r="G11" s="8" t="n"/>
      <c r="H11" s="8" t="n"/>
      <c r="I11" s="8" t="n"/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46</v>
      </c>
      <c r="D12" s="5" t="inlineStr">
        <is>
          <t>Вентиль чугунный муфтовый 15кч18п Ду20 Ру16</t>
        </is>
      </c>
      <c r="E12" s="6" t="n">
        <v>10</v>
      </c>
      <c r="F12" s="5" t="inlineStr">
        <is>
          <t>шт</t>
        </is>
      </c>
      <c r="G12" s="8" t="n"/>
      <c r="H12" s="8" t="n"/>
      <c r="I12" s="8" t="n"/>
      <c r="J12" s="8" t="n"/>
      <c r="K12" s="8" t="n"/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47</v>
      </c>
      <c r="D13" s="5" t="inlineStr">
        <is>
          <t>Вентиль чугунный муфтовый 15кч18п Ду25 Ру16</t>
        </is>
      </c>
      <c r="E13" s="6" t="n">
        <v>7</v>
      </c>
      <c r="F13" s="5" t="inlineStr">
        <is>
          <t>шт</t>
        </is>
      </c>
      <c r="G13" s="8" t="n"/>
      <c r="H13" s="8" t="n"/>
      <c r="I13" s="8" t="n"/>
      <c r="J13" s="8" t="n"/>
      <c r="K13" s="8" t="n"/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48</v>
      </c>
      <c r="D14" s="5" t="inlineStr">
        <is>
          <t>Вентиль чугунный муфтовый 15кч18п Ду32 Ру16</t>
        </is>
      </c>
      <c r="E14" s="6" t="n">
        <v>6</v>
      </c>
      <c r="F14" s="5" t="inlineStr">
        <is>
          <t>шт</t>
        </is>
      </c>
      <c r="G14" s="8" t="n"/>
      <c r="H14" s="8" t="n"/>
      <c r="I14" s="8" t="n"/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49</v>
      </c>
      <c r="D15" s="5" t="inlineStr">
        <is>
          <t>Вентиль чугунный муфтовый 15кч18п Ду40 Ру16</t>
        </is>
      </c>
      <c r="E15" s="6" t="n">
        <v>40</v>
      </c>
      <c r="F15" s="5" t="inlineStr">
        <is>
          <t>шт</t>
        </is>
      </c>
      <c r="G15" s="8" t="n"/>
      <c r="H15" s="8" t="n"/>
      <c r="I15" s="8" t="n"/>
      <c r="J15" s="8" t="n"/>
      <c r="K15" s="8" t="n"/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50</v>
      </c>
      <c r="D16" s="5" t="inlineStr">
        <is>
          <t>Вентиль чугунный муфтовый 15кч18п Ду50 Ру16</t>
        </is>
      </c>
      <c r="E16" s="6" t="n">
        <v>30</v>
      </c>
      <c r="F16" s="5" t="inlineStr">
        <is>
          <t>шт</t>
        </is>
      </c>
      <c r="G16" s="8" t="n"/>
      <c r="H16" s="8" t="n"/>
      <c r="I16" s="8" t="n"/>
      <c r="J16" s="8" t="n"/>
      <c r="K16" s="8" t="n"/>
      <c r="L16" s="8" t="n"/>
      <c r="M16" s="9" t="n"/>
      <c r="N16" s="10">
        <f>M16*E16</f>
        <v/>
      </c>
      <c r="O16" s="8" t="n"/>
      <c r="P16" s="8" t="n"/>
      <c r="Q16" s="8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67</v>
      </c>
      <c r="D17" s="5" t="inlineStr">
        <is>
          <t>Клапан запорный мембранный футерованный полиэтиленом фланцевый ручной 15ч75п1м Ду 25 Ру 10 кгс/смІ У3, корпус чугун, класс герметичности «С»    ГОСТ 9544-2015</t>
        </is>
      </c>
      <c r="E17" s="6" t="n">
        <v>5</v>
      </c>
      <c r="F17" s="5" t="inlineStr">
        <is>
          <t>шт</t>
        </is>
      </c>
      <c r="G17" s="7" t="inlineStr">
        <is>
          <t>Клапан запорный мембранный футерованный полиэтиленом 15ч75п1м Ду25 Ру10</t>
        </is>
      </c>
      <c r="H17" s="8" t="n"/>
      <c r="I17" s="8" t="n"/>
      <c r="J17" s="8" t="n"/>
      <c r="K17" s="8" t="n"/>
      <c r="L17" s="8" t="n"/>
      <c r="M17" s="9" t="n"/>
      <c r="N17" s="10">
        <f>M17*E17</f>
        <v/>
      </c>
      <c r="O17" s="8" t="n"/>
      <c r="P17" s="8" t="n"/>
      <c r="Q17" s="8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68</v>
      </c>
      <c r="D18" s="5" t="inlineStr">
        <is>
          <t>Клапан запорный сильфонный 15п67п DN 50 фланцевый   Ру 6     (прямоточный, сильфонный, фланцевый, из полипропилена)</t>
        </is>
      </c>
      <c r="E18" s="6" t="n">
        <v>4</v>
      </c>
      <c r="F18" s="5" t="inlineStr">
        <is>
          <t>шт</t>
        </is>
      </c>
      <c r="G18" s="7" t="inlineStr">
        <is>
          <t>Клапан запорный сильфонный 15п67п Ду50 Ру6, полипропилен, фланцевый (П 26523)</t>
        </is>
      </c>
      <c r="H18" s="8" t="n"/>
      <c r="I18" s="8" t="n"/>
      <c r="J18" s="8" t="n"/>
      <c r="K18" s="8" t="n"/>
      <c r="L18" s="8" t="n"/>
      <c r="M18" s="9" t="n"/>
      <c r="N18" s="10">
        <f>M18*E18</f>
        <v/>
      </c>
      <c r="O18" s="8" t="n"/>
      <c r="P18" s="8" t="n"/>
      <c r="Q18" s="8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70</v>
      </c>
      <c r="D19" s="5" t="inlineStr">
        <is>
          <t>Вентиль 15п67п (П 26523)     Ду 50 (прямоточный, сильфонный, фланцевый, из полипропилена)</t>
        </is>
      </c>
      <c r="E19" s="6" t="n">
        <v>4</v>
      </c>
      <c r="F19" s="5" t="inlineStr">
        <is>
          <t>шт</t>
        </is>
      </c>
      <c r="G19" s="7" t="inlineStr">
        <is>
          <t>Клапан запорный сильфонный 15п67п Ду50 Ру6, полипропилен, фланцевый (П 26523)</t>
        </is>
      </c>
      <c r="H19" s="8" t="n"/>
      <c r="I19" s="8" t="n"/>
      <c r="J19" s="8" t="n"/>
      <c r="K19" s="8" t="n"/>
      <c r="L19" s="8" t="n"/>
      <c r="M19" s="9" t="n"/>
      <c r="N19" s="10">
        <f>M19*E19</f>
        <v/>
      </c>
      <c r="O19" s="8" t="n"/>
      <c r="P19" s="8" t="n"/>
      <c r="Q19" s="8" t="n"/>
    </row>
    <row r="20" ht="48" customHeight="1">
      <c r="A20" s="5" t="inlineStr">
        <is>
          <t>11202</t>
        </is>
      </c>
      <c r="B20" s="5" t="inlineStr">
        <is>
          <t>№ 1</t>
        </is>
      </c>
      <c r="C20" s="6" t="n">
        <v>71</v>
      </c>
      <c r="D20" s="5" t="inlineStr">
        <is>
          <t>Вентиль диафрагмовый эмалированный Вентиль диафрагмовый эмалированный    15ч93эм Ду25</t>
        </is>
      </c>
      <c r="E20" s="6" t="n">
        <v>6</v>
      </c>
      <c r="F20" s="5" t="inlineStr">
        <is>
          <t>шт</t>
        </is>
      </c>
      <c r="G20" s="7" t="inlineStr">
        <is>
          <t>Клапан запорный диафрагмовый эмалированный 15ч93эм Ду25</t>
        </is>
      </c>
      <c r="H20" s="8" t="n"/>
      <c r="I20" s="8" t="n"/>
      <c r="J20" s="8" t="n"/>
      <c r="K20" s="8" t="n"/>
      <c r="L20" s="8" t="n"/>
      <c r="M20" s="9" t="n"/>
      <c r="N20" s="10">
        <f>M20*E20</f>
        <v/>
      </c>
      <c r="O20" s="8" t="n"/>
      <c r="P20" s="8" t="n"/>
      <c r="Q20" s="8" t="n"/>
    </row>
    <row r="21" ht="48" customHeight="1">
      <c r="A21" s="5" t="inlineStr">
        <is>
          <t>11202</t>
        </is>
      </c>
      <c r="B21" s="5" t="inlineStr">
        <is>
          <t>№ 2</t>
        </is>
      </c>
      <c r="C21" s="6" t="n">
        <v>1</v>
      </c>
      <c r="D21" s="5" t="inlineStr">
        <is>
          <t>Клапан запорный латунный муфтовый 15б1п Ду 15 Ру 16</t>
        </is>
      </c>
      <c r="E21" s="6" t="n">
        <v>20</v>
      </c>
      <c r="F21" s="5" t="inlineStr">
        <is>
          <t>шт</t>
        </is>
      </c>
      <c r="G21" s="7" t="inlineStr">
        <is>
          <t>Клапан запорный латунный муфтовый 15б1п Ду15 Ру16</t>
        </is>
      </c>
      <c r="H21" s="8" t="n"/>
      <c r="I21" s="8" t="n"/>
      <c r="J21" s="8" t="n"/>
      <c r="K21" s="8" t="n"/>
      <c r="L21" s="8" t="n"/>
      <c r="M21" s="9" t="n"/>
      <c r="N21" s="10">
        <f>M21*E21</f>
        <v/>
      </c>
      <c r="O21" s="8" t="n"/>
      <c r="P21" s="8" t="n"/>
      <c r="Q21" s="8" t="n"/>
    </row>
    <row r="22" ht="48" customHeight="1">
      <c r="A22" s="5" t="inlineStr">
        <is>
          <t>11202</t>
        </is>
      </c>
      <c r="B22" s="5" t="inlineStr">
        <is>
          <t>№ 2</t>
        </is>
      </c>
      <c r="C22" s="6" t="n">
        <v>2</v>
      </c>
      <c r="D22" s="5" t="inlineStr">
        <is>
          <t>Клапан запорный латунный муфтовый 15б1п Ду 20 Ру 16</t>
        </is>
      </c>
      <c r="E22" s="6" t="n">
        <v>20</v>
      </c>
      <c r="F22" s="5" t="inlineStr">
        <is>
          <t>шт</t>
        </is>
      </c>
      <c r="G22" s="7" t="inlineStr">
        <is>
          <t>Клапан запорный латунный муфтовый 15б1п Ду20 Ру16</t>
        </is>
      </c>
      <c r="H22" s="8" t="n"/>
      <c r="I22" s="8" t="n"/>
      <c r="J22" s="8" t="n"/>
      <c r="K22" s="8" t="n"/>
      <c r="L22" s="8" t="n"/>
      <c r="M22" s="9" t="n"/>
      <c r="N22" s="10">
        <f>M22*E22</f>
        <v/>
      </c>
      <c r="O22" s="8" t="n"/>
      <c r="P22" s="8" t="n"/>
      <c r="Q22" s="8" t="n"/>
    </row>
    <row r="23" ht="48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>
        <is>
          <t>ИТОГО</t>
        </is>
      </c>
      <c r="N23" s="12">
        <f>SUM(N6:N22)</f>
        <v/>
      </c>
      <c r="O23" s="2" t="n"/>
      <c r="P23" s="2" t="n"/>
      <c r="Q23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