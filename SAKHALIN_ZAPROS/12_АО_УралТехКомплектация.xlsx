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АО «УралТехКомплектация» (ТМ «MV»)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8</v>
      </c>
      <c r="D6" s="5" t="inlineStr">
        <is>
          <t>ГРАНВЭЛ® Затвор Поворотный Дисковый ЗПВС - FL(w)-3-080-MN-Е, Ду080, Ру16, межфланцевый, рукоятка, корпус - GG25, диск - GGG40, седло - EPDM, Траб=-15...+95°С</t>
        </is>
      </c>
      <c r="E6" s="6" t="n">
        <v>14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19</v>
      </c>
      <c r="D7" s="5" t="inlineStr">
        <is>
          <t>Затвор чуг/нерж упл. EPDM Ду150 Ру16</t>
        </is>
      </c>
      <c r="E7" s="6" t="n">
        <v>10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11201</t>
        </is>
      </c>
      <c r="B8" s="5" t="inlineStr">
        <is>
          <t>№ 1</t>
        </is>
      </c>
      <c r="C8" s="6" t="n">
        <v>20</v>
      </c>
      <c r="D8" s="5" t="inlineStr">
        <is>
          <t>Затвор чуг/нерж упл. EPDM Ду100 Ру16</t>
        </is>
      </c>
      <c r="E8" s="6" t="n">
        <v>4</v>
      </c>
      <c r="F8" s="5" t="inlineStr">
        <is>
          <t>шт</t>
        </is>
      </c>
      <c r="G8" s="7" t="n"/>
      <c r="H8" s="7" t="n"/>
      <c r="I8" s="7" t="n"/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11201</t>
        </is>
      </c>
      <c r="B9" s="5" t="inlineStr">
        <is>
          <t>№ 1</t>
        </is>
      </c>
      <c r="C9" s="6" t="n">
        <v>42</v>
      </c>
      <c r="D9" s="5" t="inlineStr">
        <is>
          <t>Затвор дисковый Z011-A межфланцевый (Ebro Armaturen) DN: 50 мм PN: 16 бар фланцы PN6/10/16, корпус: чугун JL1040 (GG25), диск: нерж. сталь 1.4408, шток: нерж. сталь 1.4104, манжета: EPDM, Рукоятка из алюм. с фиксатором размер I</t>
        </is>
      </c>
      <c r="E9" s="6" t="n">
        <v>5</v>
      </c>
      <c r="F9" s="5" t="inlineStr">
        <is>
          <t>шт</t>
        </is>
      </c>
      <c r="G9" s="7" t="n"/>
      <c r="H9" s="7" t="n"/>
      <c r="I9" s="7" t="n"/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5" t="inlineStr">
        <is>
          <t>11201</t>
        </is>
      </c>
      <c r="B10" s="5" t="inlineStr">
        <is>
          <t>№ 1</t>
        </is>
      </c>
      <c r="C10" s="6" t="n">
        <v>43</v>
      </c>
      <c r="D10" s="5" t="inlineStr">
        <is>
          <t>Затвор дисковый Z011-A межфланцевый (Ebro Armaturen) DN: 65 мм PN: 16 бар фланцы PN6/10/16, корпус: чугун JL1040 (GG25), диск: нерж. сталь 1.4408, шток: нерж. сталь 1.4104, манжета: EPDM, Рукоятка из алюм. с фиксатором размер I</t>
        </is>
      </c>
      <c r="E10" s="6" t="n">
        <v>5</v>
      </c>
      <c r="F10" s="5" t="inlineStr">
        <is>
          <t>шт</t>
        </is>
      </c>
      <c r="G10" s="7" t="n"/>
      <c r="H10" s="7" t="n"/>
      <c r="I10" s="7" t="n"/>
      <c r="J10" s="7" t="n"/>
      <c r="K10" s="7" t="n"/>
      <c r="L10" s="7" t="n"/>
      <c r="M10" s="8" t="n"/>
      <c r="N10" s="9">
        <f>M10*E10</f>
        <v/>
      </c>
      <c r="O10" s="7" t="n"/>
      <c r="P10" s="7" t="n"/>
      <c r="Q10" s="7" t="n"/>
    </row>
    <row r="11" ht="48" customHeight="1">
      <c r="A11" s="5" t="inlineStr">
        <is>
          <t>11201</t>
        </is>
      </c>
      <c r="B11" s="5" t="inlineStr">
        <is>
          <t>№ 1</t>
        </is>
      </c>
      <c r="C11" s="6" t="n">
        <v>52</v>
      </c>
      <c r="D11" s="5" t="inlineStr">
        <is>
          <t>ГРАНВЭЛ® Затвор Поворотный Дисковый ЗПВС - FL(w)-3-065-MN-Е, Ду065, Ру16, межфланцевый, рукоятка, корпус - GG25, диск - GGG40, седло - EPDM, Траб=-15...+95°С Управление рукоятка; редуктор; электропривод; пневмопривод</t>
        </is>
      </c>
      <c r="E11" s="6" t="n">
        <v>12</v>
      </c>
      <c r="F11" s="5" t="inlineStr">
        <is>
          <t>шт</t>
        </is>
      </c>
      <c r="G11" s="7" t="n"/>
      <c r="H11" s="7" t="n"/>
      <c r="I11" s="7" t="n"/>
      <c r="J11" s="7" t="n"/>
      <c r="K11" s="7" t="n"/>
      <c r="L11" s="7" t="n"/>
      <c r="M11" s="8" t="n"/>
      <c r="N11" s="9">
        <f>M11*E11</f>
        <v/>
      </c>
      <c r="O11" s="7" t="n"/>
      <c r="P11" s="7" t="n"/>
      <c r="Q11" s="7" t="n"/>
    </row>
    <row r="12" ht="48" customHeight="1">
      <c r="A12" s="5" t="inlineStr">
        <is>
          <t>11201</t>
        </is>
      </c>
      <c r="B12" s="5" t="inlineStr">
        <is>
          <t>№ 2</t>
        </is>
      </c>
      <c r="C12" s="6" t="n">
        <v>2</v>
      </c>
      <c r="D12" s="5" t="inlineStr">
        <is>
          <t>Затвор Поворотный Дисковый ЗПВС — FL(w)-3-100-MDV-Е Ду100, Ру16, межфланцевый, редуктор, корпус - GG25, диск - GGG40, седло - EPDM, Траб=-15...+95°С</t>
        </is>
      </c>
      <c r="E12" s="6" t="n">
        <v>1</v>
      </c>
      <c r="F12" s="5" t="inlineStr">
        <is>
          <t>шт</t>
        </is>
      </c>
      <c r="G12" s="7" t="n"/>
      <c r="H12" s="7" t="n"/>
      <c r="I12" s="7" t="n"/>
      <c r="J12" s="7" t="n"/>
      <c r="K12" s="7" t="n"/>
      <c r="L12" s="7" t="n"/>
      <c r="M12" s="8" t="n"/>
      <c r="N12" s="9">
        <f>M12*E12</f>
        <v/>
      </c>
      <c r="O12" s="7" t="n"/>
      <c r="P12" s="7" t="n"/>
      <c r="Q12" s="7" t="n"/>
    </row>
    <row r="13" ht="48" customHeight="1">
      <c r="A13" s="5" t="inlineStr">
        <is>
          <t>11201</t>
        </is>
      </c>
      <c r="B13" s="5" t="inlineStr">
        <is>
          <t>№ 3</t>
        </is>
      </c>
      <c r="C13" s="6" t="n">
        <v>1</v>
      </c>
      <c r="D13" s="5" t="inlineStr">
        <is>
          <t>ГРАНВЭЛ® Затвор Поворотный Дисковый ЗПВС - FL(w)-3-150-MN-Е, Ду150, Ру16, межфланцевый, рукоятка, корпус - GG25, диск - GGG40, седло - EPDM, Траб=-15...+95С ГРАНВЭЛ® Затвор Поворотный Дисковый ЗПВС - FL(w)-3-150-MN-Е, Ду150, Ру16, межфланцевый, рукоятка, корпус - GG25, диск - GGG40, седло - EPDM, Траб=-15...+95С</t>
        </is>
      </c>
      <c r="E13" s="6" t="n">
        <v>1</v>
      </c>
      <c r="F13" s="5" t="inlineStr">
        <is>
          <t>шт</t>
        </is>
      </c>
      <c r="G13" s="7" t="n"/>
      <c r="H13" s="7" t="n"/>
      <c r="I13" s="7" t="n"/>
      <c r="J13" s="7" t="n"/>
      <c r="K13" s="7" t="n"/>
      <c r="L13" s="7" t="n"/>
      <c r="M13" s="8" t="n"/>
      <c r="N13" s="9">
        <f>M13*E13</f>
        <v/>
      </c>
      <c r="O13" s="7" t="n"/>
      <c r="P13" s="7" t="n"/>
      <c r="Q13" s="7" t="n"/>
    </row>
    <row r="14" ht="48" customHeight="1">
      <c r="A14" s="5" t="inlineStr">
        <is>
          <t>11202</t>
        </is>
      </c>
      <c r="B14" s="5" t="inlineStr">
        <is>
          <t>№ 1</t>
        </is>
      </c>
      <c r="C14" s="6" t="n">
        <v>36</v>
      </c>
      <c r="D14" s="5" t="inlineStr">
        <is>
          <t>ГРАНВЭЛ® Затвор Поворотный Дисковый ЗПВС - FL(w)-3-100-MN-Е, Ду100, Ру16, межфланцевый, рукоятка, корпус - GG25, диск - GGG40, седло - EPDM, Траб=-15...+95°С</t>
        </is>
      </c>
      <c r="E14" s="6" t="n">
        <v>3</v>
      </c>
      <c r="F14" s="5" t="inlineStr">
        <is>
          <t>шт</t>
        </is>
      </c>
      <c r="G14" s="7" t="n"/>
      <c r="H14" s="7" t="n"/>
      <c r="I14" s="7" t="n"/>
      <c r="J14" s="7" t="n"/>
      <c r="K14" s="7" t="n"/>
      <c r="L14" s="7" t="n"/>
      <c r="M14" s="8" t="n"/>
      <c r="N14" s="9">
        <f>M14*E14</f>
        <v/>
      </c>
      <c r="O14" s="7" t="n"/>
      <c r="P14" s="7" t="n"/>
      <c r="Q14" s="7" t="n"/>
    </row>
    <row r="15" ht="48" customHeight="1">
      <c r="A15" s="5" t="inlineStr">
        <is>
          <t>11202</t>
        </is>
      </c>
      <c r="B15" s="5" t="inlineStr">
        <is>
          <t>№ 1</t>
        </is>
      </c>
      <c r="C15" s="6" t="n">
        <v>37</v>
      </c>
      <c r="D15" s="5" t="inlineStr">
        <is>
          <t>ГРАНВЭЛ® Затвор Поворотный Дисковый ЗПВС - FL(w)-3-150-MN-Е, Ду150, Ру16, межфланцевый, рукоятка, корпус - GG25, диск - GGG40, седло - EPDM, Траб=-15...+95С</t>
        </is>
      </c>
      <c r="E15" s="6" t="n">
        <v>5</v>
      </c>
      <c r="F15" s="5" t="inlineStr">
        <is>
          <t>шт</t>
        </is>
      </c>
      <c r="G15" s="7" t="n"/>
      <c r="H15" s="7" t="n"/>
      <c r="I15" s="7" t="n"/>
      <c r="J15" s="7" t="n"/>
      <c r="K15" s="7" t="n"/>
      <c r="L15" s="7" t="n"/>
      <c r="M15" s="8" t="n"/>
      <c r="N15" s="9">
        <f>M15*E15</f>
        <v/>
      </c>
      <c r="O15" s="7" t="n"/>
      <c r="P15" s="7" t="n"/>
      <c r="Q15" s="7" t="n"/>
    </row>
    <row r="16" ht="48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>
        <is>
          <t>ИТОГО</t>
        </is>
      </c>
      <c r="N16" s="11">
        <f>SUM(N6:N15)</f>
        <v/>
      </c>
      <c r="O16" s="2" t="n"/>
      <c r="P16" s="2" t="n"/>
      <c r="Q16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