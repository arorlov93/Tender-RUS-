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«ЧелябинскСпецГражданСтрой» (завод LD / LD Pride; продажи — ООО «ТД «ЛД»)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3</v>
      </c>
      <c r="D6" s="5" t="inlineStr">
        <is>
          <t>Кран шаровый LD КШЦП из стали 20 Ду15 Ру4,0МПа</t>
        </is>
      </c>
      <c r="E6" s="6" t="n">
        <v>83</v>
      </c>
      <c r="F6" s="5" t="inlineStr">
        <is>
          <t>шт</t>
        </is>
      </c>
      <c r="G6" s="7" t="inlineStr">
        <is>
          <t>Кран шаровой LD КШ.Ц.П.015.040.Н/П.02 (ст.20, Ду15, Ру4,0 МПа, под приварку)</t>
        </is>
      </c>
      <c r="H6" s="7" t="inlineStr">
        <is>
          <t>ООО «ЧелябинскСпецГражданСтрой» (завод LD / LD Pride; продажи — ООО «ТД «ЛД»)</t>
        </is>
      </c>
      <c r="I6" s="7" t="inlineStr">
        <is>
          <t>Россия</t>
        </is>
      </c>
      <c r="J6" s="7" t="inlineStr">
        <is>
          <t>10655491</t>
        </is>
      </c>
      <c r="K6" s="7" t="inlineStr">
        <is>
          <t>30.06.2028</t>
        </is>
      </c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4</v>
      </c>
      <c r="D7" s="5" t="inlineStr">
        <is>
          <t>Кран шаровый LD КШЦП из стали 20 Ду20 Ру4,0МПа</t>
        </is>
      </c>
      <c r="E7" s="6" t="n">
        <v>7</v>
      </c>
      <c r="F7" s="5" t="inlineStr">
        <is>
          <t>шт</t>
        </is>
      </c>
      <c r="G7" s="7" t="inlineStr">
        <is>
          <t>Кран шаровой LD КШ.Ц.П.020.040.Н/П.02 (ст.20, Ду20, Ру4,0 МПа, под приварку)</t>
        </is>
      </c>
      <c r="H7" s="7" t="inlineStr">
        <is>
          <t>ООО «ЧелябинскСпецГражданСтрой» (завод LD / LD Pride; продажи — ООО «ТД «ЛД»)</t>
        </is>
      </c>
      <c r="I7" s="7" t="inlineStr">
        <is>
          <t>Россия</t>
        </is>
      </c>
      <c r="J7" s="7" t="inlineStr">
        <is>
          <t>10655491</t>
        </is>
      </c>
      <c r="K7" s="7" t="inlineStr">
        <is>
          <t>30.06.2028</t>
        </is>
      </c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5</v>
      </c>
      <c r="D8" s="5" t="inlineStr">
        <is>
          <t>Кран шаровый LD КШЦП из стали 20 Ду20 Ру4,0МПа</t>
        </is>
      </c>
      <c r="E8" s="6" t="n">
        <v>18</v>
      </c>
      <c r="F8" s="5" t="inlineStr">
        <is>
          <t>шт</t>
        </is>
      </c>
      <c r="G8" s="7" t="inlineStr">
        <is>
          <t>Кран шаровой LD КШ.Ц.П.020.040.Н/П.02 (ст.20, Ду20, Ру4,0 МПа, под приварку)</t>
        </is>
      </c>
      <c r="H8" s="7" t="inlineStr">
        <is>
          <t>ООО «ЧелябинскСпецГражданСтрой» (завод LD / LD Pride; продажи — ООО «ТД «ЛД»)</t>
        </is>
      </c>
      <c r="I8" s="7" t="inlineStr">
        <is>
          <t>Россия</t>
        </is>
      </c>
      <c r="J8" s="7" t="inlineStr">
        <is>
          <t>10655491</t>
        </is>
      </c>
      <c r="K8" s="7" t="inlineStr">
        <is>
          <t>30.06.2028</t>
        </is>
      </c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</v>
      </c>
      <c r="D9" s="5" t="inlineStr">
        <is>
          <t>Кран шаровый LD КШЦП из стали 20 Ду20 Ру4,0МПа</t>
        </is>
      </c>
      <c r="E9" s="6" t="n">
        <v>18</v>
      </c>
      <c r="F9" s="5" t="inlineStr">
        <is>
          <t>шт</t>
        </is>
      </c>
      <c r="G9" s="7" t="inlineStr">
        <is>
          <t>Кран шаровой LD КШ.Ц.П.020.040.Н/П.02 (ст.20, Ду20, Ру4,0 МПа, под приварку)</t>
        </is>
      </c>
      <c r="H9" s="7" t="inlineStr">
        <is>
          <t>ООО «ЧелябинскСпецГражданСтрой» (завод LD / LD Pride; продажи — ООО «ТД «ЛД»)</t>
        </is>
      </c>
      <c r="I9" s="7" t="inlineStr">
        <is>
          <t>Россия</t>
        </is>
      </c>
      <c r="J9" s="7" t="inlineStr">
        <is>
          <t>10655491</t>
        </is>
      </c>
      <c r="K9" s="7" t="inlineStr">
        <is>
          <t>30.06.2028</t>
        </is>
      </c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7</v>
      </c>
      <c r="D10" s="5" t="inlineStr">
        <is>
          <t>Кран шаровый LD КШЦП из стали 20 Ду25 Ру4,0МПа</t>
        </is>
      </c>
      <c r="E10" s="6" t="n">
        <v>84</v>
      </c>
      <c r="F10" s="5" t="inlineStr">
        <is>
          <t>шт</t>
        </is>
      </c>
      <c r="G10" s="7" t="inlineStr">
        <is>
          <t>Кран шаровой LD КШ.Ц.П.025.040.Н/П.02 (ст.20, Ду25, Ру4,0 МПа, под приварку)</t>
        </is>
      </c>
      <c r="H10" s="7" t="inlineStr">
        <is>
          <t>ООО «ЧелябинскСпецГражданСтрой» (завод LD / LD Pride; продажи — ООО «ТД «ЛД»)</t>
        </is>
      </c>
      <c r="I10" s="7" t="inlineStr">
        <is>
          <t>Россия</t>
        </is>
      </c>
      <c r="J10" s="7" t="inlineStr">
        <is>
          <t>10655491</t>
        </is>
      </c>
      <c r="K10" s="7" t="inlineStr">
        <is>
          <t>30.06.2028</t>
        </is>
      </c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8</v>
      </c>
      <c r="D11" s="5" t="inlineStr">
        <is>
          <t>Кран шаровый LD КШЦП из стали 20 Ду32 Ру4,0МПа</t>
        </is>
      </c>
      <c r="E11" s="6" t="n">
        <v>24</v>
      </c>
      <c r="F11" s="5" t="inlineStr">
        <is>
          <t>шт</t>
        </is>
      </c>
      <c r="G11" s="7" t="inlineStr">
        <is>
          <t>Кран шаровой LD КШ.Ц.П.032.040.Н/П.02 (ст.20, Ду32, Ру4,0 МПа, под приварку)</t>
        </is>
      </c>
      <c r="H11" s="7" t="inlineStr">
        <is>
          <t>ООО «ЧелябинскСпецГражданСтрой» (завод LD / LD Pride; продажи — ООО «ТД «ЛД»)</t>
        </is>
      </c>
      <c r="I11" s="7" t="inlineStr">
        <is>
          <t>Россия</t>
        </is>
      </c>
      <c r="J11" s="7" t="inlineStr">
        <is>
          <t>10655491</t>
        </is>
      </c>
      <c r="K11" s="7" t="inlineStr">
        <is>
          <t>30.06.2028</t>
        </is>
      </c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9</v>
      </c>
      <c r="D12" s="5" t="inlineStr">
        <is>
          <t>Кран шаровый LD КШЦП из стали 20 Ду50 Ру4,0МПа</t>
        </is>
      </c>
      <c r="E12" s="6" t="n">
        <v>44</v>
      </c>
      <c r="F12" s="5" t="inlineStr">
        <is>
          <t>шт</t>
        </is>
      </c>
      <c r="G12" s="7" t="inlineStr">
        <is>
          <t>Кран шаровой LD КШ.Ц.П.050.040.Н/П.02 (ст.20, Ду50, Ру4,0 МПа, под приварку)</t>
        </is>
      </c>
      <c r="H12" s="7" t="inlineStr">
        <is>
          <t>ООО «ЧелябинскСпецГражданСтрой» (завод LD / LD Pride; продажи — ООО «ТД «ЛД»)</t>
        </is>
      </c>
      <c r="I12" s="7" t="inlineStr">
        <is>
          <t>Россия</t>
        </is>
      </c>
      <c r="J12" s="7" t="inlineStr">
        <is>
          <t>10655491</t>
        </is>
      </c>
      <c r="K12" s="7" t="inlineStr">
        <is>
          <t>30.06.2028</t>
        </is>
      </c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10</v>
      </c>
      <c r="D13" s="5" t="inlineStr">
        <is>
          <t>Кран шаровый LD КШЦП из стали 20 Ду50 Ру4,0МПа</t>
        </is>
      </c>
      <c r="E13" s="6" t="n">
        <v>2</v>
      </c>
      <c r="F13" s="5" t="inlineStr">
        <is>
          <t>шт</t>
        </is>
      </c>
      <c r="G13" s="7" t="inlineStr">
        <is>
          <t>Кран шаровой LD КШ.Ц.П.050.040.Н/П.02 (ст.20, Ду50, Ру4,0 МПа, под приварку)</t>
        </is>
      </c>
      <c r="H13" s="7" t="inlineStr">
        <is>
          <t>ООО «ЧелябинскСпецГражданСтрой» (завод LD / LD Pride; продажи — ООО «ТД «ЛД»)</t>
        </is>
      </c>
      <c r="I13" s="7" t="inlineStr">
        <is>
          <t>Россия</t>
        </is>
      </c>
      <c r="J13" s="7" t="inlineStr">
        <is>
          <t>10655491</t>
        </is>
      </c>
      <c r="K13" s="7" t="inlineStr">
        <is>
          <t>30.06.2028</t>
        </is>
      </c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28</v>
      </c>
      <c r="D14" s="5" t="inlineStr">
        <is>
          <t>Кран шаровой VALTEC BASE, рукоятка 3/4" вн.-вн. VT.214.N.05</t>
        </is>
      </c>
      <c r="E14" s="6" t="n">
        <v>10</v>
      </c>
      <c r="F14" s="5" t="inlineStr">
        <is>
          <t>шт</t>
        </is>
      </c>
      <c r="G14" s="8" t="n"/>
      <c r="H14" s="8" t="n"/>
      <c r="I14" s="8" t="n"/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29</v>
      </c>
      <c r="D15" s="5" t="inlineStr">
        <is>
          <t>Кран шаровой VALTEC BASE, рукоятка 2" вн.-вн.VT.214.N.09</t>
        </is>
      </c>
      <c r="E15" s="6" t="n">
        <v>2</v>
      </c>
      <c r="F15" s="5" t="inlineStr">
        <is>
          <t>шт</t>
        </is>
      </c>
      <c r="G15" s="8" t="n"/>
      <c r="H15" s="8" t="n"/>
      <c r="I15" s="8" t="n"/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30</v>
      </c>
      <c r="D16" s="5" t="inlineStr">
        <is>
          <t>Кран шаровой VALTEC BASE, рукоятка 1" вн.-вн. VT.214.N.06</t>
        </is>
      </c>
      <c r="E16" s="6" t="n">
        <v>10</v>
      </c>
      <c r="F16" s="5" t="inlineStr">
        <is>
          <t>шт</t>
        </is>
      </c>
      <c r="G16" s="8" t="n"/>
      <c r="H16" s="8" t="n"/>
      <c r="I16" s="8" t="n"/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31</v>
      </c>
      <c r="D17" s="5" t="inlineStr">
        <is>
          <t>Кран шаровый Стандарт 1/2" ВВ бабочка VALTEC Артикул:VT. 122. GN. 04</t>
        </is>
      </c>
      <c r="E17" s="6" t="n">
        <v>20</v>
      </c>
      <c r="F17" s="5" t="inlineStr">
        <is>
          <t>шт</t>
        </is>
      </c>
      <c r="G17" s="7" t="inlineStr">
        <is>
          <t>Кран шаровой LD Pride 47.15.В-В.Б 1/2" (ВР-ВР, бабочка)</t>
        </is>
      </c>
      <c r="H17" s="7" t="inlineStr">
        <is>
          <t>ООО «ЧелябинскСпецГражданСтрой» (завод LD / LD Pride; продажи — ООО «ТД «ЛД»)</t>
        </is>
      </c>
      <c r="I17" s="7" t="inlineStr">
        <is>
          <t>Россия</t>
        </is>
      </c>
      <c r="J17" s="7" t="inlineStr">
        <is>
          <t>10655491</t>
        </is>
      </c>
      <c r="K17" s="7" t="inlineStr">
        <is>
          <t>30.06.2028</t>
        </is>
      </c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40</v>
      </c>
      <c r="D18" s="5" t="inlineStr">
        <is>
          <t>Кран шаровый муфтовый 11б27п1 Ду 15 Ру 16</t>
        </is>
      </c>
      <c r="E18" s="6" t="n">
        <v>20</v>
      </c>
      <c r="F18" s="5" t="inlineStr">
        <is>
          <t>шт</t>
        </is>
      </c>
      <c r="G18" s="8" t="n"/>
      <c r="H18" s="8" t="n"/>
      <c r="I18" s="8" t="n"/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57</v>
      </c>
      <c r="D19" s="5" t="inlineStr">
        <is>
          <t>Кран шаровый LD Ду 80 Ру 25 фланцевый стальной КШ.Ц.Ф.080/070.025.Н/П.02</t>
        </is>
      </c>
      <c r="E19" s="6" t="n">
        <v>6</v>
      </c>
      <c r="F19" s="5" t="inlineStr">
        <is>
          <t>шт</t>
        </is>
      </c>
      <c r="G19" s="7" t="inlineStr">
        <is>
          <t>Кран шаровой LD КШ.Ц.Ф.080/070.025.Н/П.02 (Ду80, Ру25, фланцевый, ст.20)</t>
        </is>
      </c>
      <c r="H19" s="7" t="inlineStr">
        <is>
          <t>ООО «ЧелябинскСпецГражданСтрой» (завод LD / LD Pride; продажи — ООО «ТД «ЛД»)</t>
        </is>
      </c>
      <c r="I19" s="7" t="inlineStr">
        <is>
          <t>Россия</t>
        </is>
      </c>
      <c r="J19" s="7" t="inlineStr">
        <is>
          <t>10655491</t>
        </is>
      </c>
      <c r="K19" s="7" t="inlineStr">
        <is>
          <t>30.06.2028</t>
        </is>
      </c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11202</t>
        </is>
      </c>
      <c r="B20" s="5" t="inlineStr">
        <is>
          <t>№ 2</t>
        </is>
      </c>
      <c r="C20" s="6" t="n">
        <v>3</v>
      </c>
      <c r="D20" s="5" t="inlineStr">
        <is>
          <t>Кран шаровой VALTEC BASE, рукоятка 3/4" вн.-вн. VT.214.N.05</t>
        </is>
      </c>
      <c r="E20" s="6" t="n">
        <v>10</v>
      </c>
      <c r="F20" s="5" t="inlineStr">
        <is>
          <t>шт</t>
        </is>
      </c>
      <c r="G20" s="8" t="n"/>
      <c r="H20" s="8" t="n"/>
      <c r="I20" s="8" t="n"/>
      <c r="J20" s="8" t="n"/>
      <c r="K20" s="8" t="n"/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5" t="inlineStr">
        <is>
          <t>11202</t>
        </is>
      </c>
      <c r="B21" s="5" t="inlineStr">
        <is>
          <t>№ 2</t>
        </is>
      </c>
      <c r="C21" s="6" t="n">
        <v>4</v>
      </c>
      <c r="D21" s="5" t="inlineStr">
        <is>
          <t>Кран шаровый муфтовый 11б27п1 Ду 15 Ру 16</t>
        </is>
      </c>
      <c r="E21" s="6" t="n">
        <v>20</v>
      </c>
      <c r="F21" s="5" t="inlineStr">
        <is>
          <t>шт</t>
        </is>
      </c>
      <c r="G21" s="8" t="n"/>
      <c r="H21" s="8" t="n"/>
      <c r="I21" s="8" t="n"/>
      <c r="J21" s="8" t="n"/>
      <c r="K21" s="8" t="n"/>
      <c r="L21" s="8" t="n"/>
      <c r="M21" s="9" t="n"/>
      <c r="N21" s="10">
        <f>M21*E21</f>
        <v/>
      </c>
      <c r="O21" s="8" t="n"/>
      <c r="P21" s="8" t="n"/>
      <c r="Q21" s="8" t="n"/>
    </row>
    <row r="22" ht="48" customHeight="1">
      <c r="A22" s="5" t="inlineStr">
        <is>
          <t>11202</t>
        </is>
      </c>
      <c r="B22" s="5" t="inlineStr">
        <is>
          <t>№ 2</t>
        </is>
      </c>
      <c r="C22" s="6" t="n">
        <v>5</v>
      </c>
      <c r="D22" s="5" t="inlineStr">
        <is>
          <t>Кран шаровый муфтовый  11б27п1 Ду 20 Ру 16</t>
        </is>
      </c>
      <c r="E22" s="6" t="n">
        <v>20</v>
      </c>
      <c r="F22" s="5" t="inlineStr">
        <is>
          <t>шт</t>
        </is>
      </c>
      <c r="G22" s="8" t="n"/>
      <c r="H22" s="8" t="n"/>
      <c r="I22" s="8" t="n"/>
      <c r="J22" s="8" t="n"/>
      <c r="K22" s="8" t="n"/>
      <c r="L22" s="8" t="n"/>
      <c r="M22" s="9" t="n"/>
      <c r="N22" s="10">
        <f>M22*E22</f>
        <v/>
      </c>
      <c r="O22" s="8" t="n"/>
      <c r="P22" s="8" t="n"/>
      <c r="Q22" s="8" t="n"/>
    </row>
    <row r="23" ht="48" customHeight="1">
      <c r="A23" s="5" t="inlineStr">
        <is>
          <t>11202</t>
        </is>
      </c>
      <c r="B23" s="5" t="inlineStr">
        <is>
          <t>№ 2</t>
        </is>
      </c>
      <c r="C23" s="6" t="n">
        <v>9</v>
      </c>
      <c r="D23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резьба внутренняя/наружная. Либо VALTEC BAS VT.218.N.04</t>
        </is>
      </c>
      <c r="E23" s="6" t="n">
        <v>20</v>
      </c>
      <c r="F23" s="5" t="inlineStr">
        <is>
          <t>шт</t>
        </is>
      </c>
      <c r="G23" s="8" t="n"/>
      <c r="H23" s="8" t="n"/>
      <c r="I23" s="8" t="n"/>
      <c r="J23" s="8" t="n"/>
      <c r="K23" s="8" t="n"/>
      <c r="L23" s="8" t="n"/>
      <c r="M23" s="9" t="n"/>
      <c r="N23" s="10">
        <f>M23*E23</f>
        <v/>
      </c>
      <c r="O23" s="8" t="n"/>
      <c r="P23" s="8" t="n"/>
      <c r="Q23" s="8" t="n"/>
    </row>
    <row r="24" ht="48" customHeight="1">
      <c r="A24" s="5" t="inlineStr">
        <is>
          <t>11202</t>
        </is>
      </c>
      <c r="B24" s="5" t="inlineStr">
        <is>
          <t>№ 2</t>
        </is>
      </c>
      <c r="C24" s="6" t="n">
        <v>10</v>
      </c>
      <c r="D24" s="5" t="inlineStr">
        <is>
          <t>Кран шаровый с характеристиками не ниже и отвечающий техническим требованиям: размер 3/4", 150 гр.Ц, полнопроходной, корпус латунный, никелированный, резьба внутренняя/наружная. Либо VALTEC BAS VT.218.N.05</t>
        </is>
      </c>
      <c r="E24" s="6" t="n">
        <v>20</v>
      </c>
      <c r="F24" s="5" t="inlineStr">
        <is>
          <t>шт</t>
        </is>
      </c>
      <c r="G24" s="8" t="n"/>
      <c r="H24" s="8" t="n"/>
      <c r="I24" s="8" t="n"/>
      <c r="J24" s="8" t="n"/>
      <c r="K24" s="8" t="n"/>
      <c r="L24" s="8" t="n"/>
      <c r="M24" s="9" t="n"/>
      <c r="N24" s="10">
        <f>M24*E24</f>
        <v/>
      </c>
      <c r="O24" s="8" t="n"/>
      <c r="P24" s="8" t="n"/>
      <c r="Q24" s="8" t="n"/>
    </row>
    <row r="25" ht="48" customHeight="1">
      <c r="A25" s="5" t="inlineStr">
        <is>
          <t>11202</t>
        </is>
      </c>
      <c r="B25" s="5" t="inlineStr">
        <is>
          <t>№ 2</t>
        </is>
      </c>
      <c r="C25" s="6" t="n">
        <v>11</v>
      </c>
      <c r="D25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с полусгоном и наружной резьбой. Либо VALTEC BAS VT.226.N.04</t>
        </is>
      </c>
      <c r="E25" s="6" t="n">
        <v>10</v>
      </c>
      <c r="F25" s="5" t="inlineStr">
        <is>
          <t>шт</t>
        </is>
      </c>
      <c r="G25" s="8" t="n"/>
      <c r="H25" s="8" t="n"/>
      <c r="I25" s="8" t="n"/>
      <c r="J25" s="8" t="n"/>
      <c r="K25" s="8" t="n"/>
      <c r="L25" s="8" t="n"/>
      <c r="M25" s="9" t="n"/>
      <c r="N25" s="10">
        <f>M25*E25</f>
        <v/>
      </c>
      <c r="O25" s="8" t="n"/>
      <c r="P25" s="8" t="n"/>
      <c r="Q25" s="8" t="n"/>
    </row>
    <row r="26" ht="48" customHeight="1">
      <c r="A26" s="5" t="inlineStr">
        <is>
          <t>11202</t>
        </is>
      </c>
      <c r="B26" s="5" t="inlineStr">
        <is>
          <t>№ 2</t>
        </is>
      </c>
      <c r="C26" s="6" t="n">
        <v>12</v>
      </c>
      <c r="D26" s="5" t="inlineStr">
        <is>
          <t>Кран шаровый с характеристиками не ниже и отвечающий техническим требованиям: размер 3/4", 150гр.Ц , полнопроходной, корпус латунный, никелированный, с полусгоном и наружной резьбой. Либо VALTEC BAS VT.226.N.05</t>
        </is>
      </c>
      <c r="E26" s="6" t="n">
        <v>10</v>
      </c>
      <c r="F26" s="5" t="inlineStr">
        <is>
          <t>шт</t>
        </is>
      </c>
      <c r="G26" s="8" t="n"/>
      <c r="H26" s="8" t="n"/>
      <c r="I26" s="8" t="n"/>
      <c r="J26" s="8" t="n"/>
      <c r="K26" s="8" t="n"/>
      <c r="L26" s="8" t="n"/>
      <c r="M26" s="9" t="n"/>
      <c r="N26" s="10">
        <f>M26*E26</f>
        <v/>
      </c>
      <c r="O26" s="8" t="n"/>
      <c r="P26" s="8" t="n"/>
      <c r="Q26" s="8" t="n"/>
    </row>
    <row r="27" ht="48" customHeight="1">
      <c r="A27" s="5" t="inlineStr">
        <is>
          <t>11202</t>
        </is>
      </c>
      <c r="B27" s="5" t="inlineStr">
        <is>
          <t>№ 2</t>
        </is>
      </c>
      <c r="C27" s="6" t="n">
        <v>16</v>
      </c>
      <c r="D27" s="5" t="inlineStr">
        <is>
          <t>Кран шаровой ГАЛЛОП Практик 120 1″ Ду25 Ру16 стандартнопроходной,</t>
        </is>
      </c>
      <c r="E27" s="6" t="n">
        <v>10</v>
      </c>
      <c r="F27" s="5" t="inlineStr">
        <is>
          <t>шт</t>
        </is>
      </c>
      <c r="G27" s="8" t="n"/>
      <c r="H27" s="8" t="n"/>
      <c r="I27" s="8" t="n"/>
      <c r="J27" s="8" t="n"/>
      <c r="K27" s="8" t="n"/>
      <c r="L27" s="8" t="n"/>
      <c r="M27" s="9" t="n"/>
      <c r="N27" s="10">
        <f>M27*E27</f>
        <v/>
      </c>
      <c r="O27" s="8" t="n"/>
      <c r="P27" s="8" t="n"/>
      <c r="Q27" s="8" t="n"/>
    </row>
    <row r="28" ht="48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>
        <is>
          <t>ИТОГО</t>
        </is>
      </c>
      <c r="N28" s="12">
        <f>SUM(N6:N27)</f>
        <v/>
      </c>
      <c r="O28" s="2" t="n"/>
      <c r="P28" s="2" t="n"/>
      <c r="Q2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