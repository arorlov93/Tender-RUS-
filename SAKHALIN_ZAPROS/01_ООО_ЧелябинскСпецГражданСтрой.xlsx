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44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6" customWidth="1" min="3" max="3"/>
    <col width="60" customWidth="1" min="4" max="4"/>
    <col width="7" customWidth="1" min="5" max="5"/>
    <col width="5" customWidth="1" min="6" max="6"/>
    <col width="26" customWidth="1" min="7" max="7"/>
    <col width="26" customWidth="1" min="8" max="8"/>
    <col width="14" customWidth="1" min="9" max="9"/>
    <col width="26" customWidth="1" min="10" max="10"/>
    <col width="13" customWidth="1" min="11" max="11"/>
    <col width="24" customWidth="1" min="12" max="12"/>
    <col width="13" customWidth="1" min="13" max="13"/>
    <col width="14" customWidth="1" min="14" max="14"/>
    <col width="14" customWidth="1" min="15" max="15"/>
    <col width="14" customWidth="1" min="16" max="16"/>
    <col width="20" customWidth="1" min="17" max="17"/>
  </cols>
  <sheetData>
    <row r="1" ht="18" customHeight="1">
      <c r="A1" s="1" t="inlineStr">
        <is>
          <t>Запрос КП — ООО «ГИДРОПАС» (ИНН 9729231965) для ПАО «Сахалинэнерго» (группа РусГидро). Получатель: ООО «ЧелябинскСпецГражданСтрой» (завод LD / LD Pride; продажи — ООО «ТД «ЛД»)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 ht="18" customHeight="1">
      <c r="A2" s="2" t="inlineStr">
        <is>
          <t>Просим заполнить жёлтые графы. Наименование и характеристики — дословно из технических требований заказчика (марки носят описательный характер, эквивалент допускается с подробным описанием).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 ht="18" customHeight="1">
      <c r="A3" s="2" t="inlineStr">
        <is>
          <t>Нацрежим ПП 1875 (ограничение): обязательны производитель и ДЕЙСТВУЮЩИЙ номер реестровой записи ПП 719 / евразийского реестра, производитель должен совпадать с записью. Приложите выписку из ГИСП.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18" customHeight="1">
      <c r="A4" s="2" t="inlineStr">
        <is>
          <t>Товар новый 2026–2027 гг. выпуска; сертификаты/декларации ТР ТС 010/2011 и 032/2013; гарантия по паспорту завода; упаковка для морской перевозки. Доставка — до г. Южно-Сахалинск (укажите вес и габариты).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</row>
    <row r="5" ht="51" customHeight="1">
      <c r="A5" s="3" t="inlineStr">
        <is>
          <t>Лот</t>
        </is>
      </c>
      <c r="B5" s="3" t="inlineStr">
        <is>
          <t>Партия</t>
        </is>
      </c>
      <c r="C5" s="3" t="inlineStr">
        <is>
          <t>№ п/п в ТТ</t>
        </is>
      </c>
      <c r="D5" s="3" t="inlineStr">
        <is>
          <t>Наименование продукции и требования заказчика (дословно из ТТ)</t>
        </is>
      </c>
      <c r="E5" s="3" t="inlineStr">
        <is>
          <t>Кол-во</t>
        </is>
      </c>
      <c r="F5" s="3" t="inlineStr">
        <is>
          <t>Ед.</t>
        </is>
      </c>
      <c r="G5" s="4" t="inlineStr">
        <is>
          <t>Предлагаемая марка / обозначение</t>
        </is>
      </c>
      <c r="H5" s="4" t="inlineStr">
        <is>
          <t>Производитель (завод)</t>
        </is>
      </c>
      <c r="I5" s="4" t="inlineStr">
        <is>
          <t>Страна происхождения</t>
        </is>
      </c>
      <c r="J5" s="4" t="inlineStr">
        <is>
          <t>№ реестровой записи (ПП 719) или евразийского реестра</t>
        </is>
      </c>
      <c r="K5" s="4" t="inlineStr">
        <is>
          <t>Срок действия записи</t>
        </is>
      </c>
      <c r="L5" s="4" t="inlineStr">
        <is>
          <t>Соответствие ТТ: «да» или отличия</t>
        </is>
      </c>
      <c r="M5" s="4" t="inlineStr">
        <is>
          <t>Цена за ед. с НДС, ₽</t>
        </is>
      </c>
      <c r="N5" s="4" t="inlineStr">
        <is>
          <t>Сумма с НДС, ₽</t>
        </is>
      </c>
      <c r="O5" s="4" t="inlineStr">
        <is>
          <t>Срок изготовления / отгрузки</t>
        </is>
      </c>
      <c r="P5" s="4" t="inlineStr">
        <is>
          <t>Вес ед., кг / габариты</t>
        </is>
      </c>
      <c r="Q5" s="4" t="inlineStr">
        <is>
          <t>Сертификат / декларация ТР ТС №</t>
        </is>
      </c>
    </row>
    <row r="6" ht="48" customHeight="1">
      <c r="A6" s="5" t="inlineStr">
        <is>
          <t>11201</t>
        </is>
      </c>
      <c r="B6" s="5" t="inlineStr">
        <is>
          <t>№ 1</t>
        </is>
      </c>
      <c r="C6" s="6" t="n">
        <v>1</v>
      </c>
      <c r="D6" s="5" t="inlineStr">
        <is>
          <t>Кран шаровый LD КШЦП из стали 20 Ду15 Ру4,0МПа</t>
        </is>
      </c>
      <c r="E6" s="6" t="n">
        <v>10</v>
      </c>
      <c r="F6" s="5" t="inlineStr">
        <is>
          <t>шт</t>
        </is>
      </c>
      <c r="G6" s="7" t="inlineStr">
        <is>
          <t>Кран шаровой LD КШ.Ц.П.015.040.Н/П.02 (ст.20, Ду15, Ру4,0 МПа, под приварку)</t>
        </is>
      </c>
      <c r="H6" s="7" t="inlineStr">
        <is>
          <t>ООО «ЧелябинскСпецГражданСтрой» (завод LD / LD Pride; продажи — ООО «ТД «ЛД»)</t>
        </is>
      </c>
      <c r="I6" s="7" t="inlineStr">
        <is>
          <t>Россия</t>
        </is>
      </c>
      <c r="J6" s="7" t="inlineStr">
        <is>
          <t>10655491</t>
        </is>
      </c>
      <c r="K6" s="7" t="inlineStr">
        <is>
          <t>30.06.2028</t>
        </is>
      </c>
      <c r="L6" s="8" t="n"/>
      <c r="M6" s="9" t="n"/>
      <c r="N6" s="10">
        <f>M6*E6</f>
        <v/>
      </c>
      <c r="O6" s="8" t="n"/>
      <c r="P6" s="8" t="n"/>
      <c r="Q6" s="8" t="n"/>
    </row>
    <row r="7" ht="48" customHeight="1">
      <c r="A7" s="5" t="inlineStr">
        <is>
          <t>11201</t>
        </is>
      </c>
      <c r="B7" s="5" t="inlineStr">
        <is>
          <t>№ 1</t>
        </is>
      </c>
      <c r="C7" s="6" t="n">
        <v>2</v>
      </c>
      <c r="D7" s="5" t="inlineStr">
        <is>
          <t>Кран шаровый LD КШЦП из стали 20 Ду20 Ру4,0МПа</t>
        </is>
      </c>
      <c r="E7" s="6" t="n">
        <v>18</v>
      </c>
      <c r="F7" s="5" t="inlineStr">
        <is>
          <t>шт</t>
        </is>
      </c>
      <c r="G7" s="7" t="inlineStr">
        <is>
          <t>Кран шаровой LD КШ.Ц.П.020.040.Н/П.02 (ст.20, Ду20, Ру4,0 МПа, под приварку)</t>
        </is>
      </c>
      <c r="H7" s="7" t="inlineStr">
        <is>
          <t>ООО «ЧелябинскСпецГражданСтрой» (завод LD / LD Pride; продажи — ООО «ТД «ЛД»)</t>
        </is>
      </c>
      <c r="I7" s="7" t="inlineStr">
        <is>
          <t>Россия</t>
        </is>
      </c>
      <c r="J7" s="7" t="inlineStr">
        <is>
          <t>10655491</t>
        </is>
      </c>
      <c r="K7" s="7" t="inlineStr">
        <is>
          <t>30.06.2028</t>
        </is>
      </c>
      <c r="L7" s="8" t="n"/>
      <c r="M7" s="9" t="n"/>
      <c r="N7" s="10">
        <f>M7*E7</f>
        <v/>
      </c>
      <c r="O7" s="8" t="n"/>
      <c r="P7" s="8" t="n"/>
      <c r="Q7" s="8" t="n"/>
    </row>
    <row r="8" ht="48" customHeight="1">
      <c r="A8" s="5" t="inlineStr">
        <is>
          <t>11201</t>
        </is>
      </c>
      <c r="B8" s="5" t="inlineStr">
        <is>
          <t>№ 1</t>
        </is>
      </c>
      <c r="C8" s="6" t="n">
        <v>3</v>
      </c>
      <c r="D8" s="5" t="inlineStr">
        <is>
          <t>Кран шаровый LD КШЦП из стали 20 Ду25 Ру4,0МПа</t>
        </is>
      </c>
      <c r="E8" s="6" t="n">
        <v>18</v>
      </c>
      <c r="F8" s="5" t="inlineStr">
        <is>
          <t>шт</t>
        </is>
      </c>
      <c r="G8" s="7" t="inlineStr">
        <is>
          <t>Кран шаровой LD КШ.Ц.П.025.040.Н/П.02 (ст.20, Ду25, Ру4,0 МПа, под приварку)</t>
        </is>
      </c>
      <c r="H8" s="7" t="inlineStr">
        <is>
          <t>ООО «ЧелябинскСпецГражданСтрой» (завод LD / LD Pride; продажи — ООО «ТД «ЛД»)</t>
        </is>
      </c>
      <c r="I8" s="7" t="inlineStr">
        <is>
          <t>Россия</t>
        </is>
      </c>
      <c r="J8" s="7" t="inlineStr">
        <is>
          <t>10655491</t>
        </is>
      </c>
      <c r="K8" s="7" t="inlineStr">
        <is>
          <t>30.06.2028</t>
        </is>
      </c>
      <c r="L8" s="8" t="n"/>
      <c r="M8" s="9" t="n"/>
      <c r="N8" s="10">
        <f>M8*E8</f>
        <v/>
      </c>
      <c r="O8" s="8" t="n"/>
      <c r="P8" s="8" t="n"/>
      <c r="Q8" s="8" t="n"/>
    </row>
    <row r="9" ht="48" customHeight="1">
      <c r="A9" s="5" t="inlineStr">
        <is>
          <t>11201</t>
        </is>
      </c>
      <c r="B9" s="5" t="inlineStr">
        <is>
          <t>№ 1</t>
        </is>
      </c>
      <c r="C9" s="6" t="n">
        <v>4</v>
      </c>
      <c r="D9" s="5" t="inlineStr">
        <is>
          <t>Кран шаровый LD КШЦП из стали 20 Ду50 Ру4,0МПа</t>
        </is>
      </c>
      <c r="E9" s="6" t="n">
        <v>25</v>
      </c>
      <c r="F9" s="5" t="inlineStr">
        <is>
          <t>шт</t>
        </is>
      </c>
      <c r="G9" s="7" t="inlineStr">
        <is>
          <t>Кран шаровой LD КШ.Ц.П.050.040.Н/П.02 (ст.20, Ду50, Ру4,0 МПа, под приварку)</t>
        </is>
      </c>
      <c r="H9" s="7" t="inlineStr">
        <is>
          <t>ООО «ЧелябинскСпецГражданСтрой» (завод LD / LD Pride; продажи — ООО «ТД «ЛД»)</t>
        </is>
      </c>
      <c r="I9" s="7" t="inlineStr">
        <is>
          <t>Россия</t>
        </is>
      </c>
      <c r="J9" s="7" t="inlineStr">
        <is>
          <t>10655491</t>
        </is>
      </c>
      <c r="K9" s="7" t="inlineStr">
        <is>
          <t>30.06.2028</t>
        </is>
      </c>
      <c r="L9" s="8" t="n"/>
      <c r="M9" s="9" t="n"/>
      <c r="N9" s="10">
        <f>M9*E9</f>
        <v/>
      </c>
      <c r="O9" s="8" t="n"/>
      <c r="P9" s="8" t="n"/>
      <c r="Q9" s="8" t="n"/>
    </row>
    <row r="10" ht="48" customHeight="1">
      <c r="A10" s="5" t="inlineStr">
        <is>
          <t>11201</t>
        </is>
      </c>
      <c r="B10" s="5" t="inlineStr">
        <is>
          <t>№ 1</t>
        </is>
      </c>
      <c r="C10" s="6" t="n">
        <v>6</v>
      </c>
      <c r="D10" s="5" t="inlineStr">
        <is>
          <t>Кран шаровый Стандарт 1/2" ВВ бабочка VALTEC Артикул:VT. 122. GN. 04</t>
        </is>
      </c>
      <c r="E10" s="6" t="n">
        <v>20</v>
      </c>
      <c r="F10" s="5" t="inlineStr">
        <is>
          <t>шт</t>
        </is>
      </c>
      <c r="G10" s="7" t="inlineStr">
        <is>
          <t>Кран шаровой LD Pride 47.15.В-В.Б 1/2" (ВР-ВР, бабочка)</t>
        </is>
      </c>
      <c r="H10" s="7" t="inlineStr">
        <is>
          <t>ООО «ЧелябинскСпецГражданСтрой» (завод LD / LD Pride; продажи — ООО «ТД «ЛД»)</t>
        </is>
      </c>
      <c r="I10" s="7" t="inlineStr">
        <is>
          <t>Россия</t>
        </is>
      </c>
      <c r="J10" s="7" t="inlineStr">
        <is>
          <t>10655491</t>
        </is>
      </c>
      <c r="K10" s="7" t="inlineStr">
        <is>
          <t>30.06.2028</t>
        </is>
      </c>
      <c r="L10" s="8" t="n"/>
      <c r="M10" s="9" t="n"/>
      <c r="N10" s="10">
        <f>M10*E10</f>
        <v/>
      </c>
      <c r="O10" s="8" t="n"/>
      <c r="P10" s="8" t="n"/>
      <c r="Q10" s="8" t="n"/>
    </row>
    <row r="11" ht="48" customHeight="1">
      <c r="A11" s="5" t="inlineStr">
        <is>
          <t>11201</t>
        </is>
      </c>
      <c r="B11" s="5" t="inlineStr">
        <is>
          <t>№ 1</t>
        </is>
      </c>
      <c r="C11" s="6" t="n">
        <v>10</v>
      </c>
      <c r="D11" s="5" t="inlineStr">
        <is>
          <t>Фланец ГОСТ 33259-2015 (ГОСТ 12820-80)  Ду 200 Ру 16 исп.B (1исп.)</t>
        </is>
      </c>
      <c r="E11" s="6" t="n">
        <v>10</v>
      </c>
      <c r="F11" s="5" t="inlineStr">
        <is>
          <t>шт</t>
        </is>
      </c>
      <c r="G11" s="8" t="n"/>
      <c r="H11" s="8" t="n"/>
      <c r="I11" s="8" t="n"/>
      <c r="J11" s="8" t="n"/>
      <c r="K11" s="8" t="n"/>
      <c r="L11" s="8" t="n"/>
      <c r="M11" s="9" t="n"/>
      <c r="N11" s="10">
        <f>M11*E11</f>
        <v/>
      </c>
      <c r="O11" s="8" t="n"/>
      <c r="P11" s="8" t="n"/>
      <c r="Q11" s="8" t="n"/>
    </row>
    <row r="12" ht="48" customHeight="1">
      <c r="A12" s="5" t="inlineStr">
        <is>
          <t>11201</t>
        </is>
      </c>
      <c r="B12" s="5" t="inlineStr">
        <is>
          <t>№ 1</t>
        </is>
      </c>
      <c r="C12" s="6" t="n">
        <v>24</v>
      </c>
      <c r="D12" s="5" t="inlineStr">
        <is>
          <t>Фланец ГОСТ 33259-2015 (ГОСТ 12820-80)  Ду 32 Ру 10 исп.B (1исп.)</t>
        </is>
      </c>
      <c r="E12" s="6" t="n">
        <v>10</v>
      </c>
      <c r="F12" s="5" t="inlineStr">
        <is>
          <t>шт</t>
        </is>
      </c>
      <c r="G12" s="8" t="n"/>
      <c r="H12" s="8" t="n"/>
      <c r="I12" s="8" t="n"/>
      <c r="J12" s="8" t="n"/>
      <c r="K12" s="8" t="n"/>
      <c r="L12" s="8" t="n"/>
      <c r="M12" s="9" t="n"/>
      <c r="N12" s="10">
        <f>M12*E12</f>
        <v/>
      </c>
      <c r="O12" s="8" t="n"/>
      <c r="P12" s="8" t="n"/>
      <c r="Q12" s="8" t="n"/>
    </row>
    <row r="13" ht="48" customHeight="1">
      <c r="A13" s="5" t="inlineStr">
        <is>
          <t>11201</t>
        </is>
      </c>
      <c r="B13" s="5" t="inlineStr">
        <is>
          <t>№ 1</t>
        </is>
      </c>
      <c r="C13" s="6" t="n">
        <v>25</v>
      </c>
      <c r="D13" s="5" t="inlineStr">
        <is>
          <t>Фланец ГОСТ 33259-2015 (ГОСТ 12820-80)  Ду 50 Ру 10 исп.B (1исп.)</t>
        </is>
      </c>
      <c r="E13" s="6" t="n">
        <v>10</v>
      </c>
      <c r="F13" s="5" t="inlineStr">
        <is>
          <t>шт</t>
        </is>
      </c>
      <c r="G13" s="8" t="n"/>
      <c r="H13" s="8" t="n"/>
      <c r="I13" s="8" t="n"/>
      <c r="J13" s="8" t="n"/>
      <c r="K13" s="8" t="n"/>
      <c r="L13" s="8" t="n"/>
      <c r="M13" s="9" t="n"/>
      <c r="N13" s="10">
        <f>M13*E13</f>
        <v/>
      </c>
      <c r="O13" s="8" t="n"/>
      <c r="P13" s="8" t="n"/>
      <c r="Q13" s="8" t="n"/>
    </row>
    <row r="14" ht="48" customHeight="1">
      <c r="A14" s="5" t="inlineStr">
        <is>
          <t>11201</t>
        </is>
      </c>
      <c r="B14" s="5" t="inlineStr">
        <is>
          <t>№ 1</t>
        </is>
      </c>
      <c r="C14" s="6" t="n">
        <v>26</v>
      </c>
      <c r="D14" s="5" t="inlineStr">
        <is>
          <t>Фланец ГОСТ 33259-2015 (ГОСТ 12820-80)  Ду 80 Ру 10 исп.B (1исп.)</t>
        </is>
      </c>
      <c r="E14" s="6" t="n">
        <v>30</v>
      </c>
      <c r="F14" s="5" t="inlineStr">
        <is>
          <t>шт</t>
        </is>
      </c>
      <c r="G14" s="8" t="n"/>
      <c r="H14" s="8" t="n"/>
      <c r="I14" s="8" t="n"/>
      <c r="J14" s="8" t="n"/>
      <c r="K14" s="8" t="n"/>
      <c r="L14" s="8" t="n"/>
      <c r="M14" s="9" t="n"/>
      <c r="N14" s="10">
        <f>M14*E14</f>
        <v/>
      </c>
      <c r="O14" s="8" t="n"/>
      <c r="P14" s="8" t="n"/>
      <c r="Q14" s="8" t="n"/>
    </row>
    <row r="15" ht="48" customHeight="1">
      <c r="A15" s="5" t="inlineStr">
        <is>
          <t>11201</t>
        </is>
      </c>
      <c r="B15" s="5" t="inlineStr">
        <is>
          <t>№ 1</t>
        </is>
      </c>
      <c r="C15" s="6" t="n">
        <v>27</v>
      </c>
      <c r="D15" s="5" t="inlineStr">
        <is>
          <t>Фланец ГОСТ 33259-2015 (ГОСТ 12820-80)  Ду 100 Ру 10 исп.B (1исп.)</t>
        </is>
      </c>
      <c r="E15" s="6" t="n">
        <v>34</v>
      </c>
      <c r="F15" s="5" t="inlineStr">
        <is>
          <t>шт</t>
        </is>
      </c>
      <c r="G15" s="8" t="n"/>
      <c r="H15" s="8" t="n"/>
      <c r="I15" s="8" t="n"/>
      <c r="J15" s="8" t="n"/>
      <c r="K15" s="8" t="n"/>
      <c r="L15" s="8" t="n"/>
      <c r="M15" s="9" t="n"/>
      <c r="N15" s="10">
        <f>M15*E15</f>
        <v/>
      </c>
      <c r="O15" s="8" t="n"/>
      <c r="P15" s="8" t="n"/>
      <c r="Q15" s="8" t="n"/>
    </row>
    <row r="16" ht="48" customHeight="1">
      <c r="A16" s="5" t="inlineStr">
        <is>
          <t>11201</t>
        </is>
      </c>
      <c r="B16" s="5" t="inlineStr">
        <is>
          <t>№ 1</t>
        </is>
      </c>
      <c r="C16" s="6" t="n">
        <v>28</v>
      </c>
      <c r="D16" s="5" t="inlineStr">
        <is>
          <t>Фланец ГОСТ 33259-2015 (ГОСТ 12820-80)  Ду 150 Ру 10 исп.B (1исп.)</t>
        </is>
      </c>
      <c r="E16" s="6" t="n">
        <v>10</v>
      </c>
      <c r="F16" s="5" t="inlineStr">
        <is>
          <t>шт</t>
        </is>
      </c>
      <c r="G16" s="8" t="n"/>
      <c r="H16" s="8" t="n"/>
      <c r="I16" s="8" t="n"/>
      <c r="J16" s="8" t="n"/>
      <c r="K16" s="8" t="n"/>
      <c r="L16" s="8" t="n"/>
      <c r="M16" s="9" t="n"/>
      <c r="N16" s="10">
        <f>M16*E16</f>
        <v/>
      </c>
      <c r="O16" s="8" t="n"/>
      <c r="P16" s="8" t="n"/>
      <c r="Q16" s="8" t="n"/>
    </row>
    <row r="17" ht="48" customHeight="1">
      <c r="A17" s="5" t="inlineStr">
        <is>
          <t>11201</t>
        </is>
      </c>
      <c r="B17" s="5" t="inlineStr">
        <is>
          <t>№ 2</t>
        </is>
      </c>
      <c r="C17" s="6" t="n">
        <v>8</v>
      </c>
      <c r="D17" s="5" t="inlineStr">
        <is>
          <t>Фланец ГОСТ 33259-2015 (ГОСТ 12820-80)   Ду 50 Ру 10 исп.B (1исп.)</t>
        </is>
      </c>
      <c r="E17" s="6" t="n">
        <v>12</v>
      </c>
      <c r="F17" s="5" t="inlineStr">
        <is>
          <t>шт</t>
        </is>
      </c>
      <c r="G17" s="8" t="n"/>
      <c r="H17" s="8" t="n"/>
      <c r="I17" s="8" t="n"/>
      <c r="J17" s="8" t="n"/>
      <c r="K17" s="8" t="n"/>
      <c r="L17" s="8" t="n"/>
      <c r="M17" s="9" t="n"/>
      <c r="N17" s="10">
        <f>M17*E17</f>
        <v/>
      </c>
      <c r="O17" s="8" t="n"/>
      <c r="P17" s="8" t="n"/>
      <c r="Q17" s="8" t="n"/>
    </row>
    <row r="18" ht="48" customHeight="1">
      <c r="A18" s="5" t="inlineStr">
        <is>
          <t>11201</t>
        </is>
      </c>
      <c r="B18" s="5" t="inlineStr">
        <is>
          <t>№ 2</t>
        </is>
      </c>
      <c r="C18" s="6" t="n">
        <v>11</v>
      </c>
      <c r="D18" s="5" t="inlineStr">
        <is>
          <t>Кран шаровый стальной ALSO Ду-80; Ру-16 фланцевый полнопроходной Сталь 20 под задвижку</t>
        </is>
      </c>
      <c r="E18" s="6" t="n">
        <v>10</v>
      </c>
      <c r="F18" s="5" t="inlineStr">
        <is>
          <t>шт</t>
        </is>
      </c>
      <c r="G18" s="8" t="n"/>
      <c r="H18" s="8" t="n"/>
      <c r="I18" s="8" t="n"/>
      <c r="J18" s="8" t="n"/>
      <c r="K18" s="8" t="n"/>
      <c r="L18" s="8" t="n"/>
      <c r="M18" s="9" t="n"/>
      <c r="N18" s="10">
        <f>M18*E18</f>
        <v/>
      </c>
      <c r="O18" s="8" t="n"/>
      <c r="P18" s="8" t="n"/>
      <c r="Q18" s="8" t="n"/>
    </row>
    <row r="19" ht="48" customHeight="1">
      <c r="A19" s="5" t="inlineStr">
        <is>
          <t>11201</t>
        </is>
      </c>
      <c r="B19" s="5" t="inlineStr">
        <is>
          <t>№ 3</t>
        </is>
      </c>
      <c r="C19" s="6" t="n">
        <v>2</v>
      </c>
      <c r="D19" s="5" t="inlineStr">
        <is>
          <t>Кран шаровый муфтовый 11б27п1 Ду 15 Ру 16 Кран шаровый муфтовый 11б27п1 Ду 15 Ру 16</t>
        </is>
      </c>
      <c r="E19" s="6" t="n">
        <v>8</v>
      </c>
      <c r="F19" s="5" t="inlineStr">
        <is>
          <t>шт</t>
        </is>
      </c>
      <c r="G19" s="8" t="n"/>
      <c r="H19" s="8" t="n"/>
      <c r="I19" s="8" t="n"/>
      <c r="J19" s="8" t="n"/>
      <c r="K19" s="8" t="n"/>
      <c r="L19" s="8" t="n"/>
      <c r="M19" s="9" t="n"/>
      <c r="N19" s="10">
        <f>M19*E19</f>
        <v/>
      </c>
      <c r="O19" s="8" t="n"/>
      <c r="P19" s="8" t="n"/>
      <c r="Q19" s="8" t="n"/>
    </row>
    <row r="20" ht="48" customHeight="1">
      <c r="A20" s="5" t="inlineStr">
        <is>
          <t>11201</t>
        </is>
      </c>
      <c r="B20" s="5" t="inlineStr">
        <is>
          <t>№ 3</t>
        </is>
      </c>
      <c r="C20" s="6" t="n">
        <v>3</v>
      </c>
      <c r="D20" s="5" t="inlineStr">
        <is>
          <t>Кран шаровый муфтовый  11б27п1 Ду 20 Ру 16 Кран шаровый муфтовый  11б27п1 Ду 20 Ру 16</t>
        </is>
      </c>
      <c r="E20" s="6" t="n">
        <v>4</v>
      </c>
      <c r="F20" s="5" t="inlineStr">
        <is>
          <t>шт</t>
        </is>
      </c>
      <c r="G20" s="8" t="n"/>
      <c r="H20" s="8" t="n"/>
      <c r="I20" s="8" t="n"/>
      <c r="J20" s="8" t="n"/>
      <c r="K20" s="8" t="n"/>
      <c r="L20" s="8" t="n"/>
      <c r="M20" s="9" t="n"/>
      <c r="N20" s="10">
        <f>M20*E20</f>
        <v/>
      </c>
      <c r="O20" s="8" t="n"/>
      <c r="P20" s="8" t="n"/>
      <c r="Q20" s="8" t="n"/>
    </row>
    <row r="21" ht="48" customHeight="1">
      <c r="A21" s="5" t="inlineStr">
        <is>
          <t>11202</t>
        </is>
      </c>
      <c r="B21" s="5" t="inlineStr">
        <is>
          <t>№ 1</t>
        </is>
      </c>
      <c r="C21" s="6" t="n">
        <v>3</v>
      </c>
      <c r="D21" s="5" t="inlineStr">
        <is>
          <t>Кран шаровый LD КШЦП из стали 20 Ду15 Ру4,0МПа</t>
        </is>
      </c>
      <c r="E21" s="6" t="n">
        <v>83</v>
      </c>
      <c r="F21" s="5" t="inlineStr">
        <is>
          <t>шт</t>
        </is>
      </c>
      <c r="G21" s="7" t="inlineStr">
        <is>
          <t>Кран шаровой LD КШ.Ц.П.015.040.Н/П.02 (ст.20, Ду15, Ру4,0 МПа, под приварку)</t>
        </is>
      </c>
      <c r="H21" s="7" t="inlineStr">
        <is>
          <t>ООО «ЧелябинскСпецГражданСтрой» (завод LD / LD Pride; продажи — ООО «ТД «ЛД»)</t>
        </is>
      </c>
      <c r="I21" s="7" t="inlineStr">
        <is>
          <t>Россия</t>
        </is>
      </c>
      <c r="J21" s="7" t="inlineStr">
        <is>
          <t>10655491</t>
        </is>
      </c>
      <c r="K21" s="7" t="inlineStr">
        <is>
          <t>30.06.2028</t>
        </is>
      </c>
      <c r="L21" s="8" t="n"/>
      <c r="M21" s="9" t="n"/>
      <c r="N21" s="10">
        <f>M21*E21</f>
        <v/>
      </c>
      <c r="O21" s="8" t="n"/>
      <c r="P21" s="8" t="n"/>
      <c r="Q21" s="8" t="n"/>
    </row>
    <row r="22" ht="48" customHeight="1">
      <c r="A22" s="5" t="inlineStr">
        <is>
          <t>11202</t>
        </is>
      </c>
      <c r="B22" s="5" t="inlineStr">
        <is>
          <t>№ 1</t>
        </is>
      </c>
      <c r="C22" s="6" t="n">
        <v>4</v>
      </c>
      <c r="D22" s="5" t="inlineStr">
        <is>
          <t>Кран шаровый LD КШЦП из стали 20 Ду20 Ру4,0МПа</t>
        </is>
      </c>
      <c r="E22" s="6" t="n">
        <v>7</v>
      </c>
      <c r="F22" s="5" t="inlineStr">
        <is>
          <t>шт</t>
        </is>
      </c>
      <c r="G22" s="7" t="inlineStr">
        <is>
          <t>Кран шаровой LD КШ.Ц.П.020.040.Н/П.02 (ст.20, Ду20, Ру4,0 МПа, под приварку)</t>
        </is>
      </c>
      <c r="H22" s="7" t="inlineStr">
        <is>
          <t>ООО «ЧелябинскСпецГражданСтрой» (завод LD / LD Pride; продажи — ООО «ТД «ЛД»)</t>
        </is>
      </c>
      <c r="I22" s="7" t="inlineStr">
        <is>
          <t>Россия</t>
        </is>
      </c>
      <c r="J22" s="7" t="inlineStr">
        <is>
          <t>10655491</t>
        </is>
      </c>
      <c r="K22" s="7" t="inlineStr">
        <is>
          <t>30.06.2028</t>
        </is>
      </c>
      <c r="L22" s="8" t="n"/>
      <c r="M22" s="9" t="n"/>
      <c r="N22" s="10">
        <f>M22*E22</f>
        <v/>
      </c>
      <c r="O22" s="8" t="n"/>
      <c r="P22" s="8" t="n"/>
      <c r="Q22" s="8" t="n"/>
    </row>
    <row r="23" ht="48" customHeight="1">
      <c r="A23" s="5" t="inlineStr">
        <is>
          <t>11202</t>
        </is>
      </c>
      <c r="B23" s="5" t="inlineStr">
        <is>
          <t>№ 1</t>
        </is>
      </c>
      <c r="C23" s="6" t="n">
        <v>5</v>
      </c>
      <c r="D23" s="5" t="inlineStr">
        <is>
          <t>Кран шаровый LD КШЦП из стали 20 Ду20 Ру4,0МПа</t>
        </is>
      </c>
      <c r="E23" s="6" t="n">
        <v>18</v>
      </c>
      <c r="F23" s="5" t="inlineStr">
        <is>
          <t>шт</t>
        </is>
      </c>
      <c r="G23" s="7" t="inlineStr">
        <is>
          <t>Кран шаровой LD КШ.Ц.П.020.040.Н/П.02 (ст.20, Ду20, Ру4,0 МПа, под приварку)</t>
        </is>
      </c>
      <c r="H23" s="7" t="inlineStr">
        <is>
          <t>ООО «ЧелябинскСпецГражданСтрой» (завод LD / LD Pride; продажи — ООО «ТД «ЛД»)</t>
        </is>
      </c>
      <c r="I23" s="7" t="inlineStr">
        <is>
          <t>Россия</t>
        </is>
      </c>
      <c r="J23" s="7" t="inlineStr">
        <is>
          <t>10655491</t>
        </is>
      </c>
      <c r="K23" s="7" t="inlineStr">
        <is>
          <t>30.06.2028</t>
        </is>
      </c>
      <c r="L23" s="8" t="n"/>
      <c r="M23" s="9" t="n"/>
      <c r="N23" s="10">
        <f>M23*E23</f>
        <v/>
      </c>
      <c r="O23" s="8" t="n"/>
      <c r="P23" s="8" t="n"/>
      <c r="Q23" s="8" t="n"/>
    </row>
    <row r="24" ht="48" customHeight="1">
      <c r="A24" s="5" t="inlineStr">
        <is>
          <t>11202</t>
        </is>
      </c>
      <c r="B24" s="5" t="inlineStr">
        <is>
          <t>№ 1</t>
        </is>
      </c>
      <c r="C24" s="6" t="n">
        <v>6</v>
      </c>
      <c r="D24" s="5" t="inlineStr">
        <is>
          <t>Кран шаровый LD КШЦП из стали 20 Ду20 Ру4,0МПа</t>
        </is>
      </c>
      <c r="E24" s="6" t="n">
        <v>18</v>
      </c>
      <c r="F24" s="5" t="inlineStr">
        <is>
          <t>шт</t>
        </is>
      </c>
      <c r="G24" s="7" t="inlineStr">
        <is>
          <t>Кран шаровой LD КШ.Ц.П.020.040.Н/П.02 (ст.20, Ду20, Ру4,0 МПа, под приварку)</t>
        </is>
      </c>
      <c r="H24" s="7" t="inlineStr">
        <is>
          <t>ООО «ЧелябинскСпецГражданСтрой» (завод LD / LD Pride; продажи — ООО «ТД «ЛД»)</t>
        </is>
      </c>
      <c r="I24" s="7" t="inlineStr">
        <is>
          <t>Россия</t>
        </is>
      </c>
      <c r="J24" s="7" t="inlineStr">
        <is>
          <t>10655491</t>
        </is>
      </c>
      <c r="K24" s="7" t="inlineStr">
        <is>
          <t>30.06.2028</t>
        </is>
      </c>
      <c r="L24" s="8" t="n"/>
      <c r="M24" s="9" t="n"/>
      <c r="N24" s="10">
        <f>M24*E24</f>
        <v/>
      </c>
      <c r="O24" s="8" t="n"/>
      <c r="P24" s="8" t="n"/>
      <c r="Q24" s="8" t="n"/>
    </row>
    <row r="25" ht="48" customHeight="1">
      <c r="A25" s="5" t="inlineStr">
        <is>
          <t>11202</t>
        </is>
      </c>
      <c r="B25" s="5" t="inlineStr">
        <is>
          <t>№ 1</t>
        </is>
      </c>
      <c r="C25" s="6" t="n">
        <v>7</v>
      </c>
      <c r="D25" s="5" t="inlineStr">
        <is>
          <t>Кран шаровый LD КШЦП из стали 20 Ду25 Ру4,0МПа</t>
        </is>
      </c>
      <c r="E25" s="6" t="n">
        <v>84</v>
      </c>
      <c r="F25" s="5" t="inlineStr">
        <is>
          <t>шт</t>
        </is>
      </c>
      <c r="G25" s="7" t="inlineStr">
        <is>
          <t>Кран шаровой LD КШ.Ц.П.025.040.Н/П.02 (ст.20, Ду25, Ру4,0 МПа, под приварку)</t>
        </is>
      </c>
      <c r="H25" s="7" t="inlineStr">
        <is>
          <t>ООО «ЧелябинскСпецГражданСтрой» (завод LD / LD Pride; продажи — ООО «ТД «ЛД»)</t>
        </is>
      </c>
      <c r="I25" s="7" t="inlineStr">
        <is>
          <t>Россия</t>
        </is>
      </c>
      <c r="J25" s="7" t="inlineStr">
        <is>
          <t>10655491</t>
        </is>
      </c>
      <c r="K25" s="7" t="inlineStr">
        <is>
          <t>30.06.2028</t>
        </is>
      </c>
      <c r="L25" s="8" t="n"/>
      <c r="M25" s="9" t="n"/>
      <c r="N25" s="10">
        <f>M25*E25</f>
        <v/>
      </c>
      <c r="O25" s="8" t="n"/>
      <c r="P25" s="8" t="n"/>
      <c r="Q25" s="8" t="n"/>
    </row>
    <row r="26" ht="48" customHeight="1">
      <c r="A26" s="5" t="inlineStr">
        <is>
          <t>11202</t>
        </is>
      </c>
      <c r="B26" s="5" t="inlineStr">
        <is>
          <t>№ 1</t>
        </is>
      </c>
      <c r="C26" s="6" t="n">
        <v>8</v>
      </c>
      <c r="D26" s="5" t="inlineStr">
        <is>
          <t>Кран шаровый LD КШЦП из стали 20 Ду32 Ру4,0МПа</t>
        </is>
      </c>
      <c r="E26" s="6" t="n">
        <v>24</v>
      </c>
      <c r="F26" s="5" t="inlineStr">
        <is>
          <t>шт</t>
        </is>
      </c>
      <c r="G26" s="7" t="inlineStr">
        <is>
          <t>Кран шаровой LD КШ.Ц.П.032.040.Н/П.02 (ст.20, Ду32, Ру4,0 МПа, под приварку)</t>
        </is>
      </c>
      <c r="H26" s="7" t="inlineStr">
        <is>
          <t>ООО «ЧелябинскСпецГражданСтрой» (завод LD / LD Pride; продажи — ООО «ТД «ЛД»)</t>
        </is>
      </c>
      <c r="I26" s="7" t="inlineStr">
        <is>
          <t>Россия</t>
        </is>
      </c>
      <c r="J26" s="7" t="inlineStr">
        <is>
          <t>10655491</t>
        </is>
      </c>
      <c r="K26" s="7" t="inlineStr">
        <is>
          <t>30.06.2028</t>
        </is>
      </c>
      <c r="L26" s="8" t="n"/>
      <c r="M26" s="9" t="n"/>
      <c r="N26" s="10">
        <f>M26*E26</f>
        <v/>
      </c>
      <c r="O26" s="8" t="n"/>
      <c r="P26" s="8" t="n"/>
      <c r="Q26" s="8" t="n"/>
    </row>
    <row r="27" ht="48" customHeight="1">
      <c r="A27" s="5" t="inlineStr">
        <is>
          <t>11202</t>
        </is>
      </c>
      <c r="B27" s="5" t="inlineStr">
        <is>
          <t>№ 1</t>
        </is>
      </c>
      <c r="C27" s="6" t="n">
        <v>9</v>
      </c>
      <c r="D27" s="5" t="inlineStr">
        <is>
          <t>Кран шаровый LD КШЦП из стали 20 Ду50 Ру4,0МПа</t>
        </is>
      </c>
      <c r="E27" s="6" t="n">
        <v>44</v>
      </c>
      <c r="F27" s="5" t="inlineStr">
        <is>
          <t>шт</t>
        </is>
      </c>
      <c r="G27" s="7" t="inlineStr">
        <is>
          <t>Кран шаровой LD КШ.Ц.П.050.040.Н/П.02 (ст.20, Ду50, Ру4,0 МПа, под приварку)</t>
        </is>
      </c>
      <c r="H27" s="7" t="inlineStr">
        <is>
          <t>ООО «ЧелябинскСпецГражданСтрой» (завод LD / LD Pride; продажи — ООО «ТД «ЛД»)</t>
        </is>
      </c>
      <c r="I27" s="7" t="inlineStr">
        <is>
          <t>Россия</t>
        </is>
      </c>
      <c r="J27" s="7" t="inlineStr">
        <is>
          <t>10655491</t>
        </is>
      </c>
      <c r="K27" s="7" t="inlineStr">
        <is>
          <t>30.06.2028</t>
        </is>
      </c>
      <c r="L27" s="8" t="n"/>
      <c r="M27" s="9" t="n"/>
      <c r="N27" s="10">
        <f>M27*E27</f>
        <v/>
      </c>
      <c r="O27" s="8" t="n"/>
      <c r="P27" s="8" t="n"/>
      <c r="Q27" s="8" t="n"/>
    </row>
    <row r="28" ht="48" customHeight="1">
      <c r="A28" s="5" t="inlineStr">
        <is>
          <t>11202</t>
        </is>
      </c>
      <c r="B28" s="5" t="inlineStr">
        <is>
          <t>№ 1</t>
        </is>
      </c>
      <c r="C28" s="6" t="n">
        <v>10</v>
      </c>
      <c r="D28" s="5" t="inlineStr">
        <is>
          <t>Кран шаровый LD КШЦП из стали 20 Ду50 Ру4,0МПа</t>
        </is>
      </c>
      <c r="E28" s="6" t="n">
        <v>2</v>
      </c>
      <c r="F28" s="5" t="inlineStr">
        <is>
          <t>шт</t>
        </is>
      </c>
      <c r="G28" s="7" t="inlineStr">
        <is>
          <t>Кран шаровой LD КШ.Ц.П.050.040.Н/П.02 (ст.20, Ду50, Ру4,0 МПа, под приварку)</t>
        </is>
      </c>
      <c r="H28" s="7" t="inlineStr">
        <is>
          <t>ООО «ЧелябинскСпецГражданСтрой» (завод LD / LD Pride; продажи — ООО «ТД «ЛД»)</t>
        </is>
      </c>
      <c r="I28" s="7" t="inlineStr">
        <is>
          <t>Россия</t>
        </is>
      </c>
      <c r="J28" s="7" t="inlineStr">
        <is>
          <t>10655491</t>
        </is>
      </c>
      <c r="K28" s="7" t="inlineStr">
        <is>
          <t>30.06.2028</t>
        </is>
      </c>
      <c r="L28" s="8" t="n"/>
      <c r="M28" s="9" t="n"/>
      <c r="N28" s="10">
        <f>M28*E28</f>
        <v/>
      </c>
      <c r="O28" s="8" t="n"/>
      <c r="P28" s="8" t="n"/>
      <c r="Q28" s="8" t="n"/>
    </row>
    <row r="29" ht="48" customHeight="1">
      <c r="A29" s="5" t="inlineStr">
        <is>
          <t>11202</t>
        </is>
      </c>
      <c r="B29" s="5" t="inlineStr">
        <is>
          <t>№ 1</t>
        </is>
      </c>
      <c r="C29" s="6" t="n">
        <v>28</v>
      </c>
      <c r="D29" s="5" t="inlineStr">
        <is>
          <t>Кран шаровой VALTEC BASE, рукоятка 3/4" вн.-вн. VT.214.N.05</t>
        </is>
      </c>
      <c r="E29" s="6" t="n">
        <v>10</v>
      </c>
      <c r="F29" s="5" t="inlineStr">
        <is>
          <t>шт</t>
        </is>
      </c>
      <c r="G29" s="8" t="n"/>
      <c r="H29" s="8" t="n"/>
      <c r="I29" s="8" t="n"/>
      <c r="J29" s="8" t="n"/>
      <c r="K29" s="8" t="n"/>
      <c r="L29" s="8" t="n"/>
      <c r="M29" s="9" t="n"/>
      <c r="N29" s="10">
        <f>M29*E29</f>
        <v/>
      </c>
      <c r="O29" s="8" t="n"/>
      <c r="P29" s="8" t="n"/>
      <c r="Q29" s="8" t="n"/>
    </row>
    <row r="30" ht="48" customHeight="1">
      <c r="A30" s="5" t="inlineStr">
        <is>
          <t>11202</t>
        </is>
      </c>
      <c r="B30" s="5" t="inlineStr">
        <is>
          <t>№ 1</t>
        </is>
      </c>
      <c r="C30" s="6" t="n">
        <v>29</v>
      </c>
      <c r="D30" s="5" t="inlineStr">
        <is>
          <t>Кран шаровой VALTEC BASE, рукоятка 2" вн.-вн.VT.214.N.09</t>
        </is>
      </c>
      <c r="E30" s="6" t="n">
        <v>2</v>
      </c>
      <c r="F30" s="5" t="inlineStr">
        <is>
          <t>шт</t>
        </is>
      </c>
      <c r="G30" s="8" t="n"/>
      <c r="H30" s="8" t="n"/>
      <c r="I30" s="8" t="n"/>
      <c r="J30" s="8" t="n"/>
      <c r="K30" s="8" t="n"/>
      <c r="L30" s="8" t="n"/>
      <c r="M30" s="9" t="n"/>
      <c r="N30" s="10">
        <f>M30*E30</f>
        <v/>
      </c>
      <c r="O30" s="8" t="n"/>
      <c r="P30" s="8" t="n"/>
      <c r="Q30" s="8" t="n"/>
    </row>
    <row r="31" ht="48" customHeight="1">
      <c r="A31" s="5" t="inlineStr">
        <is>
          <t>11202</t>
        </is>
      </c>
      <c r="B31" s="5" t="inlineStr">
        <is>
          <t>№ 1</t>
        </is>
      </c>
      <c r="C31" s="6" t="n">
        <v>30</v>
      </c>
      <c r="D31" s="5" t="inlineStr">
        <is>
          <t>Кран шаровой VALTEC BASE, рукоятка 1" вн.-вн. VT.214.N.06</t>
        </is>
      </c>
      <c r="E31" s="6" t="n">
        <v>10</v>
      </c>
      <c r="F31" s="5" t="inlineStr">
        <is>
          <t>шт</t>
        </is>
      </c>
      <c r="G31" s="8" t="n"/>
      <c r="H31" s="8" t="n"/>
      <c r="I31" s="8" t="n"/>
      <c r="J31" s="8" t="n"/>
      <c r="K31" s="8" t="n"/>
      <c r="L31" s="8" t="n"/>
      <c r="M31" s="9" t="n"/>
      <c r="N31" s="10">
        <f>M31*E31</f>
        <v/>
      </c>
      <c r="O31" s="8" t="n"/>
      <c r="P31" s="8" t="n"/>
      <c r="Q31" s="8" t="n"/>
    </row>
    <row r="32" ht="48" customHeight="1">
      <c r="A32" s="5" t="inlineStr">
        <is>
          <t>11202</t>
        </is>
      </c>
      <c r="B32" s="5" t="inlineStr">
        <is>
          <t>№ 1</t>
        </is>
      </c>
      <c r="C32" s="6" t="n">
        <v>31</v>
      </c>
      <c r="D32" s="5" t="inlineStr">
        <is>
          <t>Кран шаровый Стандарт 1/2" ВВ бабочка VALTEC Артикул:VT. 122. GN. 04</t>
        </is>
      </c>
      <c r="E32" s="6" t="n">
        <v>20</v>
      </c>
      <c r="F32" s="5" t="inlineStr">
        <is>
          <t>шт</t>
        </is>
      </c>
      <c r="G32" s="7" t="inlineStr">
        <is>
          <t>Кран шаровой LD Pride 47.15.В-В.Б 1/2" (ВР-ВР, бабочка)</t>
        </is>
      </c>
      <c r="H32" s="7" t="inlineStr">
        <is>
          <t>ООО «ЧелябинскСпецГражданСтрой» (завод LD / LD Pride; продажи — ООО «ТД «ЛД»)</t>
        </is>
      </c>
      <c r="I32" s="7" t="inlineStr">
        <is>
          <t>Россия</t>
        </is>
      </c>
      <c r="J32" s="7" t="inlineStr">
        <is>
          <t>10655491</t>
        </is>
      </c>
      <c r="K32" s="7" t="inlineStr">
        <is>
          <t>30.06.2028</t>
        </is>
      </c>
      <c r="L32" s="8" t="n"/>
      <c r="M32" s="9" t="n"/>
      <c r="N32" s="10">
        <f>M32*E32</f>
        <v/>
      </c>
      <c r="O32" s="8" t="n"/>
      <c r="P32" s="8" t="n"/>
      <c r="Q32" s="8" t="n"/>
    </row>
    <row r="33" ht="48" customHeight="1">
      <c r="A33" s="5" t="inlineStr">
        <is>
          <t>11202</t>
        </is>
      </c>
      <c r="B33" s="5" t="inlineStr">
        <is>
          <t>№ 1</t>
        </is>
      </c>
      <c r="C33" s="6" t="n">
        <v>40</v>
      </c>
      <c r="D33" s="5" t="inlineStr">
        <is>
          <t>Кран шаровый муфтовый 11б27п1 Ду 15 Ру 16</t>
        </is>
      </c>
      <c r="E33" s="6" t="n">
        <v>20</v>
      </c>
      <c r="F33" s="5" t="inlineStr">
        <is>
          <t>шт</t>
        </is>
      </c>
      <c r="G33" s="8" t="n"/>
      <c r="H33" s="8" t="n"/>
      <c r="I33" s="8" t="n"/>
      <c r="J33" s="8" t="n"/>
      <c r="K33" s="8" t="n"/>
      <c r="L33" s="8" t="n"/>
      <c r="M33" s="9" t="n"/>
      <c r="N33" s="10">
        <f>M33*E33</f>
        <v/>
      </c>
      <c r="O33" s="8" t="n"/>
      <c r="P33" s="8" t="n"/>
      <c r="Q33" s="8" t="n"/>
    </row>
    <row r="34" ht="48" customHeight="1">
      <c r="A34" s="5" t="inlineStr">
        <is>
          <t>11202</t>
        </is>
      </c>
      <c r="B34" s="5" t="inlineStr">
        <is>
          <t>№ 1</t>
        </is>
      </c>
      <c r="C34" s="6" t="n">
        <v>57</v>
      </c>
      <c r="D34" s="5" t="inlineStr">
        <is>
          <t>Кран шаровый LD Ду 80 Ру 25 фланцевый стальной КШ.Ц.Ф.080/070.025.Н/П.02</t>
        </is>
      </c>
      <c r="E34" s="6" t="n">
        <v>6</v>
      </c>
      <c r="F34" s="5" t="inlineStr">
        <is>
          <t>шт</t>
        </is>
      </c>
      <c r="G34" s="7" t="inlineStr">
        <is>
          <t>Кран шаровой LD КШ.Ц.Ф.080/070.025.Н/П.02 (Ду80, Ру25, фланцевый, ст.20)</t>
        </is>
      </c>
      <c r="H34" s="7" t="inlineStr">
        <is>
          <t>ООО «ЧелябинскСпецГражданСтрой» (завод LD / LD Pride; продажи — ООО «ТД «ЛД»)</t>
        </is>
      </c>
      <c r="I34" s="7" t="inlineStr">
        <is>
          <t>Россия</t>
        </is>
      </c>
      <c r="J34" s="7" t="inlineStr">
        <is>
          <t>10655491</t>
        </is>
      </c>
      <c r="K34" s="7" t="inlineStr">
        <is>
          <t>30.06.2028</t>
        </is>
      </c>
      <c r="L34" s="8" t="n"/>
      <c r="M34" s="9" t="n"/>
      <c r="N34" s="10">
        <f>M34*E34</f>
        <v/>
      </c>
      <c r="O34" s="8" t="n"/>
      <c r="P34" s="8" t="n"/>
      <c r="Q34" s="8" t="n"/>
    </row>
    <row r="35" ht="48" customHeight="1">
      <c r="A35" s="5" t="inlineStr">
        <is>
          <t>11202</t>
        </is>
      </c>
      <c r="B35" s="5" t="inlineStr">
        <is>
          <t>№ 1</t>
        </is>
      </c>
      <c r="C35" s="6" t="n">
        <v>69</v>
      </c>
      <c r="D35" s="5" t="inlineStr">
        <is>
          <t>Кран шаровый полнопроходной Классик ФБ39.210.050.000-02 DN50 PN4МПа Ст20 -40...+160C кл.А У1 фланцевый 230мм</t>
        </is>
      </c>
      <c r="E35" s="6" t="n">
        <v>2</v>
      </c>
      <c r="F35" s="5" t="inlineStr">
        <is>
          <t>шт</t>
        </is>
      </c>
      <c r="G35" s="8" t="n"/>
      <c r="H35" s="8" t="n"/>
      <c r="I35" s="8" t="n"/>
      <c r="J35" s="8" t="n"/>
      <c r="K35" s="8" t="n"/>
      <c r="L35" s="8" t="n"/>
      <c r="M35" s="9" t="n"/>
      <c r="N35" s="10">
        <f>M35*E35</f>
        <v/>
      </c>
      <c r="O35" s="8" t="n"/>
      <c r="P35" s="8" t="n"/>
      <c r="Q35" s="8" t="n"/>
    </row>
    <row r="36" ht="48" customHeight="1">
      <c r="A36" s="5" t="inlineStr">
        <is>
          <t>11202</t>
        </is>
      </c>
      <c r="B36" s="5" t="inlineStr">
        <is>
          <t>№ 2</t>
        </is>
      </c>
      <c r="C36" s="6" t="n">
        <v>3</v>
      </c>
      <c r="D36" s="5" t="inlineStr">
        <is>
          <t>Кран шаровой VALTEC BASE, рукоятка 3/4" вн.-вн. VT.214.N.05</t>
        </is>
      </c>
      <c r="E36" s="6" t="n">
        <v>10</v>
      </c>
      <c r="F36" s="5" t="inlineStr">
        <is>
          <t>шт</t>
        </is>
      </c>
      <c r="G36" s="8" t="n"/>
      <c r="H36" s="8" t="n"/>
      <c r="I36" s="8" t="n"/>
      <c r="J36" s="8" t="n"/>
      <c r="K36" s="8" t="n"/>
      <c r="L36" s="8" t="n"/>
      <c r="M36" s="9" t="n"/>
      <c r="N36" s="10">
        <f>M36*E36</f>
        <v/>
      </c>
      <c r="O36" s="8" t="n"/>
      <c r="P36" s="8" t="n"/>
      <c r="Q36" s="8" t="n"/>
    </row>
    <row r="37" ht="48" customHeight="1">
      <c r="A37" s="5" t="inlineStr">
        <is>
          <t>11202</t>
        </is>
      </c>
      <c r="B37" s="5" t="inlineStr">
        <is>
          <t>№ 2</t>
        </is>
      </c>
      <c r="C37" s="6" t="n">
        <v>4</v>
      </c>
      <c r="D37" s="5" t="inlineStr">
        <is>
          <t>Кран шаровый муфтовый 11б27п1 Ду 15 Ру 16</t>
        </is>
      </c>
      <c r="E37" s="6" t="n">
        <v>20</v>
      </c>
      <c r="F37" s="5" t="inlineStr">
        <is>
          <t>шт</t>
        </is>
      </c>
      <c r="G37" s="8" t="n"/>
      <c r="H37" s="8" t="n"/>
      <c r="I37" s="8" t="n"/>
      <c r="J37" s="8" t="n"/>
      <c r="K37" s="8" t="n"/>
      <c r="L37" s="8" t="n"/>
      <c r="M37" s="9" t="n"/>
      <c r="N37" s="10">
        <f>M37*E37</f>
        <v/>
      </c>
      <c r="O37" s="8" t="n"/>
      <c r="P37" s="8" t="n"/>
      <c r="Q37" s="8" t="n"/>
    </row>
    <row r="38" ht="48" customHeight="1">
      <c r="A38" s="5" t="inlineStr">
        <is>
          <t>11202</t>
        </is>
      </c>
      <c r="B38" s="5" t="inlineStr">
        <is>
          <t>№ 2</t>
        </is>
      </c>
      <c r="C38" s="6" t="n">
        <v>5</v>
      </c>
      <c r="D38" s="5" t="inlineStr">
        <is>
          <t>Кран шаровый муфтовый  11б27п1 Ду 20 Ру 16</t>
        </is>
      </c>
      <c r="E38" s="6" t="n">
        <v>20</v>
      </c>
      <c r="F38" s="5" t="inlineStr">
        <is>
          <t>шт</t>
        </is>
      </c>
      <c r="G38" s="8" t="n"/>
      <c r="H38" s="8" t="n"/>
      <c r="I38" s="8" t="n"/>
      <c r="J38" s="8" t="n"/>
      <c r="K38" s="8" t="n"/>
      <c r="L38" s="8" t="n"/>
      <c r="M38" s="9" t="n"/>
      <c r="N38" s="10">
        <f>M38*E38</f>
        <v/>
      </c>
      <c r="O38" s="8" t="n"/>
      <c r="P38" s="8" t="n"/>
      <c r="Q38" s="8" t="n"/>
    </row>
    <row r="39" ht="48" customHeight="1">
      <c r="A39" s="5" t="inlineStr">
        <is>
          <t>11202</t>
        </is>
      </c>
      <c r="B39" s="5" t="inlineStr">
        <is>
          <t>№ 2</t>
        </is>
      </c>
      <c r="C39" s="6" t="n">
        <v>9</v>
      </c>
      <c r="D39" s="5" t="inlineStr">
        <is>
          <t>Кран шаровый с характеристиками не ниже и отвечающий техническим требованиям: размер 1/2", 150гр.Ц, полнопроходной, корпус латунный, никелированный, резьба внутренняя/наружная. Либо VALTEC BAS VT.218.N.04</t>
        </is>
      </c>
      <c r="E39" s="6" t="n">
        <v>20</v>
      </c>
      <c r="F39" s="5" t="inlineStr">
        <is>
          <t>шт</t>
        </is>
      </c>
      <c r="G39" s="8" t="n"/>
      <c r="H39" s="8" t="n"/>
      <c r="I39" s="8" t="n"/>
      <c r="J39" s="8" t="n"/>
      <c r="K39" s="8" t="n"/>
      <c r="L39" s="8" t="n"/>
      <c r="M39" s="9" t="n"/>
      <c r="N39" s="10">
        <f>M39*E39</f>
        <v/>
      </c>
      <c r="O39" s="8" t="n"/>
      <c r="P39" s="8" t="n"/>
      <c r="Q39" s="8" t="n"/>
    </row>
    <row r="40" ht="48" customHeight="1">
      <c r="A40" s="5" t="inlineStr">
        <is>
          <t>11202</t>
        </is>
      </c>
      <c r="B40" s="5" t="inlineStr">
        <is>
          <t>№ 2</t>
        </is>
      </c>
      <c r="C40" s="6" t="n">
        <v>10</v>
      </c>
      <c r="D40" s="5" t="inlineStr">
        <is>
          <t>Кран шаровый с характеристиками не ниже и отвечающий техническим требованиям: размер 3/4", 150 гр.Ц, полнопроходной, корпус латунный, никелированный, резьба внутренняя/наружная. Либо VALTEC BAS VT.218.N.05</t>
        </is>
      </c>
      <c r="E40" s="6" t="n">
        <v>20</v>
      </c>
      <c r="F40" s="5" t="inlineStr">
        <is>
          <t>шт</t>
        </is>
      </c>
      <c r="G40" s="8" t="n"/>
      <c r="H40" s="8" t="n"/>
      <c r="I40" s="8" t="n"/>
      <c r="J40" s="8" t="n"/>
      <c r="K40" s="8" t="n"/>
      <c r="L40" s="8" t="n"/>
      <c r="M40" s="9" t="n"/>
      <c r="N40" s="10">
        <f>M40*E40</f>
        <v/>
      </c>
      <c r="O40" s="8" t="n"/>
      <c r="P40" s="8" t="n"/>
      <c r="Q40" s="8" t="n"/>
    </row>
    <row r="41" ht="48" customHeight="1">
      <c r="A41" s="5" t="inlineStr">
        <is>
          <t>11202</t>
        </is>
      </c>
      <c r="B41" s="5" t="inlineStr">
        <is>
          <t>№ 2</t>
        </is>
      </c>
      <c r="C41" s="6" t="n">
        <v>11</v>
      </c>
      <c r="D41" s="5" t="inlineStr">
        <is>
          <t>Кран шаровый с характеристиками не ниже и отвечающий техническим требованиям: размер 1/2", 150гр.Ц, полнопроходной, корпус латунный, никелированный, с полусгоном и наружной резьбой. Либо VALTEC BAS VT.226.N.04</t>
        </is>
      </c>
      <c r="E41" s="6" t="n">
        <v>10</v>
      </c>
      <c r="F41" s="5" t="inlineStr">
        <is>
          <t>шт</t>
        </is>
      </c>
      <c r="G41" s="8" t="n"/>
      <c r="H41" s="8" t="n"/>
      <c r="I41" s="8" t="n"/>
      <c r="J41" s="8" t="n"/>
      <c r="K41" s="8" t="n"/>
      <c r="L41" s="8" t="n"/>
      <c r="M41" s="9" t="n"/>
      <c r="N41" s="10">
        <f>M41*E41</f>
        <v/>
      </c>
      <c r="O41" s="8" t="n"/>
      <c r="P41" s="8" t="n"/>
      <c r="Q41" s="8" t="n"/>
    </row>
    <row r="42" ht="48" customHeight="1">
      <c r="A42" s="5" t="inlineStr">
        <is>
          <t>11202</t>
        </is>
      </c>
      <c r="B42" s="5" t="inlineStr">
        <is>
          <t>№ 2</t>
        </is>
      </c>
      <c r="C42" s="6" t="n">
        <v>12</v>
      </c>
      <c r="D42" s="5" t="inlineStr">
        <is>
          <t>Кран шаровый с характеристиками не ниже и отвечающий техническим требованиям: размер 3/4", 150гр.Ц , полнопроходной, корпус латунный, никелированный, с полусгоном и наружной резьбой. Либо VALTEC BAS VT.226.N.05</t>
        </is>
      </c>
      <c r="E42" s="6" t="n">
        <v>10</v>
      </c>
      <c r="F42" s="5" t="inlineStr">
        <is>
          <t>шт</t>
        </is>
      </c>
      <c r="G42" s="8" t="n"/>
      <c r="H42" s="8" t="n"/>
      <c r="I42" s="8" t="n"/>
      <c r="J42" s="8" t="n"/>
      <c r="K42" s="8" t="n"/>
      <c r="L42" s="8" t="n"/>
      <c r="M42" s="9" t="n"/>
      <c r="N42" s="10">
        <f>M42*E42</f>
        <v/>
      </c>
      <c r="O42" s="8" t="n"/>
      <c r="P42" s="8" t="n"/>
      <c r="Q42" s="8" t="n"/>
    </row>
    <row r="43" ht="48" customHeight="1">
      <c r="A43" s="5" t="inlineStr">
        <is>
          <t>11202</t>
        </is>
      </c>
      <c r="B43" s="5" t="inlineStr">
        <is>
          <t>№ 2</t>
        </is>
      </c>
      <c r="C43" s="6" t="n">
        <v>16</v>
      </c>
      <c r="D43" s="5" t="inlineStr">
        <is>
          <t>Кран шаровой ГАЛЛОП Практик 120 1″ Ду25 Ру16 стандартнопроходной,</t>
        </is>
      </c>
      <c r="E43" s="6" t="n">
        <v>10</v>
      </c>
      <c r="F43" s="5" t="inlineStr">
        <is>
          <t>шт</t>
        </is>
      </c>
      <c r="G43" s="8" t="n"/>
      <c r="H43" s="8" t="n"/>
      <c r="I43" s="8" t="n"/>
      <c r="J43" s="8" t="n"/>
      <c r="K43" s="8" t="n"/>
      <c r="L43" s="8" t="n"/>
      <c r="M43" s="9" t="n"/>
      <c r="N43" s="10">
        <f>M43*E43</f>
        <v/>
      </c>
      <c r="O43" s="8" t="n"/>
      <c r="P43" s="8" t="n"/>
      <c r="Q43" s="8" t="n"/>
    </row>
    <row r="44" ht="48" customHeight="1">
      <c r="A44" s="11" t="inlineStr"/>
      <c r="B44" s="11" t="inlineStr"/>
      <c r="C44" s="11" t="inlineStr"/>
      <c r="D44" s="11" t="inlineStr"/>
      <c r="E44" s="11" t="inlineStr"/>
      <c r="F44" s="11" t="inlineStr"/>
      <c r="G44" s="11" t="inlineStr"/>
      <c r="H44" s="11" t="inlineStr"/>
      <c r="I44" s="11" t="inlineStr"/>
      <c r="J44" s="11" t="inlineStr"/>
      <c r="K44" s="11" t="inlineStr"/>
      <c r="L44" s="11" t="inlineStr"/>
      <c r="M44" s="11" t="inlineStr">
        <is>
          <t>ИТОГО</t>
        </is>
      </c>
      <c r="N44" s="12">
        <f>SUM(N6:N43)</f>
        <v/>
      </c>
      <c r="O44" s="2" t="n"/>
      <c r="P44" s="2" t="n"/>
      <c r="Q44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2026-10-27T17:14:39Z</dcterms:created>
  <dcterms:modified xmlns:dcterms="http://purl.org/dc/terms/" xmlns:xsi="http://www.w3.org/2001/XMLSchema-instance" xsi:type="dcterms:W3CDTF">2026-10-27T17:14:39Z</dcterms:modified>
</cp:coreProperties>
</file>