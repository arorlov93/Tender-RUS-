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«АРМАТЭК»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13</v>
      </c>
      <c r="D6" s="5" t="inlineStr">
        <is>
          <t>Пневмопривод RAT052-DA (функция: двойного действия, упр. давление: 2…8 бар, присоед. фланец: F04 (опция), присоед. отверстие: зв. 11 мм)  с пневмораспределителем и блоком концевых выключателей</t>
        </is>
      </c>
      <c r="E6" s="6" t="n">
        <v>4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14</v>
      </c>
      <c r="D7" s="5" t="inlineStr">
        <is>
          <t>Пневмопривод RAT075-DA (функция: двойного действия, упр. давление: 2…8 бар, присоед. фланец: F05/F07, присоед. отверстие: зв. 14 мм)  с пневмораспределителем и блоком концевых выключателей</t>
        </is>
      </c>
      <c r="E7" s="6" t="n">
        <v>4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37</v>
      </c>
      <c r="D8" s="5" t="inlineStr">
        <is>
          <t>Затвор дисковый DN065 с ПП ДД АМ6.710.1433-УК с ЭПР АРМАТЭК 5/2 24VDC, БКВ А250 (вода, до + 25 С, PN 2,5 МПа, ДТР 010)</t>
        </is>
      </c>
      <c r="E8" s="6" t="n">
        <v>5</v>
      </c>
      <c r="F8" s="5" t="inlineStr">
        <is>
          <t>шт</t>
        </is>
      </c>
      <c r="G8" s="10" t="inlineStr">
        <is>
          <t>Затвор дисковый АРМАТЭК серии «Эксклюзив-М» DN065 с пневмоприводом ДД АМ6.710.1433-УК, ЭПР АРМАТЭК 5/2 24VDC, БКВ</t>
        </is>
      </c>
      <c r="H8" s="10" t="inlineStr">
        <is>
          <t>АО «АРМАТЭК»</t>
        </is>
      </c>
      <c r="I8" s="10" t="inlineStr">
        <is>
          <t>Россия</t>
        </is>
      </c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11201</t>
        </is>
      </c>
      <c r="B9" s="5" t="inlineStr">
        <is>
          <t>№ 1</t>
        </is>
      </c>
      <c r="C9" s="6" t="n">
        <v>38</v>
      </c>
      <c r="D9" s="5" t="inlineStr">
        <is>
          <t>Затвор дисковый с резинометаллическим вкладышем DN065 с пневмоприводом ДД АН6.610.1433-УК в ком-те с ЭПР АРМАТЭК 5/2 24VDC, БКВ А250 (воздух, до + 80 С, PN 1,6 МПа, ДТР 032)</t>
        </is>
      </c>
      <c r="E9" s="6" t="n">
        <v>5</v>
      </c>
      <c r="F9" s="5" t="inlineStr">
        <is>
          <t>шт</t>
        </is>
      </c>
      <c r="G9" s="10" t="inlineStr">
        <is>
          <t>Затвор дисковый АРМАТЭК серии «Эксклюзив-М» DN065 с пневмоприводом ДД АН6.610.1433-УК, ЭПР АРМАТЭК 5/2 24VDC, БКВ</t>
        </is>
      </c>
      <c r="H9" s="10" t="inlineStr">
        <is>
          <t>АО «АРМАТЭК»</t>
        </is>
      </c>
      <c r="I9" s="10" t="inlineStr">
        <is>
          <t>Россия</t>
        </is>
      </c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11201</t>
        </is>
      </c>
      <c r="B10" s="5" t="inlineStr">
        <is>
          <t>№ 1</t>
        </is>
      </c>
      <c r="C10" s="6" t="n">
        <v>39</v>
      </c>
      <c r="D10" s="5" t="inlineStr">
        <is>
          <t>Затвор дисковый DN080 с ПП ДД АМ6.711.1433-УК с ЭПР АРМАТЭК 5/2 24VDC, БКВ А250 (воздух с золой, до + 120 С, PN 2,5 МПа, ДТР 032)</t>
        </is>
      </c>
      <c r="E10" s="6" t="n">
        <v>15</v>
      </c>
      <c r="F10" s="5" t="inlineStr">
        <is>
          <t>шт</t>
        </is>
      </c>
      <c r="G10" s="10" t="inlineStr">
        <is>
          <t>Затвор дисковый АРМАТЭК серии «Эксклюзив-М» DN080 с пневмоприводом ДД АМ6.711.1433-УК, ЭПР АРМАТЭК 5/2 24VDC, БКВ</t>
        </is>
      </c>
      <c r="H10" s="10" t="inlineStr">
        <is>
          <t>АО «АРМАТЭК»</t>
        </is>
      </c>
      <c r="I10" s="10" t="inlineStr">
        <is>
          <t>Россия</t>
        </is>
      </c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11201</t>
        </is>
      </c>
      <c r="B11" s="5" t="inlineStr">
        <is>
          <t>№ 1</t>
        </is>
      </c>
      <c r="C11" s="6" t="n">
        <v>54</v>
      </c>
      <c r="D11" s="5" t="inlineStr">
        <is>
          <t>Комплект ЗИП к затвору серии АМ DN  серия АМ DN 065 41100УУ (вода, до +25 С, PN 2,5МПа)</t>
        </is>
      </c>
      <c r="E11" s="6" t="n">
        <v>10</v>
      </c>
      <c r="F11" s="5" t="inlineStr">
        <is>
          <t>шт</t>
        </is>
      </c>
      <c r="G11" s="10" t="inlineStr">
        <is>
          <t>Комплект ЗИП к затвору АРМАТЭК серии АМ DN65 41100УУ</t>
        </is>
      </c>
      <c r="H11" s="10" t="inlineStr">
        <is>
          <t>АО «АРМАТЭК»</t>
        </is>
      </c>
      <c r="I11" s="10" t="inlineStr">
        <is>
          <t>Россия</t>
        </is>
      </c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5" t="inlineStr">
        <is>
          <t>11201</t>
        </is>
      </c>
      <c r="B12" s="5" t="inlineStr">
        <is>
          <t>№ 1</t>
        </is>
      </c>
      <c r="C12" s="6" t="n">
        <v>55</v>
      </c>
      <c r="D12" s="5" t="inlineStr">
        <is>
          <t>Комплект ЗИП к затвору серии АМ DN  серия АМ DN 065 31100УУ (воздух, до +80 С, PN 1,6МПа)</t>
        </is>
      </c>
      <c r="E12" s="6" t="n">
        <v>10</v>
      </c>
      <c r="F12" s="5" t="inlineStr">
        <is>
          <t>шт</t>
        </is>
      </c>
      <c r="G12" s="10" t="inlineStr">
        <is>
          <t>Комплект ЗИП к затвору АРМАТЭК серии АМ DN65 31100УУ</t>
        </is>
      </c>
      <c r="H12" s="10" t="inlineStr">
        <is>
          <t>АО «АРМАТЭК»</t>
        </is>
      </c>
      <c r="I12" s="10" t="inlineStr">
        <is>
          <t>Россия</t>
        </is>
      </c>
      <c r="J12" s="7" t="n"/>
      <c r="K12" s="7" t="n"/>
      <c r="L12" s="7" t="n"/>
      <c r="M12" s="8" t="n"/>
      <c r="N12" s="9">
        <f>M12*E12</f>
        <v/>
      </c>
      <c r="O12" s="7" t="n"/>
      <c r="P12" s="7" t="n"/>
      <c r="Q12" s="7" t="n"/>
    </row>
    <row r="13" ht="48" customHeight="1">
      <c r="A13" s="5" t="inlineStr">
        <is>
          <t>11201</t>
        </is>
      </c>
      <c r="B13" s="5" t="inlineStr">
        <is>
          <t>№ 1</t>
        </is>
      </c>
      <c r="C13" s="6" t="n">
        <v>56</v>
      </c>
      <c r="D13" s="5" t="inlineStr">
        <is>
          <t>Комплект ЗИП к затвору серии АМ DN  серия АМ DN 080 41110УУ (воздух с золой, до +120С, PN 2,5 МПа)</t>
        </is>
      </c>
      <c r="E13" s="6" t="n">
        <v>10</v>
      </c>
      <c r="F13" s="5" t="inlineStr">
        <is>
          <t>шт</t>
        </is>
      </c>
      <c r="G13" s="10" t="inlineStr">
        <is>
          <t>Комплект ЗИП к затвору АРМАТЭК серии АМ DN80 41110УУ</t>
        </is>
      </c>
      <c r="H13" s="10" t="inlineStr">
        <is>
          <t>АО «АРМАТЭК»</t>
        </is>
      </c>
      <c r="I13" s="10" t="inlineStr">
        <is>
          <t>Россия</t>
        </is>
      </c>
      <c r="J13" s="7" t="n"/>
      <c r="K13" s="7" t="n"/>
      <c r="L13" s="7" t="n"/>
      <c r="M13" s="8" t="n"/>
      <c r="N13" s="9">
        <f>M13*E13</f>
        <v/>
      </c>
      <c r="O13" s="7" t="n"/>
      <c r="P13" s="7" t="n"/>
      <c r="Q13" s="7" t="n"/>
    </row>
    <row r="14" ht="48" customHeight="1">
      <c r="A14" s="5" t="inlineStr">
        <is>
          <t>11202</t>
        </is>
      </c>
      <c r="B14" s="5" t="inlineStr">
        <is>
          <t>№ 1</t>
        </is>
      </c>
      <c r="C14" s="6" t="n">
        <v>19</v>
      </c>
      <c r="D14" s="5" t="inlineStr">
        <is>
          <t>Комплект ЗИП к затвору серии АМ DN 150 41140ZZ (вода, до +150 С, PN 2,5 МПа)</t>
        </is>
      </c>
      <c r="E14" s="6" t="n">
        <v>10</v>
      </c>
      <c r="F14" s="5" t="inlineStr">
        <is>
          <t>шт</t>
        </is>
      </c>
      <c r="G14" s="10" t="inlineStr">
        <is>
          <t>Комплект ЗИП к затвору АРМАТЭК серии АМ DN150 41140ZZ</t>
        </is>
      </c>
      <c r="H14" s="10" t="inlineStr">
        <is>
          <t>АО «АРМАТЭК»</t>
        </is>
      </c>
      <c r="I14" s="10" t="inlineStr">
        <is>
          <t>Россия</t>
        </is>
      </c>
      <c r="J14" s="7" t="n"/>
      <c r="K14" s="7" t="n"/>
      <c r="L14" s="7" t="n"/>
      <c r="M14" s="8" t="n"/>
      <c r="N14" s="9">
        <f>M14*E14</f>
        <v/>
      </c>
      <c r="O14" s="7" t="n"/>
      <c r="P14" s="7" t="n"/>
      <c r="Q14" s="7" t="n"/>
    </row>
    <row r="15" ht="48" customHeight="1">
      <c r="A15" s="5" t="inlineStr">
        <is>
          <t>11202</t>
        </is>
      </c>
      <c r="B15" s="5" t="inlineStr">
        <is>
          <t>№ 1</t>
        </is>
      </c>
      <c r="C15" s="6" t="n">
        <v>20</v>
      </c>
      <c r="D15" s="5" t="inlineStr">
        <is>
          <t>Комплект ЗИП к затвору серии АМ DN 250 41160ZZ (вода, до +150 С, PN 2,5 МПа)</t>
        </is>
      </c>
      <c r="E15" s="6" t="n">
        <v>8</v>
      </c>
      <c r="F15" s="5" t="inlineStr">
        <is>
          <t>шт</t>
        </is>
      </c>
      <c r="G15" s="10" t="inlineStr">
        <is>
          <t>Комплект ЗИП к затвору АРМАТЭК серии АМ DN250 41160ZZ</t>
        </is>
      </c>
      <c r="H15" s="10" t="inlineStr">
        <is>
          <t>АО «АРМАТЭК»</t>
        </is>
      </c>
      <c r="I15" s="10" t="inlineStr">
        <is>
          <t>Россия</t>
        </is>
      </c>
      <c r="J15" s="7" t="n"/>
      <c r="K15" s="7" t="n"/>
      <c r="L15" s="7" t="n"/>
      <c r="M15" s="8" t="n"/>
      <c r="N15" s="9">
        <f>M15*E15</f>
        <v/>
      </c>
      <c r="O15" s="7" t="n"/>
      <c r="P15" s="7" t="n"/>
      <c r="Q15" s="7" t="n"/>
    </row>
    <row r="16" ht="48" customHeight="1">
      <c r="A16" s="5" t="inlineStr">
        <is>
          <t>11202</t>
        </is>
      </c>
      <c r="B16" s="5" t="inlineStr">
        <is>
          <t>№ 1</t>
        </is>
      </c>
      <c r="C16" s="6" t="n">
        <v>21</v>
      </c>
      <c r="D16" s="5" t="inlineStr">
        <is>
          <t>Комплект ЗИП к затвору серии АМ DN 100 41120ZZ (вода, до +150 С, PN 2,5 МПа)</t>
        </is>
      </c>
      <c r="E16" s="6" t="n">
        <v>10</v>
      </c>
      <c r="F16" s="5" t="inlineStr">
        <is>
          <t>шт</t>
        </is>
      </c>
      <c r="G16" s="10" t="inlineStr">
        <is>
          <t>Комплект ЗИП к затвору АРМАТЭК серии АМ DN100 41120ZZ</t>
        </is>
      </c>
      <c r="H16" s="10" t="inlineStr">
        <is>
          <t>АО «АРМАТЭК»</t>
        </is>
      </c>
      <c r="I16" s="10" t="inlineStr">
        <is>
          <t>Россия</t>
        </is>
      </c>
      <c r="J16" s="7" t="n"/>
      <c r="K16" s="7" t="n"/>
      <c r="L16" s="7" t="n"/>
      <c r="M16" s="8" t="n"/>
      <c r="N16" s="9">
        <f>M16*E16</f>
        <v/>
      </c>
      <c r="O16" s="7" t="n"/>
      <c r="P16" s="7" t="n"/>
      <c r="Q16" s="7" t="n"/>
    </row>
    <row r="17" ht="48" customHeight="1">
      <c r="A17" s="5" t="inlineStr">
        <is>
          <t>11202</t>
        </is>
      </c>
      <c r="B17" s="5" t="inlineStr">
        <is>
          <t>№ 1</t>
        </is>
      </c>
      <c r="C17" s="6" t="n">
        <v>22</v>
      </c>
      <c r="D17" s="5" t="inlineStr">
        <is>
          <t>Комплект ЗИП к затвору серии АМ DN 125 41130ZZ (вода, до +150 С, PN 2,5 МПа)</t>
        </is>
      </c>
      <c r="E17" s="6" t="n">
        <v>10</v>
      </c>
      <c r="F17" s="5" t="inlineStr">
        <is>
          <t>шт</t>
        </is>
      </c>
      <c r="G17" s="10" t="inlineStr">
        <is>
          <t>Комплект ЗИП к затвору АРМАТЭК серии АМ DN125 41130ZZ</t>
        </is>
      </c>
      <c r="H17" s="10" t="inlineStr">
        <is>
          <t>АО «АРМАТЭК»</t>
        </is>
      </c>
      <c r="I17" s="10" t="inlineStr">
        <is>
          <t>Россия</t>
        </is>
      </c>
      <c r="J17" s="7" t="n"/>
      <c r="K17" s="7" t="n"/>
      <c r="L17" s="7" t="n"/>
      <c r="M17" s="8" t="n"/>
      <c r="N17" s="9">
        <f>M17*E17</f>
        <v/>
      </c>
      <c r="O17" s="7" t="n"/>
      <c r="P17" s="7" t="n"/>
      <c r="Q17" s="7" t="n"/>
    </row>
    <row r="18" ht="48" customHeight="1">
      <c r="A18" s="5" t="inlineStr">
        <is>
          <t>11202</t>
        </is>
      </c>
      <c r="B18" s="5" t="inlineStr">
        <is>
          <t>№ 1</t>
        </is>
      </c>
      <c r="C18" s="6" t="n">
        <v>23</v>
      </c>
      <c r="D18" s="5" t="inlineStr">
        <is>
          <t>Комплект ЗИП к затвору серии АМ DN 50 41090ZZ (вода, до +150 С, PN 2,5 МПа)</t>
        </is>
      </c>
      <c r="E18" s="6" t="n">
        <v>2</v>
      </c>
      <c r="F18" s="5" t="inlineStr">
        <is>
          <t>шт</t>
        </is>
      </c>
      <c r="G18" s="10" t="inlineStr">
        <is>
          <t>Комплект ЗИП к затвору АРМАТЭК серии АМ DN50 41090ZZ</t>
        </is>
      </c>
      <c r="H18" s="10" t="inlineStr">
        <is>
          <t>АО «АРМАТЭК»</t>
        </is>
      </c>
      <c r="I18" s="10" t="inlineStr">
        <is>
          <t>Россия</t>
        </is>
      </c>
      <c r="J18" s="7" t="n"/>
      <c r="K18" s="7" t="n"/>
      <c r="L18" s="7" t="n"/>
      <c r="M18" s="8" t="n"/>
      <c r="N18" s="9">
        <f>M18*E18</f>
        <v/>
      </c>
      <c r="O18" s="7" t="n"/>
      <c r="P18" s="7" t="n"/>
      <c r="Q18" s="7" t="n"/>
    </row>
    <row r="19" ht="48" customHeight="1">
      <c r="A19" s="5" t="inlineStr">
        <is>
          <t>11202</t>
        </is>
      </c>
      <c r="B19" s="5" t="inlineStr">
        <is>
          <t>№ 1</t>
        </is>
      </c>
      <c r="C19" s="6" t="n">
        <v>34</v>
      </c>
      <c r="D19" s="5" t="inlineStr">
        <is>
          <t>Комплект ЗИП к затвору серии АМ DN 300 41170ZZ (вода, до +150 С, PN 2,5 МПа)</t>
        </is>
      </c>
      <c r="E19" s="6" t="n">
        <v>2</v>
      </c>
      <c r="F19" s="5" t="inlineStr">
        <is>
          <t>шт</t>
        </is>
      </c>
      <c r="G19" s="10" t="inlineStr">
        <is>
          <t>Комплект ЗИП к затвору АРМАТЭК серии АМ DN300 41170ZZ</t>
        </is>
      </c>
      <c r="H19" s="10" t="inlineStr">
        <is>
          <t>АО «АРМАТЭК»</t>
        </is>
      </c>
      <c r="I19" s="10" t="inlineStr">
        <is>
          <t>Россия</t>
        </is>
      </c>
      <c r="J19" s="7" t="n"/>
      <c r="K19" s="7" t="n"/>
      <c r="L19" s="7" t="n"/>
      <c r="M19" s="8" t="n"/>
      <c r="N19" s="9">
        <f>M19*E19</f>
        <v/>
      </c>
      <c r="O19" s="7" t="n"/>
      <c r="P19" s="7" t="n"/>
      <c r="Q19" s="7" t="n"/>
    </row>
    <row r="20" ht="48" customHeight="1">
      <c r="A20" s="5" t="inlineStr">
        <is>
          <t>11202</t>
        </is>
      </c>
      <c r="B20" s="5" t="inlineStr">
        <is>
          <t>№ 1</t>
        </is>
      </c>
      <c r="C20" s="6" t="n">
        <v>35</v>
      </c>
      <c r="D20" s="5" t="inlineStr">
        <is>
          <t>Комплект ЗИП к затвору серии АМ DN 400 41190ZZ (вода, до +150 С, PN 2,5 МПа)</t>
        </is>
      </c>
      <c r="E20" s="6" t="n">
        <v>2</v>
      </c>
      <c r="F20" s="5" t="inlineStr">
        <is>
          <t>шт</t>
        </is>
      </c>
      <c r="G20" s="10" t="inlineStr">
        <is>
          <t>Комплект ЗИП к затвору АРМАТЭК серии АМ DN400 41190ZZ</t>
        </is>
      </c>
      <c r="H20" s="10" t="inlineStr">
        <is>
          <t>АО «АРМАТЭК»</t>
        </is>
      </c>
      <c r="I20" s="10" t="inlineStr">
        <is>
          <t>Россия</t>
        </is>
      </c>
      <c r="J20" s="7" t="n"/>
      <c r="K20" s="7" t="n"/>
      <c r="L20" s="7" t="n"/>
      <c r="M20" s="8" t="n"/>
      <c r="N20" s="9">
        <f>M20*E20</f>
        <v/>
      </c>
      <c r="O20" s="7" t="n"/>
      <c r="P20" s="7" t="n"/>
      <c r="Q20" s="7" t="n"/>
    </row>
    <row r="21" ht="48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>
        <is>
          <t>ИТОГО</t>
        </is>
      </c>
      <c r="N21" s="12">
        <f>SUM(N6:N20)</f>
        <v/>
      </c>
      <c r="O21" s="2" t="n"/>
      <c r="P21" s="2" t="n"/>
      <c r="Q21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