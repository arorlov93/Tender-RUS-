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«ГАЛЛОП» (Новосибирский арматурный завод)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6</v>
      </c>
      <c r="D6" s="5" t="inlineStr">
        <is>
          <t>Кран шаровый Стандарт 1/2" ВВ бабочка VALTEC Артикул:VT. 122. GN. 04</t>
        </is>
      </c>
      <c r="E6" s="6" t="n">
        <v>20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11201</t>
        </is>
      </c>
      <c r="B7" s="5" t="inlineStr">
        <is>
          <t>№ 3</t>
        </is>
      </c>
      <c r="C7" s="6" t="n">
        <v>2</v>
      </c>
      <c r="D7" s="5" t="inlineStr">
        <is>
          <t>Кран шаровый муфтовый 11б27п1 Ду 15 Ру 16 Кран шаровый муфтовый 11б27п1 Ду 15 Ру 16</t>
        </is>
      </c>
      <c r="E7" s="6" t="n">
        <v>8</v>
      </c>
      <c r="F7" s="5" t="inlineStr">
        <is>
          <t>шт</t>
        </is>
      </c>
      <c r="G7" s="10" t="inlineStr">
        <is>
          <t>Кран шаровой латунный муфтовый ГАЛЛОП «Стандарт» Ду15 PN40 (аналог 11б27п1)</t>
        </is>
      </c>
      <c r="H7" s="10" t="inlineStr">
        <is>
          <t>ООО «ГАЛЛОП» (Новосибирский арматурный завод)</t>
        </is>
      </c>
      <c r="I7" s="10" t="inlineStr">
        <is>
          <t>Россия</t>
        </is>
      </c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11201</t>
        </is>
      </c>
      <c r="B8" s="5" t="inlineStr">
        <is>
          <t>№ 3</t>
        </is>
      </c>
      <c r="C8" s="6" t="n">
        <v>3</v>
      </c>
      <c r="D8" s="5" t="inlineStr">
        <is>
          <t>Кран шаровый муфтовый  11б27п1 Ду 20 Ру 16 Кран шаровый муфтовый  11б27п1 Ду 20 Ру 16</t>
        </is>
      </c>
      <c r="E8" s="6" t="n">
        <v>4</v>
      </c>
      <c r="F8" s="5" t="inlineStr">
        <is>
          <t>шт</t>
        </is>
      </c>
      <c r="G8" s="10" t="inlineStr">
        <is>
          <t>Кран шаровой латунный муфтовый ГАЛЛОП «Стандарт» Ду20 PN40 (аналог 11б27п1)</t>
        </is>
      </c>
      <c r="H8" s="10" t="inlineStr">
        <is>
          <t>ООО «ГАЛЛОП» (Новосибирский арматурный завод)</t>
        </is>
      </c>
      <c r="I8" s="10" t="inlineStr">
        <is>
          <t>Россия</t>
        </is>
      </c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28</v>
      </c>
      <c r="D9" s="5" t="inlineStr">
        <is>
          <t>Кран шаровой VALTEC BASE, рукоятка 3/4" вн.-вн. VT.214.N.05</t>
        </is>
      </c>
      <c r="E9" s="6" t="n">
        <v>10</v>
      </c>
      <c r="F9" s="5" t="inlineStr">
        <is>
          <t>шт</t>
        </is>
      </c>
      <c r="G9" s="10" t="inlineStr">
        <is>
          <t>Кран шаровой ГАЛЛОП «Стандарт» ВхВ, рукоятка, 3/4"</t>
        </is>
      </c>
      <c r="H9" s="10" t="inlineStr">
        <is>
          <t>ООО «ГАЛЛОП» (Новосибирский арматурный завод)</t>
        </is>
      </c>
      <c r="I9" s="10" t="inlineStr">
        <is>
          <t>Россия</t>
        </is>
      </c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29</v>
      </c>
      <c r="D10" s="5" t="inlineStr">
        <is>
          <t>Кран шаровой VALTEC BASE, рукоятка 2" вн.-вн.VT.214.N.09</t>
        </is>
      </c>
      <c r="E10" s="6" t="n">
        <v>2</v>
      </c>
      <c r="F10" s="5" t="inlineStr">
        <is>
          <t>шт</t>
        </is>
      </c>
      <c r="G10" s="10" t="inlineStr">
        <is>
          <t>Кран шаровой ГАЛЛОП «Стандарт» ВхВ, рукоятка, 2"</t>
        </is>
      </c>
      <c r="H10" s="10" t="inlineStr">
        <is>
          <t>ООО «ГАЛЛОП» (Новосибирский арматурный завод)</t>
        </is>
      </c>
      <c r="I10" s="10" t="inlineStr">
        <is>
          <t>Россия</t>
        </is>
      </c>
      <c r="J10" s="7" t="n"/>
      <c r="K10" s="7" t="n"/>
      <c r="L10" s="7" t="n"/>
      <c r="M10" s="8" t="n"/>
      <c r="N10" s="9">
        <f>M10*E10</f>
        <v/>
      </c>
      <c r="O10" s="7" t="n"/>
      <c r="P10" s="7" t="n"/>
      <c r="Q10" s="7" t="n"/>
    </row>
    <row r="11" ht="48" customHeight="1">
      <c r="A11" s="5" t="inlineStr">
        <is>
          <t>11202</t>
        </is>
      </c>
      <c r="B11" s="5" t="inlineStr">
        <is>
          <t>№ 1</t>
        </is>
      </c>
      <c r="C11" s="6" t="n">
        <v>30</v>
      </c>
      <c r="D11" s="5" t="inlineStr">
        <is>
          <t>Кран шаровой VALTEC BASE, рукоятка 1" вн.-вн. VT.214.N.06</t>
        </is>
      </c>
      <c r="E11" s="6" t="n">
        <v>10</v>
      </c>
      <c r="F11" s="5" t="inlineStr">
        <is>
          <t>шт</t>
        </is>
      </c>
      <c r="G11" s="10" t="inlineStr">
        <is>
          <t>Кран шаровой ГАЛЛОП «Стандарт» ВхВ, рукоятка, 1"</t>
        </is>
      </c>
      <c r="H11" s="10" t="inlineStr">
        <is>
          <t>ООО «ГАЛЛОП» (Новосибирский арматурный завод)</t>
        </is>
      </c>
      <c r="I11" s="10" t="inlineStr">
        <is>
          <t>Россия</t>
        </is>
      </c>
      <c r="J11" s="7" t="n"/>
      <c r="K11" s="7" t="n"/>
      <c r="L11" s="7" t="n"/>
      <c r="M11" s="8" t="n"/>
      <c r="N11" s="9">
        <f>M11*E11</f>
        <v/>
      </c>
      <c r="O11" s="7" t="n"/>
      <c r="P11" s="7" t="n"/>
      <c r="Q11" s="7" t="n"/>
    </row>
    <row r="12" ht="48" customHeight="1">
      <c r="A12" s="5" t="inlineStr">
        <is>
          <t>11202</t>
        </is>
      </c>
      <c r="B12" s="5" t="inlineStr">
        <is>
          <t>№ 1</t>
        </is>
      </c>
      <c r="C12" s="6" t="n">
        <v>31</v>
      </c>
      <c r="D12" s="5" t="inlineStr">
        <is>
          <t>Кран шаровый Стандарт 1/2" ВВ бабочка VALTEC Артикул:VT. 122. GN. 04</t>
        </is>
      </c>
      <c r="E12" s="6" t="n">
        <v>20</v>
      </c>
      <c r="F12" s="5" t="inlineStr">
        <is>
          <t>шт</t>
        </is>
      </c>
      <c r="G12" s="7" t="n"/>
      <c r="H12" s="7" t="n"/>
      <c r="I12" s="7" t="n"/>
      <c r="J12" s="7" t="n"/>
      <c r="K12" s="7" t="n"/>
      <c r="L12" s="7" t="n"/>
      <c r="M12" s="8" t="n"/>
      <c r="N12" s="9">
        <f>M12*E12</f>
        <v/>
      </c>
      <c r="O12" s="7" t="n"/>
      <c r="P12" s="7" t="n"/>
      <c r="Q12" s="7" t="n"/>
    </row>
    <row r="13" ht="48" customHeight="1">
      <c r="A13" s="5" t="inlineStr">
        <is>
          <t>11202</t>
        </is>
      </c>
      <c r="B13" s="5" t="inlineStr">
        <is>
          <t>№ 1</t>
        </is>
      </c>
      <c r="C13" s="6" t="n">
        <v>40</v>
      </c>
      <c r="D13" s="5" t="inlineStr">
        <is>
          <t>Кран шаровый муфтовый 11б27п1 Ду 15 Ру 16</t>
        </is>
      </c>
      <c r="E13" s="6" t="n">
        <v>20</v>
      </c>
      <c r="F13" s="5" t="inlineStr">
        <is>
          <t>шт</t>
        </is>
      </c>
      <c r="G13" s="10" t="inlineStr">
        <is>
          <t>Кран шаровой латунный муфтовый ГАЛЛОП «Стандарт» Ду15 PN40 (аналог 11б27п1)</t>
        </is>
      </c>
      <c r="H13" s="10" t="inlineStr">
        <is>
          <t>ООО «ГАЛЛОП» (Новосибирский арматурный завод)</t>
        </is>
      </c>
      <c r="I13" s="10" t="inlineStr">
        <is>
          <t>Россия</t>
        </is>
      </c>
      <c r="J13" s="7" t="n"/>
      <c r="K13" s="7" t="n"/>
      <c r="L13" s="7" t="n"/>
      <c r="M13" s="8" t="n"/>
      <c r="N13" s="9">
        <f>M13*E13</f>
        <v/>
      </c>
      <c r="O13" s="7" t="n"/>
      <c r="P13" s="7" t="n"/>
      <c r="Q13" s="7" t="n"/>
    </row>
    <row r="14" ht="48" customHeight="1">
      <c r="A14" s="5" t="inlineStr">
        <is>
          <t>11202</t>
        </is>
      </c>
      <c r="B14" s="5" t="inlineStr">
        <is>
          <t>№ 2</t>
        </is>
      </c>
      <c r="C14" s="6" t="n">
        <v>3</v>
      </c>
      <c r="D14" s="5" t="inlineStr">
        <is>
          <t>Кран шаровой VALTEC BASE, рукоятка 3/4" вн.-вн. VT.214.N.05</t>
        </is>
      </c>
      <c r="E14" s="6" t="n">
        <v>10</v>
      </c>
      <c r="F14" s="5" t="inlineStr">
        <is>
          <t>шт</t>
        </is>
      </c>
      <c r="G14" s="10" t="inlineStr">
        <is>
          <t>Кран шаровой ГАЛЛОП «Стандарт» ВхВ, рукоятка, 3/4"</t>
        </is>
      </c>
      <c r="H14" s="10" t="inlineStr">
        <is>
          <t>ООО «ГАЛЛОП» (Новосибирский арматурный завод)</t>
        </is>
      </c>
      <c r="I14" s="10" t="inlineStr">
        <is>
          <t>Россия</t>
        </is>
      </c>
      <c r="J14" s="7" t="n"/>
      <c r="K14" s="7" t="n"/>
      <c r="L14" s="7" t="n"/>
      <c r="M14" s="8" t="n"/>
      <c r="N14" s="9">
        <f>M14*E14</f>
        <v/>
      </c>
      <c r="O14" s="7" t="n"/>
      <c r="P14" s="7" t="n"/>
      <c r="Q14" s="7" t="n"/>
    </row>
    <row r="15" ht="48" customHeight="1">
      <c r="A15" s="5" t="inlineStr">
        <is>
          <t>11202</t>
        </is>
      </c>
      <c r="B15" s="5" t="inlineStr">
        <is>
          <t>№ 2</t>
        </is>
      </c>
      <c r="C15" s="6" t="n">
        <v>4</v>
      </c>
      <c r="D15" s="5" t="inlineStr">
        <is>
          <t>Кран шаровый муфтовый 11б27п1 Ду 15 Ру 16</t>
        </is>
      </c>
      <c r="E15" s="6" t="n">
        <v>20</v>
      </c>
      <c r="F15" s="5" t="inlineStr">
        <is>
          <t>шт</t>
        </is>
      </c>
      <c r="G15" s="10" t="inlineStr">
        <is>
          <t>Кран шаровой латунный муфтовый ГАЛЛОП «Стандарт» Ду15 PN40 (аналог 11б27п1)</t>
        </is>
      </c>
      <c r="H15" s="10" t="inlineStr">
        <is>
          <t>ООО «ГАЛЛОП» (Новосибирский арматурный завод)</t>
        </is>
      </c>
      <c r="I15" s="10" t="inlineStr">
        <is>
          <t>Россия</t>
        </is>
      </c>
      <c r="J15" s="7" t="n"/>
      <c r="K15" s="7" t="n"/>
      <c r="L15" s="7" t="n"/>
      <c r="M15" s="8" t="n"/>
      <c r="N15" s="9">
        <f>M15*E15</f>
        <v/>
      </c>
      <c r="O15" s="7" t="n"/>
      <c r="P15" s="7" t="n"/>
      <c r="Q15" s="7" t="n"/>
    </row>
    <row r="16" ht="48" customHeight="1">
      <c r="A16" s="5" t="inlineStr">
        <is>
          <t>11202</t>
        </is>
      </c>
      <c r="B16" s="5" t="inlineStr">
        <is>
          <t>№ 2</t>
        </is>
      </c>
      <c r="C16" s="6" t="n">
        <v>5</v>
      </c>
      <c r="D16" s="5" t="inlineStr">
        <is>
          <t>Кран шаровый муфтовый  11б27п1 Ду 20 Ру 16</t>
        </is>
      </c>
      <c r="E16" s="6" t="n">
        <v>20</v>
      </c>
      <c r="F16" s="5" t="inlineStr">
        <is>
          <t>шт</t>
        </is>
      </c>
      <c r="G16" s="10" t="inlineStr">
        <is>
          <t>Кран шаровой латунный муфтовый ГАЛЛОП «Стандарт» Ду20 PN40 (аналог 11б27п1)</t>
        </is>
      </c>
      <c r="H16" s="10" t="inlineStr">
        <is>
          <t>ООО «ГАЛЛОП» (Новосибирский арматурный завод)</t>
        </is>
      </c>
      <c r="I16" s="10" t="inlineStr">
        <is>
          <t>Россия</t>
        </is>
      </c>
      <c r="J16" s="7" t="n"/>
      <c r="K16" s="7" t="n"/>
      <c r="L16" s="7" t="n"/>
      <c r="M16" s="8" t="n"/>
      <c r="N16" s="9">
        <f>M16*E16</f>
        <v/>
      </c>
      <c r="O16" s="7" t="n"/>
      <c r="P16" s="7" t="n"/>
      <c r="Q16" s="7" t="n"/>
    </row>
    <row r="17" ht="48" customHeight="1">
      <c r="A17" s="5" t="inlineStr">
        <is>
          <t>11202</t>
        </is>
      </c>
      <c r="B17" s="5" t="inlineStr">
        <is>
          <t>№ 2</t>
        </is>
      </c>
      <c r="C17" s="6" t="n">
        <v>6</v>
      </c>
      <c r="D17" s="5" t="inlineStr">
        <is>
          <t>Сгон сталь Ду 20 L=110мм ГОСТ 8969-75</t>
        </is>
      </c>
      <c r="E17" s="6" t="n">
        <v>20</v>
      </c>
      <c r="F17" s="5" t="inlineStr">
        <is>
          <t>шт</t>
        </is>
      </c>
      <c r="G17" s="10" t="inlineStr">
        <is>
          <t>Сгон стальной Ду20 L=110 ГОСТ 8969-75</t>
        </is>
      </c>
      <c r="H17" s="10" t="inlineStr">
        <is>
          <t>ООО «ГАЛЛОП» (Новосибирский арматурный завод)</t>
        </is>
      </c>
      <c r="I17" s="10" t="inlineStr">
        <is>
          <t>Россия</t>
        </is>
      </c>
      <c r="J17" s="7" t="n"/>
      <c r="K17" s="7" t="n"/>
      <c r="L17" s="7" t="n"/>
      <c r="M17" s="8" t="n"/>
      <c r="N17" s="9">
        <f>M17*E17</f>
        <v/>
      </c>
      <c r="O17" s="7" t="n"/>
      <c r="P17" s="7" t="n"/>
      <c r="Q17" s="7" t="n"/>
    </row>
    <row r="18" ht="48" customHeight="1">
      <c r="A18" s="5" t="inlineStr">
        <is>
          <t>11202</t>
        </is>
      </c>
      <c r="B18" s="5" t="inlineStr">
        <is>
          <t>№ 2</t>
        </is>
      </c>
      <c r="C18" s="6" t="n">
        <v>7</v>
      </c>
      <c r="D18" s="5" t="inlineStr">
        <is>
          <t>Сгон сталь оц Ду 15 L=110мм ГОСТ 8969-75</t>
        </is>
      </c>
      <c r="E18" s="6" t="n">
        <v>20</v>
      </c>
      <c r="F18" s="5" t="inlineStr">
        <is>
          <t>шт</t>
        </is>
      </c>
      <c r="G18" s="10" t="inlineStr">
        <is>
          <t>Сгон стальной оцинкованный Ду15 L=110 ГОСТ 8969-75</t>
        </is>
      </c>
      <c r="H18" s="10" t="inlineStr">
        <is>
          <t>ООО «ГАЛЛОП» (Новосибирский арматурный завод)</t>
        </is>
      </c>
      <c r="I18" s="10" t="inlineStr">
        <is>
          <t>Россия</t>
        </is>
      </c>
      <c r="J18" s="7" t="n"/>
      <c r="K18" s="7" t="n"/>
      <c r="L18" s="7" t="n"/>
      <c r="M18" s="8" t="n"/>
      <c r="N18" s="9">
        <f>M18*E18</f>
        <v/>
      </c>
      <c r="O18" s="7" t="n"/>
      <c r="P18" s="7" t="n"/>
      <c r="Q18" s="7" t="n"/>
    </row>
    <row r="19" ht="48" customHeight="1">
      <c r="A19" s="5" t="inlineStr">
        <is>
          <t>11202</t>
        </is>
      </c>
      <c r="B19" s="5" t="inlineStr">
        <is>
          <t>№ 2</t>
        </is>
      </c>
      <c r="C19" s="6" t="n">
        <v>9</v>
      </c>
      <c r="D19" s="5" t="inlineStr">
        <is>
          <t>Кран шаровый с характеристиками не ниже и отвечающий техническим требованиям: размер 1/2", 150гр.Ц, полнопроходной, корпус латунный, никелированный, резьба внутренняя/наружная. Либо VALTEC BAS VT.218.N.04</t>
        </is>
      </c>
      <c r="E19" s="6" t="n">
        <v>20</v>
      </c>
      <c r="F19" s="5" t="inlineStr">
        <is>
          <t>шт</t>
        </is>
      </c>
      <c r="G19" s="10" t="inlineStr">
        <is>
          <t>Кран шаровой ГАЛЛОП «Стандарт/Крепыш» ВхН, полнопроходной, никель, 1/2"</t>
        </is>
      </c>
      <c r="H19" s="10" t="inlineStr">
        <is>
          <t>ООО «ГАЛЛОП» (Новосибирский арматурный завод)</t>
        </is>
      </c>
      <c r="I19" s="10" t="inlineStr">
        <is>
          <t>Россия</t>
        </is>
      </c>
      <c r="J19" s="7" t="n"/>
      <c r="K19" s="7" t="n"/>
      <c r="L19" s="7" t="n"/>
      <c r="M19" s="8" t="n"/>
      <c r="N19" s="9">
        <f>M19*E19</f>
        <v/>
      </c>
      <c r="O19" s="7" t="n"/>
      <c r="P19" s="7" t="n"/>
      <c r="Q19" s="7" t="n"/>
    </row>
    <row r="20" ht="48" customHeight="1">
      <c r="A20" s="5" t="inlineStr">
        <is>
          <t>11202</t>
        </is>
      </c>
      <c r="B20" s="5" t="inlineStr">
        <is>
          <t>№ 2</t>
        </is>
      </c>
      <c r="C20" s="6" t="n">
        <v>10</v>
      </c>
      <c r="D20" s="5" t="inlineStr">
        <is>
          <t>Кран шаровый с характеристиками не ниже и отвечающий техническим требованиям: размер 3/4", 150 гр.Ц, полнопроходной, корпус латунный, никелированный, резьба внутренняя/наружная. Либо VALTEC BAS VT.218.N.05</t>
        </is>
      </c>
      <c r="E20" s="6" t="n">
        <v>20</v>
      </c>
      <c r="F20" s="5" t="inlineStr">
        <is>
          <t>шт</t>
        </is>
      </c>
      <c r="G20" s="10" t="inlineStr">
        <is>
          <t>Кран шаровой ГАЛЛОП «Стандарт/Крепыш» ВхН, полнопроходной, никель, 3/4"</t>
        </is>
      </c>
      <c r="H20" s="10" t="inlineStr">
        <is>
          <t>ООО «ГАЛЛОП» (Новосибирский арматурный завод)</t>
        </is>
      </c>
      <c r="I20" s="10" t="inlineStr">
        <is>
          <t>Россия</t>
        </is>
      </c>
      <c r="J20" s="7" t="n"/>
      <c r="K20" s="7" t="n"/>
      <c r="L20" s="7" t="n"/>
      <c r="M20" s="8" t="n"/>
      <c r="N20" s="9">
        <f>M20*E20</f>
        <v/>
      </c>
      <c r="O20" s="7" t="n"/>
      <c r="P20" s="7" t="n"/>
      <c r="Q20" s="7" t="n"/>
    </row>
    <row r="21" ht="48" customHeight="1">
      <c r="A21" s="5" t="inlineStr">
        <is>
          <t>11202</t>
        </is>
      </c>
      <c r="B21" s="5" t="inlineStr">
        <is>
          <t>№ 2</t>
        </is>
      </c>
      <c r="C21" s="6" t="n">
        <v>11</v>
      </c>
      <c r="D21" s="5" t="inlineStr">
        <is>
          <t>Кран шаровый с характеристиками не ниже и отвечающий техническим требованиям: размер 1/2", 150гр.Ц, полнопроходной, корпус латунный, никелированный, с полусгоном и наружной резьбой. Либо VALTEC BAS VT.226.N.04</t>
        </is>
      </c>
      <c r="E21" s="6" t="n">
        <v>10</v>
      </c>
      <c r="F21" s="5" t="inlineStr">
        <is>
          <t>шт</t>
        </is>
      </c>
      <c r="G21" s="10" t="inlineStr">
        <is>
          <t>Кран шаровой ГАЛЛОП «Крепыш 332» со сгоном (полусгон), никель, DN15</t>
        </is>
      </c>
      <c r="H21" s="10" t="inlineStr">
        <is>
          <t>ООО «ГАЛЛОП» (Новосибирский арматурный завод)</t>
        </is>
      </c>
      <c r="I21" s="10" t="inlineStr">
        <is>
          <t>Россия</t>
        </is>
      </c>
      <c r="J21" s="7" t="n"/>
      <c r="K21" s="7" t="n"/>
      <c r="L21" s="7" t="n"/>
      <c r="M21" s="8" t="n"/>
      <c r="N21" s="9">
        <f>M21*E21</f>
        <v/>
      </c>
      <c r="O21" s="7" t="n"/>
      <c r="P21" s="7" t="n"/>
      <c r="Q21" s="7" t="n"/>
    </row>
    <row r="22" ht="48" customHeight="1">
      <c r="A22" s="5" t="inlineStr">
        <is>
          <t>11202</t>
        </is>
      </c>
      <c r="B22" s="5" t="inlineStr">
        <is>
          <t>№ 2</t>
        </is>
      </c>
      <c r="C22" s="6" t="n">
        <v>12</v>
      </c>
      <c r="D22" s="5" t="inlineStr">
        <is>
          <t>Кран шаровый с характеристиками не ниже и отвечающий техническим требованиям: размер 3/4", 150гр.Ц , полнопроходной, корпус латунный, никелированный, с полусгоном и наружной резьбой. Либо VALTEC BAS VT.226.N.05</t>
        </is>
      </c>
      <c r="E22" s="6" t="n">
        <v>10</v>
      </c>
      <c r="F22" s="5" t="inlineStr">
        <is>
          <t>шт</t>
        </is>
      </c>
      <c r="G22" s="10" t="inlineStr">
        <is>
          <t>Кран шаровой ГАЛЛОП «Крепыш 332» со сгоном (полусгон), никель, DN20</t>
        </is>
      </c>
      <c r="H22" s="10" t="inlineStr">
        <is>
          <t>ООО «ГАЛЛОП» (Новосибирский арматурный завод)</t>
        </is>
      </c>
      <c r="I22" s="10" t="inlineStr">
        <is>
          <t>Россия</t>
        </is>
      </c>
      <c r="J22" s="7" t="n"/>
      <c r="K22" s="7" t="n"/>
      <c r="L22" s="7" t="n"/>
      <c r="M22" s="8" t="n"/>
      <c r="N22" s="9">
        <f>M22*E22</f>
        <v/>
      </c>
      <c r="O22" s="7" t="n"/>
      <c r="P22" s="7" t="n"/>
      <c r="Q22" s="7" t="n"/>
    </row>
    <row r="23" ht="48" customHeight="1">
      <c r="A23" s="5" t="inlineStr">
        <is>
          <t>11202</t>
        </is>
      </c>
      <c r="B23" s="5" t="inlineStr">
        <is>
          <t>№ 2</t>
        </is>
      </c>
      <c r="C23" s="6" t="n">
        <v>16</v>
      </c>
      <c r="D23" s="5" t="inlineStr">
        <is>
          <t>Кран шаровой ГАЛЛОП Практик 120 1″ Ду25 Ру16 стандартнопроходной,</t>
        </is>
      </c>
      <c r="E23" s="6" t="n">
        <v>10</v>
      </c>
      <c r="F23" s="5" t="inlineStr">
        <is>
          <t>шт</t>
        </is>
      </c>
      <c r="G23" s="10" t="inlineStr">
        <is>
          <t>Кран шаровой ГАЛЛОП «Практик 120» 1" Ду25 Ру16 ВхВ</t>
        </is>
      </c>
      <c r="H23" s="10" t="inlineStr">
        <is>
          <t>ООО «ГАЛЛОП» (Новосибирский арматурный завод)</t>
        </is>
      </c>
      <c r="I23" s="10" t="inlineStr">
        <is>
          <t>Россия</t>
        </is>
      </c>
      <c r="J23" s="7" t="n"/>
      <c r="K23" s="7" t="n"/>
      <c r="L23" s="7" t="n"/>
      <c r="M23" s="8" t="n"/>
      <c r="N23" s="9">
        <f>M23*E23</f>
        <v/>
      </c>
      <c r="O23" s="7" t="n"/>
      <c r="P23" s="7" t="n"/>
      <c r="Q23" s="7" t="n"/>
    </row>
    <row r="24" ht="48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>
        <is>
          <t>ИТОГО</t>
        </is>
      </c>
      <c r="N24" s="12">
        <f>SUM(N6:N23)</f>
        <v/>
      </c>
      <c r="O24" s="2" t="n"/>
      <c r="P24" s="2" t="n"/>
      <c r="Q24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2026-10-27T17:14:39Z</dcterms:created>
  <dcterms:modified xmlns:dcterms="http://purl.org/dc/terms/" xmlns:xsi="http://www.w3.org/2001/XMLSchema-instance" xsi:type="dcterms:W3CDTF">2026-10-27T17:14:40Z</dcterms:modified>
</cp:coreProperties>
</file>