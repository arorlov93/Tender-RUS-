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«АБС ЗЭиМ Автоматизация»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53</v>
      </c>
      <c r="D6" s="5" t="inlineStr">
        <is>
          <t>Диск тормозной. Примечание: деталь диск тормозной (сегмент фрикционный) для механизма МЭОФ-1600(2400)/25-0,25ЕА09-08 У1 ЯЛБИ.741224.046-00</t>
        </is>
      </c>
      <c r="E6" s="6" t="n">
        <v>4</v>
      </c>
      <c r="F6" s="5" t="inlineStr">
        <is>
          <t>м</t>
        </is>
      </c>
      <c r="G6" s="7" t="inlineStr">
        <is>
          <t>Диск тормозной (сегмент фрикционный) к МЭОФ-1600(2400)/25-0,25 ЯЛБИ.741224.046-00</t>
        </is>
      </c>
      <c r="H6" s="7" t="inlineStr">
        <is>
          <t>АО «АБС ЗЭиМ Автоматизация»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67</v>
      </c>
      <c r="D7" s="5" t="inlineStr">
        <is>
          <t>Электропривод с интеллектуальным модулем управления КИМ-2 МЭОФ-1600(2400)/25-0,25Е2А09-2-08</t>
        </is>
      </c>
      <c r="E7" s="6" t="n">
        <v>1</v>
      </c>
      <c r="F7" s="5" t="inlineStr">
        <is>
          <t>шт</t>
        </is>
      </c>
      <c r="G7" s="7" t="inlineStr">
        <is>
          <t>Механизм МЭОФ-1600(2400)/25-0,25Е2А09-2-08 с интеллектуальным модулем КИМ2 (ЗЭиМ)</t>
        </is>
      </c>
      <c r="H7" s="7" t="inlineStr">
        <is>
          <t>АО «АБС ЗЭиМ Автоматизация»</t>
        </is>
      </c>
      <c r="I7" s="7" t="inlineStr">
        <is>
          <t>Россия</t>
        </is>
      </c>
      <c r="J7" s="7" t="inlineStr">
        <is>
          <t>10382108</t>
        </is>
      </c>
      <c r="K7" s="7" t="inlineStr">
        <is>
          <t>14.07.2029</t>
        </is>
      </c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33</v>
      </c>
      <c r="D8" s="5" t="inlineStr">
        <is>
          <t>Механизм МЭОФ-1600/25-0,25У-96К У2, 380В, IP65 (с наружн. кв.42)</t>
        </is>
      </c>
      <c r="E8" s="6" t="n">
        <v>1</v>
      </c>
      <c r="F8" s="5" t="inlineStr">
        <is>
          <t>шт</t>
        </is>
      </c>
      <c r="G8" s="7" t="inlineStr">
        <is>
          <t>Механизм МЭОФ-1600/25-0,25У-96К У2, 380В, IP65 (ЗЭиМ)</t>
        </is>
      </c>
      <c r="H8" s="7" t="inlineStr">
        <is>
          <t>АО «АБС ЗЭиМ Автоматизация»</t>
        </is>
      </c>
      <c r="I8" s="7" t="inlineStr">
        <is>
          <t>Россия</t>
        </is>
      </c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64</v>
      </c>
      <c r="D9" s="5" t="inlineStr">
        <is>
          <t>Механизм электрический  МЭОФ 250/25-0,25У-97К</t>
        </is>
      </c>
      <c r="E9" s="6" t="n">
        <v>2</v>
      </c>
      <c r="F9" s="5" t="inlineStr">
        <is>
          <t>шт</t>
        </is>
      </c>
      <c r="G9" s="7" t="inlineStr">
        <is>
          <t>Механизм электрический  МЭОФ 250/25-0,25У-97К (ЗЭиМ)</t>
        </is>
      </c>
      <c r="H9" s="7" t="inlineStr">
        <is>
          <t>АО «АБС ЗЭиМ Автоматизация»</t>
        </is>
      </c>
      <c r="I9" s="7" t="inlineStr">
        <is>
          <t>Россия</t>
        </is>
      </c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>
        <is>
          <t>ИТОГО</t>
        </is>
      </c>
      <c r="N10" s="12">
        <f>SUM(N6:N9)</f>
        <v/>
      </c>
      <c r="O10" s="2" t="n"/>
      <c r="P10" s="2" t="n"/>
      <c r="Q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