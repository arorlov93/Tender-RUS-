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  <sheet xmlns:r="http://schemas.openxmlformats.org/officeDocument/2006/relationships" name="Технические требов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18" customWidth="1" min="5" max="5"/>
    <col width="13" customWidth="1" min="6" max="6"/>
    <col width="26" customWidth="1" min="7" max="7"/>
    <col width="16" customWidth="1" min="8" max="8"/>
    <col width="13" customWidth="1" min="9" max="9"/>
    <col width="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2" customWidth="1" min="15" max="15"/>
    <col width="12" customWidth="1" min="16" max="16"/>
    <col width="10" customWidth="1" min="17" max="17"/>
    <col width="14" customWidth="1" min="18" max="18"/>
  </cols>
  <sheetData>
    <row r="1" ht="18" customHeight="1">
      <c r="A1" s="1" t="inlineStr">
        <is>
          <t>Запрос коммерческого предложения: отводы ППУ-ПЭ, поставка в г. Уфа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2" t="inlineStr">
        <is>
          <t>Просим указать цену за 1 шт. с НДС и срок изготовления. Две цены: на складе завода (самовывоз) и с доставкой до Уфы. Жёлтые поля заполняет завод.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66" customHeight="1">
      <c r="A3" s="3" t="inlineStr">
        <is>
          <t>№</t>
        </is>
      </c>
      <c r="B3" s="3" t="inlineStr">
        <is>
          <t>Наименование</t>
        </is>
      </c>
      <c r="C3" s="3" t="inlineStr">
        <is>
          <t>Стальной отвод (ДхS, сталь)</t>
        </is>
      </c>
      <c r="D3" s="3" t="inlineStr">
        <is>
          <t>Присоединение к трубе</t>
        </is>
      </c>
      <c r="E3" s="3" t="inlineStr">
        <is>
          <t>Рабочие параметры</t>
        </is>
      </c>
      <c r="F3" s="3" t="inlineStr">
        <is>
          <t>Оболочка ПЭ, мм</t>
        </is>
      </c>
      <c r="G3" s="3" t="inlineStr">
        <is>
          <t>Проводники ОДК</t>
        </is>
      </c>
      <c r="H3" s="3" t="inlineStr">
        <is>
          <t>Длина плеч L×L, мм (стандарт ГОСТ 30732-2020 — подтвердить)</t>
        </is>
      </c>
      <c r="I3" s="3" t="inlineStr">
        <is>
          <t>Неизолированные концы, мм (по ТЗ)</t>
        </is>
      </c>
      <c r="J3" s="3" t="inlineStr">
        <is>
          <t>Кол-во, шт</t>
        </is>
      </c>
      <c r="K3" s="3" t="inlineStr">
        <is>
          <t>Цена за шт с НДС, склад завода, ₽</t>
        </is>
      </c>
      <c r="L3" s="3" t="inlineStr">
        <is>
          <t>Сумма с НДС, склад завода, ₽</t>
        </is>
      </c>
      <c r="M3" s="3" t="inlineStr">
        <is>
          <t>Цена за шт с НДС с доставкой до Уфы, ₽</t>
        </is>
      </c>
      <c r="N3" s="3" t="inlineStr">
        <is>
          <t>Сумма с НДС до Уфы, ₽</t>
        </is>
      </c>
      <c r="O3" s="3" t="inlineStr">
        <is>
          <t>Срок изготовления, раб. дн.</t>
        </is>
      </c>
      <c r="P3" s="3" t="inlineStr">
        <is>
          <t>Наличие на складе</t>
        </is>
      </c>
      <c r="Q3" s="3" t="inlineStr">
        <is>
          <t>Вес 1 шт, кг</t>
        </is>
      </c>
      <c r="R3" s="3" t="inlineStr">
        <is>
          <t>Габариты, мм</t>
        </is>
      </c>
    </row>
    <row r="4" ht="48" customHeight="1">
      <c r="A4" s="4" t="n">
        <v>1</v>
      </c>
      <c r="B4" s="5" t="inlineStr">
        <is>
          <t>Отвод 108х4,5-90-1-ППУ-ПЭ</t>
        </is>
      </c>
      <c r="C4" s="5" t="inlineStr">
        <is>
          <t>108х4,5; Ст20 (не хуже)</t>
        </is>
      </c>
      <c r="D4" s="5" t="inlineStr">
        <is>
          <t>Д108, ГОСТ 10705-80</t>
        </is>
      </c>
      <c r="E4" s="5" t="inlineStr">
        <is>
          <t>до 1,6 МПа, до 150 °С</t>
        </is>
      </c>
      <c r="F4" s="5" t="inlineStr">
        <is>
          <t>180 (тип 1)</t>
        </is>
      </c>
      <c r="G4" s="5" t="inlineStr">
        <is>
          <t>3 шт.: 3, 12, 9 ч (шов на 12 ч)</t>
        </is>
      </c>
      <c r="H4" s="6" t="inlineStr">
        <is>
          <t>1000 × 1000</t>
        </is>
      </c>
      <c r="I4" s="5" t="inlineStr">
        <is>
          <t>150 (−20)</t>
        </is>
      </c>
      <c r="J4" s="4" t="n">
        <v>3</v>
      </c>
      <c r="K4" s="7" t="n"/>
      <c r="L4" s="8">
        <f>J4*K4</f>
        <v/>
      </c>
      <c r="M4" s="7" t="n"/>
      <c r="N4" s="8">
        <f>J4*M4</f>
        <v/>
      </c>
      <c r="O4" s="9" t="n"/>
      <c r="P4" s="9" t="n"/>
      <c r="Q4" s="9" t="n"/>
      <c r="R4" s="9" t="n"/>
    </row>
    <row r="5" ht="48" customHeight="1">
      <c r="A5" s="4" t="n">
        <v>2</v>
      </c>
      <c r="B5" s="5" t="inlineStr">
        <is>
          <t>Отвод 377х8-90-1-ППУ-ПЭ</t>
        </is>
      </c>
      <c r="C5" s="5" t="inlineStr">
        <is>
          <t>377х8; не хуже Ст20</t>
        </is>
      </c>
      <c r="D5" s="5" t="inlineStr">
        <is>
          <t>Д377 1-Т, ГОСТ 20295-85</t>
        </is>
      </c>
      <c r="E5" s="5" t="inlineStr">
        <is>
          <t>до 2,5 МПа, до 150 °С</t>
        </is>
      </c>
      <c r="F5" s="5" t="inlineStr">
        <is>
          <t>500 (тип 1)</t>
        </is>
      </c>
      <c r="G5" s="5" t="inlineStr">
        <is>
          <t>3 шт.: 3, 12, 9 ч (шов на 12 ч)</t>
        </is>
      </c>
      <c r="H5" s="6" t="inlineStr">
        <is>
          <t>1050 × 1050</t>
        </is>
      </c>
      <c r="I5" s="5" t="inlineStr">
        <is>
          <t>210 (−20)</t>
        </is>
      </c>
      <c r="J5" s="4" t="n">
        <v>2</v>
      </c>
      <c r="K5" s="7" t="n"/>
      <c r="L5" s="8">
        <f>J5*K5</f>
        <v/>
      </c>
      <c r="M5" s="7" t="n"/>
      <c r="N5" s="8">
        <f>J5*M5</f>
        <v/>
      </c>
      <c r="O5" s="9" t="n"/>
      <c r="P5" s="9" t="n"/>
      <c r="Q5" s="9" t="n"/>
      <c r="R5" s="9" t="n"/>
    </row>
    <row r="6" ht="48" customHeight="1">
      <c r="A6" s="4" t="n">
        <v>3</v>
      </c>
      <c r="B6" s="5" t="inlineStr">
        <is>
          <t>Отвод 426х8-90-1-ППУ-ПЭ</t>
        </is>
      </c>
      <c r="C6" s="5" t="inlineStr">
        <is>
          <t>426х8; Ст20 / 09Г2С / 17Г1С</t>
        </is>
      </c>
      <c r="D6" s="5" t="inlineStr">
        <is>
          <t>Д426 1-Т, ГОСТ 20295-85</t>
        </is>
      </c>
      <c r="E6" s="5" t="inlineStr">
        <is>
          <t>до 2,5 МПа, до 150 °С</t>
        </is>
      </c>
      <c r="F6" s="5" t="inlineStr">
        <is>
          <t>560 (тип 1)</t>
        </is>
      </c>
      <c r="G6" s="5" t="inlineStr">
        <is>
          <t>3 шт.: 3, 12, 9 ч (шов на 12 ч)</t>
        </is>
      </c>
      <c r="H6" s="6" t="inlineStr">
        <is>
          <t>1100 × 1100</t>
        </is>
      </c>
      <c r="I6" s="5" t="inlineStr">
        <is>
          <t>210 (−20)</t>
        </is>
      </c>
      <c r="J6" s="4" t="n">
        <v>3</v>
      </c>
      <c r="K6" s="7" t="n"/>
      <c r="L6" s="8">
        <f>J6*K6</f>
        <v/>
      </c>
      <c r="M6" s="7" t="n"/>
      <c r="N6" s="8">
        <f>J6*M6</f>
        <v/>
      </c>
      <c r="O6" s="9" t="n"/>
      <c r="P6" s="9" t="n"/>
      <c r="Q6" s="9" t="n"/>
      <c r="R6" s="9" t="n"/>
    </row>
    <row r="7" ht="48" customHeight="1">
      <c r="A7" s="4" t="n">
        <v>4</v>
      </c>
      <c r="B7" s="5" t="inlineStr">
        <is>
          <t>Отвод 530х9-90-1-ППУ-ПЭ</t>
        </is>
      </c>
      <c r="C7" s="5" t="inlineStr">
        <is>
          <t>530х9; не хуже Ст20</t>
        </is>
      </c>
      <c r="D7" s="5" t="inlineStr">
        <is>
          <t>Д530 3-Т, ГОСТ 20295-85</t>
        </is>
      </c>
      <c r="E7" s="5" t="inlineStr">
        <is>
          <t>до 2,5 МПа, до 150 °С</t>
        </is>
      </c>
      <c r="F7" s="5" t="inlineStr">
        <is>
          <t>710 (тип 1)</t>
        </is>
      </c>
      <c r="G7" s="5" t="inlineStr">
        <is>
          <t>4 шт.: 3, 6, 9, 12 ч (шов на 12±2 ч)</t>
        </is>
      </c>
      <c r="H7" s="6" t="inlineStr">
        <is>
          <t>1200 × 1200</t>
        </is>
      </c>
      <c r="I7" s="5" t="inlineStr">
        <is>
          <t>210 (−20)</t>
        </is>
      </c>
      <c r="J7" s="4" t="n">
        <v>1</v>
      </c>
      <c r="K7" s="7" t="n"/>
      <c r="L7" s="8">
        <f>J7*K7</f>
        <v/>
      </c>
      <c r="M7" s="7" t="n"/>
      <c r="N7" s="8">
        <f>J7*M7</f>
        <v/>
      </c>
      <c r="O7" s="9" t="n"/>
      <c r="P7" s="9" t="n"/>
      <c r="Q7" s="9" t="n"/>
      <c r="R7" s="9" t="n"/>
    </row>
    <row r="8" ht="48" customHeight="1">
      <c r="A8" s="10" t="inlineStr"/>
      <c r="B8" s="10" t="inlineStr">
        <is>
          <t>ИТОГО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>
        <f>SUM(J4:J7)</f>
        <v/>
      </c>
      <c r="K8" s="10" t="inlineStr"/>
      <c r="L8" s="11">
        <f>SUM(L4:L7)</f>
        <v/>
      </c>
      <c r="M8" s="10" t="inlineStr"/>
      <c r="N8" s="11">
        <f>SUM(N4:N7)</f>
        <v/>
      </c>
      <c r="O8" s="12" t="n"/>
      <c r="P8" s="12" t="n"/>
      <c r="Q8" s="12" t="n"/>
      <c r="R8" s="12" t="n"/>
    </row>
    <row r="9" ht="4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 ht="48" customHeight="1">
      <c r="A10" s="13" t="inlineStr">
        <is>
          <t>Условия оплаты: предоплата 50% после подписания договора, остаток — после поставки (просим подтвердить или предложить свои).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 ht="48" customHeight="1">
      <c r="A11" s="13" t="inlineStr">
        <is>
          <t>Срок поставки: прошу указать минимальный; товар нужен в течение 7 дней с момента заявки заказчика.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 ht="48" customHeight="1">
      <c r="A12" s="13" t="inlineStr">
        <is>
          <t>Изготовитель, город завода, контактное лицо, телефон, e-mail: ______________________________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</sheetData>
  <mergeCells count="3">
    <mergeCell ref="A11:R11"/>
    <mergeCell ref="A10:R10"/>
    <mergeCell ref="A12:R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48" customHeight="1">
      <c r="A1" s="3" t="inlineStr">
        <is>
          <t>Требование</t>
        </is>
      </c>
      <c r="B1" s="3" t="inlineStr">
        <is>
          <t>Значение (по ТЗ заказчика)</t>
        </is>
      </c>
    </row>
    <row r="2" ht="48" customHeight="1">
      <c r="A2" s="5" t="inlineStr">
        <is>
          <t>Стандарт изделия</t>
        </is>
      </c>
      <c r="B2" s="5" t="inlineStr">
        <is>
          <t>ГОСТ 30732-2020; ТР ТС 032/2013</t>
        </is>
      </c>
    </row>
    <row r="3" ht="48" customHeight="1">
      <c r="A3" s="5" t="inlineStr">
        <is>
          <t>Стальной отвод</t>
        </is>
      </c>
      <c r="B3" s="5" t="inlineStr">
        <is>
          <t>крутоизогнутый 90°, ГОСТ 17375-2001 / ГОСТ 17380-2001; фасонные части из спиральношовных труб НЕ допускаются</t>
        </is>
      </c>
    </row>
    <row r="4" ht="48" customHeight="1">
      <c r="A4" s="5" t="inlineStr">
        <is>
          <t>Изоляция</t>
        </is>
      </c>
      <c r="B4" s="5" t="inlineStr">
        <is>
          <t>жёсткий ППУ по ГОСТ 30732, теплопроводность при 50 °С не более 0,029 Вт/(м·°С)</t>
        </is>
      </c>
    </row>
    <row r="5" ht="48" customHeight="1">
      <c r="A5" s="5" t="inlineStr">
        <is>
          <t>Оболочка</t>
        </is>
      </c>
      <c r="B5" s="5" t="inlineStr">
        <is>
          <t>бесшовная, экструдированный ПЭВП (ГОСТ 16338-85, ГОСТ 30732-2020), стойкая к УФ; длина оболочки = длина изоляции, превышение не более +50 мм с каждой стороны</t>
        </is>
      </c>
    </row>
    <row r="6" ht="48" customHeight="1">
      <c r="A6" s="5" t="inlineStr">
        <is>
          <t>Неизолированные концы</t>
        </is>
      </c>
      <c r="B6" s="5" t="inlineStr">
        <is>
          <t>108 — 150 мм (−20); 377, 426, 530 — 210 мм (−20)</t>
        </is>
      </c>
    </row>
    <row r="7" ht="48" customHeight="1">
      <c r="A7" s="5" t="inlineStr">
        <is>
          <t>Длина плеч отвода</t>
        </is>
      </c>
      <c r="B7" s="5" t="inlineStr">
        <is>
          <t>в ТЗ не задана — стандартная по ГОСТ 30732-2020 (ориентир 1000 / 1050 / 1100 / 1200 мм для 108 / 377 / 426 / 530); завод подтверждает свой размер</t>
        </is>
      </c>
    </row>
    <row r="8" ht="48" customHeight="1">
      <c r="A8" s="5" t="inlineStr">
        <is>
          <t>Система ОДК</t>
        </is>
      </c>
      <c r="B8" s="5" t="inlineStr">
        <is>
          <t>медные проводники ММ 1,5 мм² (кол-во и положение — по позиции); документ завода об исправности ОДК на дату отгрузки</t>
        </is>
      </c>
    </row>
    <row r="9" ht="48" customHeight="1">
      <c r="A9" s="5" t="inlineStr">
        <is>
          <t>Торцы</t>
        </is>
      </c>
      <c r="B9" s="5" t="inlineStr">
        <is>
          <t>гидроизоляционное покрытие торцов изоляции и временные заглушки на транспортировку и хранение</t>
        </is>
      </c>
    </row>
    <row r="10" ht="48" customHeight="1">
      <c r="A10" s="5" t="inlineStr">
        <is>
          <t>Маркировка</t>
        </is>
      </c>
      <c r="B10" s="5" t="inlineStr">
        <is>
          <t>условное обозначение, завод-изготовитель, номер партии, дата изготовления — несмываемой краской не ближе 200 мм от торца изоляции или на бирке</t>
        </is>
      </c>
    </row>
    <row r="11" ht="48" customHeight="1">
      <c r="A11" s="5" t="inlineStr">
        <is>
          <t>Год изготовления</t>
        </is>
      </c>
      <c r="B11" s="5" t="inlineStr">
        <is>
          <t>не ранее 2025 г., только новые материалы (б/у и лежалые — нельзя); документ завода о дате изготовления</t>
        </is>
      </c>
    </row>
    <row r="12" ht="48" customHeight="1">
      <c r="A12" s="5" t="inlineStr">
        <is>
          <t>Документы</t>
        </is>
      </c>
      <c r="B12" s="5" t="inlineStr">
        <is>
          <t>паспорт; сертификаты: ТР ТС 032/2013, ФНИП (оборудование под давлением), ГОСТ 30732-2020, ГОСТ 15150-69, ГОСТ 16338-85, ГОСТ 17375-2001, ГОСТ 17380-2001, на трубу (ГОСТ 10705-80 для 108; ГОСТ 20295-85 для 377/426/530); сертификаты качества на все материалы</t>
        </is>
      </c>
    </row>
    <row r="13" ht="48" customHeight="1">
      <c r="A13" s="5" t="inlineStr">
        <is>
          <t>Гарантия</t>
        </is>
      </c>
      <c r="B13" s="5" t="inlineStr">
        <is>
          <t>гарантийный срок службы не менее 10 лет от даты поставки; гарантия по договору не менее 12 мес.</t>
        </is>
      </c>
    </row>
    <row r="14" ht="48" customHeight="1">
      <c r="A14" s="5" t="inlineStr">
        <is>
          <t>Страна</t>
        </is>
      </c>
      <c r="B14" s="5" t="inlineStr">
        <is>
          <t>Россия (национальный режим ПП 1875) — указать завод-изготовитель и номер записи в реестре Минпромторга, если есть</t>
        </is>
      </c>
    </row>
    <row r="15" ht="48" customHeight="1">
      <c r="A15" s="5" t="inlineStr">
        <is>
          <t>Доставка</t>
        </is>
      </c>
      <c r="B15" s="5" t="inlineStr">
        <is>
          <t>г. Уфа, склад МУП «Уфимские инженерные сети», разгрузка поставщика; будни 08:00–16:45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2026-10-23T13:10:44Z</dcterms:created>
  <dcterms:modified xmlns:dcterms="http://purl.org/dc/terms/" xmlns:xsi="http://www.w3.org/2001/XMLSchema-instance" xsi:type="dcterms:W3CDTF">2026-10-23T13:10:44Z</dcterms:modified>
</cp:coreProperties>
</file>